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2.xml" ContentType="application/vnd.openxmlformats-officedocument.drawing+xml"/>
  <Override PartName="/xl/charts/chart7.xml" ContentType="application/vnd.openxmlformats-officedocument.drawingml.chart+xml"/>
  <Override PartName="/xl/drawings/drawing3.xml" ContentType="application/vnd.openxmlformats-officedocument.drawingml.chartshapes+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4.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6.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7.xml" ContentType="application/vnd.openxmlformats-officedocument.drawing+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drawings/drawing8.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126" codeName="{22E68647-3C60-695B-3CA0-4895CD717B8A}"/>
  <workbookPr codeName="ThisWorkbook" defaultThemeVersion="124226"/>
  <mc:AlternateContent xmlns:mc="http://schemas.openxmlformats.org/markup-compatibility/2006">
    <mc:Choice Requires="x15">
      <x15ac:absPath xmlns:x15ac="http://schemas.microsoft.com/office/spreadsheetml/2010/11/ac" url="D:\doc\FinancialAnalysis\上市公司\"/>
    </mc:Choice>
  </mc:AlternateContent>
  <xr:revisionPtr revIDLastSave="0" documentId="13_ncr:1_{2368EAD3-7314-45D5-AD45-CC2DA408EB7F}" xr6:coauthVersionLast="40" xr6:coauthVersionMax="40" xr10:uidLastSave="{00000000-0000-0000-0000-000000000000}"/>
  <bookViews>
    <workbookView xWindow="480" yWindow="48" windowWidth="24792" windowHeight="11676" tabRatio="898" firstSheet="4" activeTab="11" xr2:uid="{00000000-000D-0000-FFFF-FFFF00000000}"/>
  </bookViews>
  <sheets>
    <sheet name="资产负债表" sheetId="1" r:id="rId1"/>
    <sheet name="利润表" sheetId="2" r:id="rId2"/>
    <sheet name="现金流量表" sheetId="3" r:id="rId3"/>
    <sheet name="资产资本表" sheetId="5" r:id="rId4"/>
    <sheet name="股权价值增加表" sheetId="6" r:id="rId5"/>
    <sheet name="投资和筹资活动现金流表" sheetId="7" r:id="rId6"/>
    <sheet name="平均资本成本表" sheetId="8" r:id="rId7"/>
    <sheet name="资产资本结构分析表" sheetId="9" r:id="rId8"/>
    <sheet name="股权价值增加分析表" sheetId="10" r:id="rId9"/>
    <sheet name="股东权益回报率分析表" sheetId="11" r:id="rId10"/>
    <sheet name="自由现金流分析表" sheetId="12" r:id="rId11"/>
    <sheet name="根据DCF测算价值表" sheetId="13" r:id="rId12"/>
  </sheets>
  <functionGroups builtInGroupCount="19"/>
  <calcPr calcId="181029"/>
</workbook>
</file>

<file path=xl/calcChain.xml><?xml version="1.0" encoding="utf-8"?>
<calcChain xmlns="http://schemas.openxmlformats.org/spreadsheetml/2006/main">
  <c r="B4" i="13" l="1"/>
  <c r="F9" i="8"/>
  <c r="G9" i="8"/>
  <c r="H9" i="8"/>
  <c r="I9" i="8"/>
  <c r="J9" i="8"/>
  <c r="K9" i="8"/>
  <c r="L9" i="8"/>
  <c r="M9" i="8"/>
  <c r="N9" i="8"/>
  <c r="O9" i="8"/>
  <c r="P9" i="8"/>
  <c r="Q9" i="8"/>
  <c r="R9" i="8"/>
  <c r="S9" i="8"/>
  <c r="T9" i="8"/>
  <c r="U9" i="8"/>
  <c r="V9" i="8"/>
  <c r="W9" i="8"/>
  <c r="X9" i="8"/>
  <c r="Y9" i="8"/>
  <c r="Z9" i="8"/>
  <c r="AA9" i="8"/>
  <c r="AB9" i="8"/>
  <c r="AC9" i="8"/>
  <c r="AD9" i="8"/>
  <c r="AE9" i="8"/>
  <c r="AF9" i="8"/>
  <c r="AG9" i="8"/>
  <c r="AH9" i="8"/>
  <c r="AI9" i="8"/>
  <c r="AJ9" i="8"/>
  <c r="AK9" i="8"/>
  <c r="AL9" i="8"/>
  <c r="AM9" i="8"/>
  <c r="AN9" i="8"/>
  <c r="AO9" i="8"/>
  <c r="AP9" i="8"/>
  <c r="AQ9" i="8"/>
  <c r="AR9" i="8"/>
  <c r="AS9" i="8"/>
  <c r="AT9" i="8"/>
  <c r="AU9" i="8"/>
  <c r="AV9" i="8"/>
  <c r="AW9" i="8"/>
  <c r="AX9" i="8"/>
  <c r="AY9" i="8"/>
  <c r="AZ9" i="8"/>
  <c r="BA9" i="8"/>
  <c r="BB9" i="8"/>
  <c r="BC9" i="8"/>
  <c r="BD9" i="8"/>
  <c r="BE9" i="8"/>
  <c r="BF9" i="8"/>
  <c r="BG9" i="8"/>
  <c r="BH9" i="8"/>
  <c r="BI9" i="8"/>
  <c r="BJ9" i="8"/>
  <c r="BK9" i="8"/>
  <c r="BL9" i="8"/>
  <c r="BM9" i="8"/>
  <c r="BN9" i="8"/>
  <c r="BO9" i="8"/>
  <c r="BP9" i="8"/>
  <c r="BQ9" i="8"/>
  <c r="BR9" i="8"/>
  <c r="BS9" i="8"/>
  <c r="BT9" i="8"/>
  <c r="BU9" i="8"/>
  <c r="BV9" i="8"/>
  <c r="E9" i="8"/>
  <c r="H60" i="10" l="1"/>
  <c r="F53" i="10"/>
  <c r="F60" i="10" s="1"/>
  <c r="G53" i="10"/>
  <c r="G60" i="10" s="1"/>
  <c r="H53" i="10"/>
  <c r="I53" i="10"/>
  <c r="I60" i="10" s="1"/>
  <c r="J53" i="10"/>
  <c r="J60" i="10" s="1"/>
  <c r="K53" i="10"/>
  <c r="K60" i="10" s="1"/>
  <c r="L53" i="10"/>
  <c r="L60" i="10" s="1"/>
  <c r="M53" i="10"/>
  <c r="M60" i="10" s="1"/>
  <c r="N53" i="10"/>
  <c r="N60" i="10" s="1"/>
  <c r="O53" i="10"/>
  <c r="O60" i="10" s="1"/>
  <c r="P53" i="10"/>
  <c r="P60" i="10" s="1"/>
  <c r="Q53" i="10"/>
  <c r="Q60" i="10" s="1"/>
  <c r="R53" i="10"/>
  <c r="R60" i="10" s="1"/>
  <c r="S53" i="10"/>
  <c r="S60" i="10" s="1"/>
  <c r="T53" i="10"/>
  <c r="T60" i="10" s="1"/>
  <c r="U53" i="10"/>
  <c r="U60" i="10" s="1"/>
  <c r="V53" i="10"/>
  <c r="V60" i="10" s="1"/>
  <c r="W53" i="10"/>
  <c r="W60" i="10" s="1"/>
  <c r="X53" i="10"/>
  <c r="X60" i="10" s="1"/>
  <c r="Y53" i="10"/>
  <c r="Y60" i="10" s="1"/>
  <c r="Z53" i="10"/>
  <c r="Z60" i="10" s="1"/>
  <c r="AA53" i="10"/>
  <c r="AA60" i="10" s="1"/>
  <c r="AB53" i="10"/>
  <c r="AB60" i="10" s="1"/>
  <c r="AC53" i="10"/>
  <c r="AC60" i="10" s="1"/>
  <c r="E53" i="10"/>
  <c r="E60" i="10" s="1"/>
  <c r="F77" i="9"/>
  <c r="G77" i="9"/>
  <c r="H77" i="9"/>
  <c r="I77" i="9"/>
  <c r="J77" i="9"/>
  <c r="K77" i="9"/>
  <c r="L77" i="9"/>
  <c r="M77" i="9"/>
  <c r="N77" i="9"/>
  <c r="O77" i="9"/>
  <c r="P77" i="9"/>
  <c r="Q77" i="9"/>
  <c r="R77" i="9"/>
  <c r="S77" i="9"/>
  <c r="T77" i="9"/>
  <c r="U77" i="9"/>
  <c r="E77" i="9"/>
  <c r="N38" i="9"/>
  <c r="O38" i="9"/>
  <c r="P38" i="9"/>
  <c r="Q38" i="9"/>
  <c r="R38" i="9"/>
  <c r="S38" i="9"/>
  <c r="T38" i="9"/>
  <c r="U38" i="9"/>
  <c r="N54" i="9"/>
  <c r="O54" i="9"/>
  <c r="P54" i="9"/>
  <c r="Q54" i="9"/>
  <c r="R54" i="9"/>
  <c r="S54" i="9"/>
  <c r="T54" i="9"/>
  <c r="U54" i="9"/>
  <c r="F66" i="9"/>
  <c r="G66" i="9"/>
  <c r="H66" i="9"/>
  <c r="I66" i="9"/>
  <c r="J66" i="9"/>
  <c r="K66" i="9"/>
  <c r="L66" i="9"/>
  <c r="M66" i="9"/>
  <c r="N66" i="9"/>
  <c r="O66" i="9"/>
  <c r="P66" i="9"/>
  <c r="Q66" i="9"/>
  <c r="R66" i="9"/>
  <c r="S66" i="9"/>
  <c r="T66" i="9"/>
  <c r="U66" i="9"/>
  <c r="E66" i="9"/>
  <c r="F54" i="9"/>
  <c r="G54" i="9"/>
  <c r="H54" i="9"/>
  <c r="I54" i="9"/>
  <c r="J54" i="9"/>
  <c r="K54" i="9"/>
  <c r="L54" i="9"/>
  <c r="M54" i="9"/>
  <c r="E54" i="9"/>
  <c r="Z17" i="7" l="1"/>
  <c r="AA17" i="7"/>
  <c r="AB17" i="7"/>
  <c r="AC17" i="7"/>
  <c r="AD17" i="7"/>
  <c r="AE17" i="7"/>
  <c r="AF17" i="7"/>
  <c r="AG17" i="7"/>
  <c r="AH17" i="7"/>
  <c r="AI17" i="7"/>
  <c r="AJ17" i="7"/>
  <c r="AK17" i="7"/>
  <c r="AL17" i="7"/>
  <c r="AM17" i="7"/>
  <c r="AN17" i="7"/>
  <c r="AO17" i="7"/>
  <c r="AP17" i="7"/>
  <c r="AQ17" i="7"/>
  <c r="AR17" i="7"/>
  <c r="AS17" i="7"/>
  <c r="AS19" i="7" s="1"/>
  <c r="AS21" i="7" s="1"/>
  <c r="AT17" i="7"/>
  <c r="AU17" i="7"/>
  <c r="AV17" i="7"/>
  <c r="V34" i="7"/>
  <c r="R12" i="7" s="1"/>
  <c r="W34" i="7"/>
  <c r="S12" i="7" s="1"/>
  <c r="X34" i="7"/>
  <c r="T12" i="7" s="1"/>
  <c r="Y34" i="7"/>
  <c r="U12" i="7" s="1"/>
  <c r="Z34" i="7"/>
  <c r="V12" i="7" s="1"/>
  <c r="AA34" i="7"/>
  <c r="W12" i="7" s="1"/>
  <c r="AB34" i="7"/>
  <c r="X12" i="7" s="1"/>
  <c r="AC34" i="7"/>
  <c r="Y12" i="7" s="1"/>
  <c r="AD34" i="7"/>
  <c r="Z12" i="7" s="1"/>
  <c r="AE34" i="7"/>
  <c r="AA12" i="7" s="1"/>
  <c r="AF34" i="7"/>
  <c r="AB12" i="7" s="1"/>
  <c r="AG34" i="7"/>
  <c r="AC12" i="7" s="1"/>
  <c r="AH34" i="7"/>
  <c r="AD12" i="7" s="1"/>
  <c r="AI34" i="7"/>
  <c r="AE12" i="7" s="1"/>
  <c r="AJ34" i="7"/>
  <c r="AF12" i="7" s="1"/>
  <c r="AK34" i="7"/>
  <c r="AG12" i="7" s="1"/>
  <c r="AL34" i="7"/>
  <c r="AH12" i="7" s="1"/>
  <c r="AM34" i="7"/>
  <c r="AI12" i="7" s="1"/>
  <c r="AN34" i="7"/>
  <c r="AJ12" i="7" s="1"/>
  <c r="AO34" i="7"/>
  <c r="AK12" i="7" s="1"/>
  <c r="AP34" i="7"/>
  <c r="AL12" i="7" s="1"/>
  <c r="AQ34" i="7"/>
  <c r="AM12" i="7" s="1"/>
  <c r="AR34" i="7"/>
  <c r="AN12" i="7" s="1"/>
  <c r="AS34" i="7"/>
  <c r="AO12" i="7" s="1"/>
  <c r="AT34" i="7"/>
  <c r="AP12" i="7" s="1"/>
  <c r="AU34" i="7"/>
  <c r="AQ12" i="7" s="1"/>
  <c r="AV34" i="7"/>
  <c r="AR12" i="7" s="1"/>
  <c r="AW34" i="7"/>
  <c r="AS12" i="7" s="1"/>
  <c r="AX34" i="7"/>
  <c r="AT12" i="7" s="1"/>
  <c r="AY34" i="7"/>
  <c r="AU12" i="7" s="1"/>
  <c r="AZ34" i="7"/>
  <c r="AV12" i="7" s="1"/>
  <c r="BA34" i="7"/>
  <c r="AW12" i="7" s="1"/>
  <c r="BB34" i="7"/>
  <c r="AX12" i="7" s="1"/>
  <c r="BC34" i="7"/>
  <c r="AY12" i="7" s="1"/>
  <c r="BD34" i="7"/>
  <c r="AZ12" i="7" s="1"/>
  <c r="BE34" i="7"/>
  <c r="BA12" i="7" s="1"/>
  <c r="BF34" i="7"/>
  <c r="BB12" i="7" s="1"/>
  <c r="BG34" i="7"/>
  <c r="BC12" i="7" s="1"/>
  <c r="BH34" i="7"/>
  <c r="BD12" i="7" s="1"/>
  <c r="BI34" i="7"/>
  <c r="BE12" i="7" s="1"/>
  <c r="BJ34" i="7"/>
  <c r="BF12" i="7" s="1"/>
  <c r="BK34" i="7"/>
  <c r="BG12" i="7" s="1"/>
  <c r="BL34" i="7"/>
  <c r="BH12" i="7" s="1"/>
  <c r="BM34" i="7"/>
  <c r="BI12" i="7" s="1"/>
  <c r="BN34" i="7"/>
  <c r="BJ12" i="7" s="1"/>
  <c r="BO34" i="7"/>
  <c r="BK12" i="7" s="1"/>
  <c r="BP34" i="7"/>
  <c r="BL12" i="7" s="1"/>
  <c r="AL42" i="7"/>
  <c r="AM42" i="7"/>
  <c r="AN42" i="7"/>
  <c r="AO42" i="7"/>
  <c r="AP42" i="7"/>
  <c r="AQ42" i="7"/>
  <c r="AR42" i="7"/>
  <c r="AS42" i="7"/>
  <c r="AT42" i="7"/>
  <c r="AU42" i="7"/>
  <c r="AV42" i="7"/>
  <c r="AW42" i="7"/>
  <c r="AX42" i="7"/>
  <c r="AY42" i="7"/>
  <c r="AZ42" i="7"/>
  <c r="BQ34" i="7"/>
  <c r="BM12" i="7" s="1"/>
  <c r="BR34" i="7"/>
  <c r="BN12" i="7" s="1"/>
  <c r="BS34" i="7"/>
  <c r="AS11" i="7"/>
  <c r="AT11" i="7"/>
  <c r="AU11" i="7"/>
  <c r="AV11" i="7"/>
  <c r="AW11" i="7"/>
  <c r="AX11" i="7"/>
  <c r="AY11" i="7"/>
  <c r="AZ11" i="7"/>
  <c r="BA11" i="7"/>
  <c r="BB11" i="7"/>
  <c r="BC11" i="7"/>
  <c r="BD11" i="7"/>
  <c r="BE11" i="7"/>
  <c r="BF11" i="7"/>
  <c r="BG11" i="7"/>
  <c r="BH11" i="7"/>
  <c r="BI11" i="7"/>
  <c r="BJ11" i="7"/>
  <c r="BK11" i="7"/>
  <c r="BL11" i="7"/>
  <c r="BM11" i="7"/>
  <c r="BN11" i="7"/>
  <c r="BO11" i="7"/>
  <c r="BP11" i="7"/>
  <c r="BQ11" i="7"/>
  <c r="BR11" i="7"/>
  <c r="BS11" i="7"/>
  <c r="AS56" i="6"/>
  <c r="B46" i="13" l="1"/>
  <c r="B51" i="13"/>
  <c r="B54" i="13"/>
  <c r="F38" i="9"/>
  <c r="G38" i="9"/>
  <c r="H38" i="9"/>
  <c r="I38" i="9"/>
  <c r="J38" i="9"/>
  <c r="K38" i="9"/>
  <c r="L38" i="9"/>
  <c r="M38" i="9"/>
  <c r="E38" i="9"/>
  <c r="Z45" i="7" l="1"/>
  <c r="Z49" i="7" s="1"/>
  <c r="AA45" i="7"/>
  <c r="AA49" i="7" s="1"/>
  <c r="AB45" i="7"/>
  <c r="AB49" i="7" s="1"/>
  <c r="AC45" i="7"/>
  <c r="AC49" i="7" s="1"/>
  <c r="AD45" i="7"/>
  <c r="AD49" i="7" s="1"/>
  <c r="AE45" i="7"/>
  <c r="AE49" i="7" s="1"/>
  <c r="AF45" i="7"/>
  <c r="AF49" i="7" s="1"/>
  <c r="AG45" i="7"/>
  <c r="AG49" i="7" s="1"/>
  <c r="AH45" i="7"/>
  <c r="AH49" i="7" s="1"/>
  <c r="AI45" i="7"/>
  <c r="AI49" i="7" s="1"/>
  <c r="AJ45" i="7"/>
  <c r="AJ49" i="7" s="1"/>
  <c r="AK45" i="7"/>
  <c r="AK49" i="7" s="1"/>
  <c r="AL45" i="7"/>
  <c r="AL49" i="7" s="1"/>
  <c r="AM45" i="7"/>
  <c r="AM49" i="7" s="1"/>
  <c r="AN45" i="7"/>
  <c r="AN49" i="7" s="1"/>
  <c r="AO45" i="7"/>
  <c r="AO49" i="7" s="1"/>
  <c r="AP45" i="7"/>
  <c r="AP49" i="7" s="1"/>
  <c r="AQ45" i="7"/>
  <c r="AQ49" i="7" s="1"/>
  <c r="AR45" i="7"/>
  <c r="AR49" i="7" s="1"/>
  <c r="AS45" i="7"/>
  <c r="AS49" i="7" s="1"/>
  <c r="AT45" i="7"/>
  <c r="AT49" i="7" s="1"/>
  <c r="AU45" i="7"/>
  <c r="AU49" i="7" s="1"/>
  <c r="AV45" i="7"/>
  <c r="AV49" i="7" s="1"/>
  <c r="AW45" i="7"/>
  <c r="AW49" i="7" s="1"/>
  <c r="AX45" i="7"/>
  <c r="AX49" i="7" s="1"/>
  <c r="AY45" i="7"/>
  <c r="AY49" i="7" s="1"/>
  <c r="AZ45" i="7"/>
  <c r="AZ49" i="7" s="1"/>
  <c r="BA45" i="7"/>
  <c r="BA49" i="7" s="1"/>
  <c r="BB45" i="7"/>
  <c r="BB49" i="7" s="1"/>
  <c r="BC45" i="7"/>
  <c r="BC49" i="7" s="1"/>
  <c r="BD45" i="7"/>
  <c r="BD49" i="7" s="1"/>
  <c r="BE45" i="7"/>
  <c r="BE49" i="7" s="1"/>
  <c r="BF45" i="7"/>
  <c r="BF49" i="7" s="1"/>
  <c r="BG45" i="7"/>
  <c r="BG49" i="7" s="1"/>
  <c r="BH45" i="7"/>
  <c r="BH49" i="7" s="1"/>
  <c r="BI45" i="7"/>
  <c r="BI49" i="7" s="1"/>
  <c r="BJ45" i="7"/>
  <c r="BJ49" i="7" s="1"/>
  <c r="BK45" i="7"/>
  <c r="BK49" i="7" s="1"/>
  <c r="BL45" i="7"/>
  <c r="BL49" i="7" s="1"/>
  <c r="BM45" i="7"/>
  <c r="BM49" i="7" s="1"/>
  <c r="BN45" i="7"/>
  <c r="BN49" i="7" s="1"/>
  <c r="BO45" i="7"/>
  <c r="BO49" i="7" s="1"/>
  <c r="BP45" i="7"/>
  <c r="BP49" i="7" s="1"/>
  <c r="BQ45" i="7"/>
  <c r="BQ49" i="7" s="1"/>
  <c r="BR45" i="7"/>
  <c r="BR49" i="7" s="1"/>
  <c r="BS45" i="7"/>
  <c r="BS49" i="7" s="1"/>
  <c r="BT45" i="7"/>
  <c r="BT49" i="7" s="1"/>
  <c r="BU45" i="7"/>
  <c r="BU49" i="7" s="1"/>
  <c r="BV45" i="7"/>
  <c r="BV49" i="7" s="1"/>
  <c r="Z42" i="7"/>
  <c r="AA42" i="7"/>
  <c r="AB42" i="7"/>
  <c r="AC42" i="7"/>
  <c r="AD42" i="7"/>
  <c r="AE42" i="7"/>
  <c r="AF42" i="7"/>
  <c r="AG42" i="7"/>
  <c r="AH42" i="7"/>
  <c r="AI42" i="7"/>
  <c r="AJ42" i="7"/>
  <c r="AK42" i="7"/>
  <c r="BA42" i="7"/>
  <c r="BB42" i="7"/>
  <c r="BC42" i="7"/>
  <c r="BD42" i="7"/>
  <c r="BE42" i="7"/>
  <c r="BF42" i="7"/>
  <c r="BG42" i="7"/>
  <c r="BH42" i="7"/>
  <c r="BI42" i="7"/>
  <c r="BJ42" i="7"/>
  <c r="BK42" i="7"/>
  <c r="BL42" i="7"/>
  <c r="BM42" i="7"/>
  <c r="BN42" i="7"/>
  <c r="BO42" i="7"/>
  <c r="BP42" i="7"/>
  <c r="BQ42" i="7"/>
  <c r="BR42" i="7"/>
  <c r="BS42" i="7"/>
  <c r="BT42" i="7"/>
  <c r="BU42" i="7"/>
  <c r="BV42" i="7"/>
  <c r="F27" i="7"/>
  <c r="G27" i="7"/>
  <c r="H27" i="7"/>
  <c r="I27" i="7"/>
  <c r="J27" i="7"/>
  <c r="K27" i="7"/>
  <c r="L27" i="7"/>
  <c r="M27" i="7"/>
  <c r="N27" i="7"/>
  <c r="O27" i="7"/>
  <c r="P27" i="7"/>
  <c r="Q27" i="7"/>
  <c r="R27" i="7"/>
  <c r="S27" i="7"/>
  <c r="T27" i="7"/>
  <c r="U27" i="7"/>
  <c r="V27" i="7"/>
  <c r="W27" i="7"/>
  <c r="X27" i="7"/>
  <c r="Y27" i="7"/>
  <c r="Z27" i="7"/>
  <c r="AA27" i="7"/>
  <c r="AB27" i="7"/>
  <c r="AC27" i="7"/>
  <c r="AD27" i="7"/>
  <c r="AE27" i="7"/>
  <c r="AF27" i="7"/>
  <c r="AG27" i="7"/>
  <c r="AH27" i="7"/>
  <c r="AI27" i="7"/>
  <c r="AJ27" i="7"/>
  <c r="AK27" i="7"/>
  <c r="AL27" i="7"/>
  <c r="AM27" i="7"/>
  <c r="AN27" i="7"/>
  <c r="AO27" i="7"/>
  <c r="AP27" i="7"/>
  <c r="AQ27" i="7"/>
  <c r="AR27" i="7"/>
  <c r="AS27" i="7"/>
  <c r="AT27" i="7"/>
  <c r="AU27" i="7"/>
  <c r="AV27" i="7"/>
  <c r="AW27" i="7"/>
  <c r="AX27" i="7"/>
  <c r="AY27" i="7"/>
  <c r="AZ27" i="7"/>
  <c r="BA27" i="7"/>
  <c r="BB27" i="7"/>
  <c r="BC27" i="7"/>
  <c r="BD27" i="7"/>
  <c r="BE27" i="7"/>
  <c r="BF27" i="7"/>
  <c r="BG27" i="7"/>
  <c r="BH27" i="7"/>
  <c r="BI27" i="7"/>
  <c r="BJ27" i="7"/>
  <c r="BK27" i="7"/>
  <c r="BL27" i="7"/>
  <c r="BM27" i="7"/>
  <c r="BN27" i="7"/>
  <c r="BO27" i="7"/>
  <c r="BP27" i="7"/>
  <c r="BQ27" i="7"/>
  <c r="BR27" i="7"/>
  <c r="BS27" i="7"/>
  <c r="BT27" i="7"/>
  <c r="BU27" i="7"/>
  <c r="BV27" i="7"/>
  <c r="F26" i="7"/>
  <c r="G26" i="7"/>
  <c r="H26" i="7"/>
  <c r="I26" i="7"/>
  <c r="J26" i="7"/>
  <c r="K26" i="7"/>
  <c r="L26" i="7"/>
  <c r="M26" i="7"/>
  <c r="N26" i="7"/>
  <c r="O26" i="7"/>
  <c r="P26" i="7"/>
  <c r="Q26" i="7"/>
  <c r="R26" i="7"/>
  <c r="S26" i="7"/>
  <c r="T26" i="7"/>
  <c r="U26" i="7"/>
  <c r="V26" i="7"/>
  <c r="W26" i="7"/>
  <c r="X26" i="7"/>
  <c r="Y26" i="7"/>
  <c r="Z26" i="7"/>
  <c r="AA26" i="7"/>
  <c r="AB26" i="7"/>
  <c r="AC26" i="7"/>
  <c r="AD26" i="7"/>
  <c r="AE26" i="7"/>
  <c r="AF26" i="7"/>
  <c r="AG26" i="7"/>
  <c r="AH26" i="7"/>
  <c r="AI26" i="7"/>
  <c r="AJ26" i="7"/>
  <c r="AK26" i="7"/>
  <c r="AL26" i="7"/>
  <c r="AM26" i="7"/>
  <c r="AN26" i="7"/>
  <c r="AO26" i="7"/>
  <c r="AP26" i="7"/>
  <c r="AQ26" i="7"/>
  <c r="AR26" i="7"/>
  <c r="AS26" i="7"/>
  <c r="AT26" i="7"/>
  <c r="AU26" i="7"/>
  <c r="AV26" i="7"/>
  <c r="AW26" i="7"/>
  <c r="AX26" i="7"/>
  <c r="AY26" i="7"/>
  <c r="AZ26" i="7"/>
  <c r="BA26" i="7"/>
  <c r="BB26" i="7"/>
  <c r="BC26" i="7"/>
  <c r="BD26" i="7"/>
  <c r="BE26" i="7"/>
  <c r="BF26" i="7"/>
  <c r="BG26" i="7"/>
  <c r="BH26" i="7"/>
  <c r="BI26" i="7"/>
  <c r="BJ26" i="7"/>
  <c r="BK26" i="7"/>
  <c r="BL26" i="7"/>
  <c r="BM26" i="7"/>
  <c r="BN26" i="7"/>
  <c r="BO26" i="7"/>
  <c r="BP26" i="7"/>
  <c r="BQ26" i="7"/>
  <c r="BR26" i="7"/>
  <c r="BS26" i="7"/>
  <c r="BT26" i="7"/>
  <c r="BU26" i="7"/>
  <c r="BV26" i="7"/>
  <c r="E27" i="7"/>
  <c r="E26" i="7"/>
  <c r="V5" i="7"/>
  <c r="W5" i="7"/>
  <c r="X5" i="7"/>
  <c r="Y5" i="7"/>
  <c r="Z5" i="7"/>
  <c r="AA5" i="7"/>
  <c r="AB5" i="7"/>
  <c r="AC5" i="7"/>
  <c r="AD5" i="7"/>
  <c r="AE5" i="7"/>
  <c r="AF5" i="7"/>
  <c r="AG5" i="7"/>
  <c r="AH5" i="7"/>
  <c r="AI5" i="7"/>
  <c r="AJ5" i="7"/>
  <c r="AK5" i="7"/>
  <c r="AL5" i="7"/>
  <c r="AM5" i="7"/>
  <c r="AN5" i="7"/>
  <c r="AO5" i="7"/>
  <c r="AP5" i="7"/>
  <c r="AQ5" i="7"/>
  <c r="AR5" i="7"/>
  <c r="AK56" i="6"/>
  <c r="Z56" i="6"/>
  <c r="AA56" i="6"/>
  <c r="AB56" i="6"/>
  <c r="AC56" i="6"/>
  <c r="AD56" i="6"/>
  <c r="AE56" i="6"/>
  <c r="AF56" i="6"/>
  <c r="AG56" i="6"/>
  <c r="AH56" i="6"/>
  <c r="AI56" i="6"/>
  <c r="AJ56" i="6"/>
  <c r="AL56" i="6"/>
  <c r="AM56" i="6"/>
  <c r="AN56" i="6"/>
  <c r="AO56" i="6"/>
  <c r="AP56" i="6"/>
  <c r="AQ56" i="6"/>
  <c r="AR56" i="6"/>
  <c r="AT56" i="6"/>
  <c r="AU56" i="6"/>
  <c r="U56" i="6"/>
  <c r="AQ11" i="7" l="1"/>
  <c r="AQ13" i="7" s="1"/>
  <c r="AQ19" i="7"/>
  <c r="AQ21" i="7" s="1"/>
  <c r="AO19" i="7"/>
  <c r="AO21" i="7" s="1"/>
  <c r="AO11" i="7"/>
  <c r="AO13" i="7" s="1"/>
  <c r="AL19" i="7"/>
  <c r="AL21" i="7" s="1"/>
  <c r="AL11" i="7"/>
  <c r="AL13" i="7" s="1"/>
  <c r="AR11" i="7"/>
  <c r="AR13" i="7" s="1"/>
  <c r="AR19" i="7"/>
  <c r="AR21" i="7" s="1"/>
  <c r="AN19" i="7"/>
  <c r="AN21" i="7" s="1"/>
  <c r="AN11" i="7"/>
  <c r="AN13" i="7" s="1"/>
  <c r="AP11" i="7"/>
  <c r="AP13" i="7" s="1"/>
  <c r="AP19" i="7"/>
  <c r="AP21" i="7" s="1"/>
  <c r="AM19" i="7"/>
  <c r="AM21" i="7" s="1"/>
  <c r="AM11" i="7"/>
  <c r="AM13" i="7" s="1"/>
  <c r="AD11" i="7"/>
  <c r="AD13" i="7" s="1"/>
  <c r="AD19" i="7"/>
  <c r="AD21" i="7" s="1"/>
  <c r="AB19" i="7"/>
  <c r="AB21" i="7" s="1"/>
  <c r="AB11" i="7"/>
  <c r="AB13" i="7" s="1"/>
  <c r="Z19" i="7"/>
  <c r="Z21" i="7" s="1"/>
  <c r="Z11" i="7"/>
  <c r="Z13" i="7" s="1"/>
  <c r="AC19" i="7"/>
  <c r="AC21" i="7" s="1"/>
  <c r="AC11" i="7"/>
  <c r="AC13" i="7" s="1"/>
  <c r="AJ11" i="7"/>
  <c r="AJ13" i="7" s="1"/>
  <c r="AJ19" i="7"/>
  <c r="AJ21" i="7" s="1"/>
  <c r="AI19" i="7"/>
  <c r="AI21" i="7" s="1"/>
  <c r="AI11" i="7"/>
  <c r="AI13" i="7" s="1"/>
  <c r="AA19" i="7"/>
  <c r="AA21" i="7" s="1"/>
  <c r="AA11" i="7"/>
  <c r="AA13" i="7" s="1"/>
  <c r="AG11" i="7"/>
  <c r="AG13" i="7" s="1"/>
  <c r="AG19" i="7"/>
  <c r="AG21" i="7" s="1"/>
  <c r="AF11" i="7"/>
  <c r="AF13" i="7" s="1"/>
  <c r="AF19" i="7"/>
  <c r="AF21" i="7" s="1"/>
  <c r="AK19" i="7"/>
  <c r="AK21" i="7" s="1"/>
  <c r="AK11" i="7"/>
  <c r="AK13" i="7" s="1"/>
  <c r="AH11" i="7"/>
  <c r="AH13" i="7" s="1"/>
  <c r="AH19" i="7"/>
  <c r="AH21" i="7" s="1"/>
  <c r="AE11" i="7"/>
  <c r="AE13" i="7" s="1"/>
  <c r="AE19" i="7"/>
  <c r="AE21" i="7" s="1"/>
  <c r="BV28" i="7"/>
  <c r="BU28" i="7"/>
  <c r="BM28" i="7"/>
  <c r="BE28" i="7"/>
  <c r="AW28" i="7"/>
  <c r="AO28" i="7"/>
  <c r="AG28" i="7"/>
  <c r="Y28" i="7"/>
  <c r="Q28" i="7"/>
  <c r="I28" i="7"/>
  <c r="E28" i="7"/>
  <c r="BN28" i="7"/>
  <c r="BF28" i="7"/>
  <c r="AX28" i="7"/>
  <c r="AP28" i="7"/>
  <c r="AH28" i="7"/>
  <c r="Z28" i="7"/>
  <c r="R28" i="7"/>
  <c r="J28" i="7"/>
  <c r="BT28" i="7"/>
  <c r="BL28" i="7"/>
  <c r="BD28" i="7"/>
  <c r="AV28" i="7"/>
  <c r="AN28" i="7"/>
  <c r="AF28" i="7"/>
  <c r="X28" i="7"/>
  <c r="P28" i="7"/>
  <c r="H28" i="7"/>
  <c r="BS28" i="7"/>
  <c r="BK28" i="7"/>
  <c r="BC28" i="7"/>
  <c r="AU28" i="7"/>
  <c r="AM28" i="7"/>
  <c r="AE28" i="7"/>
  <c r="W28" i="7"/>
  <c r="O28" i="7"/>
  <c r="G28" i="7"/>
  <c r="BR28" i="7"/>
  <c r="BJ28" i="7"/>
  <c r="BB28" i="7"/>
  <c r="AT28" i="7"/>
  <c r="AL28" i="7"/>
  <c r="AD28" i="7"/>
  <c r="V28" i="7"/>
  <c r="N28" i="7"/>
  <c r="F28" i="7"/>
  <c r="BQ28" i="7"/>
  <c r="BI28" i="7"/>
  <c r="BA28" i="7"/>
  <c r="AS28" i="7"/>
  <c r="AK28" i="7"/>
  <c r="AC28" i="7"/>
  <c r="U28" i="7"/>
  <c r="M28" i="7"/>
  <c r="BP28" i="7"/>
  <c r="BH28" i="7"/>
  <c r="AZ28" i="7"/>
  <c r="AR28" i="7"/>
  <c r="AJ28" i="7"/>
  <c r="AB28" i="7"/>
  <c r="T28" i="7"/>
  <c r="L28" i="7"/>
  <c r="BO28" i="7"/>
  <c r="BG28" i="7"/>
  <c r="AY28" i="7"/>
  <c r="AQ28" i="7"/>
  <c r="AI28" i="7"/>
  <c r="AA28" i="7"/>
  <c r="S28" i="7"/>
  <c r="K28" i="7"/>
  <c r="A64" i="13"/>
  <c r="A65" i="13"/>
  <c r="A66" i="13"/>
  <c r="E29" i="7" l="1"/>
  <c r="I70" i="13"/>
  <c r="K70" i="13" s="1"/>
  <c r="H70" i="13"/>
  <c r="J70" i="13" s="1"/>
  <c r="I69" i="13"/>
  <c r="K69" i="13" s="1"/>
  <c r="H69" i="13"/>
  <c r="J69" i="13" s="1"/>
  <c r="I65" i="13"/>
  <c r="I66" i="13"/>
  <c r="I64" i="13"/>
  <c r="H64" i="13"/>
  <c r="H65" i="13"/>
  <c r="H66" i="13"/>
  <c r="CK20" i="11" l="1"/>
  <c r="F19" i="11"/>
  <c r="G19" i="11"/>
  <c r="H19" i="11"/>
  <c r="I19" i="11"/>
  <c r="J19" i="11"/>
  <c r="K19" i="11"/>
  <c r="L19" i="11"/>
  <c r="M19" i="11"/>
  <c r="N19" i="11"/>
  <c r="O19" i="11"/>
  <c r="P19" i="11"/>
  <c r="Q19" i="11"/>
  <c r="R19" i="11"/>
  <c r="S19" i="11"/>
  <c r="T19" i="11"/>
  <c r="U19" i="11"/>
  <c r="V19" i="11"/>
  <c r="W19" i="11"/>
  <c r="X19" i="11"/>
  <c r="Y19" i="11"/>
  <c r="Z19" i="11"/>
  <c r="AA19" i="11"/>
  <c r="AB19" i="11"/>
  <c r="AC19" i="11"/>
  <c r="AD19" i="11"/>
  <c r="AE19" i="11"/>
  <c r="AF19" i="11"/>
  <c r="AG19" i="11"/>
  <c r="AH19" i="11"/>
  <c r="AI19" i="11"/>
  <c r="AJ19" i="11"/>
  <c r="AK19" i="11"/>
  <c r="AL19" i="11"/>
  <c r="AM19" i="11"/>
  <c r="AN19" i="11"/>
  <c r="AO19" i="11"/>
  <c r="AP19" i="11"/>
  <c r="AQ19" i="11"/>
  <c r="AR19" i="11"/>
  <c r="AS19" i="11"/>
  <c r="AT19" i="11"/>
  <c r="AU19" i="11"/>
  <c r="AV19" i="11"/>
  <c r="AW19" i="11"/>
  <c r="AX19" i="11"/>
  <c r="AY19" i="11"/>
  <c r="AZ19" i="11"/>
  <c r="BA19" i="11"/>
  <c r="BB19" i="11"/>
  <c r="BC19" i="11"/>
  <c r="BD19" i="11"/>
  <c r="BE19" i="11"/>
  <c r="BF19" i="11"/>
  <c r="BG19" i="11"/>
  <c r="BH19" i="11"/>
  <c r="BI19" i="11"/>
  <c r="BJ19" i="11"/>
  <c r="BK19" i="11"/>
  <c r="BL19" i="11"/>
  <c r="BM19" i="11"/>
  <c r="BN19" i="11"/>
  <c r="BO19" i="11"/>
  <c r="BP19" i="11"/>
  <c r="BQ19" i="11"/>
  <c r="BR19" i="11"/>
  <c r="BS19" i="11"/>
  <c r="BT19" i="11"/>
  <c r="BU19" i="11"/>
  <c r="BV19" i="11"/>
  <c r="BW19" i="11"/>
  <c r="BX19" i="11"/>
  <c r="BY19" i="11"/>
  <c r="BZ19" i="11"/>
  <c r="CA19" i="11"/>
  <c r="CB19" i="11"/>
  <c r="CC19" i="11"/>
  <c r="CD19" i="11"/>
  <c r="CE19" i="11"/>
  <c r="CF19" i="11"/>
  <c r="CG19" i="11"/>
  <c r="CH19" i="11"/>
  <c r="CI19" i="11"/>
  <c r="CJ19" i="11"/>
  <c r="CK19" i="11"/>
  <c r="E19" i="11"/>
  <c r="CK21" i="11" l="1"/>
  <c r="CK39" i="6"/>
  <c r="CK34" i="6"/>
  <c r="CK32" i="6"/>
  <c r="CK18" i="6"/>
  <c r="V56" i="6" l="1"/>
  <c r="W56" i="6"/>
  <c r="X56" i="6"/>
  <c r="Y56" i="6"/>
  <c r="F99" i="11" l="1"/>
  <c r="G99" i="11"/>
  <c r="H99" i="11"/>
  <c r="I99" i="11"/>
  <c r="J99" i="11"/>
  <c r="K99" i="11"/>
  <c r="L99" i="11"/>
  <c r="M99" i="11"/>
  <c r="N99" i="11"/>
  <c r="O99" i="11"/>
  <c r="P99" i="11"/>
  <c r="Q99" i="11"/>
  <c r="R99" i="11"/>
  <c r="S99" i="11"/>
  <c r="T99" i="11"/>
  <c r="U99" i="11"/>
  <c r="V99" i="11"/>
  <c r="W99" i="11"/>
  <c r="X99" i="11"/>
  <c r="Y99" i="11"/>
  <c r="Z99" i="11"/>
  <c r="AA99" i="11"/>
  <c r="AB99" i="11"/>
  <c r="AC99" i="11"/>
  <c r="AD99" i="11"/>
  <c r="AE99" i="11"/>
  <c r="AF99" i="11"/>
  <c r="AG99" i="11"/>
  <c r="AH99" i="11"/>
  <c r="AI99" i="11"/>
  <c r="AJ99" i="11"/>
  <c r="AK99" i="11"/>
  <c r="AL99" i="11"/>
  <c r="AM99" i="11"/>
  <c r="AN99" i="11"/>
  <c r="AO99" i="11"/>
  <c r="AP99" i="11"/>
  <c r="AQ99" i="11"/>
  <c r="AR99" i="11"/>
  <c r="AS99" i="11"/>
  <c r="AT99" i="11"/>
  <c r="AU99" i="11"/>
  <c r="AV99" i="11"/>
  <c r="AW99" i="11"/>
  <c r="AX99" i="11"/>
  <c r="AY99" i="11"/>
  <c r="AZ99" i="11"/>
  <c r="BA99" i="11"/>
  <c r="BB99" i="11"/>
  <c r="BC99" i="11"/>
  <c r="BD99" i="11"/>
  <c r="BE99" i="11"/>
  <c r="BF99" i="11"/>
  <c r="BG99" i="11"/>
  <c r="BH99" i="11"/>
  <c r="BI99" i="11"/>
  <c r="BJ99" i="11"/>
  <c r="BK99" i="11"/>
  <c r="BL99" i="11"/>
  <c r="BM99" i="11"/>
  <c r="BN99" i="11"/>
  <c r="BO99" i="11"/>
  <c r="BP99" i="11"/>
  <c r="BQ99" i="11"/>
  <c r="BR99" i="11"/>
  <c r="BS99" i="11"/>
  <c r="BT99" i="11"/>
  <c r="BU99" i="11"/>
  <c r="BV99" i="11"/>
  <c r="BW99" i="11"/>
  <c r="BX99" i="11"/>
  <c r="BY99" i="11"/>
  <c r="BZ99" i="11"/>
  <c r="CA99" i="11"/>
  <c r="CB99" i="11"/>
  <c r="CC99" i="11"/>
  <c r="CD99" i="11"/>
  <c r="CE99" i="11"/>
  <c r="CF99" i="11"/>
  <c r="CG99" i="11"/>
  <c r="CH99" i="11"/>
  <c r="CI99" i="11"/>
  <c r="CJ99" i="11"/>
  <c r="CK99" i="11"/>
  <c r="F98" i="11"/>
  <c r="G98" i="11"/>
  <c r="H98" i="11"/>
  <c r="I98" i="11"/>
  <c r="J98" i="11"/>
  <c r="K98" i="11"/>
  <c r="L98" i="11"/>
  <c r="M98" i="11"/>
  <c r="N98" i="11"/>
  <c r="O98" i="11"/>
  <c r="P98" i="11"/>
  <c r="Q98" i="11"/>
  <c r="R98" i="11"/>
  <c r="S98" i="11"/>
  <c r="T98" i="11"/>
  <c r="U98" i="11"/>
  <c r="V98" i="11"/>
  <c r="W98" i="11"/>
  <c r="X98" i="11"/>
  <c r="Y98" i="11"/>
  <c r="Z98" i="11"/>
  <c r="AA98" i="11"/>
  <c r="AB98" i="11"/>
  <c r="AC98" i="11"/>
  <c r="AD98" i="11"/>
  <c r="AE98" i="11"/>
  <c r="AF98" i="11"/>
  <c r="AG98" i="11"/>
  <c r="AH98" i="11"/>
  <c r="AI98" i="11"/>
  <c r="AJ98" i="11"/>
  <c r="AK98" i="11"/>
  <c r="AL98" i="11"/>
  <c r="AM98" i="11"/>
  <c r="AN98" i="11"/>
  <c r="AO98" i="11"/>
  <c r="AP98" i="11"/>
  <c r="AQ98" i="11"/>
  <c r="AR98" i="11"/>
  <c r="AS98" i="11"/>
  <c r="AT98" i="11"/>
  <c r="AU98" i="11"/>
  <c r="AV98" i="11"/>
  <c r="AW98" i="11"/>
  <c r="AX98" i="11"/>
  <c r="AY98" i="11"/>
  <c r="AZ98" i="11"/>
  <c r="BA98" i="11"/>
  <c r="BB98" i="11"/>
  <c r="BC98" i="11"/>
  <c r="BD98" i="11"/>
  <c r="BE98" i="11"/>
  <c r="BF98" i="11"/>
  <c r="BG98" i="11"/>
  <c r="BH98" i="11"/>
  <c r="BI98" i="11"/>
  <c r="BJ98" i="11"/>
  <c r="BK98" i="11"/>
  <c r="BL98" i="11"/>
  <c r="BM98" i="11"/>
  <c r="BN98" i="11"/>
  <c r="BO98" i="11"/>
  <c r="BP98" i="11"/>
  <c r="BQ98" i="11"/>
  <c r="BR98" i="11"/>
  <c r="BS98" i="11"/>
  <c r="BT98" i="11"/>
  <c r="BU98" i="11"/>
  <c r="BV98" i="11"/>
  <c r="BW98" i="11"/>
  <c r="BX98" i="11"/>
  <c r="BY98" i="11"/>
  <c r="BZ98" i="11"/>
  <c r="CA98" i="11"/>
  <c r="CB98" i="11"/>
  <c r="CC98" i="11"/>
  <c r="CD98" i="11"/>
  <c r="CE98" i="11"/>
  <c r="CF98" i="11"/>
  <c r="CG98" i="11"/>
  <c r="CH98" i="11"/>
  <c r="CI98" i="11"/>
  <c r="CJ98" i="11"/>
  <c r="CK98" i="11"/>
  <c r="E99" i="11"/>
  <c r="E98" i="11"/>
  <c r="F97" i="11"/>
  <c r="G97" i="11"/>
  <c r="H97" i="11"/>
  <c r="I97" i="11"/>
  <c r="J97" i="11"/>
  <c r="K97" i="11"/>
  <c r="L97" i="11"/>
  <c r="M97" i="11"/>
  <c r="N97" i="11"/>
  <c r="O97" i="11"/>
  <c r="P97" i="11"/>
  <c r="Q97" i="11"/>
  <c r="R97" i="11"/>
  <c r="S97" i="11"/>
  <c r="T97" i="11"/>
  <c r="U97" i="11"/>
  <c r="V97" i="11"/>
  <c r="W97" i="11"/>
  <c r="X97" i="11"/>
  <c r="Y97" i="11"/>
  <c r="Z97" i="11"/>
  <c r="AA97" i="11"/>
  <c r="AB97" i="11"/>
  <c r="AC97" i="11"/>
  <c r="AD97" i="11"/>
  <c r="AE97" i="11"/>
  <c r="AF97" i="11"/>
  <c r="AG97" i="11"/>
  <c r="AH97" i="11"/>
  <c r="AI97" i="11"/>
  <c r="AJ97" i="11"/>
  <c r="AK97" i="11"/>
  <c r="AL97" i="11"/>
  <c r="AM97" i="11"/>
  <c r="AN97" i="11"/>
  <c r="AO97" i="11"/>
  <c r="AP97" i="11"/>
  <c r="AQ97" i="11"/>
  <c r="AR97" i="11"/>
  <c r="AS97" i="11"/>
  <c r="AT97" i="11"/>
  <c r="AU97" i="11"/>
  <c r="AV97" i="11"/>
  <c r="AW97" i="11"/>
  <c r="AX97" i="11"/>
  <c r="AY97" i="11"/>
  <c r="AZ97" i="11"/>
  <c r="BA97" i="11"/>
  <c r="BB97" i="11"/>
  <c r="BC97" i="11"/>
  <c r="BD97" i="11"/>
  <c r="BE97" i="11"/>
  <c r="BF97" i="11"/>
  <c r="BG97" i="11"/>
  <c r="BH97" i="11"/>
  <c r="BI97" i="11"/>
  <c r="BJ97" i="11"/>
  <c r="BK97" i="11"/>
  <c r="BL97" i="11"/>
  <c r="BM97" i="11"/>
  <c r="BN97" i="11"/>
  <c r="BO97" i="11"/>
  <c r="BP97" i="11"/>
  <c r="BQ97" i="11"/>
  <c r="BR97" i="11"/>
  <c r="BS97" i="11"/>
  <c r="BT97" i="11"/>
  <c r="BU97" i="11"/>
  <c r="BV97" i="11"/>
  <c r="BW97" i="11"/>
  <c r="BX97" i="11"/>
  <c r="BY97" i="11"/>
  <c r="BZ97" i="11"/>
  <c r="CA97" i="11"/>
  <c r="CB97" i="11"/>
  <c r="CC97" i="11"/>
  <c r="CD97" i="11"/>
  <c r="CE97" i="11"/>
  <c r="CF97" i="11"/>
  <c r="CG97" i="11"/>
  <c r="CH97" i="11"/>
  <c r="CI97" i="11"/>
  <c r="CJ97" i="11"/>
  <c r="CK97" i="11"/>
  <c r="E97" i="11"/>
  <c r="F96" i="11"/>
  <c r="G96" i="11"/>
  <c r="H96" i="11"/>
  <c r="I96" i="11"/>
  <c r="J96" i="11"/>
  <c r="K96" i="11"/>
  <c r="L96" i="11"/>
  <c r="M96" i="11"/>
  <c r="N96" i="11"/>
  <c r="O96" i="11"/>
  <c r="P96" i="11"/>
  <c r="Q96" i="11"/>
  <c r="R96" i="11"/>
  <c r="S96" i="11"/>
  <c r="T96" i="11"/>
  <c r="U96" i="11"/>
  <c r="V96" i="11"/>
  <c r="W96" i="11"/>
  <c r="X96" i="11"/>
  <c r="Y96" i="11"/>
  <c r="Z96" i="11"/>
  <c r="AA96" i="11"/>
  <c r="AB96" i="11"/>
  <c r="AC96" i="11"/>
  <c r="AD96" i="11"/>
  <c r="AE96" i="11"/>
  <c r="AF96" i="11"/>
  <c r="AG96" i="11"/>
  <c r="AH96" i="11"/>
  <c r="AI96" i="11"/>
  <c r="AJ96" i="11"/>
  <c r="AK96" i="11"/>
  <c r="AL96" i="11"/>
  <c r="AM96" i="11"/>
  <c r="AN96" i="11"/>
  <c r="AO96" i="11"/>
  <c r="AP96" i="11"/>
  <c r="AQ96" i="11"/>
  <c r="AR96" i="11"/>
  <c r="AS96" i="11"/>
  <c r="AT96" i="11"/>
  <c r="AU96" i="11"/>
  <c r="AV96" i="11"/>
  <c r="AW96" i="11"/>
  <c r="AX96" i="11"/>
  <c r="AY96" i="11"/>
  <c r="AZ96" i="11"/>
  <c r="BA96" i="11"/>
  <c r="BB96" i="11"/>
  <c r="BC96" i="11"/>
  <c r="BD96" i="11"/>
  <c r="BE96" i="11"/>
  <c r="BF96" i="11"/>
  <c r="BG96" i="11"/>
  <c r="BH96" i="11"/>
  <c r="BI96" i="11"/>
  <c r="BJ96" i="11"/>
  <c r="BK96" i="11"/>
  <c r="BL96" i="11"/>
  <c r="BM96" i="11"/>
  <c r="BN96" i="11"/>
  <c r="BO96" i="11"/>
  <c r="BP96" i="11"/>
  <c r="BQ96" i="11"/>
  <c r="BR96" i="11"/>
  <c r="BS96" i="11"/>
  <c r="BT96" i="11"/>
  <c r="BU96" i="11"/>
  <c r="BV96" i="11"/>
  <c r="BW96" i="11"/>
  <c r="BX96" i="11"/>
  <c r="BY96" i="11"/>
  <c r="BZ96" i="11"/>
  <c r="CA96" i="11"/>
  <c r="CB96" i="11"/>
  <c r="CC96" i="11"/>
  <c r="CD96" i="11"/>
  <c r="CE96" i="11"/>
  <c r="CF96" i="11"/>
  <c r="CG96" i="11"/>
  <c r="CH96" i="11"/>
  <c r="CI96" i="11"/>
  <c r="CJ96" i="11"/>
  <c r="CK96" i="11"/>
  <c r="E96" i="11"/>
  <c r="F95" i="11"/>
  <c r="G95" i="11"/>
  <c r="H95" i="11"/>
  <c r="I95" i="11"/>
  <c r="J95" i="11"/>
  <c r="K95" i="11"/>
  <c r="L95" i="11"/>
  <c r="M95" i="11"/>
  <c r="N95" i="11"/>
  <c r="O95" i="11"/>
  <c r="P95" i="11"/>
  <c r="Q95" i="11"/>
  <c r="R95" i="11"/>
  <c r="S95" i="11"/>
  <c r="T95" i="11"/>
  <c r="U95" i="11"/>
  <c r="V95" i="11"/>
  <c r="W95" i="11"/>
  <c r="X95" i="11"/>
  <c r="Y95" i="11"/>
  <c r="Z95" i="11"/>
  <c r="AA95" i="11"/>
  <c r="AB95" i="11"/>
  <c r="AC95" i="11"/>
  <c r="AD95" i="11"/>
  <c r="AE95" i="11"/>
  <c r="AF95" i="11"/>
  <c r="AG95" i="11"/>
  <c r="AH95" i="11"/>
  <c r="AI95" i="11"/>
  <c r="AJ95" i="11"/>
  <c r="AK95" i="11"/>
  <c r="AL95" i="11"/>
  <c r="AM95" i="11"/>
  <c r="AN95" i="11"/>
  <c r="AO95" i="11"/>
  <c r="AP95" i="11"/>
  <c r="AQ95" i="11"/>
  <c r="AR95" i="11"/>
  <c r="AS95" i="11"/>
  <c r="AT95" i="11"/>
  <c r="AU95" i="11"/>
  <c r="AV95" i="11"/>
  <c r="AW95" i="11"/>
  <c r="AX95" i="11"/>
  <c r="AY95" i="11"/>
  <c r="AZ95" i="11"/>
  <c r="BA95" i="11"/>
  <c r="BB95" i="11"/>
  <c r="BC95" i="11"/>
  <c r="BD95" i="11"/>
  <c r="BE95" i="11"/>
  <c r="BF95" i="11"/>
  <c r="BG95" i="11"/>
  <c r="BH95" i="11"/>
  <c r="BI95" i="11"/>
  <c r="BJ95" i="11"/>
  <c r="BK95" i="11"/>
  <c r="BL95" i="11"/>
  <c r="BM95" i="11"/>
  <c r="BN95" i="11"/>
  <c r="BO95" i="11"/>
  <c r="BP95" i="11"/>
  <c r="BQ95" i="11"/>
  <c r="BR95" i="11"/>
  <c r="BS95" i="11"/>
  <c r="BT95" i="11"/>
  <c r="BU95" i="11"/>
  <c r="BV95" i="11"/>
  <c r="BW95" i="11"/>
  <c r="BX95" i="11"/>
  <c r="BY95" i="11"/>
  <c r="BZ95" i="11"/>
  <c r="CA95" i="11"/>
  <c r="CB95" i="11"/>
  <c r="CC95" i="11"/>
  <c r="CD95" i="11"/>
  <c r="CE95" i="11"/>
  <c r="CF95" i="11"/>
  <c r="CG95" i="11"/>
  <c r="CH95" i="11"/>
  <c r="CI95" i="11"/>
  <c r="CJ95" i="11"/>
  <c r="CK95" i="11"/>
  <c r="E95" i="11"/>
  <c r="F94" i="11"/>
  <c r="G94" i="11"/>
  <c r="H94" i="11"/>
  <c r="I94" i="11"/>
  <c r="J94" i="11"/>
  <c r="K94" i="11"/>
  <c r="L94" i="11"/>
  <c r="M94" i="11"/>
  <c r="N94" i="11"/>
  <c r="O94" i="11"/>
  <c r="P94" i="11"/>
  <c r="Q94" i="11"/>
  <c r="R94" i="11"/>
  <c r="S94" i="11"/>
  <c r="T94" i="11"/>
  <c r="U94" i="11"/>
  <c r="V94" i="11"/>
  <c r="W94" i="11"/>
  <c r="X94" i="11"/>
  <c r="Y94" i="11"/>
  <c r="Z94" i="11"/>
  <c r="AA94" i="11"/>
  <c r="AB94" i="11"/>
  <c r="AC94" i="11"/>
  <c r="AD94" i="11"/>
  <c r="AE94" i="11"/>
  <c r="AF94" i="11"/>
  <c r="AG94" i="11"/>
  <c r="AH94" i="11"/>
  <c r="AI94" i="11"/>
  <c r="AJ94" i="11"/>
  <c r="AK94" i="11"/>
  <c r="AL94" i="11"/>
  <c r="AM94" i="11"/>
  <c r="AN94" i="11"/>
  <c r="AO94" i="11"/>
  <c r="AP94" i="11"/>
  <c r="AQ94" i="11"/>
  <c r="AR94" i="11"/>
  <c r="AS94" i="11"/>
  <c r="AT94" i="11"/>
  <c r="AU94" i="11"/>
  <c r="AV94" i="11"/>
  <c r="AW94" i="11"/>
  <c r="AX94" i="11"/>
  <c r="AY94" i="11"/>
  <c r="AZ94" i="11"/>
  <c r="BA94" i="11"/>
  <c r="BB94" i="11"/>
  <c r="BC94" i="11"/>
  <c r="BD94" i="11"/>
  <c r="BE94" i="11"/>
  <c r="BF94" i="11"/>
  <c r="BG94" i="11"/>
  <c r="BH94" i="11"/>
  <c r="BI94" i="11"/>
  <c r="BJ94" i="11"/>
  <c r="BK94" i="11"/>
  <c r="BL94" i="11"/>
  <c r="BM94" i="11"/>
  <c r="BN94" i="11"/>
  <c r="BO94" i="11"/>
  <c r="BP94" i="11"/>
  <c r="BQ94" i="11"/>
  <c r="BR94" i="11"/>
  <c r="BS94" i="11"/>
  <c r="BT94" i="11"/>
  <c r="BU94" i="11"/>
  <c r="BV94" i="11"/>
  <c r="BW94" i="11"/>
  <c r="BX94" i="11"/>
  <c r="BY94" i="11"/>
  <c r="BZ94" i="11"/>
  <c r="CA94" i="11"/>
  <c r="CB94" i="11"/>
  <c r="CC94" i="11"/>
  <c r="CD94" i="11"/>
  <c r="CE94" i="11"/>
  <c r="CF94" i="11"/>
  <c r="CG94" i="11"/>
  <c r="CH94" i="11"/>
  <c r="CI94" i="11"/>
  <c r="CJ94" i="11"/>
  <c r="CK94" i="11"/>
  <c r="E94" i="11"/>
  <c r="F92" i="11"/>
  <c r="G92" i="11"/>
  <c r="H92" i="11"/>
  <c r="I92" i="11"/>
  <c r="J92" i="11"/>
  <c r="K92" i="11"/>
  <c r="L92" i="11"/>
  <c r="M92" i="11"/>
  <c r="N92" i="11"/>
  <c r="O92" i="11"/>
  <c r="P92" i="11"/>
  <c r="Q92" i="11"/>
  <c r="R92" i="11"/>
  <c r="S92" i="11"/>
  <c r="T92" i="11"/>
  <c r="U92" i="11"/>
  <c r="V92" i="11"/>
  <c r="W92" i="11"/>
  <c r="X92" i="11"/>
  <c r="Y92" i="11"/>
  <c r="Z92" i="11"/>
  <c r="AA92" i="11"/>
  <c r="AB92" i="11"/>
  <c r="AC92" i="11"/>
  <c r="AD92" i="11"/>
  <c r="AE92" i="11"/>
  <c r="AF92" i="11"/>
  <c r="AG92" i="11"/>
  <c r="AH92" i="11"/>
  <c r="AI92" i="11"/>
  <c r="AJ92" i="11"/>
  <c r="AK92" i="11"/>
  <c r="AL92" i="11"/>
  <c r="AM92" i="11"/>
  <c r="AN92" i="11"/>
  <c r="AO92" i="11"/>
  <c r="AP92" i="11"/>
  <c r="AQ92" i="11"/>
  <c r="AR92" i="11"/>
  <c r="AS92" i="11"/>
  <c r="AT92" i="11"/>
  <c r="AU92" i="11"/>
  <c r="AV92" i="11"/>
  <c r="AW92" i="11"/>
  <c r="AX92" i="11"/>
  <c r="AY92" i="11"/>
  <c r="AZ92" i="11"/>
  <c r="BA92" i="11"/>
  <c r="BB92" i="11"/>
  <c r="BC92" i="11"/>
  <c r="BD92" i="11"/>
  <c r="BE92" i="11"/>
  <c r="BF92" i="11"/>
  <c r="BG92" i="11"/>
  <c r="BH92" i="11"/>
  <c r="BI92" i="11"/>
  <c r="BJ92" i="11"/>
  <c r="BK92" i="11"/>
  <c r="BL92" i="11"/>
  <c r="BM92" i="11"/>
  <c r="BN92" i="11"/>
  <c r="BO92" i="11"/>
  <c r="BP92" i="11"/>
  <c r="BQ92" i="11"/>
  <c r="BR92" i="11"/>
  <c r="BS92" i="11"/>
  <c r="BT92" i="11"/>
  <c r="BU92" i="11"/>
  <c r="BV92" i="11"/>
  <c r="BW92" i="11"/>
  <c r="BX92" i="11"/>
  <c r="BY92" i="11"/>
  <c r="BZ92" i="11"/>
  <c r="CA92" i="11"/>
  <c r="CB92" i="11"/>
  <c r="CC92" i="11"/>
  <c r="CD92" i="11"/>
  <c r="CE92" i="11"/>
  <c r="CF92" i="11"/>
  <c r="CG92" i="11"/>
  <c r="CH92" i="11"/>
  <c r="CI92" i="11"/>
  <c r="CJ92" i="11"/>
  <c r="CK92" i="11"/>
  <c r="E92" i="11"/>
  <c r="F91" i="11"/>
  <c r="G91" i="11"/>
  <c r="H91" i="11"/>
  <c r="I91" i="11"/>
  <c r="J91" i="11"/>
  <c r="K91" i="11"/>
  <c r="L91" i="11"/>
  <c r="M91" i="11"/>
  <c r="N91" i="11"/>
  <c r="O91" i="11"/>
  <c r="P91" i="11"/>
  <c r="Q91" i="11"/>
  <c r="R91" i="11"/>
  <c r="S91" i="11"/>
  <c r="T91" i="11"/>
  <c r="U91" i="11"/>
  <c r="V91" i="11"/>
  <c r="W91" i="11"/>
  <c r="X91" i="11"/>
  <c r="Y91" i="11"/>
  <c r="Z91" i="11"/>
  <c r="AA91" i="11"/>
  <c r="AB91" i="11"/>
  <c r="AC91" i="11"/>
  <c r="AD91" i="11"/>
  <c r="AE91" i="11"/>
  <c r="AF91" i="11"/>
  <c r="AG91" i="11"/>
  <c r="AH91" i="11"/>
  <c r="AI91" i="11"/>
  <c r="AJ91" i="11"/>
  <c r="AK91" i="11"/>
  <c r="AL91" i="11"/>
  <c r="AM91" i="11"/>
  <c r="AN91" i="11"/>
  <c r="AO91" i="11"/>
  <c r="AP91" i="11"/>
  <c r="AQ91" i="11"/>
  <c r="AR91" i="11"/>
  <c r="AS91" i="11"/>
  <c r="AT91" i="11"/>
  <c r="AU91" i="11"/>
  <c r="AV91" i="11"/>
  <c r="AW91" i="11"/>
  <c r="AX91" i="11"/>
  <c r="AY91" i="11"/>
  <c r="AZ91" i="11"/>
  <c r="BA91" i="11"/>
  <c r="BB91" i="11"/>
  <c r="BC91" i="11"/>
  <c r="BD91" i="11"/>
  <c r="BE91" i="11"/>
  <c r="BF91" i="11"/>
  <c r="BG91" i="11"/>
  <c r="BH91" i="11"/>
  <c r="BI91" i="11"/>
  <c r="BJ91" i="11"/>
  <c r="BK91" i="11"/>
  <c r="BL91" i="11"/>
  <c r="BM91" i="11"/>
  <c r="BN91" i="11"/>
  <c r="BO91" i="11"/>
  <c r="BP91" i="11"/>
  <c r="BQ91" i="11"/>
  <c r="BR91" i="11"/>
  <c r="BS91" i="11"/>
  <c r="BT91" i="11"/>
  <c r="BU91" i="11"/>
  <c r="BV91" i="11"/>
  <c r="BW91" i="11"/>
  <c r="BX91" i="11"/>
  <c r="BY91" i="11"/>
  <c r="BZ91" i="11"/>
  <c r="CA91" i="11"/>
  <c r="CB91" i="11"/>
  <c r="CC91" i="11"/>
  <c r="CD91" i="11"/>
  <c r="CE91" i="11"/>
  <c r="CF91" i="11"/>
  <c r="CG91" i="11"/>
  <c r="CH91" i="11"/>
  <c r="CI91" i="11"/>
  <c r="CJ91" i="11"/>
  <c r="CK91" i="11"/>
  <c r="E91" i="11"/>
  <c r="F90" i="11"/>
  <c r="G90" i="11"/>
  <c r="H90" i="11"/>
  <c r="I90" i="11"/>
  <c r="J90" i="11"/>
  <c r="K90" i="11"/>
  <c r="L90" i="11"/>
  <c r="M90" i="11"/>
  <c r="N90" i="11"/>
  <c r="O90" i="11"/>
  <c r="P90" i="11"/>
  <c r="Q90" i="11"/>
  <c r="R90" i="11"/>
  <c r="S90" i="11"/>
  <c r="T90" i="11"/>
  <c r="U90" i="11"/>
  <c r="V90" i="11"/>
  <c r="W90" i="11"/>
  <c r="X90" i="11"/>
  <c r="Y90" i="11"/>
  <c r="Z90" i="11"/>
  <c r="AA90" i="11"/>
  <c r="AB90" i="11"/>
  <c r="AC90" i="11"/>
  <c r="AD90" i="11"/>
  <c r="AE90" i="11"/>
  <c r="AF90" i="11"/>
  <c r="AG90" i="11"/>
  <c r="AH90" i="11"/>
  <c r="AI90" i="11"/>
  <c r="AJ90" i="11"/>
  <c r="AK90" i="11"/>
  <c r="AL90" i="11"/>
  <c r="AM90" i="11"/>
  <c r="AN90" i="11"/>
  <c r="AO90" i="11"/>
  <c r="AP90" i="11"/>
  <c r="AQ90" i="11"/>
  <c r="AR90" i="11"/>
  <c r="AS90" i="11"/>
  <c r="AT90" i="11"/>
  <c r="AU90" i="11"/>
  <c r="AV90" i="11"/>
  <c r="AW90" i="11"/>
  <c r="AX90" i="11"/>
  <c r="AY90" i="11"/>
  <c r="AZ90" i="11"/>
  <c r="BA90" i="11"/>
  <c r="BB90" i="11"/>
  <c r="BC90" i="11"/>
  <c r="BD90" i="11"/>
  <c r="BE90" i="11"/>
  <c r="BF90" i="11"/>
  <c r="BG90" i="11"/>
  <c r="BH90" i="11"/>
  <c r="BI90" i="11"/>
  <c r="BJ90" i="11"/>
  <c r="BK90" i="11"/>
  <c r="BL90" i="11"/>
  <c r="BM90" i="11"/>
  <c r="BN90" i="11"/>
  <c r="BO90" i="11"/>
  <c r="BP90" i="11"/>
  <c r="BQ90" i="11"/>
  <c r="BR90" i="11"/>
  <c r="BS90" i="11"/>
  <c r="BT90" i="11"/>
  <c r="BU90" i="11"/>
  <c r="BV90" i="11"/>
  <c r="BW90" i="11"/>
  <c r="BX90" i="11"/>
  <c r="BY90" i="11"/>
  <c r="BZ90" i="11"/>
  <c r="CA90" i="11"/>
  <c r="CB90" i="11"/>
  <c r="CC90" i="11"/>
  <c r="CD90" i="11"/>
  <c r="CE90" i="11"/>
  <c r="CF90" i="11"/>
  <c r="CG90" i="11"/>
  <c r="CH90" i="11"/>
  <c r="CI90" i="11"/>
  <c r="CJ90" i="11"/>
  <c r="CK90" i="11"/>
  <c r="E90" i="11"/>
  <c r="F89" i="11"/>
  <c r="G89" i="11"/>
  <c r="H89" i="11"/>
  <c r="I89" i="11"/>
  <c r="J89" i="11"/>
  <c r="K89" i="11"/>
  <c r="L89" i="11"/>
  <c r="M89" i="11"/>
  <c r="N89" i="11"/>
  <c r="O89" i="11"/>
  <c r="P89" i="11"/>
  <c r="Q89" i="11"/>
  <c r="R89" i="11"/>
  <c r="S89" i="11"/>
  <c r="T89" i="11"/>
  <c r="U89" i="11"/>
  <c r="V89" i="11"/>
  <c r="W89" i="11"/>
  <c r="X89" i="11"/>
  <c r="Y89" i="11"/>
  <c r="Z89" i="11"/>
  <c r="AA89" i="11"/>
  <c r="AB89" i="11"/>
  <c r="AC89" i="11"/>
  <c r="AD89" i="11"/>
  <c r="AE89" i="11"/>
  <c r="AF89" i="11"/>
  <c r="AG89" i="11"/>
  <c r="AH89" i="11"/>
  <c r="AI89" i="11"/>
  <c r="AJ89" i="11"/>
  <c r="AK89" i="11"/>
  <c r="AL89" i="11"/>
  <c r="AM89" i="11"/>
  <c r="AN89" i="11"/>
  <c r="AO89" i="11"/>
  <c r="AP89" i="11"/>
  <c r="AQ89" i="11"/>
  <c r="AR89" i="11"/>
  <c r="AS89" i="11"/>
  <c r="AT89" i="11"/>
  <c r="AU89" i="11"/>
  <c r="AV89" i="11"/>
  <c r="AW89" i="11"/>
  <c r="AX89" i="11"/>
  <c r="AY89" i="11"/>
  <c r="AZ89" i="11"/>
  <c r="BA89" i="11"/>
  <c r="BB89" i="11"/>
  <c r="BC89" i="11"/>
  <c r="BD89" i="11"/>
  <c r="BE89" i="11"/>
  <c r="BF89" i="11"/>
  <c r="BG89" i="11"/>
  <c r="BH89" i="11"/>
  <c r="BI89" i="11"/>
  <c r="BJ89" i="11"/>
  <c r="BK89" i="11"/>
  <c r="BL89" i="11"/>
  <c r="BM89" i="11"/>
  <c r="BN89" i="11"/>
  <c r="BO89" i="11"/>
  <c r="BP89" i="11"/>
  <c r="BQ89" i="11"/>
  <c r="BR89" i="11"/>
  <c r="BS89" i="11"/>
  <c r="BT89" i="11"/>
  <c r="BU89" i="11"/>
  <c r="BV89" i="11"/>
  <c r="BW89" i="11"/>
  <c r="BX89" i="11"/>
  <c r="BY89" i="11"/>
  <c r="BZ89" i="11"/>
  <c r="CA89" i="11"/>
  <c r="CB89" i="11"/>
  <c r="CC89" i="11"/>
  <c r="CD89" i="11"/>
  <c r="CE89" i="11"/>
  <c r="CF89" i="11"/>
  <c r="CG89" i="11"/>
  <c r="CH89" i="11"/>
  <c r="CI89" i="11"/>
  <c r="CJ89" i="11"/>
  <c r="CK89" i="11"/>
  <c r="E89" i="11"/>
  <c r="F88" i="11"/>
  <c r="G88" i="11"/>
  <c r="H88" i="11"/>
  <c r="I88" i="11"/>
  <c r="J88" i="11"/>
  <c r="K88" i="11"/>
  <c r="L88" i="11"/>
  <c r="M88" i="11"/>
  <c r="N88" i="11"/>
  <c r="O88" i="11"/>
  <c r="P88" i="11"/>
  <c r="Q88" i="11"/>
  <c r="R88" i="11"/>
  <c r="S88" i="11"/>
  <c r="T88" i="11"/>
  <c r="U88" i="11"/>
  <c r="V88" i="11"/>
  <c r="W88" i="11"/>
  <c r="X88" i="11"/>
  <c r="Y88" i="11"/>
  <c r="Z88" i="11"/>
  <c r="AA88" i="11"/>
  <c r="AB88" i="11"/>
  <c r="AC88" i="11"/>
  <c r="AD88" i="11"/>
  <c r="AE88" i="11"/>
  <c r="AF88" i="11"/>
  <c r="AG88" i="11"/>
  <c r="AH88" i="11"/>
  <c r="AI88" i="11"/>
  <c r="AJ88" i="11"/>
  <c r="AK88" i="11"/>
  <c r="AL88" i="11"/>
  <c r="AM88" i="11"/>
  <c r="AN88" i="11"/>
  <c r="AO88" i="11"/>
  <c r="AP88" i="11"/>
  <c r="AQ88" i="11"/>
  <c r="AR88" i="11"/>
  <c r="AS88" i="11"/>
  <c r="AT88" i="11"/>
  <c r="AU88" i="11"/>
  <c r="AV88" i="11"/>
  <c r="AW88" i="11"/>
  <c r="AX88" i="11"/>
  <c r="AY88" i="11"/>
  <c r="AZ88" i="11"/>
  <c r="BA88" i="11"/>
  <c r="BB88" i="11"/>
  <c r="BC88" i="11"/>
  <c r="BD88" i="11"/>
  <c r="BE88" i="11"/>
  <c r="BF88" i="11"/>
  <c r="BG88" i="11"/>
  <c r="BH88" i="11"/>
  <c r="BI88" i="11"/>
  <c r="BJ88" i="11"/>
  <c r="BK88" i="11"/>
  <c r="BL88" i="11"/>
  <c r="BM88" i="11"/>
  <c r="BN88" i="11"/>
  <c r="BO88" i="11"/>
  <c r="BP88" i="11"/>
  <c r="BQ88" i="11"/>
  <c r="BR88" i="11"/>
  <c r="BS88" i="11"/>
  <c r="BT88" i="11"/>
  <c r="BU88" i="11"/>
  <c r="BV88" i="11"/>
  <c r="BW88" i="11"/>
  <c r="BX88" i="11"/>
  <c r="BY88" i="11"/>
  <c r="BZ88" i="11"/>
  <c r="CA88" i="11"/>
  <c r="CB88" i="11"/>
  <c r="CC88" i="11"/>
  <c r="CD88" i="11"/>
  <c r="CE88" i="11"/>
  <c r="CF88" i="11"/>
  <c r="CG88" i="11"/>
  <c r="CH88" i="11"/>
  <c r="CI88" i="11"/>
  <c r="CJ88" i="11"/>
  <c r="CK88" i="11"/>
  <c r="E88" i="11"/>
  <c r="F86" i="11"/>
  <c r="G86" i="11"/>
  <c r="H86" i="11"/>
  <c r="I86" i="11"/>
  <c r="J86" i="11"/>
  <c r="K86" i="11"/>
  <c r="L86" i="11"/>
  <c r="M86" i="11"/>
  <c r="N86" i="11"/>
  <c r="O86" i="11"/>
  <c r="P86" i="11"/>
  <c r="Q86" i="11"/>
  <c r="R86" i="11"/>
  <c r="S86" i="11"/>
  <c r="T86" i="11"/>
  <c r="U86" i="11"/>
  <c r="V86" i="11"/>
  <c r="W86" i="11"/>
  <c r="X86" i="11"/>
  <c r="Y86" i="11"/>
  <c r="Z86" i="11"/>
  <c r="AA86" i="11"/>
  <c r="AB86" i="11"/>
  <c r="AC86" i="11"/>
  <c r="AD86" i="11"/>
  <c r="AE86" i="11"/>
  <c r="AF86" i="11"/>
  <c r="AG86" i="11"/>
  <c r="AH86" i="11"/>
  <c r="AI86" i="11"/>
  <c r="AJ86" i="11"/>
  <c r="AK86" i="11"/>
  <c r="AL86" i="11"/>
  <c r="AM86" i="11"/>
  <c r="AN86" i="11"/>
  <c r="AO86" i="11"/>
  <c r="AP86" i="11"/>
  <c r="AQ86" i="11"/>
  <c r="AR86" i="11"/>
  <c r="AS86" i="11"/>
  <c r="AT86" i="11"/>
  <c r="AU86" i="11"/>
  <c r="AV86" i="11"/>
  <c r="AW86" i="11"/>
  <c r="AX86" i="11"/>
  <c r="AY86" i="11"/>
  <c r="AZ86" i="11"/>
  <c r="BA86" i="11"/>
  <c r="BB86" i="11"/>
  <c r="BC86" i="11"/>
  <c r="BD86" i="11"/>
  <c r="BE86" i="11"/>
  <c r="BF86" i="11"/>
  <c r="BG86" i="11"/>
  <c r="BH86" i="11"/>
  <c r="BI86" i="11"/>
  <c r="BJ86" i="11"/>
  <c r="BK86" i="11"/>
  <c r="BL86" i="11"/>
  <c r="BM86" i="11"/>
  <c r="BN86" i="11"/>
  <c r="BO86" i="11"/>
  <c r="BP86" i="11"/>
  <c r="BQ86" i="11"/>
  <c r="BR86" i="11"/>
  <c r="BS86" i="11"/>
  <c r="BT86" i="11"/>
  <c r="BU86" i="11"/>
  <c r="BV86" i="11"/>
  <c r="BW86" i="11"/>
  <c r="BX86" i="11"/>
  <c r="BY86" i="11"/>
  <c r="BZ86" i="11"/>
  <c r="CA86" i="11"/>
  <c r="CB86" i="11"/>
  <c r="CC86" i="11"/>
  <c r="CD86" i="11"/>
  <c r="CE86" i="11"/>
  <c r="CF86" i="11"/>
  <c r="CG86" i="11"/>
  <c r="CH86" i="11"/>
  <c r="CI86" i="11"/>
  <c r="CJ86" i="11"/>
  <c r="CK86" i="11"/>
  <c r="E86" i="11"/>
  <c r="F84" i="11"/>
  <c r="G84" i="11"/>
  <c r="H84" i="11"/>
  <c r="I84" i="11"/>
  <c r="J84" i="11"/>
  <c r="K84" i="11"/>
  <c r="L84" i="11"/>
  <c r="M84" i="11"/>
  <c r="N84" i="11"/>
  <c r="O84" i="11"/>
  <c r="P84" i="11"/>
  <c r="Q84" i="11"/>
  <c r="Q100" i="11" s="1"/>
  <c r="Q101" i="11" s="1"/>
  <c r="R84" i="11"/>
  <c r="S84" i="11"/>
  <c r="T84" i="11"/>
  <c r="U84" i="11"/>
  <c r="V84" i="11"/>
  <c r="W84" i="11"/>
  <c r="X84" i="11"/>
  <c r="Y84" i="11"/>
  <c r="Y100" i="11" s="1"/>
  <c r="Y101" i="11" s="1"/>
  <c r="Z84" i="11"/>
  <c r="AA84" i="11"/>
  <c r="AB84" i="11"/>
  <c r="AC84" i="11"/>
  <c r="AD84" i="11"/>
  <c r="AE84" i="11"/>
  <c r="AF84" i="11"/>
  <c r="AG84" i="11"/>
  <c r="AG100" i="11" s="1"/>
  <c r="AG101" i="11" s="1"/>
  <c r="AH84" i="11"/>
  <c r="AI84" i="11"/>
  <c r="AJ84" i="11"/>
  <c r="AK84" i="11"/>
  <c r="AL84" i="11"/>
  <c r="AM84" i="11"/>
  <c r="AN84" i="11"/>
  <c r="AO84" i="11"/>
  <c r="AO100" i="11" s="1"/>
  <c r="AO101" i="11" s="1"/>
  <c r="AP84" i="11"/>
  <c r="AQ84" i="11"/>
  <c r="AR84" i="11"/>
  <c r="AS84" i="11"/>
  <c r="AT84" i="11"/>
  <c r="AU84" i="11"/>
  <c r="AV84" i="11"/>
  <c r="AW84" i="11"/>
  <c r="AW100" i="11" s="1"/>
  <c r="AW101" i="11" s="1"/>
  <c r="AX84" i="11"/>
  <c r="AY84" i="11"/>
  <c r="AZ84" i="11"/>
  <c r="BA84" i="11"/>
  <c r="BB84" i="11"/>
  <c r="BC84" i="11"/>
  <c r="BD84" i="11"/>
  <c r="BE84" i="11"/>
  <c r="BE100" i="11" s="1"/>
  <c r="BE101" i="11" s="1"/>
  <c r="BF84" i="11"/>
  <c r="BG84" i="11"/>
  <c r="BH84" i="11"/>
  <c r="BI84" i="11"/>
  <c r="BJ84" i="11"/>
  <c r="BK84" i="11"/>
  <c r="BL84" i="11"/>
  <c r="BM84" i="11"/>
  <c r="BM100" i="11" s="1"/>
  <c r="BM101" i="11" s="1"/>
  <c r="BN84" i="11"/>
  <c r="BO84" i="11"/>
  <c r="BP84" i="11"/>
  <c r="BQ84" i="11"/>
  <c r="BR84" i="11"/>
  <c r="BS84" i="11"/>
  <c r="BT84" i="11"/>
  <c r="BU84" i="11"/>
  <c r="BU100" i="11" s="1"/>
  <c r="BU101" i="11" s="1"/>
  <c r="BV84" i="11"/>
  <c r="BW84" i="11"/>
  <c r="BX84" i="11"/>
  <c r="BY84" i="11"/>
  <c r="BZ84" i="11"/>
  <c r="BZ100" i="11" s="1"/>
  <c r="BZ101" i="11" s="1"/>
  <c r="CA84" i="11"/>
  <c r="CB84" i="11"/>
  <c r="CB100" i="11" s="1"/>
  <c r="CB101" i="11" s="1"/>
  <c r="CC84" i="11"/>
  <c r="CC100" i="11" s="1"/>
  <c r="CC101" i="11" s="1"/>
  <c r="CD84" i="11"/>
  <c r="CE84" i="11"/>
  <c r="CF84" i="11"/>
  <c r="CG84" i="11"/>
  <c r="CH84" i="11"/>
  <c r="CI84" i="11"/>
  <c r="CI100" i="11" s="1"/>
  <c r="CI101" i="11" s="1"/>
  <c r="CJ84" i="11"/>
  <c r="CJ100" i="11" s="1"/>
  <c r="CJ101" i="11" s="1"/>
  <c r="CK84" i="11"/>
  <c r="CK100" i="11" s="1"/>
  <c r="CK101" i="11" s="1"/>
  <c r="E84" i="11"/>
  <c r="AK82" i="11"/>
  <c r="AL82" i="11"/>
  <c r="AM82" i="11"/>
  <c r="AN82" i="11"/>
  <c r="AO82" i="11"/>
  <c r="AP82" i="11"/>
  <c r="AQ82" i="11"/>
  <c r="AR82" i="11"/>
  <c r="AS82" i="11"/>
  <c r="AT82" i="11"/>
  <c r="AU82" i="11"/>
  <c r="AV82" i="11"/>
  <c r="AW82" i="11"/>
  <c r="AX82" i="11"/>
  <c r="AY82" i="11"/>
  <c r="AZ82" i="11"/>
  <c r="BA82" i="11"/>
  <c r="BB82" i="11"/>
  <c r="BC82" i="11"/>
  <c r="BD82" i="11"/>
  <c r="BE82" i="11"/>
  <c r="BF82" i="11"/>
  <c r="BG82" i="11"/>
  <c r="BH82" i="11"/>
  <c r="BI82" i="11"/>
  <c r="BJ82" i="11"/>
  <c r="BK82" i="11"/>
  <c r="BL82" i="11"/>
  <c r="BM82" i="11"/>
  <c r="BN82" i="11"/>
  <c r="BO82" i="11"/>
  <c r="BP82" i="11"/>
  <c r="BQ82" i="11"/>
  <c r="BR82" i="11"/>
  <c r="BS82" i="11"/>
  <c r="BT82" i="11"/>
  <c r="BU82" i="11"/>
  <c r="BV82" i="11"/>
  <c r="BW82" i="11"/>
  <c r="BX82" i="11"/>
  <c r="BY82" i="11"/>
  <c r="BZ82" i="11"/>
  <c r="CA82" i="11"/>
  <c r="CB82" i="11"/>
  <c r="CC82" i="11"/>
  <c r="CD82" i="11"/>
  <c r="CE82" i="11"/>
  <c r="CF82" i="11"/>
  <c r="CG82" i="11"/>
  <c r="CH82" i="11"/>
  <c r="CI82" i="11"/>
  <c r="CJ82" i="11"/>
  <c r="CK82" i="11"/>
  <c r="F81" i="11"/>
  <c r="G81" i="11"/>
  <c r="H81" i="11"/>
  <c r="I81" i="11"/>
  <c r="J81" i="11"/>
  <c r="K81" i="11"/>
  <c r="L81" i="11"/>
  <c r="M81" i="11"/>
  <c r="N81" i="11"/>
  <c r="O81" i="11"/>
  <c r="P81" i="11"/>
  <c r="Q81" i="11"/>
  <c r="R81" i="11"/>
  <c r="S81" i="11"/>
  <c r="T81" i="11"/>
  <c r="U81" i="11"/>
  <c r="V81" i="11"/>
  <c r="W81" i="11"/>
  <c r="X81" i="11"/>
  <c r="Y81" i="11"/>
  <c r="Z81" i="11"/>
  <c r="AA81" i="11"/>
  <c r="AB81" i="11"/>
  <c r="AC81" i="11"/>
  <c r="AD81" i="11"/>
  <c r="AE81" i="11"/>
  <c r="AF81" i="11"/>
  <c r="AG81" i="11"/>
  <c r="AH81" i="11"/>
  <c r="AI81" i="11"/>
  <c r="AJ81" i="11"/>
  <c r="AK81" i="11"/>
  <c r="AL81" i="11"/>
  <c r="AM81" i="11"/>
  <c r="AN81" i="11"/>
  <c r="AO81" i="11"/>
  <c r="AP81" i="11"/>
  <c r="AQ81" i="11"/>
  <c r="AR81" i="11"/>
  <c r="AR93" i="11" s="1"/>
  <c r="AS81" i="11"/>
  <c r="AT81" i="11"/>
  <c r="AU81" i="11"/>
  <c r="AV81" i="11"/>
  <c r="AV93" i="11" s="1"/>
  <c r="AW81" i="11"/>
  <c r="AX81" i="11"/>
  <c r="AY81" i="11"/>
  <c r="AZ81" i="11"/>
  <c r="BA81" i="11"/>
  <c r="BB81" i="11"/>
  <c r="BC81" i="11"/>
  <c r="BD81" i="11"/>
  <c r="BD93" i="11" s="1"/>
  <c r="BE81" i="11"/>
  <c r="BF81" i="11"/>
  <c r="BG81" i="11"/>
  <c r="BH81" i="11"/>
  <c r="BH93" i="11" s="1"/>
  <c r="BI81" i="11"/>
  <c r="BJ81" i="11"/>
  <c r="BK81" i="11"/>
  <c r="BL81" i="11"/>
  <c r="BL93" i="11" s="1"/>
  <c r="BM81" i="11"/>
  <c r="BN81" i="11"/>
  <c r="BO81" i="11"/>
  <c r="BP81" i="11"/>
  <c r="BQ81" i="11"/>
  <c r="BR81" i="11"/>
  <c r="BS81" i="11"/>
  <c r="BT81" i="11"/>
  <c r="BT93" i="11" s="1"/>
  <c r="BU81" i="11"/>
  <c r="BV81" i="11"/>
  <c r="BW81" i="11"/>
  <c r="BX81" i="11"/>
  <c r="BX93" i="11" s="1"/>
  <c r="BY81" i="11"/>
  <c r="BZ81" i="11"/>
  <c r="CA81" i="11"/>
  <c r="CB81" i="11"/>
  <c r="CB93" i="11" s="1"/>
  <c r="CC81" i="11"/>
  <c r="CD81" i="11"/>
  <c r="CE81" i="11"/>
  <c r="CF81" i="11"/>
  <c r="CF93" i="11" s="1"/>
  <c r="CG81" i="11"/>
  <c r="CH81" i="11"/>
  <c r="CI81" i="11"/>
  <c r="CJ81" i="11"/>
  <c r="CJ93" i="11" s="1"/>
  <c r="CK81" i="11"/>
  <c r="CK87" i="11" s="1"/>
  <c r="E81" i="11"/>
  <c r="F56" i="6"/>
  <c r="G56" i="6"/>
  <c r="H56" i="6"/>
  <c r="I56" i="6"/>
  <c r="J56" i="6"/>
  <c r="K56" i="6"/>
  <c r="L56" i="6"/>
  <c r="M56" i="6"/>
  <c r="N56" i="6"/>
  <c r="O56" i="6"/>
  <c r="P56" i="6"/>
  <c r="Q56" i="6"/>
  <c r="R56" i="6"/>
  <c r="S56" i="6"/>
  <c r="T56" i="6"/>
  <c r="AV56" i="6"/>
  <c r="AW56" i="6"/>
  <c r="AX56" i="6"/>
  <c r="AY56" i="6"/>
  <c r="AZ56" i="6"/>
  <c r="BA56" i="6"/>
  <c r="BB56" i="6"/>
  <c r="BC56" i="6"/>
  <c r="BD56" i="6"/>
  <c r="BE56" i="6"/>
  <c r="BF56" i="6"/>
  <c r="BG56" i="6"/>
  <c r="BH56" i="6"/>
  <c r="BI56" i="6"/>
  <c r="BJ56" i="6"/>
  <c r="BK56" i="6"/>
  <c r="BL56" i="6"/>
  <c r="BM56" i="6"/>
  <c r="BN56" i="6"/>
  <c r="BO56" i="6"/>
  <c r="BP56" i="6"/>
  <c r="BQ56" i="6"/>
  <c r="BR56" i="6"/>
  <c r="BS56" i="6"/>
  <c r="BT56" i="6"/>
  <c r="BU56" i="6"/>
  <c r="BV56" i="6"/>
  <c r="BW56" i="6"/>
  <c r="BX56" i="6"/>
  <c r="BY56" i="6"/>
  <c r="BZ56" i="6"/>
  <c r="CA56" i="6"/>
  <c r="CB56" i="6"/>
  <c r="CC56" i="6"/>
  <c r="CD56" i="6"/>
  <c r="CE56" i="6"/>
  <c r="CF56" i="6"/>
  <c r="CG56" i="6"/>
  <c r="CH56" i="6"/>
  <c r="CI56" i="6"/>
  <c r="CJ56" i="6"/>
  <c r="CK56" i="6"/>
  <c r="E56" i="6"/>
  <c r="I100" i="11" l="1"/>
  <c r="I101" i="11" s="1"/>
  <c r="CC87" i="11"/>
  <c r="BU87" i="11"/>
  <c r="BM87" i="11"/>
  <c r="BE87" i="11"/>
  <c r="CE100" i="11"/>
  <c r="CE101" i="11" s="1"/>
  <c r="BW100" i="11"/>
  <c r="BW101" i="11" s="1"/>
  <c r="BO100" i="11"/>
  <c r="BO101" i="11" s="1"/>
  <c r="BG100" i="11"/>
  <c r="BG101" i="11" s="1"/>
  <c r="CA100" i="11"/>
  <c r="CA101" i="11" s="1"/>
  <c r="CH85" i="11"/>
  <c r="CH100" i="11"/>
  <c r="CH101" i="11" s="1"/>
  <c r="CG100" i="11"/>
  <c r="CG101" i="11" s="1"/>
  <c r="BY100" i="11"/>
  <c r="BY101" i="11" s="1"/>
  <c r="CF100" i="11"/>
  <c r="CF101" i="11" s="1"/>
  <c r="BX100" i="11"/>
  <c r="BX101" i="11" s="1"/>
  <c r="BP100" i="11"/>
  <c r="BP101" i="11" s="1"/>
  <c r="BH100" i="11"/>
  <c r="BH101" i="11" s="1"/>
  <c r="AZ100" i="11"/>
  <c r="AZ101" i="11" s="1"/>
  <c r="AR100" i="11"/>
  <c r="AR101" i="11" s="1"/>
  <c r="AJ100" i="11"/>
  <c r="AJ101" i="11" s="1"/>
  <c r="AB100" i="11"/>
  <c r="AB101" i="11" s="1"/>
  <c r="T100" i="11"/>
  <c r="T101" i="11" s="1"/>
  <c r="AY100" i="11"/>
  <c r="AY101" i="11" s="1"/>
  <c r="AQ100" i="11"/>
  <c r="AQ101" i="11" s="1"/>
  <c r="AI100" i="11"/>
  <c r="AI101" i="11" s="1"/>
  <c r="K100" i="11"/>
  <c r="K101" i="11" s="1"/>
  <c r="CD100" i="11"/>
  <c r="CD101" i="11" s="1"/>
  <c r="BV100" i="11"/>
  <c r="BV101" i="11" s="1"/>
  <c r="BN100" i="11"/>
  <c r="BN101" i="11" s="1"/>
  <c r="BF100" i="11"/>
  <c r="BF101" i="11" s="1"/>
  <c r="AX100" i="11"/>
  <c r="AX101" i="11" s="1"/>
  <c r="AP100" i="11"/>
  <c r="AP101" i="11" s="1"/>
  <c r="AH100" i="11"/>
  <c r="AH101" i="11" s="1"/>
  <c r="AA100" i="11"/>
  <c r="AA101" i="11" s="1"/>
  <c r="S100" i="11"/>
  <c r="S101" i="11" s="1"/>
  <c r="E100" i="11"/>
  <c r="E101" i="11" s="1"/>
  <c r="Z100" i="11"/>
  <c r="Z101" i="11" s="1"/>
  <c r="R100" i="11"/>
  <c r="R101" i="11" s="1"/>
  <c r="J100" i="11"/>
  <c r="J101" i="11" s="1"/>
  <c r="BT100" i="11"/>
  <c r="BT101" i="11" s="1"/>
  <c r="BL100" i="11"/>
  <c r="BL101" i="11" s="1"/>
  <c r="BD100" i="11"/>
  <c r="BD101" i="11" s="1"/>
  <c r="AV100" i="11"/>
  <c r="AV101" i="11" s="1"/>
  <c r="AN100" i="11"/>
  <c r="AN101" i="11" s="1"/>
  <c r="AF100" i="11"/>
  <c r="AF101" i="11" s="1"/>
  <c r="X100" i="11"/>
  <c r="X101" i="11" s="1"/>
  <c r="P100" i="11"/>
  <c r="P101" i="11" s="1"/>
  <c r="H100" i="11"/>
  <c r="H101" i="11" s="1"/>
  <c r="BS100" i="11"/>
  <c r="BS101" i="11" s="1"/>
  <c r="O100" i="11"/>
  <c r="O101" i="11" s="1"/>
  <c r="AU100" i="11"/>
  <c r="AU101" i="11" s="1"/>
  <c r="W100" i="11"/>
  <c r="W101" i="11" s="1"/>
  <c r="BR100" i="11"/>
  <c r="BR101" i="11" s="1"/>
  <c r="BJ100" i="11"/>
  <c r="BJ101" i="11" s="1"/>
  <c r="BB100" i="11"/>
  <c r="BB101" i="11" s="1"/>
  <c r="AT100" i="11"/>
  <c r="AT101" i="11" s="1"/>
  <c r="AL100" i="11"/>
  <c r="AL101" i="11" s="1"/>
  <c r="AD100" i="11"/>
  <c r="AD101" i="11" s="1"/>
  <c r="V100" i="11"/>
  <c r="V101" i="11" s="1"/>
  <c r="N100" i="11"/>
  <c r="N101" i="11" s="1"/>
  <c r="F100" i="11"/>
  <c r="F101" i="11" s="1"/>
  <c r="BK100" i="11"/>
  <c r="BK101" i="11" s="1"/>
  <c r="AM100" i="11"/>
  <c r="AM101" i="11" s="1"/>
  <c r="G100" i="11"/>
  <c r="G101" i="11" s="1"/>
  <c r="BQ100" i="11"/>
  <c r="BQ101" i="11" s="1"/>
  <c r="BI100" i="11"/>
  <c r="BI101" i="11" s="1"/>
  <c r="BA100" i="11"/>
  <c r="BA101" i="11" s="1"/>
  <c r="AS100" i="11"/>
  <c r="AS101" i="11" s="1"/>
  <c r="AK100" i="11"/>
  <c r="AK101" i="11" s="1"/>
  <c r="AC100" i="11"/>
  <c r="AC101" i="11" s="1"/>
  <c r="U100" i="11"/>
  <c r="U101" i="11" s="1"/>
  <c r="M100" i="11"/>
  <c r="M101" i="11" s="1"/>
  <c r="BC100" i="11"/>
  <c r="BC101" i="11" s="1"/>
  <c r="AE100" i="11"/>
  <c r="AE101" i="11" s="1"/>
  <c r="L100" i="11"/>
  <c r="L101" i="11" s="1"/>
  <c r="CF83" i="11"/>
  <c r="CI85" i="11"/>
  <c r="BS85" i="11"/>
  <c r="BC85" i="11"/>
  <c r="AU85" i="11"/>
  <c r="AN83" i="11"/>
  <c r="CA85" i="11"/>
  <c r="BK85" i="11"/>
  <c r="BZ85" i="11"/>
  <c r="CD85" i="11"/>
  <c r="BV85" i="11"/>
  <c r="BN85" i="11"/>
  <c r="BF85" i="11"/>
  <c r="CA93" i="11"/>
  <c r="CG87" i="11"/>
  <c r="BY87" i="11"/>
  <c r="BQ87" i="11"/>
  <c r="BI87" i="11"/>
  <c r="BA87" i="11"/>
  <c r="AS93" i="11"/>
  <c r="CK83" i="11"/>
  <c r="CC83" i="11"/>
  <c r="BU83" i="11"/>
  <c r="BM83" i="11"/>
  <c r="CF87" i="11"/>
  <c r="AK83" i="11"/>
  <c r="AP83" i="11"/>
  <c r="BP87" i="11"/>
  <c r="BK93" i="11"/>
  <c r="BX83" i="11"/>
  <c r="BP83" i="11"/>
  <c r="BE83" i="11"/>
  <c r="AW83" i="11"/>
  <c r="AX85" i="11"/>
  <c r="AW93" i="11"/>
  <c r="CC85" i="11"/>
  <c r="BS87" i="11"/>
  <c r="CC93" i="11"/>
  <c r="BU85" i="11"/>
  <c r="CI87" i="11"/>
  <c r="BN87" i="11"/>
  <c r="CH87" i="11"/>
  <c r="BZ87" i="11"/>
  <c r="BR87" i="11"/>
  <c r="BJ87" i="11"/>
  <c r="BB87" i="11"/>
  <c r="AT87" i="11"/>
  <c r="AL83" i="11"/>
  <c r="BR85" i="11"/>
  <c r="BK87" i="11"/>
  <c r="BU93" i="11"/>
  <c r="BM85" i="11"/>
  <c r="CD87" i="11"/>
  <c r="BS93" i="11"/>
  <c r="BV87" i="11"/>
  <c r="BX85" i="11"/>
  <c r="BP85" i="11"/>
  <c r="AZ85" i="11"/>
  <c r="CA87" i="11"/>
  <c r="CK93" i="11"/>
  <c r="BP93" i="11"/>
  <c r="CF85" i="11"/>
  <c r="BH85" i="11"/>
  <c r="CE87" i="11"/>
  <c r="BW87" i="11"/>
  <c r="BO87" i="11"/>
  <c r="BG87" i="11"/>
  <c r="AY87" i="11"/>
  <c r="CI83" i="11"/>
  <c r="CA83" i="11"/>
  <c r="BS83" i="11"/>
  <c r="BK83" i="11"/>
  <c r="CK85" i="11"/>
  <c r="BX87" i="11"/>
  <c r="CI93" i="11"/>
  <c r="BM93" i="11"/>
  <c r="BB85" i="11"/>
  <c r="AT85" i="11"/>
  <c r="BJ85" i="11"/>
  <c r="AZ87" i="11"/>
  <c r="BE93" i="11"/>
  <c r="BC83" i="11"/>
  <c r="AU83" i="11"/>
  <c r="BE85" i="11"/>
  <c r="BH87" i="11"/>
  <c r="BF87" i="11"/>
  <c r="AX87" i="11"/>
  <c r="AU87" i="11"/>
  <c r="BC93" i="11"/>
  <c r="AU93" i="11"/>
  <c r="BH83" i="11"/>
  <c r="AZ83" i="11"/>
  <c r="AW85" i="11"/>
  <c r="BC87" i="11"/>
  <c r="AZ93" i="11"/>
  <c r="CH83" i="11"/>
  <c r="BZ83" i="11"/>
  <c r="BR83" i="11"/>
  <c r="BJ83" i="11"/>
  <c r="BB83" i="11"/>
  <c r="AT83" i="11"/>
  <c r="CJ85" i="11"/>
  <c r="CB85" i="11"/>
  <c r="BT85" i="11"/>
  <c r="BL85" i="11"/>
  <c r="BD85" i="11"/>
  <c r="AV85" i="11"/>
  <c r="AW87" i="11"/>
  <c r="CH93" i="11"/>
  <c r="BZ93" i="11"/>
  <c r="BR93" i="11"/>
  <c r="BJ93" i="11"/>
  <c r="BB93" i="11"/>
  <c r="AT93" i="11"/>
  <c r="CG83" i="11"/>
  <c r="BY83" i="11"/>
  <c r="BQ83" i="11"/>
  <c r="BI83" i="11"/>
  <c r="BA83" i="11"/>
  <c r="CJ87" i="11"/>
  <c r="CB87" i="11"/>
  <c r="BT87" i="11"/>
  <c r="BL87" i="11"/>
  <c r="BD87" i="11"/>
  <c r="AV87" i="11"/>
  <c r="CG93" i="11"/>
  <c r="BY93" i="11"/>
  <c r="BQ93" i="11"/>
  <c r="BI93" i="11"/>
  <c r="BA93" i="11"/>
  <c r="CE83" i="11"/>
  <c r="BW83" i="11"/>
  <c r="BO83" i="11"/>
  <c r="BG83" i="11"/>
  <c r="AY83" i="11"/>
  <c r="CG85" i="11"/>
  <c r="BY85" i="11"/>
  <c r="BQ85" i="11"/>
  <c r="BI85" i="11"/>
  <c r="BA85" i="11"/>
  <c r="CE93" i="11"/>
  <c r="BW93" i="11"/>
  <c r="BO93" i="11"/>
  <c r="BG93" i="11"/>
  <c r="AY93" i="11"/>
  <c r="CD83" i="11"/>
  <c r="BV83" i="11"/>
  <c r="BN83" i="11"/>
  <c r="BF83" i="11"/>
  <c r="AX83" i="11"/>
  <c r="CD93" i="11"/>
  <c r="BV93" i="11"/>
  <c r="BN93" i="11"/>
  <c r="BF93" i="11"/>
  <c r="AX93" i="11"/>
  <c r="CE85" i="11"/>
  <c r="BO85" i="11"/>
  <c r="AY85" i="11"/>
  <c r="BW85" i="11"/>
  <c r="BG85" i="11"/>
  <c r="CJ83" i="11"/>
  <c r="CB83" i="11"/>
  <c r="BT83" i="11"/>
  <c r="BL83" i="11"/>
  <c r="BD83" i="11"/>
  <c r="AV83" i="11"/>
  <c r="AQ83" i="11"/>
  <c r="AM83" i="11"/>
  <c r="AO83" i="11"/>
  <c r="AQ85" i="11"/>
  <c r="AI85" i="11"/>
  <c r="AA85" i="11"/>
  <c r="S85" i="11"/>
  <c r="K85" i="11"/>
  <c r="AM87" i="11"/>
  <c r="AE87" i="11"/>
  <c r="W87" i="11"/>
  <c r="O87" i="11"/>
  <c r="G87" i="11"/>
  <c r="AO87" i="11"/>
  <c r="AE93" i="11"/>
  <c r="W93" i="11"/>
  <c r="G93" i="11"/>
  <c r="AM93" i="11"/>
  <c r="AS83" i="11"/>
  <c r="E85" i="11"/>
  <c r="AP85" i="11"/>
  <c r="AH85" i="11"/>
  <c r="Z85" i="11"/>
  <c r="R85" i="11"/>
  <c r="J85" i="11"/>
  <c r="AL87" i="11"/>
  <c r="AD87" i="11"/>
  <c r="V87" i="11"/>
  <c r="N87" i="11"/>
  <c r="F87" i="11"/>
  <c r="AL93" i="11"/>
  <c r="AD93" i="11"/>
  <c r="V93" i="11"/>
  <c r="N93" i="11"/>
  <c r="F93" i="11"/>
  <c r="O93" i="11"/>
  <c r="AR83" i="11"/>
  <c r="AO85" i="11"/>
  <c r="AG85" i="11"/>
  <c r="Y85" i="11"/>
  <c r="Q85" i="11"/>
  <c r="I85" i="11"/>
  <c r="AS85" i="11"/>
  <c r="AK87" i="11"/>
  <c r="AC87" i="11"/>
  <c r="U87" i="11"/>
  <c r="M87" i="11"/>
  <c r="AK93" i="11"/>
  <c r="AC93" i="11"/>
  <c r="U93" i="11"/>
  <c r="M93" i="11"/>
  <c r="AN85" i="11"/>
  <c r="AF85" i="11"/>
  <c r="X85" i="11"/>
  <c r="P85" i="11"/>
  <c r="H85" i="11"/>
  <c r="AR85" i="11"/>
  <c r="AJ87" i="11"/>
  <c r="AB87" i="11"/>
  <c r="T87" i="11"/>
  <c r="L87" i="11"/>
  <c r="AJ93" i="11"/>
  <c r="AB93" i="11"/>
  <c r="T93" i="11"/>
  <c r="L93" i="11"/>
  <c r="AE85" i="11"/>
  <c r="W85" i="11"/>
  <c r="O85" i="11"/>
  <c r="G85" i="11"/>
  <c r="AM85" i="11"/>
  <c r="AQ87" i="11"/>
  <c r="AI87" i="11"/>
  <c r="AA87" i="11"/>
  <c r="S87" i="11"/>
  <c r="K87" i="11"/>
  <c r="AQ93" i="11"/>
  <c r="AI93" i="11"/>
  <c r="AA93" i="11"/>
  <c r="S93" i="11"/>
  <c r="K93" i="11"/>
  <c r="AL85" i="11"/>
  <c r="AD85" i="11"/>
  <c r="V85" i="11"/>
  <c r="N85" i="11"/>
  <c r="F85" i="11"/>
  <c r="E87" i="11"/>
  <c r="AP87" i="11"/>
  <c r="AH87" i="11"/>
  <c r="Z87" i="11"/>
  <c r="R87" i="11"/>
  <c r="J87" i="11"/>
  <c r="E93" i="11"/>
  <c r="AP93" i="11"/>
  <c r="AH93" i="11"/>
  <c r="Z93" i="11"/>
  <c r="R93" i="11"/>
  <c r="J93" i="11"/>
  <c r="AK85" i="11"/>
  <c r="AC85" i="11"/>
  <c r="U85" i="11"/>
  <c r="M85" i="11"/>
  <c r="AG87" i="11"/>
  <c r="Y87" i="11"/>
  <c r="Q87" i="11"/>
  <c r="I87" i="11"/>
  <c r="AS87" i="11"/>
  <c r="AO93" i="11"/>
  <c r="AG93" i="11"/>
  <c r="Y93" i="11"/>
  <c r="Q93" i="11"/>
  <c r="I93" i="11"/>
  <c r="AJ85" i="11"/>
  <c r="AB85" i="11"/>
  <c r="T85" i="11"/>
  <c r="L85" i="11"/>
  <c r="AN87" i="11"/>
  <c r="AF87" i="11"/>
  <c r="X87" i="11"/>
  <c r="P87" i="11"/>
  <c r="H87" i="11"/>
  <c r="AR87" i="11"/>
  <c r="AN93" i="11"/>
  <c r="AF93" i="11"/>
  <c r="X93" i="11"/>
  <c r="P93" i="11"/>
  <c r="H93" i="11"/>
  <c r="CK44" i="11"/>
  <c r="CL27" i="9"/>
  <c r="B31" i="13" l="1"/>
  <c r="B26" i="13"/>
  <c r="B12" i="13"/>
  <c r="B7" i="13"/>
  <c r="B1" i="13"/>
  <c r="CL27" i="12"/>
  <c r="CK24" i="12"/>
  <c r="CJ24" i="12"/>
  <c r="CI24" i="12"/>
  <c r="CH24" i="12"/>
  <c r="CG24" i="12"/>
  <c r="CF24" i="12"/>
  <c r="CE24" i="12"/>
  <c r="CD24" i="12"/>
  <c r="CC24" i="12"/>
  <c r="CB24" i="12"/>
  <c r="CA24" i="12"/>
  <c r="BZ24" i="12"/>
  <c r="BY24" i="12"/>
  <c r="BX24" i="12"/>
  <c r="BW24" i="12"/>
  <c r="BV24" i="12"/>
  <c r="BU24" i="12"/>
  <c r="BT24" i="12"/>
  <c r="BS24" i="12"/>
  <c r="BR24" i="12"/>
  <c r="BQ24" i="12"/>
  <c r="BP24" i="12"/>
  <c r="BO24" i="12"/>
  <c r="BN24" i="12"/>
  <c r="BM24" i="12"/>
  <c r="BL24" i="12"/>
  <c r="BK24" i="12"/>
  <c r="BJ24" i="12"/>
  <c r="BI24" i="12"/>
  <c r="BH24" i="12"/>
  <c r="BG24" i="12"/>
  <c r="BF24" i="12"/>
  <c r="BE24" i="12"/>
  <c r="BD24" i="12"/>
  <c r="BC24" i="12"/>
  <c r="BB24" i="12"/>
  <c r="BA24" i="12"/>
  <c r="AZ24" i="12"/>
  <c r="AY24" i="12"/>
  <c r="AX24" i="12"/>
  <c r="AW24" i="12"/>
  <c r="AV24" i="12"/>
  <c r="AU24" i="12"/>
  <c r="AT24" i="12"/>
  <c r="AS24" i="12"/>
  <c r="AR24" i="12"/>
  <c r="AQ24" i="12"/>
  <c r="AP24" i="12"/>
  <c r="AO24" i="12"/>
  <c r="AN24" i="12"/>
  <c r="AM24" i="12"/>
  <c r="AL24" i="12"/>
  <c r="AK24" i="12"/>
  <c r="AJ24" i="12"/>
  <c r="AI24" i="12"/>
  <c r="AH24" i="12"/>
  <c r="AG24" i="12"/>
  <c r="AF24" i="12"/>
  <c r="AE24" i="12"/>
  <c r="AD24" i="12"/>
  <c r="AC24" i="12"/>
  <c r="AB24" i="12"/>
  <c r="AA24" i="12"/>
  <c r="Z24" i="12"/>
  <c r="Y24" i="12"/>
  <c r="X24" i="12"/>
  <c r="W24" i="12"/>
  <c r="V24" i="12"/>
  <c r="U24" i="12"/>
  <c r="T24" i="12"/>
  <c r="S24" i="12"/>
  <c r="R24" i="12"/>
  <c r="Q24" i="12"/>
  <c r="P24" i="12"/>
  <c r="O24" i="12"/>
  <c r="N24" i="12"/>
  <c r="M24" i="12"/>
  <c r="L24" i="12"/>
  <c r="K24" i="12"/>
  <c r="J24" i="12"/>
  <c r="I24" i="12"/>
  <c r="H24" i="12"/>
  <c r="G24" i="12"/>
  <c r="F24" i="12"/>
  <c r="E24" i="12"/>
  <c r="CK23" i="12"/>
  <c r="CJ23" i="12"/>
  <c r="CI23" i="12"/>
  <c r="CH23" i="12"/>
  <c r="CG23" i="12"/>
  <c r="CF23" i="12"/>
  <c r="CE23" i="12"/>
  <c r="CD23" i="12"/>
  <c r="CC23" i="12"/>
  <c r="CB23" i="12"/>
  <c r="CA23" i="12"/>
  <c r="BZ23" i="12"/>
  <c r="BY23" i="12"/>
  <c r="BX23" i="12"/>
  <c r="BW23" i="12"/>
  <c r="BV23" i="12"/>
  <c r="BU23" i="12"/>
  <c r="BT23" i="12"/>
  <c r="BS23" i="12"/>
  <c r="BR23" i="12"/>
  <c r="BQ23" i="12"/>
  <c r="BP23" i="12"/>
  <c r="BO23" i="12"/>
  <c r="BN23" i="12"/>
  <c r="BM23" i="12"/>
  <c r="BL23" i="12"/>
  <c r="BK23" i="12"/>
  <c r="BJ23" i="12"/>
  <c r="BI23" i="12"/>
  <c r="BH23" i="12"/>
  <c r="BG23" i="12"/>
  <c r="BF23" i="12"/>
  <c r="BE23" i="12"/>
  <c r="BD23" i="12"/>
  <c r="BC23" i="12"/>
  <c r="BB23" i="12"/>
  <c r="BA23" i="12"/>
  <c r="AZ23" i="12"/>
  <c r="AY23" i="12"/>
  <c r="AX23" i="12"/>
  <c r="AW23" i="12"/>
  <c r="AV23" i="12"/>
  <c r="AU23" i="12"/>
  <c r="AT23" i="12"/>
  <c r="AS23" i="12"/>
  <c r="AR23" i="12"/>
  <c r="AQ23" i="12"/>
  <c r="AP23" i="12"/>
  <c r="AO23" i="12"/>
  <c r="AN23" i="12"/>
  <c r="AM23" i="12"/>
  <c r="AL23" i="12"/>
  <c r="AK23" i="12"/>
  <c r="AJ23" i="12"/>
  <c r="AI23" i="12"/>
  <c r="AH23" i="12"/>
  <c r="AG23" i="12"/>
  <c r="AF23" i="12"/>
  <c r="AE23" i="12"/>
  <c r="AD23" i="12"/>
  <c r="AC23" i="12"/>
  <c r="AB23" i="12"/>
  <c r="AA23" i="12"/>
  <c r="Z23" i="12"/>
  <c r="Y23" i="12"/>
  <c r="X23" i="12"/>
  <c r="W23" i="12"/>
  <c r="V23" i="12"/>
  <c r="U23" i="12"/>
  <c r="T23" i="12"/>
  <c r="S23" i="12"/>
  <c r="R23" i="12"/>
  <c r="Q23" i="12"/>
  <c r="P23" i="12"/>
  <c r="O23" i="12"/>
  <c r="N23" i="12"/>
  <c r="M23" i="12"/>
  <c r="L23" i="12"/>
  <c r="K23" i="12"/>
  <c r="J23" i="12"/>
  <c r="I23" i="12"/>
  <c r="H23" i="12"/>
  <c r="G23" i="12"/>
  <c r="F23" i="12"/>
  <c r="E23" i="12"/>
  <c r="CK22" i="12"/>
  <c r="CJ22" i="12"/>
  <c r="CI22" i="12"/>
  <c r="CH22" i="12"/>
  <c r="CG22" i="12"/>
  <c r="CF22" i="12"/>
  <c r="CE22" i="12"/>
  <c r="CD22" i="12"/>
  <c r="CC22" i="12"/>
  <c r="CB22" i="12"/>
  <c r="CA22" i="12"/>
  <c r="BZ22" i="12"/>
  <c r="BY22" i="12"/>
  <c r="BX22" i="12"/>
  <c r="BW22" i="12"/>
  <c r="BV22" i="12"/>
  <c r="BU22" i="12"/>
  <c r="BT22" i="12"/>
  <c r="BS22" i="12"/>
  <c r="BR22" i="12"/>
  <c r="BQ22" i="12"/>
  <c r="BP22" i="12"/>
  <c r="BO22" i="12"/>
  <c r="BN22" i="12"/>
  <c r="BM22" i="12"/>
  <c r="BL22" i="12"/>
  <c r="BK22" i="12"/>
  <c r="BJ22" i="12"/>
  <c r="BI22" i="12"/>
  <c r="BH22" i="12"/>
  <c r="BG22" i="12"/>
  <c r="BF22" i="12"/>
  <c r="BE22" i="12"/>
  <c r="BD22" i="12"/>
  <c r="BC22" i="12"/>
  <c r="BB22" i="12"/>
  <c r="BA22" i="12"/>
  <c r="AZ22" i="12"/>
  <c r="AY22" i="12"/>
  <c r="AX22" i="12"/>
  <c r="AW22" i="12"/>
  <c r="AV22" i="12"/>
  <c r="AU22" i="12"/>
  <c r="AT22" i="12"/>
  <c r="AS22" i="12"/>
  <c r="AR22" i="12"/>
  <c r="AQ22" i="12"/>
  <c r="AP22" i="12"/>
  <c r="AO22" i="12"/>
  <c r="AN22" i="12"/>
  <c r="AM22" i="12"/>
  <c r="AL22" i="12"/>
  <c r="AK22" i="12"/>
  <c r="AJ22" i="12"/>
  <c r="AI22" i="12"/>
  <c r="AH22" i="12"/>
  <c r="AG22" i="12"/>
  <c r="AF22" i="12"/>
  <c r="AE22" i="12"/>
  <c r="AD22" i="12"/>
  <c r="AC22" i="12"/>
  <c r="AB22" i="12"/>
  <c r="AA22" i="12"/>
  <c r="Z22" i="12"/>
  <c r="Y22" i="12"/>
  <c r="X22" i="12"/>
  <c r="W22" i="12"/>
  <c r="V22" i="12"/>
  <c r="U22" i="12"/>
  <c r="T22" i="12"/>
  <c r="S22" i="12"/>
  <c r="R22" i="12"/>
  <c r="Q22" i="12"/>
  <c r="P22" i="12"/>
  <c r="O22" i="12"/>
  <c r="N22" i="12"/>
  <c r="M22" i="12"/>
  <c r="L22" i="12"/>
  <c r="K22" i="12"/>
  <c r="J22" i="12"/>
  <c r="I22" i="12"/>
  <c r="H22" i="12"/>
  <c r="G22" i="12"/>
  <c r="F22" i="12"/>
  <c r="E22" i="12"/>
  <c r="CL21" i="12"/>
  <c r="CK21" i="12"/>
  <c r="CJ21" i="12"/>
  <c r="CI21" i="12"/>
  <c r="CH21" i="12"/>
  <c r="CG21" i="12"/>
  <c r="CF21" i="12"/>
  <c r="CE21" i="12"/>
  <c r="CD21" i="12"/>
  <c r="CC21" i="12"/>
  <c r="CB21" i="12"/>
  <c r="CA21" i="12"/>
  <c r="BZ21" i="12"/>
  <c r="BY21" i="12"/>
  <c r="BX21" i="12"/>
  <c r="BW21" i="12"/>
  <c r="BV21" i="12"/>
  <c r="BU21" i="12"/>
  <c r="BT21" i="12"/>
  <c r="BS21" i="12"/>
  <c r="BR21" i="12"/>
  <c r="BQ21" i="12"/>
  <c r="BP21" i="12"/>
  <c r="BO21" i="12"/>
  <c r="BN21" i="12"/>
  <c r="BM21" i="12"/>
  <c r="BL21" i="12"/>
  <c r="BK21" i="12"/>
  <c r="BJ21" i="12"/>
  <c r="BI21" i="12"/>
  <c r="BH21" i="12"/>
  <c r="BG21" i="12"/>
  <c r="BF21" i="12"/>
  <c r="BE21" i="12"/>
  <c r="BD21" i="12"/>
  <c r="BC21" i="12"/>
  <c r="BB21" i="12"/>
  <c r="BA21" i="12"/>
  <c r="AZ21" i="12"/>
  <c r="AY21" i="12"/>
  <c r="AX21" i="12"/>
  <c r="AW21" i="12"/>
  <c r="AV21" i="12"/>
  <c r="AU21" i="12"/>
  <c r="AT21" i="12"/>
  <c r="AS21" i="12"/>
  <c r="AR21" i="12"/>
  <c r="AQ21" i="12"/>
  <c r="AP21" i="12"/>
  <c r="AO21" i="12"/>
  <c r="AN21" i="12"/>
  <c r="AM21" i="12"/>
  <c r="AL21" i="12"/>
  <c r="AK21" i="12"/>
  <c r="AJ21" i="12"/>
  <c r="AI21" i="12"/>
  <c r="AH21" i="12"/>
  <c r="AG21" i="12"/>
  <c r="AF21" i="12"/>
  <c r="AE21" i="12"/>
  <c r="AD21" i="12"/>
  <c r="AC21" i="12"/>
  <c r="AB21" i="12"/>
  <c r="AA21" i="12"/>
  <c r="Z21" i="12"/>
  <c r="Y21" i="12"/>
  <c r="X21" i="12"/>
  <c r="W21" i="12"/>
  <c r="V21" i="12"/>
  <c r="U21" i="12"/>
  <c r="T21" i="12"/>
  <c r="S21" i="12"/>
  <c r="R21" i="12"/>
  <c r="Q21" i="12"/>
  <c r="P21" i="12"/>
  <c r="O21" i="12"/>
  <c r="N21" i="12"/>
  <c r="M21" i="12"/>
  <c r="L21" i="12"/>
  <c r="K21" i="12"/>
  <c r="J21" i="12"/>
  <c r="I21" i="12"/>
  <c r="H21" i="12"/>
  <c r="G21" i="12"/>
  <c r="F21" i="12"/>
  <c r="E21" i="12"/>
  <c r="CL20" i="12"/>
  <c r="CK20" i="12"/>
  <c r="CJ20" i="12"/>
  <c r="CI20" i="12"/>
  <c r="CH20" i="12"/>
  <c r="CG20" i="12"/>
  <c r="CF20" i="12"/>
  <c r="CE20" i="12"/>
  <c r="CD20" i="12"/>
  <c r="CC20" i="12"/>
  <c r="CB20" i="12"/>
  <c r="CA20" i="12"/>
  <c r="BZ20" i="12"/>
  <c r="BY20" i="12"/>
  <c r="BX20" i="12"/>
  <c r="BW20" i="12"/>
  <c r="BV20" i="12"/>
  <c r="BU20" i="12"/>
  <c r="BT20" i="12"/>
  <c r="BS20" i="12"/>
  <c r="BR20" i="12"/>
  <c r="BQ20" i="12"/>
  <c r="BP20" i="12"/>
  <c r="BO20" i="12"/>
  <c r="BN20" i="12"/>
  <c r="BM20" i="12"/>
  <c r="BL20" i="12"/>
  <c r="BK20" i="12"/>
  <c r="BJ20" i="12"/>
  <c r="BI20" i="12"/>
  <c r="BH20" i="12"/>
  <c r="BG20" i="12"/>
  <c r="BF20" i="12"/>
  <c r="BE20" i="12"/>
  <c r="BD20" i="12"/>
  <c r="BC20" i="12"/>
  <c r="BB20" i="12"/>
  <c r="BA20" i="12"/>
  <c r="AZ20" i="12"/>
  <c r="AY20" i="12"/>
  <c r="AX20" i="12"/>
  <c r="AW20" i="12"/>
  <c r="AV20" i="12"/>
  <c r="AU20" i="12"/>
  <c r="AT20" i="12"/>
  <c r="AS20" i="12"/>
  <c r="AR20" i="12"/>
  <c r="AQ20" i="12"/>
  <c r="AP20" i="12"/>
  <c r="AO20" i="12"/>
  <c r="AN20" i="12"/>
  <c r="AM20" i="12"/>
  <c r="AL20" i="12"/>
  <c r="AK20" i="12"/>
  <c r="AJ20" i="12"/>
  <c r="AI20" i="12"/>
  <c r="AH20" i="12"/>
  <c r="AG20" i="12"/>
  <c r="AF20" i="12"/>
  <c r="AE20" i="12"/>
  <c r="AD20" i="12"/>
  <c r="AC20" i="12"/>
  <c r="AB20" i="12"/>
  <c r="AA20" i="12"/>
  <c r="Z20" i="12"/>
  <c r="Y20" i="12"/>
  <c r="X20" i="12"/>
  <c r="W20" i="12"/>
  <c r="V20" i="12"/>
  <c r="U20" i="12"/>
  <c r="T20" i="12"/>
  <c r="S20" i="12"/>
  <c r="R20" i="12"/>
  <c r="Q20" i="12"/>
  <c r="P20" i="12"/>
  <c r="O20" i="12"/>
  <c r="N20" i="12"/>
  <c r="M20" i="12"/>
  <c r="L20" i="12"/>
  <c r="K20" i="12"/>
  <c r="J20" i="12"/>
  <c r="I20" i="12"/>
  <c r="H20" i="12"/>
  <c r="G20" i="12"/>
  <c r="F20" i="12"/>
  <c r="E20" i="12"/>
  <c r="CK19" i="12"/>
  <c r="CJ19" i="12"/>
  <c r="CI19" i="12"/>
  <c r="CH19" i="12"/>
  <c r="CG19" i="12"/>
  <c r="CF19" i="12"/>
  <c r="CE19" i="12"/>
  <c r="CD19" i="12"/>
  <c r="CC19" i="12"/>
  <c r="CB19" i="12"/>
  <c r="CA19" i="12"/>
  <c r="BZ19" i="12"/>
  <c r="BY19" i="12"/>
  <c r="BX19" i="12"/>
  <c r="BW19" i="12"/>
  <c r="BV19" i="12"/>
  <c r="BU19" i="12"/>
  <c r="BT19" i="12"/>
  <c r="BS19" i="12"/>
  <c r="BR19" i="12"/>
  <c r="BQ19" i="12"/>
  <c r="BP19" i="12"/>
  <c r="BO19" i="12"/>
  <c r="BN19" i="12"/>
  <c r="BM19" i="12"/>
  <c r="BL19" i="12"/>
  <c r="BK19" i="12"/>
  <c r="BJ19" i="12"/>
  <c r="BI19" i="12"/>
  <c r="BH19" i="12"/>
  <c r="BG19" i="12"/>
  <c r="BF19" i="12"/>
  <c r="BE19" i="12"/>
  <c r="BD19" i="12"/>
  <c r="BC19" i="12"/>
  <c r="BB19" i="12"/>
  <c r="BA19" i="12"/>
  <c r="AZ19" i="12"/>
  <c r="AY19" i="12"/>
  <c r="AX19" i="12"/>
  <c r="AW19" i="12"/>
  <c r="AV19" i="12"/>
  <c r="AU19" i="12"/>
  <c r="AT19" i="12"/>
  <c r="AS19" i="12"/>
  <c r="AR19" i="12"/>
  <c r="AQ19" i="12"/>
  <c r="AP19" i="12"/>
  <c r="AO19" i="12"/>
  <c r="AN19" i="12"/>
  <c r="AM19" i="12"/>
  <c r="AL19" i="12"/>
  <c r="AK19" i="12"/>
  <c r="AJ19" i="12"/>
  <c r="AI19" i="12"/>
  <c r="AH19" i="12"/>
  <c r="AG19" i="12"/>
  <c r="AF19" i="12"/>
  <c r="AE19" i="12"/>
  <c r="AD19" i="12"/>
  <c r="AC19" i="12"/>
  <c r="AB19" i="12"/>
  <c r="AA19" i="12"/>
  <c r="Z19" i="12"/>
  <c r="Y19" i="12"/>
  <c r="X19" i="12"/>
  <c r="W19" i="12"/>
  <c r="V19" i="12"/>
  <c r="U19" i="12"/>
  <c r="T19" i="12"/>
  <c r="S19" i="12"/>
  <c r="R19" i="12"/>
  <c r="Q19" i="12"/>
  <c r="P19" i="12"/>
  <c r="O19" i="12"/>
  <c r="N19" i="12"/>
  <c r="M19" i="12"/>
  <c r="L19" i="12"/>
  <c r="K19" i="12"/>
  <c r="J19" i="12"/>
  <c r="I19" i="12"/>
  <c r="H19" i="12"/>
  <c r="G19" i="12"/>
  <c r="F19" i="12"/>
  <c r="E19" i="12"/>
  <c r="CL17" i="12"/>
  <c r="CL16" i="12"/>
  <c r="CK15" i="12"/>
  <c r="CK14" i="12"/>
  <c r="CJ14" i="12"/>
  <c r="CI14" i="12"/>
  <c r="CH14" i="12"/>
  <c r="CG14" i="12"/>
  <c r="CF14" i="12"/>
  <c r="CE14" i="12"/>
  <c r="CD14" i="12"/>
  <c r="CC14" i="12"/>
  <c r="CB14" i="12"/>
  <c r="CA14" i="12"/>
  <c r="BZ14" i="12"/>
  <c r="BY14" i="12"/>
  <c r="BX14" i="12"/>
  <c r="BW14" i="12"/>
  <c r="BV14" i="12"/>
  <c r="BU14" i="12"/>
  <c r="BT14" i="12"/>
  <c r="BS14" i="12"/>
  <c r="BR14" i="12"/>
  <c r="BQ14" i="12"/>
  <c r="BP14" i="12"/>
  <c r="BO14" i="12"/>
  <c r="BN14" i="12"/>
  <c r="BM14" i="12"/>
  <c r="BL14" i="12"/>
  <c r="BK14" i="12"/>
  <c r="BJ14" i="12"/>
  <c r="BI14" i="12"/>
  <c r="BH14" i="12"/>
  <c r="BG14" i="12"/>
  <c r="BF14" i="12"/>
  <c r="BE14" i="12"/>
  <c r="BD14" i="12"/>
  <c r="BC14" i="12"/>
  <c r="BB14" i="12"/>
  <c r="BA14" i="12"/>
  <c r="AZ14" i="12"/>
  <c r="AY14" i="12"/>
  <c r="AX14" i="12"/>
  <c r="AW14" i="12"/>
  <c r="AV14" i="12"/>
  <c r="AU14" i="12"/>
  <c r="AT14" i="12"/>
  <c r="AS14" i="12"/>
  <c r="AR14" i="12"/>
  <c r="AQ14" i="12"/>
  <c r="AP14" i="12"/>
  <c r="AO14" i="12"/>
  <c r="AN14" i="12"/>
  <c r="AM14" i="12"/>
  <c r="AL14" i="12"/>
  <c r="AK14" i="12"/>
  <c r="AJ14" i="12"/>
  <c r="AI14" i="12"/>
  <c r="AH14" i="12"/>
  <c r="AG14" i="12"/>
  <c r="AF14" i="12"/>
  <c r="AE14" i="12"/>
  <c r="AD14" i="12"/>
  <c r="AC14" i="12"/>
  <c r="AB14" i="12"/>
  <c r="AA14" i="12"/>
  <c r="Z14" i="12"/>
  <c r="Y14" i="12"/>
  <c r="X14" i="12"/>
  <c r="W14" i="12"/>
  <c r="V14" i="12"/>
  <c r="U14" i="12"/>
  <c r="T14" i="12"/>
  <c r="S14" i="12"/>
  <c r="R14" i="12"/>
  <c r="Q14" i="12"/>
  <c r="P14" i="12"/>
  <c r="O14" i="12"/>
  <c r="N14" i="12"/>
  <c r="M14" i="12"/>
  <c r="L14" i="12"/>
  <c r="K14" i="12"/>
  <c r="J14" i="12"/>
  <c r="I14" i="12"/>
  <c r="H14" i="12"/>
  <c r="G14" i="12"/>
  <c r="F14" i="12"/>
  <c r="E14" i="12"/>
  <c r="CK11" i="12"/>
  <c r="CJ11" i="12"/>
  <c r="CI11" i="12"/>
  <c r="CH11" i="12"/>
  <c r="CG11" i="12"/>
  <c r="CF11" i="12"/>
  <c r="CE11" i="12"/>
  <c r="CD11" i="12"/>
  <c r="CC11" i="12"/>
  <c r="CB11" i="12"/>
  <c r="CA11" i="12"/>
  <c r="BZ11" i="12"/>
  <c r="BY11" i="12"/>
  <c r="BX11" i="12"/>
  <c r="BW11" i="12"/>
  <c r="BV11" i="12"/>
  <c r="BU11" i="12"/>
  <c r="BT11" i="12"/>
  <c r="BS11" i="12"/>
  <c r="BR11" i="12"/>
  <c r="BQ11" i="12"/>
  <c r="BP11" i="12"/>
  <c r="BO11" i="12"/>
  <c r="BN11" i="12"/>
  <c r="BM11" i="12"/>
  <c r="BL11" i="12"/>
  <c r="BK11" i="12"/>
  <c r="BJ11" i="12"/>
  <c r="BI11" i="12"/>
  <c r="BH11" i="12"/>
  <c r="BG11" i="12"/>
  <c r="BF11" i="12"/>
  <c r="BE11" i="12"/>
  <c r="BD11" i="12"/>
  <c r="BC11" i="12"/>
  <c r="BB11" i="12"/>
  <c r="BA11" i="12"/>
  <c r="AZ11" i="12"/>
  <c r="AY11" i="12"/>
  <c r="AX11" i="12"/>
  <c r="AW11" i="12"/>
  <c r="AV11" i="12"/>
  <c r="AU11" i="12"/>
  <c r="AT11" i="12"/>
  <c r="AS11" i="12"/>
  <c r="AR11" i="12"/>
  <c r="AQ11" i="12"/>
  <c r="AP11" i="12"/>
  <c r="AO11" i="12"/>
  <c r="AN11" i="12"/>
  <c r="AM11" i="12"/>
  <c r="AL11" i="12"/>
  <c r="AK11" i="12"/>
  <c r="AJ11" i="12"/>
  <c r="AI11" i="12"/>
  <c r="AH11" i="12"/>
  <c r="AG11" i="12"/>
  <c r="AF11" i="12"/>
  <c r="AE11" i="12"/>
  <c r="AD11" i="12"/>
  <c r="AC11" i="12"/>
  <c r="AB11" i="12"/>
  <c r="AA11" i="12"/>
  <c r="Z11" i="12"/>
  <c r="Y11" i="12"/>
  <c r="X11" i="12"/>
  <c r="W11" i="12"/>
  <c r="V11" i="12"/>
  <c r="U11" i="12"/>
  <c r="T11" i="12"/>
  <c r="S11" i="12"/>
  <c r="R11" i="12"/>
  <c r="Q11" i="12"/>
  <c r="P11" i="12"/>
  <c r="O11" i="12"/>
  <c r="N11" i="12"/>
  <c r="M11" i="12"/>
  <c r="L11" i="12"/>
  <c r="K11" i="12"/>
  <c r="J11" i="12"/>
  <c r="I11" i="12"/>
  <c r="H11" i="12"/>
  <c r="G11" i="12"/>
  <c r="F11" i="12"/>
  <c r="E11" i="12"/>
  <c r="CK10" i="12"/>
  <c r="CJ10" i="12"/>
  <c r="CI10" i="12"/>
  <c r="CH10" i="12"/>
  <c r="CG10" i="12"/>
  <c r="CF10" i="12"/>
  <c r="CE10" i="12"/>
  <c r="CD10" i="12"/>
  <c r="CC10" i="12"/>
  <c r="CB10" i="12"/>
  <c r="CA10" i="12"/>
  <c r="BZ10" i="12"/>
  <c r="BY10" i="12"/>
  <c r="BX10" i="12"/>
  <c r="BW10" i="12"/>
  <c r="BV10" i="12"/>
  <c r="BU10" i="12"/>
  <c r="BT10" i="12"/>
  <c r="BS10" i="12"/>
  <c r="BR10" i="12"/>
  <c r="BQ10" i="12"/>
  <c r="BP10" i="12"/>
  <c r="BO10" i="12"/>
  <c r="BN10" i="12"/>
  <c r="BM10" i="12"/>
  <c r="BL10" i="12"/>
  <c r="BK10" i="12"/>
  <c r="BJ10" i="12"/>
  <c r="BI10" i="12"/>
  <c r="BH10" i="12"/>
  <c r="BG10" i="12"/>
  <c r="BF10" i="12"/>
  <c r="BE10" i="12"/>
  <c r="BD10" i="12"/>
  <c r="BC10" i="12"/>
  <c r="BB10" i="12"/>
  <c r="BA10" i="12"/>
  <c r="AZ10" i="12"/>
  <c r="AY10" i="12"/>
  <c r="AX10" i="12"/>
  <c r="AW10" i="12"/>
  <c r="AV10" i="12"/>
  <c r="AU10" i="12"/>
  <c r="AT10" i="12"/>
  <c r="AS10" i="12"/>
  <c r="AR10" i="12"/>
  <c r="AQ10" i="12"/>
  <c r="AP10" i="12"/>
  <c r="AO10" i="12"/>
  <c r="AN10" i="12"/>
  <c r="AM10" i="12"/>
  <c r="AL10" i="12"/>
  <c r="AK10" i="12"/>
  <c r="AJ10" i="12"/>
  <c r="AI10" i="12"/>
  <c r="AH10" i="12"/>
  <c r="AG10" i="12"/>
  <c r="AF10" i="12"/>
  <c r="AE10" i="12"/>
  <c r="AD10" i="12"/>
  <c r="AC10" i="12"/>
  <c r="AB10" i="12"/>
  <c r="AA10" i="12"/>
  <c r="Z10" i="12"/>
  <c r="Y10" i="12"/>
  <c r="X10" i="12"/>
  <c r="W10" i="12"/>
  <c r="V10" i="12"/>
  <c r="U10" i="12"/>
  <c r="T10" i="12"/>
  <c r="S10" i="12"/>
  <c r="R10" i="12"/>
  <c r="Q10" i="12"/>
  <c r="P10" i="12"/>
  <c r="O10" i="12"/>
  <c r="N10" i="12"/>
  <c r="M10" i="12"/>
  <c r="L10" i="12"/>
  <c r="K10" i="12"/>
  <c r="J10" i="12"/>
  <c r="I10" i="12"/>
  <c r="H10" i="12"/>
  <c r="G10" i="12"/>
  <c r="F10" i="12"/>
  <c r="E10" i="12"/>
  <c r="CK9" i="12"/>
  <c r="CJ9" i="12"/>
  <c r="CI9" i="12"/>
  <c r="CH9" i="12"/>
  <c r="CG9" i="12"/>
  <c r="CF9" i="12"/>
  <c r="CE9" i="12"/>
  <c r="CD9" i="12"/>
  <c r="CC9" i="12"/>
  <c r="CB9" i="12"/>
  <c r="CA9" i="12"/>
  <c r="BZ9" i="12"/>
  <c r="BY9" i="12"/>
  <c r="BX9" i="12"/>
  <c r="BW9" i="12"/>
  <c r="BV9" i="12"/>
  <c r="BU9" i="12"/>
  <c r="BT9" i="12"/>
  <c r="BS9" i="12"/>
  <c r="BR9" i="12"/>
  <c r="BQ9" i="12"/>
  <c r="BP9" i="12"/>
  <c r="BO9" i="12"/>
  <c r="BN9" i="12"/>
  <c r="BM9" i="12"/>
  <c r="BL9" i="12"/>
  <c r="BK9" i="12"/>
  <c r="BJ9" i="12"/>
  <c r="BI9" i="12"/>
  <c r="BH9" i="12"/>
  <c r="BG9" i="12"/>
  <c r="BF9" i="12"/>
  <c r="BE9" i="12"/>
  <c r="BD9" i="12"/>
  <c r="BC9" i="12"/>
  <c r="BB9" i="12"/>
  <c r="BA9" i="12"/>
  <c r="AZ9" i="12"/>
  <c r="AY9" i="12"/>
  <c r="AX9" i="12"/>
  <c r="AW9" i="12"/>
  <c r="AV9" i="12"/>
  <c r="AU9" i="12"/>
  <c r="AT9" i="12"/>
  <c r="AS9" i="12"/>
  <c r="AR9" i="12"/>
  <c r="AQ9" i="12"/>
  <c r="AP9" i="12"/>
  <c r="AO9" i="12"/>
  <c r="AN9" i="12"/>
  <c r="AM9" i="12"/>
  <c r="AL9" i="12"/>
  <c r="AK9" i="12"/>
  <c r="AJ9" i="12"/>
  <c r="AI9" i="12"/>
  <c r="AH9" i="12"/>
  <c r="AG9" i="12"/>
  <c r="AF9" i="12"/>
  <c r="AE9" i="12"/>
  <c r="AD9" i="12"/>
  <c r="AC9" i="12"/>
  <c r="AB9" i="12"/>
  <c r="AA9" i="12"/>
  <c r="Z9" i="12"/>
  <c r="Y9" i="12"/>
  <c r="X9" i="12"/>
  <c r="W9" i="12"/>
  <c r="V9" i="12"/>
  <c r="U9" i="12"/>
  <c r="T9" i="12"/>
  <c r="S9" i="12"/>
  <c r="R9" i="12"/>
  <c r="Q9" i="12"/>
  <c r="P9" i="12"/>
  <c r="O9" i="12"/>
  <c r="N9" i="12"/>
  <c r="M9" i="12"/>
  <c r="L9" i="12"/>
  <c r="K9" i="12"/>
  <c r="J9" i="12"/>
  <c r="I9" i="12"/>
  <c r="H9" i="12"/>
  <c r="G9" i="12"/>
  <c r="F9" i="12"/>
  <c r="E9" i="12"/>
  <c r="CL8" i="12"/>
  <c r="CL12" i="12" s="1"/>
  <c r="CK8" i="12"/>
  <c r="CJ8" i="12"/>
  <c r="CI8" i="12"/>
  <c r="CH8" i="12"/>
  <c r="CG8" i="12"/>
  <c r="CF8" i="12"/>
  <c r="CE8" i="12"/>
  <c r="CD8" i="12"/>
  <c r="CC8" i="12"/>
  <c r="CB8" i="12"/>
  <c r="CA8" i="12"/>
  <c r="BZ8" i="12"/>
  <c r="BY8" i="12"/>
  <c r="BX8" i="12"/>
  <c r="BW8" i="12"/>
  <c r="BV8" i="12"/>
  <c r="BU8" i="12"/>
  <c r="BT8" i="12"/>
  <c r="BS8" i="12"/>
  <c r="BR8" i="12"/>
  <c r="BQ8" i="12"/>
  <c r="BP8" i="12"/>
  <c r="BO8" i="12"/>
  <c r="BN8" i="12"/>
  <c r="BM8" i="12"/>
  <c r="BL8" i="12"/>
  <c r="BK8" i="12"/>
  <c r="BJ8" i="12"/>
  <c r="BI8" i="12"/>
  <c r="BH8" i="12"/>
  <c r="BG8" i="12"/>
  <c r="BF8" i="12"/>
  <c r="BE8" i="12"/>
  <c r="BD8" i="12"/>
  <c r="BC8" i="12"/>
  <c r="BB8" i="12"/>
  <c r="BA8" i="12"/>
  <c r="AZ8" i="12"/>
  <c r="AY8" i="12"/>
  <c r="AX8" i="12"/>
  <c r="AW8" i="12"/>
  <c r="AV8" i="12"/>
  <c r="AU8" i="12"/>
  <c r="AT8" i="12"/>
  <c r="AS8" i="12"/>
  <c r="AR8" i="12"/>
  <c r="AQ8" i="12"/>
  <c r="AP8" i="12"/>
  <c r="AO8" i="12"/>
  <c r="AN8" i="12"/>
  <c r="AM8" i="12"/>
  <c r="AL8" i="12"/>
  <c r="AK8" i="12"/>
  <c r="AJ8" i="12"/>
  <c r="AI8" i="12"/>
  <c r="AH8" i="12"/>
  <c r="AG8" i="12"/>
  <c r="AF8" i="12"/>
  <c r="AE8" i="12"/>
  <c r="AD8" i="12"/>
  <c r="AC8" i="12"/>
  <c r="AB8" i="12"/>
  <c r="AA8" i="12"/>
  <c r="Z8" i="12"/>
  <c r="Y8" i="12"/>
  <c r="X8" i="12"/>
  <c r="W8" i="12"/>
  <c r="V8" i="12"/>
  <c r="U8" i="12"/>
  <c r="T8" i="12"/>
  <c r="S8" i="12"/>
  <c r="R8" i="12"/>
  <c r="Q8" i="12"/>
  <c r="P8" i="12"/>
  <c r="O8" i="12"/>
  <c r="N8" i="12"/>
  <c r="M8" i="12"/>
  <c r="L8" i="12"/>
  <c r="K8" i="12"/>
  <c r="J8" i="12"/>
  <c r="I8" i="12"/>
  <c r="H8" i="12"/>
  <c r="G8" i="12"/>
  <c r="F8" i="12"/>
  <c r="E8" i="12"/>
  <c r="CL7" i="12"/>
  <c r="CK7" i="12"/>
  <c r="CJ7" i="12"/>
  <c r="CI7" i="12"/>
  <c r="CH7" i="12"/>
  <c r="CG7" i="12"/>
  <c r="CF7" i="12"/>
  <c r="CE7" i="12"/>
  <c r="CD7" i="12"/>
  <c r="CC7" i="12"/>
  <c r="CB7" i="12"/>
  <c r="CA7" i="12"/>
  <c r="BZ7" i="12"/>
  <c r="BY7" i="12"/>
  <c r="BX7" i="12"/>
  <c r="BW7" i="12"/>
  <c r="BV7" i="12"/>
  <c r="BU7" i="12"/>
  <c r="BT7" i="12"/>
  <c r="BS7" i="12"/>
  <c r="BR7" i="12"/>
  <c r="BQ7" i="12"/>
  <c r="BP7" i="12"/>
  <c r="BO7" i="12"/>
  <c r="BN7" i="12"/>
  <c r="BM7" i="12"/>
  <c r="BL7" i="12"/>
  <c r="BK7" i="12"/>
  <c r="BJ7" i="12"/>
  <c r="BI7" i="12"/>
  <c r="BH7" i="12"/>
  <c r="BG7" i="12"/>
  <c r="BF7" i="12"/>
  <c r="BE7" i="12"/>
  <c r="BD7" i="12"/>
  <c r="BC7" i="12"/>
  <c r="BB7" i="12"/>
  <c r="BA7" i="12"/>
  <c r="AZ7" i="12"/>
  <c r="AY7" i="12"/>
  <c r="AX7" i="12"/>
  <c r="AW7" i="12"/>
  <c r="AV7" i="12"/>
  <c r="AU7" i="12"/>
  <c r="AT7" i="12"/>
  <c r="AS7" i="12"/>
  <c r="AR7" i="12"/>
  <c r="AQ7" i="12"/>
  <c r="AP7" i="12"/>
  <c r="AO7" i="12"/>
  <c r="AN7" i="12"/>
  <c r="AM7" i="12"/>
  <c r="AL7" i="12"/>
  <c r="AK7" i="12"/>
  <c r="AJ7" i="12"/>
  <c r="AI7" i="12"/>
  <c r="AH7" i="12"/>
  <c r="AG7" i="12"/>
  <c r="AF7" i="12"/>
  <c r="AE7" i="12"/>
  <c r="AD7" i="12"/>
  <c r="AC7" i="12"/>
  <c r="AB7" i="12"/>
  <c r="AA7" i="12"/>
  <c r="Z7" i="12"/>
  <c r="Y7" i="12"/>
  <c r="X7" i="12"/>
  <c r="W7" i="12"/>
  <c r="V7" i="12"/>
  <c r="U7" i="12"/>
  <c r="T7" i="12"/>
  <c r="S7" i="12"/>
  <c r="R7" i="12"/>
  <c r="Q7" i="12"/>
  <c r="P7" i="12"/>
  <c r="O7" i="12"/>
  <c r="N7" i="12"/>
  <c r="M7" i="12"/>
  <c r="L7" i="12"/>
  <c r="K7" i="12"/>
  <c r="J7" i="12"/>
  <c r="I7" i="12"/>
  <c r="H7" i="12"/>
  <c r="G7" i="12"/>
  <c r="F7" i="12"/>
  <c r="E7" i="12"/>
  <c r="CK6" i="12"/>
  <c r="CJ6" i="12"/>
  <c r="CI6" i="12"/>
  <c r="CH6" i="12"/>
  <c r="CG6" i="12"/>
  <c r="CF6" i="12"/>
  <c r="CE6" i="12"/>
  <c r="CD6" i="12"/>
  <c r="CC6" i="12"/>
  <c r="CB6" i="12"/>
  <c r="CA6" i="12"/>
  <c r="BZ6" i="12"/>
  <c r="BY6" i="12"/>
  <c r="BX6" i="12"/>
  <c r="BW6" i="12"/>
  <c r="BV6" i="12"/>
  <c r="BU6" i="12"/>
  <c r="BT6" i="12"/>
  <c r="BS6" i="12"/>
  <c r="BR6" i="12"/>
  <c r="BQ6" i="12"/>
  <c r="BP6" i="12"/>
  <c r="BO6" i="12"/>
  <c r="BN6" i="12"/>
  <c r="BM6" i="12"/>
  <c r="BL6" i="12"/>
  <c r="BK6" i="12"/>
  <c r="BJ6" i="12"/>
  <c r="BI6" i="12"/>
  <c r="BH6" i="12"/>
  <c r="BG6" i="12"/>
  <c r="BF6" i="12"/>
  <c r="BE6" i="12"/>
  <c r="BD6" i="12"/>
  <c r="BC6" i="12"/>
  <c r="BB6" i="12"/>
  <c r="BA6" i="12"/>
  <c r="AZ6" i="12"/>
  <c r="AY6" i="12"/>
  <c r="AX6" i="12"/>
  <c r="AW6" i="12"/>
  <c r="AV6" i="12"/>
  <c r="AU6" i="12"/>
  <c r="AT6" i="12"/>
  <c r="AS6" i="12"/>
  <c r="AR6" i="12"/>
  <c r="AQ6" i="12"/>
  <c r="AP6" i="12"/>
  <c r="AO6" i="12"/>
  <c r="AN6" i="12"/>
  <c r="AM6" i="12"/>
  <c r="AL6" i="12"/>
  <c r="AK6" i="12"/>
  <c r="AJ6" i="12"/>
  <c r="AI6" i="12"/>
  <c r="AH6" i="12"/>
  <c r="AG6" i="12"/>
  <c r="AF6" i="12"/>
  <c r="AE6" i="12"/>
  <c r="AD6" i="12"/>
  <c r="AC6" i="12"/>
  <c r="AB6" i="12"/>
  <c r="AA6" i="12"/>
  <c r="Z6" i="12"/>
  <c r="Y6" i="12"/>
  <c r="X6" i="12"/>
  <c r="W6" i="12"/>
  <c r="V6" i="12"/>
  <c r="U6" i="12"/>
  <c r="T6" i="12"/>
  <c r="S6" i="12"/>
  <c r="R6" i="12"/>
  <c r="Q6" i="12"/>
  <c r="P6" i="12"/>
  <c r="O6" i="12"/>
  <c r="N6" i="12"/>
  <c r="M6" i="12"/>
  <c r="L6" i="12"/>
  <c r="K6" i="12"/>
  <c r="J6" i="12"/>
  <c r="I6" i="12"/>
  <c r="H6" i="12"/>
  <c r="G6" i="12"/>
  <c r="F6" i="12"/>
  <c r="E6" i="12"/>
  <c r="CK4" i="12"/>
  <c r="CJ4" i="12"/>
  <c r="CI4" i="12"/>
  <c r="CH4" i="12"/>
  <c r="CG4" i="12"/>
  <c r="CF4" i="12"/>
  <c r="CE4" i="12"/>
  <c r="CD4" i="12"/>
  <c r="CC4" i="12"/>
  <c r="CB4" i="12"/>
  <c r="CA4" i="12"/>
  <c r="BZ4" i="12"/>
  <c r="BY4" i="12"/>
  <c r="BX4" i="12"/>
  <c r="BW4" i="12"/>
  <c r="BV4" i="12"/>
  <c r="BU4" i="12"/>
  <c r="BT4" i="12"/>
  <c r="BS4" i="12"/>
  <c r="BR4" i="12"/>
  <c r="BQ4" i="12"/>
  <c r="BP4" i="12"/>
  <c r="BO4" i="12"/>
  <c r="BN4" i="12"/>
  <c r="BM4" i="12"/>
  <c r="BL4" i="12"/>
  <c r="BK4" i="12"/>
  <c r="BJ4" i="12"/>
  <c r="BI4" i="12"/>
  <c r="BH4" i="12"/>
  <c r="BG4" i="12"/>
  <c r="BF4" i="12"/>
  <c r="BE4" i="12"/>
  <c r="BD4" i="12"/>
  <c r="BC4" i="12"/>
  <c r="BB4" i="12"/>
  <c r="BA4" i="12"/>
  <c r="AZ4" i="12"/>
  <c r="AY4" i="12"/>
  <c r="AX4" i="12"/>
  <c r="AW4" i="12"/>
  <c r="AV4" i="12"/>
  <c r="AU4" i="12"/>
  <c r="AT4" i="12"/>
  <c r="AS4" i="12"/>
  <c r="AR4" i="12"/>
  <c r="AQ4" i="12"/>
  <c r="AP4" i="12"/>
  <c r="AO4" i="12"/>
  <c r="AN4" i="12"/>
  <c r="AM4" i="12"/>
  <c r="AL4" i="12"/>
  <c r="AK4" i="12"/>
  <c r="AJ4" i="12"/>
  <c r="AI4" i="12"/>
  <c r="AH4" i="12"/>
  <c r="AG4" i="12"/>
  <c r="AF4" i="12"/>
  <c r="AE4" i="12"/>
  <c r="AD4" i="12"/>
  <c r="AC4" i="12"/>
  <c r="AB4" i="12"/>
  <c r="AA4" i="12"/>
  <c r="Z4" i="12"/>
  <c r="Y4" i="12"/>
  <c r="X4" i="12"/>
  <c r="W4" i="12"/>
  <c r="V4" i="12"/>
  <c r="U4" i="12"/>
  <c r="T4" i="12"/>
  <c r="S4" i="12"/>
  <c r="R4" i="12"/>
  <c r="Q4" i="12"/>
  <c r="P4" i="12"/>
  <c r="O4" i="12"/>
  <c r="N4" i="12"/>
  <c r="M4" i="12"/>
  <c r="L4" i="12"/>
  <c r="K4" i="12"/>
  <c r="J4" i="12"/>
  <c r="I4" i="12"/>
  <c r="H4" i="12"/>
  <c r="G4" i="12"/>
  <c r="F4" i="12"/>
  <c r="E4" i="12"/>
  <c r="CK3" i="12"/>
  <c r="CJ3" i="12"/>
  <c r="CI3" i="12"/>
  <c r="CH3" i="12"/>
  <c r="CG3" i="12"/>
  <c r="CF3" i="12"/>
  <c r="CE3" i="12"/>
  <c r="CD3" i="12"/>
  <c r="CC3" i="12"/>
  <c r="CB3" i="12"/>
  <c r="CA3" i="12"/>
  <c r="BZ3" i="12"/>
  <c r="BY3" i="12"/>
  <c r="BX3" i="12"/>
  <c r="BW3" i="12"/>
  <c r="BV3" i="12"/>
  <c r="BU3" i="12"/>
  <c r="BT3" i="12"/>
  <c r="BS3" i="12"/>
  <c r="BR3" i="12"/>
  <c r="BQ3" i="12"/>
  <c r="BP3" i="12"/>
  <c r="BO3" i="12"/>
  <c r="BN3" i="12"/>
  <c r="BM3" i="12"/>
  <c r="BL3" i="12"/>
  <c r="BK3" i="12"/>
  <c r="BJ3" i="12"/>
  <c r="BI3" i="12"/>
  <c r="BH3" i="12"/>
  <c r="BG3" i="12"/>
  <c r="BF3" i="12"/>
  <c r="BE3" i="12"/>
  <c r="BD3" i="12"/>
  <c r="BC3" i="12"/>
  <c r="BB3" i="12"/>
  <c r="BA3" i="12"/>
  <c r="AZ3" i="12"/>
  <c r="AY3" i="12"/>
  <c r="AX3" i="12"/>
  <c r="AW3" i="12"/>
  <c r="AV3" i="12"/>
  <c r="AU3" i="12"/>
  <c r="AT3" i="12"/>
  <c r="AS3" i="12"/>
  <c r="AR3" i="12"/>
  <c r="AQ3" i="12"/>
  <c r="AP3" i="12"/>
  <c r="AO3" i="12"/>
  <c r="AN3" i="12"/>
  <c r="AM3" i="12"/>
  <c r="AL3" i="12"/>
  <c r="AK3" i="12"/>
  <c r="AJ3" i="12"/>
  <c r="AI3" i="12"/>
  <c r="AH3" i="12"/>
  <c r="AG3" i="12"/>
  <c r="AF3" i="12"/>
  <c r="AE3" i="12"/>
  <c r="AD3" i="12"/>
  <c r="AC3" i="12"/>
  <c r="AB3" i="12"/>
  <c r="AA3" i="12"/>
  <c r="Z3" i="12"/>
  <c r="Y3" i="12"/>
  <c r="X3" i="12"/>
  <c r="W3" i="12"/>
  <c r="V3" i="12"/>
  <c r="U3" i="12"/>
  <c r="T3" i="12"/>
  <c r="S3" i="12"/>
  <c r="R3" i="12"/>
  <c r="Q3" i="12"/>
  <c r="P3" i="12"/>
  <c r="O3" i="12"/>
  <c r="N3" i="12"/>
  <c r="M3" i="12"/>
  <c r="L3" i="12"/>
  <c r="K3" i="12"/>
  <c r="J3" i="12"/>
  <c r="I3" i="12"/>
  <c r="H3" i="12"/>
  <c r="G3" i="12"/>
  <c r="F3" i="12"/>
  <c r="E3" i="12"/>
  <c r="CL2" i="12"/>
  <c r="CL5" i="12" s="1"/>
  <c r="CK2" i="12"/>
  <c r="CJ2" i="12"/>
  <c r="CI2" i="12"/>
  <c r="CH2" i="12"/>
  <c r="CG2" i="12"/>
  <c r="CF2" i="12"/>
  <c r="CE2" i="12"/>
  <c r="CD2" i="12"/>
  <c r="CC2" i="12"/>
  <c r="CB2" i="12"/>
  <c r="CA2" i="12"/>
  <c r="BZ2" i="12"/>
  <c r="BY2" i="12"/>
  <c r="BX2" i="12"/>
  <c r="BW2" i="12"/>
  <c r="BV2" i="12"/>
  <c r="BU2" i="12"/>
  <c r="BT2" i="12"/>
  <c r="BS2" i="12"/>
  <c r="BR2" i="12"/>
  <c r="BQ2" i="12"/>
  <c r="BP2" i="12"/>
  <c r="BO2" i="12"/>
  <c r="BN2" i="12"/>
  <c r="BM2" i="12"/>
  <c r="BL2" i="12"/>
  <c r="BK2" i="12"/>
  <c r="BJ2" i="12"/>
  <c r="BI2" i="12"/>
  <c r="BH2" i="12"/>
  <c r="BG2" i="12"/>
  <c r="BF2" i="12"/>
  <c r="BE2" i="12"/>
  <c r="BD2" i="12"/>
  <c r="BC2" i="12"/>
  <c r="BB2" i="12"/>
  <c r="BA2" i="12"/>
  <c r="AZ2" i="12"/>
  <c r="AY2" i="12"/>
  <c r="AX2" i="12"/>
  <c r="AW2" i="12"/>
  <c r="AV2" i="12"/>
  <c r="AU2" i="12"/>
  <c r="AT2" i="12"/>
  <c r="AS2" i="12"/>
  <c r="AR2" i="12"/>
  <c r="AQ2" i="12"/>
  <c r="AP2" i="12"/>
  <c r="AO2" i="12"/>
  <c r="AN2" i="12"/>
  <c r="AM2" i="12"/>
  <c r="AL2" i="12"/>
  <c r="AK2" i="12"/>
  <c r="AJ2" i="12"/>
  <c r="AI2" i="12"/>
  <c r="AH2" i="12"/>
  <c r="AG2" i="12"/>
  <c r="AF2" i="12"/>
  <c r="AE2" i="12"/>
  <c r="AD2" i="12"/>
  <c r="AC2" i="12"/>
  <c r="AB2" i="12"/>
  <c r="AA2" i="12"/>
  <c r="Z2" i="12"/>
  <c r="Y2" i="12"/>
  <c r="X2" i="12"/>
  <c r="W2" i="12"/>
  <c r="V2" i="12"/>
  <c r="U2" i="12"/>
  <c r="T2" i="12"/>
  <c r="S2" i="12"/>
  <c r="R2" i="12"/>
  <c r="Q2" i="12"/>
  <c r="P2" i="12"/>
  <c r="O2" i="12"/>
  <c r="N2" i="12"/>
  <c r="M2" i="12"/>
  <c r="L2" i="12"/>
  <c r="K2" i="12"/>
  <c r="J2" i="12"/>
  <c r="I2" i="12"/>
  <c r="H2" i="12"/>
  <c r="G2" i="12"/>
  <c r="F2" i="12"/>
  <c r="E2" i="12"/>
  <c r="CK74" i="11"/>
  <c r="CK71" i="11"/>
  <c r="CJ71" i="11"/>
  <c r="CI71" i="11"/>
  <c r="CH71" i="11"/>
  <c r="CG71" i="11"/>
  <c r="CF71" i="11"/>
  <c r="CE71" i="11"/>
  <c r="CD71" i="11"/>
  <c r="CC71" i="11"/>
  <c r="CB71" i="11"/>
  <c r="CA71" i="11"/>
  <c r="BZ71" i="11"/>
  <c r="BY71" i="11"/>
  <c r="BX71" i="11"/>
  <c r="BW71" i="11"/>
  <c r="BV71" i="11"/>
  <c r="BU71" i="11"/>
  <c r="BT71" i="11"/>
  <c r="BS71" i="11"/>
  <c r="BR71" i="11"/>
  <c r="BQ71" i="11"/>
  <c r="BP71" i="11"/>
  <c r="BO71" i="11"/>
  <c r="BN71" i="11"/>
  <c r="BM71" i="11"/>
  <c r="BL71" i="11"/>
  <c r="BK71" i="11"/>
  <c r="BJ71" i="11"/>
  <c r="BI71" i="11"/>
  <c r="BH71" i="11"/>
  <c r="BG71" i="11"/>
  <c r="BF71" i="11"/>
  <c r="BE71" i="11"/>
  <c r="BD71" i="11"/>
  <c r="BC71" i="11"/>
  <c r="BB71" i="11"/>
  <c r="BA71" i="11"/>
  <c r="AZ71" i="11"/>
  <c r="AY71" i="11"/>
  <c r="AX71" i="11"/>
  <c r="AW71" i="11"/>
  <c r="AV71" i="11"/>
  <c r="AU71" i="11"/>
  <c r="AT71" i="11"/>
  <c r="AS71" i="11"/>
  <c r="AR71" i="11"/>
  <c r="AQ71" i="11"/>
  <c r="AP71" i="11"/>
  <c r="AO71" i="11"/>
  <c r="AN71" i="11"/>
  <c r="AM71" i="11"/>
  <c r="AL71" i="11"/>
  <c r="AK71" i="11"/>
  <c r="AJ71" i="11"/>
  <c r="AI71" i="11"/>
  <c r="AH71" i="11"/>
  <c r="AG71" i="11"/>
  <c r="AF71" i="11"/>
  <c r="AE71" i="11"/>
  <c r="AD71" i="11"/>
  <c r="AC71" i="11"/>
  <c r="AB71" i="11"/>
  <c r="AA71" i="11"/>
  <c r="Z71" i="11"/>
  <c r="Y71" i="11"/>
  <c r="X71" i="11"/>
  <c r="W71" i="11"/>
  <c r="V71" i="11"/>
  <c r="U71" i="11"/>
  <c r="T71" i="11"/>
  <c r="S71" i="11"/>
  <c r="R71" i="11"/>
  <c r="Q71" i="11"/>
  <c r="P71" i="11"/>
  <c r="O71" i="11"/>
  <c r="N71" i="11"/>
  <c r="M71" i="11"/>
  <c r="L71" i="11"/>
  <c r="K71" i="11"/>
  <c r="J71" i="11"/>
  <c r="I71" i="11"/>
  <c r="H71" i="11"/>
  <c r="G71" i="11"/>
  <c r="F71" i="11"/>
  <c r="E71" i="11"/>
  <c r="CJ68" i="11"/>
  <c r="CI68" i="11"/>
  <c r="CH68" i="11"/>
  <c r="CG68" i="11"/>
  <c r="CF68" i="11"/>
  <c r="CE68" i="11"/>
  <c r="CD68" i="11"/>
  <c r="CC68" i="11"/>
  <c r="CB68" i="11"/>
  <c r="CA68" i="11"/>
  <c r="BZ68" i="11"/>
  <c r="BY68" i="11"/>
  <c r="BX68" i="11"/>
  <c r="BW68" i="11"/>
  <c r="BV68" i="11"/>
  <c r="BU68" i="11"/>
  <c r="BT68" i="11"/>
  <c r="BS68" i="11"/>
  <c r="BR68" i="11"/>
  <c r="BQ68" i="11"/>
  <c r="BP68" i="11"/>
  <c r="BO68" i="11"/>
  <c r="BN68" i="11"/>
  <c r="BM68" i="11"/>
  <c r="BL68" i="11"/>
  <c r="BK68" i="11"/>
  <c r="BJ68" i="11"/>
  <c r="BI68" i="11"/>
  <c r="BH68" i="11"/>
  <c r="BG68" i="11"/>
  <c r="BF68" i="11"/>
  <c r="BE68" i="11"/>
  <c r="BD68" i="11"/>
  <c r="BC68" i="11"/>
  <c r="BB68" i="11"/>
  <c r="BA68" i="11"/>
  <c r="AZ68" i="11"/>
  <c r="AY68" i="11"/>
  <c r="AX68" i="11"/>
  <c r="AW68" i="11"/>
  <c r="AV68" i="11"/>
  <c r="AU68" i="11"/>
  <c r="AT68" i="11"/>
  <c r="AS68" i="11"/>
  <c r="AR68" i="11"/>
  <c r="AQ68" i="11"/>
  <c r="AP68" i="11"/>
  <c r="AO68" i="11"/>
  <c r="AN68" i="11"/>
  <c r="AM68" i="11"/>
  <c r="AL68" i="11"/>
  <c r="AK68" i="11"/>
  <c r="AJ68" i="11"/>
  <c r="AI68" i="11"/>
  <c r="AH68" i="11"/>
  <c r="AG68" i="11"/>
  <c r="AF68" i="11"/>
  <c r="AE68" i="11"/>
  <c r="AD68" i="11"/>
  <c r="AC68" i="11"/>
  <c r="AB68" i="11"/>
  <c r="AA68" i="11"/>
  <c r="Z68" i="11"/>
  <c r="Y68" i="11"/>
  <c r="X68" i="11"/>
  <c r="W68" i="11"/>
  <c r="V68" i="11"/>
  <c r="U68" i="11"/>
  <c r="T68" i="11"/>
  <c r="S68" i="11"/>
  <c r="R68" i="11"/>
  <c r="Q68" i="11"/>
  <c r="P68" i="11"/>
  <c r="O68" i="11"/>
  <c r="N68" i="11"/>
  <c r="M68" i="11"/>
  <c r="L68" i="11"/>
  <c r="K68" i="11"/>
  <c r="J68" i="11"/>
  <c r="I68" i="11"/>
  <c r="H68" i="11"/>
  <c r="G68" i="11"/>
  <c r="F68" i="11"/>
  <c r="E68" i="11"/>
  <c r="CK67" i="11"/>
  <c r="CJ67" i="11"/>
  <c r="CI67" i="11"/>
  <c r="CH67" i="11"/>
  <c r="CG67" i="11"/>
  <c r="CF67" i="11"/>
  <c r="CE67" i="11"/>
  <c r="CD67" i="11"/>
  <c r="CC67" i="11"/>
  <c r="CB67" i="11"/>
  <c r="CA67" i="11"/>
  <c r="BZ67" i="11"/>
  <c r="BY67" i="11"/>
  <c r="BX67" i="11"/>
  <c r="BW67" i="11"/>
  <c r="BV67" i="11"/>
  <c r="BU67" i="11"/>
  <c r="BT67" i="11"/>
  <c r="BS67" i="11"/>
  <c r="BR67" i="11"/>
  <c r="BQ67" i="11"/>
  <c r="BP67" i="11"/>
  <c r="BO67" i="11"/>
  <c r="BN67" i="11"/>
  <c r="BM67" i="11"/>
  <c r="BL67" i="11"/>
  <c r="BK67" i="11"/>
  <c r="BJ67" i="11"/>
  <c r="BI67" i="11"/>
  <c r="BH67" i="11"/>
  <c r="BG67" i="11"/>
  <c r="BF67" i="11"/>
  <c r="BE67" i="11"/>
  <c r="BD67" i="11"/>
  <c r="BC67" i="11"/>
  <c r="BB67" i="11"/>
  <c r="BA67" i="11"/>
  <c r="AZ67" i="11"/>
  <c r="AY67" i="11"/>
  <c r="AX67" i="11"/>
  <c r="AW67" i="11"/>
  <c r="AV67" i="11"/>
  <c r="AU67" i="11"/>
  <c r="AT67" i="11"/>
  <c r="AS67" i="11"/>
  <c r="AR67" i="11"/>
  <c r="AQ67" i="11"/>
  <c r="AP67" i="11"/>
  <c r="AO67" i="11"/>
  <c r="AN67" i="11"/>
  <c r="AM67" i="11"/>
  <c r="AL67" i="11"/>
  <c r="AK67" i="11"/>
  <c r="AJ67" i="11"/>
  <c r="AI67" i="11"/>
  <c r="AH67" i="11"/>
  <c r="AG67" i="11"/>
  <c r="AF67" i="11"/>
  <c r="AE67" i="11"/>
  <c r="AD67" i="11"/>
  <c r="AC67" i="11"/>
  <c r="AB67" i="11"/>
  <c r="AA67" i="11"/>
  <c r="Z67" i="11"/>
  <c r="Y67" i="11"/>
  <c r="X67" i="11"/>
  <c r="W67" i="11"/>
  <c r="V67" i="11"/>
  <c r="U67" i="11"/>
  <c r="T67" i="11"/>
  <c r="S67" i="11"/>
  <c r="R67" i="11"/>
  <c r="Q67" i="11"/>
  <c r="P67" i="11"/>
  <c r="O67" i="11"/>
  <c r="N67" i="11"/>
  <c r="M67" i="11"/>
  <c r="L67" i="11"/>
  <c r="K67" i="11"/>
  <c r="J67" i="11"/>
  <c r="I67" i="11"/>
  <c r="H67" i="11"/>
  <c r="G67" i="11"/>
  <c r="F67" i="11"/>
  <c r="E67" i="11"/>
  <c r="CK64" i="11"/>
  <c r="CK65" i="11" s="1"/>
  <c r="CJ64" i="11"/>
  <c r="CI64" i="11"/>
  <c r="CH64" i="11"/>
  <c r="CG64" i="11"/>
  <c r="CF64" i="11"/>
  <c r="CE64" i="11"/>
  <c r="CD64" i="11"/>
  <c r="CC64" i="11"/>
  <c r="CB64" i="11"/>
  <c r="CA64" i="11"/>
  <c r="BZ64" i="11"/>
  <c r="BY64" i="11"/>
  <c r="BX64" i="11"/>
  <c r="BW64" i="11"/>
  <c r="BV64" i="11"/>
  <c r="BU64" i="11"/>
  <c r="BT64" i="11"/>
  <c r="BS64" i="11"/>
  <c r="BR64" i="11"/>
  <c r="BQ64" i="11"/>
  <c r="BP64" i="11"/>
  <c r="BO64" i="11"/>
  <c r="BN64" i="11"/>
  <c r="BM64" i="11"/>
  <c r="BL64" i="11"/>
  <c r="BK64" i="11"/>
  <c r="BJ64" i="11"/>
  <c r="BI64" i="11"/>
  <c r="BH64" i="11"/>
  <c r="BG64" i="11"/>
  <c r="BF64" i="11"/>
  <c r="BE64" i="11"/>
  <c r="BD64" i="11"/>
  <c r="BC64" i="11"/>
  <c r="BB64" i="11"/>
  <c r="BA64" i="11"/>
  <c r="AZ64" i="11"/>
  <c r="AY64" i="11"/>
  <c r="AX64" i="11"/>
  <c r="AW64" i="11"/>
  <c r="AV64" i="11"/>
  <c r="AU64" i="11"/>
  <c r="AT64" i="11"/>
  <c r="AS64" i="11"/>
  <c r="AR64" i="11"/>
  <c r="AQ64" i="11"/>
  <c r="AP64" i="11"/>
  <c r="AO64" i="11"/>
  <c r="AN64" i="11"/>
  <c r="AM64" i="11"/>
  <c r="AL64" i="11"/>
  <c r="AK64" i="11"/>
  <c r="AJ64" i="11"/>
  <c r="AI64" i="11"/>
  <c r="AH64" i="11"/>
  <c r="AG64" i="11"/>
  <c r="AF64" i="11"/>
  <c r="AE64" i="11"/>
  <c r="AD64" i="11"/>
  <c r="AC64" i="11"/>
  <c r="AB64" i="11"/>
  <c r="AA64" i="11"/>
  <c r="Z64" i="11"/>
  <c r="Y64" i="11"/>
  <c r="X64" i="11"/>
  <c r="W64" i="11"/>
  <c r="V64" i="11"/>
  <c r="U64" i="11"/>
  <c r="T64" i="11"/>
  <c r="S64" i="11"/>
  <c r="R64" i="11"/>
  <c r="Q64" i="11"/>
  <c r="P64" i="11"/>
  <c r="O64" i="11"/>
  <c r="N64" i="11"/>
  <c r="M64" i="11"/>
  <c r="L64" i="11"/>
  <c r="K64" i="11"/>
  <c r="J64" i="11"/>
  <c r="I64" i="11"/>
  <c r="H64" i="11"/>
  <c r="G64" i="11"/>
  <c r="F64" i="11"/>
  <c r="E64" i="11"/>
  <c r="CJ56" i="11"/>
  <c r="CI56" i="11"/>
  <c r="CH56" i="11"/>
  <c r="CG56" i="11"/>
  <c r="CF56" i="11"/>
  <c r="CE56" i="11"/>
  <c r="CD56" i="11"/>
  <c r="CC56" i="11"/>
  <c r="CB56" i="11"/>
  <c r="CA56" i="11"/>
  <c r="BZ56" i="11"/>
  <c r="BY56" i="11"/>
  <c r="BX56" i="11"/>
  <c r="BW56" i="11"/>
  <c r="BV56" i="11"/>
  <c r="BU56" i="11"/>
  <c r="BT56" i="11"/>
  <c r="BS56" i="11"/>
  <c r="BR56" i="11"/>
  <c r="BQ56" i="11"/>
  <c r="BP56" i="11"/>
  <c r="BO56" i="11"/>
  <c r="BN56" i="11"/>
  <c r="BM56" i="11"/>
  <c r="BL56" i="11"/>
  <c r="BK56" i="11"/>
  <c r="BJ56" i="11"/>
  <c r="BI56" i="11"/>
  <c r="BH56" i="11"/>
  <c r="BG56" i="11"/>
  <c r="BF56" i="11"/>
  <c r="BE56" i="11"/>
  <c r="BD56" i="11"/>
  <c r="BC56" i="11"/>
  <c r="BB56" i="11"/>
  <c r="BA56" i="11"/>
  <c r="AZ56" i="11"/>
  <c r="AY56" i="11"/>
  <c r="AX56" i="11"/>
  <c r="AW56" i="11"/>
  <c r="AV56" i="11"/>
  <c r="AU56" i="11"/>
  <c r="AT56" i="11"/>
  <c r="AS56" i="11"/>
  <c r="AR56" i="11"/>
  <c r="AQ56" i="11"/>
  <c r="AP56" i="11"/>
  <c r="AO56" i="11"/>
  <c r="AN56" i="11"/>
  <c r="AM56" i="11"/>
  <c r="AL56" i="11"/>
  <c r="AK56" i="11"/>
  <c r="AJ56" i="11"/>
  <c r="AI56" i="11"/>
  <c r="AH56" i="11"/>
  <c r="AG56" i="11"/>
  <c r="AF56" i="11"/>
  <c r="AE56" i="11"/>
  <c r="AD56" i="11"/>
  <c r="AC56" i="11"/>
  <c r="AB56" i="11"/>
  <c r="AA56" i="11"/>
  <c r="Z56" i="11"/>
  <c r="Y56" i="11"/>
  <c r="X56" i="11"/>
  <c r="W56" i="11"/>
  <c r="V56" i="11"/>
  <c r="U56" i="11"/>
  <c r="T56" i="11"/>
  <c r="S56" i="11"/>
  <c r="R56" i="11"/>
  <c r="Q56" i="11"/>
  <c r="P56" i="11"/>
  <c r="O56" i="11"/>
  <c r="N56" i="11"/>
  <c r="M56" i="11"/>
  <c r="L56" i="11"/>
  <c r="K56" i="11"/>
  <c r="J56" i="11"/>
  <c r="I56" i="11"/>
  <c r="H56" i="11"/>
  <c r="G56" i="11"/>
  <c r="F56" i="11"/>
  <c r="E56" i="11"/>
  <c r="CK49" i="11"/>
  <c r="CJ49" i="11"/>
  <c r="CJ63" i="11" s="1"/>
  <c r="CI49" i="11"/>
  <c r="CI63" i="11" s="1"/>
  <c r="CH49" i="11"/>
  <c r="CH63" i="11" s="1"/>
  <c r="CG49" i="11"/>
  <c r="CF49" i="11"/>
  <c r="CF63" i="11" s="1"/>
  <c r="CE49" i="11"/>
  <c r="CE63" i="11" s="1"/>
  <c r="CD49" i="11"/>
  <c r="CC49" i="11"/>
  <c r="CC63" i="11" s="1"/>
  <c r="CB49" i="11"/>
  <c r="CB63" i="11" s="1"/>
  <c r="CA49" i="11"/>
  <c r="CA63" i="11" s="1"/>
  <c r="BZ49" i="11"/>
  <c r="BZ63" i="11" s="1"/>
  <c r="BY49" i="11"/>
  <c r="BX49" i="11"/>
  <c r="BX63" i="11" s="1"/>
  <c r="BW49" i="11"/>
  <c r="BW63" i="11" s="1"/>
  <c r="BV49" i="11"/>
  <c r="BU49" i="11"/>
  <c r="BU63" i="11" s="1"/>
  <c r="BT49" i="11"/>
  <c r="BT63" i="11" s="1"/>
  <c r="BS49" i="11"/>
  <c r="BS63" i="11" s="1"/>
  <c r="BR49" i="11"/>
  <c r="BR63" i="11" s="1"/>
  <c r="BQ49" i="11"/>
  <c r="BP49" i="11"/>
  <c r="BP63" i="11" s="1"/>
  <c r="BO49" i="11"/>
  <c r="BO63" i="11" s="1"/>
  <c r="BN49" i="11"/>
  <c r="BM49" i="11"/>
  <c r="BM63" i="11" s="1"/>
  <c r="BL49" i="11"/>
  <c r="BL63" i="11" s="1"/>
  <c r="BK49" i="11"/>
  <c r="BK63" i="11" s="1"/>
  <c r="BJ49" i="11"/>
  <c r="BJ63" i="11" s="1"/>
  <c r="BI49" i="11"/>
  <c r="BH49" i="11"/>
  <c r="BG49" i="11"/>
  <c r="BG63" i="11" s="1"/>
  <c r="BF49" i="11"/>
  <c r="BE49" i="11"/>
  <c r="BE63" i="11" s="1"/>
  <c r="BD49" i="11"/>
  <c r="BD63" i="11" s="1"/>
  <c r="BC49" i="11"/>
  <c r="BC63" i="11" s="1"/>
  <c r="BB49" i="11"/>
  <c r="BB63" i="11" s="1"/>
  <c r="BA49" i="11"/>
  <c r="AZ49" i="11"/>
  <c r="AZ63" i="11" s="1"/>
  <c r="AY49" i="11"/>
  <c r="AY63" i="11" s="1"/>
  <c r="AX49" i="11"/>
  <c r="AW49" i="11"/>
  <c r="AW63" i="11" s="1"/>
  <c r="AV49" i="11"/>
  <c r="AV63" i="11" s="1"/>
  <c r="AU49" i="11"/>
  <c r="AU63" i="11" s="1"/>
  <c r="AT49" i="11"/>
  <c r="AT63" i="11" s="1"/>
  <c r="AS49" i="11"/>
  <c r="AR49" i="11"/>
  <c r="AR63" i="11" s="1"/>
  <c r="AQ49" i="11"/>
  <c r="AQ63" i="11" s="1"/>
  <c r="AP49" i="11"/>
  <c r="AO49" i="11"/>
  <c r="AO63" i="11" s="1"/>
  <c r="AN49" i="11"/>
  <c r="AN63" i="11" s="1"/>
  <c r="AM49" i="11"/>
  <c r="AM63" i="11" s="1"/>
  <c r="AL49" i="11"/>
  <c r="AL63" i="11" s="1"/>
  <c r="AK49" i="11"/>
  <c r="AJ49" i="11"/>
  <c r="AI49" i="11"/>
  <c r="AH49" i="11"/>
  <c r="AG49" i="11"/>
  <c r="AG63" i="11" s="1"/>
  <c r="AF49" i="11"/>
  <c r="AE49" i="11"/>
  <c r="AE63" i="11" s="1"/>
  <c r="AD49" i="11"/>
  <c r="AC49" i="11"/>
  <c r="AB49" i="11"/>
  <c r="AB63" i="11" s="1"/>
  <c r="AA49" i="11"/>
  <c r="AA63" i="11" s="1"/>
  <c r="Z49" i="11"/>
  <c r="Y49" i="11"/>
  <c r="Y63" i="11" s="1"/>
  <c r="X49" i="11"/>
  <c r="W49" i="11"/>
  <c r="V49" i="11"/>
  <c r="U49" i="11"/>
  <c r="T49" i="11"/>
  <c r="T63" i="11" s="1"/>
  <c r="S49" i="11"/>
  <c r="S63" i="11" s="1"/>
  <c r="R49" i="11"/>
  <c r="Q49" i="11"/>
  <c r="Q63" i="11" s="1"/>
  <c r="P49" i="11"/>
  <c r="O49" i="11"/>
  <c r="N49" i="11"/>
  <c r="M49" i="11"/>
  <c r="L49" i="11"/>
  <c r="K49" i="11"/>
  <c r="J49" i="11"/>
  <c r="J63" i="11" s="1"/>
  <c r="I49" i="11"/>
  <c r="I63" i="11" s="1"/>
  <c r="H49" i="11"/>
  <c r="H63" i="11" s="1"/>
  <c r="G49" i="11"/>
  <c r="F49" i="11"/>
  <c r="E49" i="11"/>
  <c r="CJ42" i="11"/>
  <c r="CI42" i="11"/>
  <c r="CH42" i="11"/>
  <c r="CG42" i="11"/>
  <c r="CF42" i="11"/>
  <c r="CE42" i="11"/>
  <c r="CD42" i="11"/>
  <c r="CC42" i="11"/>
  <c r="CB42" i="11"/>
  <c r="CA42" i="11"/>
  <c r="BZ42" i="11"/>
  <c r="BY42" i="11"/>
  <c r="BX42" i="11"/>
  <c r="BW42" i="11"/>
  <c r="BV42" i="11"/>
  <c r="BU42" i="11"/>
  <c r="BT42" i="11"/>
  <c r="BS42" i="11"/>
  <c r="BR42" i="11"/>
  <c r="BQ42" i="11"/>
  <c r="BP42" i="11"/>
  <c r="BO42" i="11"/>
  <c r="BN42" i="11"/>
  <c r="BM42" i="11"/>
  <c r="BL42" i="11"/>
  <c r="BK42" i="11"/>
  <c r="BJ42" i="11"/>
  <c r="BI42" i="11"/>
  <c r="BH42" i="11"/>
  <c r="BG42" i="11"/>
  <c r="BF42" i="11"/>
  <c r="BE42" i="11"/>
  <c r="BD42" i="11"/>
  <c r="BC42" i="11"/>
  <c r="BB42" i="11"/>
  <c r="BA42" i="11"/>
  <c r="AZ42" i="11"/>
  <c r="AY42" i="11"/>
  <c r="AX42" i="11"/>
  <c r="AW42" i="11"/>
  <c r="AV42" i="11"/>
  <c r="AU42" i="11"/>
  <c r="AT42" i="11"/>
  <c r="AS42" i="11"/>
  <c r="AR42" i="11"/>
  <c r="AQ42" i="11"/>
  <c r="AP42" i="11"/>
  <c r="AO42" i="11"/>
  <c r="AN42" i="11"/>
  <c r="AM42" i="11"/>
  <c r="AL42" i="11"/>
  <c r="AK42" i="11"/>
  <c r="AJ42" i="11"/>
  <c r="AI42" i="11"/>
  <c r="AH42" i="11"/>
  <c r="AG42" i="11"/>
  <c r="AF42" i="11"/>
  <c r="AE42" i="11"/>
  <c r="AD42" i="11"/>
  <c r="AC42" i="11"/>
  <c r="AB42" i="11"/>
  <c r="AA42" i="11"/>
  <c r="Z42" i="11"/>
  <c r="Y42" i="11"/>
  <c r="X42" i="11"/>
  <c r="W42" i="11"/>
  <c r="V42" i="11"/>
  <c r="U42" i="11"/>
  <c r="T42" i="11"/>
  <c r="S42" i="11"/>
  <c r="R42" i="11"/>
  <c r="Q42" i="11"/>
  <c r="P42" i="11"/>
  <c r="O42" i="11"/>
  <c r="N42" i="11"/>
  <c r="M42" i="11"/>
  <c r="L42" i="11"/>
  <c r="K42" i="11"/>
  <c r="J42" i="11"/>
  <c r="I42" i="11"/>
  <c r="H42" i="11"/>
  <c r="G42" i="11"/>
  <c r="F42" i="11"/>
  <c r="E42" i="11"/>
  <c r="CJ41" i="11"/>
  <c r="CI41" i="11"/>
  <c r="CH41" i="11"/>
  <c r="CG41" i="11"/>
  <c r="CF41" i="11"/>
  <c r="CE41" i="11"/>
  <c r="CD41" i="11"/>
  <c r="CC41" i="11"/>
  <c r="CB41" i="11"/>
  <c r="CA41" i="11"/>
  <c r="BZ41" i="11"/>
  <c r="BY41" i="11"/>
  <c r="BX41" i="11"/>
  <c r="BW41" i="11"/>
  <c r="BV41" i="11"/>
  <c r="BU41" i="11"/>
  <c r="BT41" i="11"/>
  <c r="BS41" i="11"/>
  <c r="BR41" i="11"/>
  <c r="BQ41" i="11"/>
  <c r="BP41" i="11"/>
  <c r="BO41" i="11"/>
  <c r="BN41" i="11"/>
  <c r="BM41" i="11"/>
  <c r="BL41" i="11"/>
  <c r="BK41" i="11"/>
  <c r="BJ41" i="11"/>
  <c r="BI41" i="11"/>
  <c r="BH41" i="11"/>
  <c r="BG41" i="11"/>
  <c r="BF41" i="11"/>
  <c r="BE41" i="11"/>
  <c r="BD41" i="11"/>
  <c r="BC41" i="11"/>
  <c r="BB41" i="11"/>
  <c r="BA41" i="11"/>
  <c r="AZ41" i="11"/>
  <c r="AY41" i="11"/>
  <c r="AX41" i="11"/>
  <c r="AW41" i="11"/>
  <c r="AV41" i="11"/>
  <c r="AU41" i="11"/>
  <c r="AT41" i="11"/>
  <c r="AS41" i="11"/>
  <c r="AR41" i="11"/>
  <c r="AQ41" i="11"/>
  <c r="AP41" i="11"/>
  <c r="AO41" i="11"/>
  <c r="AN41" i="11"/>
  <c r="AM41" i="11"/>
  <c r="AL41" i="11"/>
  <c r="AK41" i="11"/>
  <c r="AJ41" i="11"/>
  <c r="AI41" i="11"/>
  <c r="AH41" i="11"/>
  <c r="AG41" i="11"/>
  <c r="AF41" i="11"/>
  <c r="AE41" i="11"/>
  <c r="AD41" i="11"/>
  <c r="AC41" i="11"/>
  <c r="AB41" i="11"/>
  <c r="AA41" i="11"/>
  <c r="Z41" i="11"/>
  <c r="Y41" i="11"/>
  <c r="X41" i="11"/>
  <c r="W41" i="11"/>
  <c r="V41" i="11"/>
  <c r="U41" i="11"/>
  <c r="T41" i="11"/>
  <c r="S41" i="11"/>
  <c r="R41" i="11"/>
  <c r="Q41" i="11"/>
  <c r="P41" i="11"/>
  <c r="O41" i="11"/>
  <c r="N41" i="11"/>
  <c r="M41" i="11"/>
  <c r="L41" i="11"/>
  <c r="K41" i="11"/>
  <c r="J41" i="11"/>
  <c r="I41" i="11"/>
  <c r="H41" i="11"/>
  <c r="G41" i="11"/>
  <c r="F41" i="11"/>
  <c r="E41" i="11"/>
  <c r="CK40" i="11"/>
  <c r="CJ40" i="11"/>
  <c r="CI40" i="11"/>
  <c r="CH40" i="11"/>
  <c r="CG40" i="11"/>
  <c r="CF40" i="11"/>
  <c r="CE40" i="11"/>
  <c r="CD40" i="11"/>
  <c r="CC40" i="11"/>
  <c r="CB40" i="11"/>
  <c r="CA40" i="11"/>
  <c r="BZ40" i="11"/>
  <c r="BY40" i="11"/>
  <c r="BX40" i="11"/>
  <c r="BW40" i="11"/>
  <c r="BV40" i="11"/>
  <c r="BU40" i="11"/>
  <c r="BT40" i="11"/>
  <c r="BS40" i="11"/>
  <c r="BR40" i="11"/>
  <c r="BQ40" i="11"/>
  <c r="BP40" i="11"/>
  <c r="BO40" i="11"/>
  <c r="BN40" i="11"/>
  <c r="BM40" i="11"/>
  <c r="BL40" i="11"/>
  <c r="BK40" i="11"/>
  <c r="BJ40" i="11"/>
  <c r="BI40" i="11"/>
  <c r="BH40" i="11"/>
  <c r="BG40" i="11"/>
  <c r="BF40" i="11"/>
  <c r="BE40" i="11"/>
  <c r="BD40" i="11"/>
  <c r="BC40" i="11"/>
  <c r="BB40" i="11"/>
  <c r="BA40" i="11"/>
  <c r="AZ40" i="11"/>
  <c r="AY40" i="11"/>
  <c r="AX40" i="11"/>
  <c r="AW40" i="11"/>
  <c r="AV40" i="11"/>
  <c r="AU40" i="11"/>
  <c r="AT40" i="11"/>
  <c r="AS40" i="11"/>
  <c r="AR40" i="11"/>
  <c r="AQ40" i="11"/>
  <c r="AP40" i="11"/>
  <c r="AO40" i="11"/>
  <c r="AN40" i="11"/>
  <c r="AM40" i="11"/>
  <c r="AL40" i="11"/>
  <c r="AK40" i="11"/>
  <c r="AJ40" i="11"/>
  <c r="AI40" i="11"/>
  <c r="AH40" i="11"/>
  <c r="AG40" i="11"/>
  <c r="AF40" i="11"/>
  <c r="AE40" i="11"/>
  <c r="AD40" i="11"/>
  <c r="AC40" i="11"/>
  <c r="AB40" i="11"/>
  <c r="AA40" i="11"/>
  <c r="Z40" i="11"/>
  <c r="Y40" i="11"/>
  <c r="X40" i="11"/>
  <c r="W40" i="11"/>
  <c r="V40" i="11"/>
  <c r="U40" i="11"/>
  <c r="T40" i="11"/>
  <c r="S40" i="11"/>
  <c r="R40" i="11"/>
  <c r="Q40" i="11"/>
  <c r="P40" i="11"/>
  <c r="O40" i="11"/>
  <c r="N40" i="11"/>
  <c r="M40" i="11"/>
  <c r="L40" i="11"/>
  <c r="K40" i="11"/>
  <c r="J40" i="11"/>
  <c r="I40" i="11"/>
  <c r="H40" i="11"/>
  <c r="G40" i="11"/>
  <c r="F40" i="11"/>
  <c r="E40" i="11"/>
  <c r="CK39" i="11"/>
  <c r="CJ39" i="11"/>
  <c r="CI39" i="11"/>
  <c r="CH39" i="11"/>
  <c r="CG39" i="11"/>
  <c r="CF39" i="11"/>
  <c r="CE39" i="11"/>
  <c r="CD39" i="11"/>
  <c r="CC39" i="11"/>
  <c r="CB39" i="11"/>
  <c r="CA39" i="11"/>
  <c r="BZ39" i="11"/>
  <c r="BY39" i="11"/>
  <c r="BX39" i="11"/>
  <c r="BW39" i="11"/>
  <c r="BV39" i="11"/>
  <c r="BU39" i="11"/>
  <c r="BT39" i="11"/>
  <c r="BS39" i="11"/>
  <c r="BR39" i="11"/>
  <c r="BQ39" i="11"/>
  <c r="BP39" i="11"/>
  <c r="BO39" i="11"/>
  <c r="BN39" i="11"/>
  <c r="BM39" i="11"/>
  <c r="BL39" i="11"/>
  <c r="BK39" i="11"/>
  <c r="BJ39" i="11"/>
  <c r="BI39" i="11"/>
  <c r="BH39" i="11"/>
  <c r="BG39" i="11"/>
  <c r="BF39" i="11"/>
  <c r="BE39" i="11"/>
  <c r="BD39" i="11"/>
  <c r="BC39" i="11"/>
  <c r="BB39" i="11"/>
  <c r="BA39" i="11"/>
  <c r="AZ39" i="11"/>
  <c r="AY39" i="11"/>
  <c r="AX39" i="11"/>
  <c r="AW39" i="11"/>
  <c r="AV39" i="11"/>
  <c r="AU39" i="11"/>
  <c r="AT39" i="11"/>
  <c r="AS39" i="11"/>
  <c r="AR39" i="11"/>
  <c r="AQ39" i="11"/>
  <c r="AP39" i="11"/>
  <c r="AO39" i="11"/>
  <c r="AN39" i="11"/>
  <c r="AM39" i="11"/>
  <c r="AL39" i="11"/>
  <c r="AK39" i="11"/>
  <c r="AJ39" i="11"/>
  <c r="AI39" i="11"/>
  <c r="AH39" i="11"/>
  <c r="AG39" i="11"/>
  <c r="AF39" i="11"/>
  <c r="AE39" i="11"/>
  <c r="AD39" i="11"/>
  <c r="AC39" i="11"/>
  <c r="AB39" i="11"/>
  <c r="AA39" i="11"/>
  <c r="Z39" i="11"/>
  <c r="Y39" i="11"/>
  <c r="X39" i="11"/>
  <c r="W39" i="11"/>
  <c r="V39" i="11"/>
  <c r="U39" i="11"/>
  <c r="T39" i="11"/>
  <c r="S39" i="11"/>
  <c r="R39" i="11"/>
  <c r="Q39" i="11"/>
  <c r="P39" i="11"/>
  <c r="O39" i="11"/>
  <c r="N39" i="11"/>
  <c r="M39" i="11"/>
  <c r="L39" i="11"/>
  <c r="K39" i="11"/>
  <c r="J39" i="11"/>
  <c r="I39" i="11"/>
  <c r="H39" i="11"/>
  <c r="G39" i="11"/>
  <c r="F39" i="11"/>
  <c r="E39" i="11"/>
  <c r="CK38" i="11"/>
  <c r="CJ38" i="11"/>
  <c r="CI38" i="11"/>
  <c r="CH38" i="11"/>
  <c r="CG38" i="11"/>
  <c r="CF38" i="11"/>
  <c r="CE38" i="11"/>
  <c r="CD38" i="11"/>
  <c r="CC38" i="11"/>
  <c r="CB38" i="11"/>
  <c r="CA38" i="11"/>
  <c r="BZ38" i="11"/>
  <c r="BY38" i="11"/>
  <c r="BX38" i="11"/>
  <c r="BW38" i="11"/>
  <c r="BV38" i="11"/>
  <c r="BU38" i="11"/>
  <c r="BT38" i="11"/>
  <c r="BS38" i="11"/>
  <c r="BR38" i="11"/>
  <c r="BQ38" i="11"/>
  <c r="BP38" i="11"/>
  <c r="BO38" i="11"/>
  <c r="BN38" i="11"/>
  <c r="BM38" i="11"/>
  <c r="BL38" i="11"/>
  <c r="BK38" i="11"/>
  <c r="BJ38" i="11"/>
  <c r="BI38" i="11"/>
  <c r="BH38" i="11"/>
  <c r="BG38" i="11"/>
  <c r="BF38" i="11"/>
  <c r="BE38" i="11"/>
  <c r="BD38" i="11"/>
  <c r="BC38" i="11"/>
  <c r="BB38" i="11"/>
  <c r="BA38" i="11"/>
  <c r="AZ38" i="11"/>
  <c r="AY38" i="11"/>
  <c r="AX38" i="11"/>
  <c r="AW38" i="11"/>
  <c r="AV38" i="11"/>
  <c r="AU38" i="11"/>
  <c r="AT38" i="11"/>
  <c r="AS38" i="11"/>
  <c r="AR38" i="11"/>
  <c r="AQ38" i="11"/>
  <c r="AP38" i="11"/>
  <c r="AO38" i="11"/>
  <c r="AN38" i="11"/>
  <c r="AM38" i="11"/>
  <c r="AL38" i="11"/>
  <c r="AK38" i="11"/>
  <c r="AJ38" i="11"/>
  <c r="AI38" i="11"/>
  <c r="AH38" i="11"/>
  <c r="AG38" i="11"/>
  <c r="AF38" i="11"/>
  <c r="AE38" i="11"/>
  <c r="AD38" i="11"/>
  <c r="AC38" i="11"/>
  <c r="AB38" i="11"/>
  <c r="AA38" i="11"/>
  <c r="Z38" i="11"/>
  <c r="Y38" i="11"/>
  <c r="X38" i="11"/>
  <c r="W38" i="11"/>
  <c r="V38" i="11"/>
  <c r="U38" i="11"/>
  <c r="T38" i="11"/>
  <c r="S38" i="11"/>
  <c r="R38" i="11"/>
  <c r="Q38" i="11"/>
  <c r="P38" i="11"/>
  <c r="O38" i="11"/>
  <c r="N38" i="11"/>
  <c r="M38" i="11"/>
  <c r="L38" i="11"/>
  <c r="K38" i="11"/>
  <c r="J38" i="11"/>
  <c r="I38" i="11"/>
  <c r="H38" i="11"/>
  <c r="G38" i="11"/>
  <c r="F38" i="11"/>
  <c r="E38" i="11"/>
  <c r="CJ37" i="11"/>
  <c r="CI37" i="11"/>
  <c r="CH37" i="11"/>
  <c r="CG37" i="11"/>
  <c r="CF37" i="11"/>
  <c r="CE37" i="11"/>
  <c r="CD37" i="11"/>
  <c r="CC37" i="11"/>
  <c r="CB37" i="11"/>
  <c r="CA37" i="11"/>
  <c r="BZ37" i="11"/>
  <c r="BY37" i="11"/>
  <c r="BX37" i="11"/>
  <c r="BW37" i="11"/>
  <c r="BV37" i="11"/>
  <c r="BU37" i="11"/>
  <c r="BT37" i="11"/>
  <c r="BS37" i="11"/>
  <c r="BR37" i="11"/>
  <c r="BQ37" i="11"/>
  <c r="BP37" i="11"/>
  <c r="BO37" i="11"/>
  <c r="BN37" i="11"/>
  <c r="BM37" i="11"/>
  <c r="BL37" i="11"/>
  <c r="BK37" i="11"/>
  <c r="BJ37" i="11"/>
  <c r="BI37" i="11"/>
  <c r="BH37" i="11"/>
  <c r="BG37" i="11"/>
  <c r="BF37" i="11"/>
  <c r="BE37" i="11"/>
  <c r="BD37" i="11"/>
  <c r="BC37" i="11"/>
  <c r="BB37" i="11"/>
  <c r="BA37" i="11"/>
  <c r="AZ37" i="11"/>
  <c r="AY37" i="11"/>
  <c r="AX37" i="11"/>
  <c r="AW37" i="11"/>
  <c r="AV37" i="11"/>
  <c r="AU37" i="11"/>
  <c r="AT37" i="11"/>
  <c r="AS37" i="11"/>
  <c r="AR37" i="11"/>
  <c r="AQ37" i="11"/>
  <c r="AP37" i="11"/>
  <c r="AO37" i="11"/>
  <c r="AN37" i="11"/>
  <c r="AM37" i="11"/>
  <c r="AL37" i="11"/>
  <c r="AK37" i="11"/>
  <c r="AJ37" i="11"/>
  <c r="AI37" i="11"/>
  <c r="AH37" i="11"/>
  <c r="AG37" i="11"/>
  <c r="AF37" i="11"/>
  <c r="AE37" i="11"/>
  <c r="AD37" i="11"/>
  <c r="AC37" i="11"/>
  <c r="AB37" i="11"/>
  <c r="AA37" i="11"/>
  <c r="Z37" i="11"/>
  <c r="Y37" i="11"/>
  <c r="X37" i="11"/>
  <c r="W37" i="11"/>
  <c r="V37" i="11"/>
  <c r="U37" i="11"/>
  <c r="T37" i="11"/>
  <c r="S37" i="11"/>
  <c r="R37" i="11"/>
  <c r="Q37" i="11"/>
  <c r="P37" i="11"/>
  <c r="O37" i="11"/>
  <c r="N37" i="11"/>
  <c r="M37" i="11"/>
  <c r="L37" i="11"/>
  <c r="K37" i="11"/>
  <c r="J37" i="11"/>
  <c r="I37" i="11"/>
  <c r="H37" i="11"/>
  <c r="G37" i="11"/>
  <c r="F37" i="11"/>
  <c r="E37" i="11"/>
  <c r="CJ36" i="11"/>
  <c r="CI36" i="11"/>
  <c r="CH36" i="11"/>
  <c r="CG36" i="11"/>
  <c r="CF36" i="11"/>
  <c r="CE36" i="11"/>
  <c r="CD36" i="11"/>
  <c r="CC36" i="11"/>
  <c r="CB36" i="11"/>
  <c r="CA36" i="11"/>
  <c r="BZ36" i="11"/>
  <c r="BY36" i="11"/>
  <c r="BX36" i="11"/>
  <c r="BW36" i="11"/>
  <c r="BV36" i="11"/>
  <c r="BU36" i="11"/>
  <c r="BT36" i="11"/>
  <c r="BS36" i="11"/>
  <c r="BR36" i="11"/>
  <c r="BQ36" i="11"/>
  <c r="BP36" i="11"/>
  <c r="BO36" i="11"/>
  <c r="BN36" i="11"/>
  <c r="BM36" i="11"/>
  <c r="BL36" i="11"/>
  <c r="BK36" i="11"/>
  <c r="BJ36" i="11"/>
  <c r="BI36" i="11"/>
  <c r="BH36" i="11"/>
  <c r="BG36" i="11"/>
  <c r="BF36" i="11"/>
  <c r="BE36" i="11"/>
  <c r="BD36" i="11"/>
  <c r="BC36" i="11"/>
  <c r="BB36" i="11"/>
  <c r="BA36" i="11"/>
  <c r="AZ36" i="11"/>
  <c r="AY36" i="11"/>
  <c r="AX36" i="11"/>
  <c r="AW36" i="11"/>
  <c r="AV36" i="11"/>
  <c r="AU36" i="11"/>
  <c r="AT36" i="11"/>
  <c r="AS36" i="11"/>
  <c r="AR36" i="11"/>
  <c r="AQ36" i="11"/>
  <c r="AP36" i="11"/>
  <c r="AO36" i="11"/>
  <c r="AN36" i="11"/>
  <c r="AM36" i="11"/>
  <c r="AL36" i="11"/>
  <c r="AK36" i="11"/>
  <c r="AJ36" i="11"/>
  <c r="AI36" i="11"/>
  <c r="AH36" i="11"/>
  <c r="AG36" i="11"/>
  <c r="AF36" i="11"/>
  <c r="AE36" i="11"/>
  <c r="AD36" i="11"/>
  <c r="AC36" i="11"/>
  <c r="AB36" i="11"/>
  <c r="AA36" i="11"/>
  <c r="Z36" i="11"/>
  <c r="Y36" i="11"/>
  <c r="X36" i="11"/>
  <c r="W36" i="11"/>
  <c r="V36" i="11"/>
  <c r="U36" i="11"/>
  <c r="T36" i="11"/>
  <c r="S36" i="11"/>
  <c r="R36" i="11"/>
  <c r="Q36" i="11"/>
  <c r="P36" i="11"/>
  <c r="O36" i="11"/>
  <c r="N36" i="11"/>
  <c r="M36" i="11"/>
  <c r="L36" i="11"/>
  <c r="K36" i="11"/>
  <c r="J36" i="11"/>
  <c r="I36" i="11"/>
  <c r="H36" i="11"/>
  <c r="G36" i="11"/>
  <c r="F36" i="11"/>
  <c r="E36" i="11"/>
  <c r="CJ35" i="11"/>
  <c r="CI35" i="11"/>
  <c r="CH35" i="11"/>
  <c r="CG35" i="11"/>
  <c r="CF35" i="11"/>
  <c r="CE35" i="11"/>
  <c r="CD35" i="11"/>
  <c r="CC35" i="11"/>
  <c r="CB35" i="11"/>
  <c r="CA35" i="11"/>
  <c r="BZ35" i="11"/>
  <c r="BY35" i="11"/>
  <c r="BX35" i="11"/>
  <c r="BW35" i="11"/>
  <c r="BV35" i="11"/>
  <c r="BU35" i="11"/>
  <c r="BT35" i="11"/>
  <c r="BS35" i="11"/>
  <c r="BR35" i="11"/>
  <c r="BQ35" i="11"/>
  <c r="BP35" i="11"/>
  <c r="BO35" i="11"/>
  <c r="BN35" i="11"/>
  <c r="BM35" i="11"/>
  <c r="BL35" i="11"/>
  <c r="BK35" i="11"/>
  <c r="BJ35" i="11"/>
  <c r="BI35" i="11"/>
  <c r="BH35" i="11"/>
  <c r="BG35" i="11"/>
  <c r="BF35" i="11"/>
  <c r="BE35" i="11"/>
  <c r="BD35" i="11"/>
  <c r="BC35" i="11"/>
  <c r="BB35" i="11"/>
  <c r="BA35" i="11"/>
  <c r="AZ35" i="11"/>
  <c r="AY35" i="11"/>
  <c r="AX35" i="11"/>
  <c r="AW35" i="11"/>
  <c r="AV35" i="11"/>
  <c r="AU35" i="11"/>
  <c r="AT35" i="11"/>
  <c r="AS35" i="11"/>
  <c r="AR35" i="11"/>
  <c r="AQ35" i="11"/>
  <c r="AP35" i="11"/>
  <c r="AO35" i="11"/>
  <c r="AN35" i="11"/>
  <c r="AM35" i="11"/>
  <c r="AL35" i="11"/>
  <c r="AK35" i="11"/>
  <c r="AJ35" i="11"/>
  <c r="AI35" i="11"/>
  <c r="AH35" i="11"/>
  <c r="AG35" i="11"/>
  <c r="AF35" i="11"/>
  <c r="AE35" i="11"/>
  <c r="AD35" i="11"/>
  <c r="AC35" i="11"/>
  <c r="AB35" i="11"/>
  <c r="AA35" i="11"/>
  <c r="Z35" i="11"/>
  <c r="Y35" i="11"/>
  <c r="X35" i="11"/>
  <c r="W35" i="11"/>
  <c r="V35" i="11"/>
  <c r="U35" i="11"/>
  <c r="T35" i="11"/>
  <c r="S35" i="11"/>
  <c r="R35" i="11"/>
  <c r="Q35" i="11"/>
  <c r="P35" i="11"/>
  <c r="O35" i="11"/>
  <c r="N35" i="11"/>
  <c r="M35" i="11"/>
  <c r="L35" i="11"/>
  <c r="K35" i="11"/>
  <c r="J35" i="11"/>
  <c r="I35" i="11"/>
  <c r="H35" i="11"/>
  <c r="G35" i="11"/>
  <c r="F35" i="11"/>
  <c r="E35" i="11"/>
  <c r="CJ34" i="11"/>
  <c r="CI34" i="11"/>
  <c r="CH34" i="11"/>
  <c r="CG34" i="11"/>
  <c r="CF34" i="11"/>
  <c r="CE34" i="11"/>
  <c r="CD34" i="11"/>
  <c r="CC34" i="11"/>
  <c r="CB34" i="11"/>
  <c r="CA34" i="11"/>
  <c r="BZ34" i="11"/>
  <c r="BY34" i="11"/>
  <c r="BX34" i="11"/>
  <c r="BW34" i="11"/>
  <c r="BV34" i="11"/>
  <c r="BU34" i="11"/>
  <c r="BT34" i="11"/>
  <c r="BS34" i="11"/>
  <c r="BR34" i="11"/>
  <c r="BQ34" i="11"/>
  <c r="BP34" i="11"/>
  <c r="BO34" i="11"/>
  <c r="BN34" i="11"/>
  <c r="BM34" i="11"/>
  <c r="BL34" i="11"/>
  <c r="BK34" i="11"/>
  <c r="BJ34" i="11"/>
  <c r="BI34" i="11"/>
  <c r="BH34" i="11"/>
  <c r="BG34" i="11"/>
  <c r="BF34" i="11"/>
  <c r="BE34" i="11"/>
  <c r="BD34" i="11"/>
  <c r="BC34" i="11"/>
  <c r="BB34" i="11"/>
  <c r="BA34" i="11"/>
  <c r="AZ34" i="11"/>
  <c r="AY34" i="11"/>
  <c r="AX34" i="11"/>
  <c r="AW34" i="11"/>
  <c r="AV34" i="11"/>
  <c r="AU34" i="11"/>
  <c r="AT34" i="11"/>
  <c r="AS34" i="11"/>
  <c r="AR34" i="11"/>
  <c r="AQ34" i="11"/>
  <c r="AP34" i="11"/>
  <c r="AO34" i="11"/>
  <c r="AN34" i="11"/>
  <c r="AM34" i="11"/>
  <c r="AL34" i="11"/>
  <c r="AK34" i="11"/>
  <c r="AJ34" i="11"/>
  <c r="AI34" i="11"/>
  <c r="AH34" i="11"/>
  <c r="AG34" i="11"/>
  <c r="AF34" i="11"/>
  <c r="AE34" i="11"/>
  <c r="AD34" i="11"/>
  <c r="AC34" i="11"/>
  <c r="AB34" i="11"/>
  <c r="AA34" i="11"/>
  <c r="Z34" i="11"/>
  <c r="Y34" i="11"/>
  <c r="X34" i="11"/>
  <c r="W34" i="11"/>
  <c r="V34" i="11"/>
  <c r="U34" i="11"/>
  <c r="T34" i="11"/>
  <c r="S34" i="11"/>
  <c r="R34" i="11"/>
  <c r="Q34" i="11"/>
  <c r="P34" i="11"/>
  <c r="O34" i="11"/>
  <c r="N34" i="11"/>
  <c r="M34" i="11"/>
  <c r="L34" i="11"/>
  <c r="K34" i="11"/>
  <c r="J34" i="11"/>
  <c r="I34" i="11"/>
  <c r="H34" i="11"/>
  <c r="G34" i="11"/>
  <c r="F34" i="11"/>
  <c r="E34" i="11"/>
  <c r="CK27" i="11"/>
  <c r="CJ27" i="11"/>
  <c r="CI27" i="11"/>
  <c r="CH27" i="11"/>
  <c r="CG27" i="11"/>
  <c r="CF27" i="11"/>
  <c r="CE27" i="11"/>
  <c r="CD27" i="11"/>
  <c r="CC27" i="11"/>
  <c r="CB27" i="11"/>
  <c r="CA27" i="11"/>
  <c r="BZ27" i="11"/>
  <c r="BY27" i="11"/>
  <c r="BX27" i="11"/>
  <c r="BW27" i="11"/>
  <c r="BV27" i="11"/>
  <c r="BU27" i="11"/>
  <c r="BT27" i="11"/>
  <c r="BS27" i="11"/>
  <c r="BR27" i="11"/>
  <c r="BQ27" i="11"/>
  <c r="BP27" i="11"/>
  <c r="BO27" i="11"/>
  <c r="BN27" i="11"/>
  <c r="BM27" i="11"/>
  <c r="BL27" i="11"/>
  <c r="BK27" i="11"/>
  <c r="BJ27" i="11"/>
  <c r="BI27" i="11"/>
  <c r="BH27" i="11"/>
  <c r="BG27" i="11"/>
  <c r="BF27" i="11"/>
  <c r="BE27" i="11"/>
  <c r="BD27" i="11"/>
  <c r="BC27" i="11"/>
  <c r="BB27" i="11"/>
  <c r="BA27" i="11"/>
  <c r="AZ27" i="11"/>
  <c r="AY27" i="11"/>
  <c r="AX27" i="11"/>
  <c r="AW27" i="11"/>
  <c r="AV27" i="11"/>
  <c r="AU27" i="11"/>
  <c r="AT27" i="11"/>
  <c r="AS27" i="11"/>
  <c r="AR27" i="11"/>
  <c r="AQ27" i="11"/>
  <c r="AP27" i="11"/>
  <c r="AO27" i="11"/>
  <c r="AN27" i="11"/>
  <c r="AM27" i="11"/>
  <c r="AL27" i="11"/>
  <c r="AK27" i="11"/>
  <c r="AJ27" i="11"/>
  <c r="AI27" i="11"/>
  <c r="AH27" i="11"/>
  <c r="AG27" i="11"/>
  <c r="AF27" i="11"/>
  <c r="AE27" i="11"/>
  <c r="AD27" i="11"/>
  <c r="AC27" i="11"/>
  <c r="AB27" i="11"/>
  <c r="AA27" i="11"/>
  <c r="Z27" i="11"/>
  <c r="Y27" i="11"/>
  <c r="X27" i="11"/>
  <c r="W27" i="11"/>
  <c r="V27" i="11"/>
  <c r="U27" i="11"/>
  <c r="T27" i="11"/>
  <c r="S27" i="11"/>
  <c r="R27" i="11"/>
  <c r="Q27" i="11"/>
  <c r="P27" i="11"/>
  <c r="O27" i="11"/>
  <c r="N27" i="11"/>
  <c r="M27" i="11"/>
  <c r="L27" i="11"/>
  <c r="K27" i="11"/>
  <c r="J27" i="11"/>
  <c r="I27" i="11"/>
  <c r="H27" i="11"/>
  <c r="G27" i="11"/>
  <c r="F27" i="11"/>
  <c r="E27" i="11"/>
  <c r="CJ26" i="11"/>
  <c r="CI26" i="11"/>
  <c r="CH26" i="11"/>
  <c r="CG26" i="11"/>
  <c r="CF26" i="11"/>
  <c r="CE26" i="11"/>
  <c r="CD26" i="11"/>
  <c r="CC26" i="11"/>
  <c r="CB26" i="11"/>
  <c r="CA26" i="11"/>
  <c r="BZ26" i="11"/>
  <c r="BY26" i="11"/>
  <c r="BX26" i="11"/>
  <c r="BW26" i="11"/>
  <c r="BV26" i="11"/>
  <c r="BU26" i="11"/>
  <c r="BT26" i="11"/>
  <c r="BS26" i="11"/>
  <c r="BR26" i="11"/>
  <c r="BQ26" i="11"/>
  <c r="BP26" i="11"/>
  <c r="BO26" i="11"/>
  <c r="BN26" i="11"/>
  <c r="BM26" i="11"/>
  <c r="BL26" i="11"/>
  <c r="BK26" i="11"/>
  <c r="BJ26" i="11"/>
  <c r="BI26" i="11"/>
  <c r="BH26" i="11"/>
  <c r="BG26" i="11"/>
  <c r="BF26" i="11"/>
  <c r="BE26" i="11"/>
  <c r="BD26" i="11"/>
  <c r="BC26" i="11"/>
  <c r="BB26" i="11"/>
  <c r="BA26" i="11"/>
  <c r="AZ26" i="11"/>
  <c r="AY26" i="11"/>
  <c r="AX26" i="11"/>
  <c r="AW26" i="11"/>
  <c r="AV26" i="11"/>
  <c r="AU26" i="11"/>
  <c r="AT26" i="11"/>
  <c r="AS26" i="11"/>
  <c r="AR26" i="11"/>
  <c r="AQ26" i="11"/>
  <c r="AP26" i="11"/>
  <c r="AO26" i="11"/>
  <c r="AN26" i="11"/>
  <c r="AM26" i="11"/>
  <c r="AL26" i="11"/>
  <c r="AK26" i="11"/>
  <c r="AJ26" i="11"/>
  <c r="AI26" i="11"/>
  <c r="AH26" i="11"/>
  <c r="AG26" i="11"/>
  <c r="AF26" i="11"/>
  <c r="AE26" i="11"/>
  <c r="AD26" i="11"/>
  <c r="AC26" i="11"/>
  <c r="AB26" i="11"/>
  <c r="AA26" i="11"/>
  <c r="Z26" i="11"/>
  <c r="Y26" i="11"/>
  <c r="X26" i="11"/>
  <c r="W26" i="11"/>
  <c r="V26" i="11"/>
  <c r="U26" i="11"/>
  <c r="T26" i="11"/>
  <c r="S26" i="11"/>
  <c r="R26" i="11"/>
  <c r="Q26" i="11"/>
  <c r="P26" i="11"/>
  <c r="O26" i="11"/>
  <c r="N26" i="11"/>
  <c r="M26" i="11"/>
  <c r="L26" i="11"/>
  <c r="K26" i="11"/>
  <c r="J26" i="11"/>
  <c r="I26" i="11"/>
  <c r="H26" i="11"/>
  <c r="G26" i="11"/>
  <c r="F26" i="11"/>
  <c r="E26" i="11"/>
  <c r="CK5" i="11"/>
  <c r="CK42" i="10"/>
  <c r="CK41" i="10"/>
  <c r="CK34" i="10"/>
  <c r="CK32" i="10"/>
  <c r="CK31" i="10"/>
  <c r="CJ30" i="10"/>
  <c r="CI30" i="10"/>
  <c r="CH30" i="10"/>
  <c r="CG30" i="10"/>
  <c r="CF30" i="10"/>
  <c r="CE30" i="10"/>
  <c r="CD30" i="10"/>
  <c r="CC30" i="10"/>
  <c r="CB30" i="10"/>
  <c r="CA30" i="10"/>
  <c r="BZ30" i="10"/>
  <c r="BY30" i="10"/>
  <c r="BX30" i="10"/>
  <c r="BW30" i="10"/>
  <c r="BV30" i="10"/>
  <c r="BU30" i="10"/>
  <c r="BT30" i="10"/>
  <c r="BS30" i="10"/>
  <c r="BR30" i="10"/>
  <c r="BQ30" i="10"/>
  <c r="BP30" i="10"/>
  <c r="BO30" i="10"/>
  <c r="BN30" i="10"/>
  <c r="BM30" i="10"/>
  <c r="BL30" i="10"/>
  <c r="BK30" i="10"/>
  <c r="BJ30" i="10"/>
  <c r="BI30" i="10"/>
  <c r="BH30" i="10"/>
  <c r="BG30" i="10"/>
  <c r="BF30" i="10"/>
  <c r="BE30" i="10"/>
  <c r="BD30" i="10"/>
  <c r="BC30" i="10"/>
  <c r="BB30" i="10"/>
  <c r="BA30" i="10"/>
  <c r="AZ30" i="10"/>
  <c r="AY30" i="10"/>
  <c r="AX30" i="10"/>
  <c r="AW30" i="10"/>
  <c r="AV30" i="10"/>
  <c r="AU30" i="10"/>
  <c r="AT30" i="10"/>
  <c r="AS30" i="10"/>
  <c r="AR30" i="10"/>
  <c r="AQ30" i="10"/>
  <c r="AP30" i="10"/>
  <c r="AO30" i="10"/>
  <c r="AN30" i="10"/>
  <c r="AM30" i="10"/>
  <c r="AL30" i="10"/>
  <c r="AK30" i="10"/>
  <c r="AJ30" i="10"/>
  <c r="AI30" i="10"/>
  <c r="AH30" i="10"/>
  <c r="AG30" i="10"/>
  <c r="AF30" i="10"/>
  <c r="AE30" i="10"/>
  <c r="AD30" i="10"/>
  <c r="AC30" i="10"/>
  <c r="AB30" i="10"/>
  <c r="AA30" i="10"/>
  <c r="Z30" i="10"/>
  <c r="Y30" i="10"/>
  <c r="X30" i="10"/>
  <c r="W30" i="10"/>
  <c r="V30" i="10"/>
  <c r="U30" i="10"/>
  <c r="T30" i="10"/>
  <c r="S30" i="10"/>
  <c r="R30" i="10"/>
  <c r="Q30" i="10"/>
  <c r="P30" i="10"/>
  <c r="O30" i="10"/>
  <c r="N30" i="10"/>
  <c r="M30" i="10"/>
  <c r="L30" i="10"/>
  <c r="K30" i="10"/>
  <c r="J30" i="10"/>
  <c r="I30" i="10"/>
  <c r="H30" i="10"/>
  <c r="G30" i="10"/>
  <c r="F30" i="10"/>
  <c r="E30" i="10"/>
  <c r="CK28" i="10"/>
  <c r="CK29" i="10" s="1"/>
  <c r="CK21" i="10"/>
  <c r="CJ20" i="10"/>
  <c r="CI20" i="10"/>
  <c r="CH20" i="10"/>
  <c r="CG20" i="10"/>
  <c r="CF20" i="10"/>
  <c r="CE20" i="10"/>
  <c r="CD20" i="10"/>
  <c r="CC20" i="10"/>
  <c r="CB20" i="10"/>
  <c r="CA20" i="10"/>
  <c r="BZ20" i="10"/>
  <c r="BY20" i="10"/>
  <c r="BX20" i="10"/>
  <c r="BW20" i="10"/>
  <c r="BV20" i="10"/>
  <c r="BU20" i="10"/>
  <c r="BT20" i="10"/>
  <c r="BS20" i="10"/>
  <c r="BR20" i="10"/>
  <c r="BQ20" i="10"/>
  <c r="BP20" i="10"/>
  <c r="BO20" i="10"/>
  <c r="BN20" i="10"/>
  <c r="BM20" i="10"/>
  <c r="BL20" i="10"/>
  <c r="BK20" i="10"/>
  <c r="BJ20" i="10"/>
  <c r="BI20" i="10"/>
  <c r="BH20" i="10"/>
  <c r="BG20" i="10"/>
  <c r="BF20" i="10"/>
  <c r="BE20" i="10"/>
  <c r="BD20" i="10"/>
  <c r="BC20" i="10"/>
  <c r="BB20" i="10"/>
  <c r="BA20" i="10"/>
  <c r="AZ20" i="10"/>
  <c r="AY20" i="10"/>
  <c r="AX20" i="10"/>
  <c r="AW20" i="10"/>
  <c r="AV20" i="10"/>
  <c r="AU20" i="10"/>
  <c r="AT20" i="10"/>
  <c r="AS20" i="10"/>
  <c r="AR20" i="10"/>
  <c r="AQ20" i="10"/>
  <c r="AP20" i="10"/>
  <c r="AO20" i="10"/>
  <c r="AN20" i="10"/>
  <c r="AM20" i="10"/>
  <c r="AL20" i="10"/>
  <c r="AK20" i="10"/>
  <c r="AJ20" i="10"/>
  <c r="AI20" i="10"/>
  <c r="AH20" i="10"/>
  <c r="AG20" i="10"/>
  <c r="AF20" i="10"/>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E20" i="10"/>
  <c r="CK18" i="10"/>
  <c r="CK19" i="10" s="1"/>
  <c r="CK17" i="10"/>
  <c r="CJ16" i="10"/>
  <c r="CI16" i="10"/>
  <c r="CH16" i="10"/>
  <c r="CG16" i="10"/>
  <c r="CF16" i="10"/>
  <c r="CE16" i="10"/>
  <c r="CD16" i="10"/>
  <c r="CC16" i="10"/>
  <c r="CB16" i="10"/>
  <c r="CA16" i="10"/>
  <c r="BZ16" i="10"/>
  <c r="BY16" i="10"/>
  <c r="BX16" i="10"/>
  <c r="BW16" i="10"/>
  <c r="BV16" i="10"/>
  <c r="BU16" i="10"/>
  <c r="BT16" i="10"/>
  <c r="BS16" i="10"/>
  <c r="BR16" i="10"/>
  <c r="BQ16" i="10"/>
  <c r="BP16" i="10"/>
  <c r="BO16" i="10"/>
  <c r="BN16" i="10"/>
  <c r="BM16" i="10"/>
  <c r="BL16" i="10"/>
  <c r="BK16" i="10"/>
  <c r="BJ16" i="10"/>
  <c r="BI16" i="10"/>
  <c r="BH16" i="10"/>
  <c r="BG16" i="10"/>
  <c r="BF16" i="10"/>
  <c r="BE16" i="10"/>
  <c r="BD16" i="10"/>
  <c r="BC16" i="10"/>
  <c r="BB16" i="10"/>
  <c r="BA16" i="10"/>
  <c r="AZ16" i="10"/>
  <c r="AY16" i="10"/>
  <c r="AX16" i="10"/>
  <c r="AW16" i="10"/>
  <c r="AV16" i="10"/>
  <c r="AU16" i="10"/>
  <c r="AT16" i="10"/>
  <c r="AS16" i="10"/>
  <c r="AR16" i="10"/>
  <c r="AQ16" i="10"/>
  <c r="AP16" i="10"/>
  <c r="AO16" i="10"/>
  <c r="AN16" i="10"/>
  <c r="AM16" i="10"/>
  <c r="AL16" i="10"/>
  <c r="AK16" i="10"/>
  <c r="AJ16" i="10"/>
  <c r="AI16" i="10"/>
  <c r="AH16" i="10"/>
  <c r="AG16" i="10"/>
  <c r="AF16" i="10"/>
  <c r="AE16" i="10"/>
  <c r="AD16" i="10"/>
  <c r="AC16" i="10"/>
  <c r="AB16" i="10"/>
  <c r="AA16" i="10"/>
  <c r="Z16" i="10"/>
  <c r="Y16" i="10"/>
  <c r="X16" i="10"/>
  <c r="W16" i="10"/>
  <c r="V16" i="10"/>
  <c r="U16" i="10"/>
  <c r="T16" i="10"/>
  <c r="S16" i="10"/>
  <c r="R16" i="10"/>
  <c r="Q16" i="10"/>
  <c r="P16" i="10"/>
  <c r="O16" i="10"/>
  <c r="N16" i="10"/>
  <c r="M16" i="10"/>
  <c r="L16" i="10"/>
  <c r="K16" i="10"/>
  <c r="J16" i="10"/>
  <c r="I16" i="10"/>
  <c r="H16" i="10"/>
  <c r="G16" i="10"/>
  <c r="F16" i="10"/>
  <c r="E16" i="10"/>
  <c r="CK14" i="10"/>
  <c r="CK15" i="10" s="1"/>
  <c r="CJ14" i="10"/>
  <c r="CI14" i="10"/>
  <c r="CH14" i="10"/>
  <c r="CG14" i="10"/>
  <c r="CF14" i="10"/>
  <c r="CE14" i="10"/>
  <c r="CD14" i="10"/>
  <c r="CC14" i="10"/>
  <c r="CB14" i="10"/>
  <c r="CA14" i="10"/>
  <c r="BZ14" i="10"/>
  <c r="BY14" i="10"/>
  <c r="BX14" i="10"/>
  <c r="BW14" i="10"/>
  <c r="BV14" i="10"/>
  <c r="BU14" i="10"/>
  <c r="BT14" i="10"/>
  <c r="BS14" i="10"/>
  <c r="BR14" i="10"/>
  <c r="BQ14" i="10"/>
  <c r="BP14" i="10"/>
  <c r="BO14" i="10"/>
  <c r="BN14" i="10"/>
  <c r="BM14" i="10"/>
  <c r="BL14" i="10"/>
  <c r="BK14" i="10"/>
  <c r="BJ14" i="10"/>
  <c r="BI14" i="10"/>
  <c r="BH14" i="10"/>
  <c r="BG14" i="10"/>
  <c r="BF14" i="10"/>
  <c r="BE14" i="10"/>
  <c r="BD14" i="10"/>
  <c r="BC14" i="10"/>
  <c r="BB14" i="10"/>
  <c r="BA14" i="10"/>
  <c r="AZ14" i="10"/>
  <c r="AY14" i="10"/>
  <c r="AX14" i="10"/>
  <c r="AW14" i="10"/>
  <c r="AV14" i="10"/>
  <c r="AU14" i="10"/>
  <c r="AT14" i="10"/>
  <c r="AS14" i="10"/>
  <c r="AR14" i="10"/>
  <c r="AQ14" i="10"/>
  <c r="AP14" i="10"/>
  <c r="AO14" i="10"/>
  <c r="AN14" i="10"/>
  <c r="AM14" i="10"/>
  <c r="AL14" i="10"/>
  <c r="AK14" i="10"/>
  <c r="AJ14" i="10"/>
  <c r="AI14" i="10"/>
  <c r="AH14" i="10"/>
  <c r="AG14" i="10"/>
  <c r="AF14" i="10"/>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CJ12" i="10"/>
  <c r="CI12" i="10"/>
  <c r="CH12" i="10"/>
  <c r="CG12" i="10"/>
  <c r="CF12" i="10"/>
  <c r="CE12" i="10"/>
  <c r="CD12" i="10"/>
  <c r="CC12" i="10"/>
  <c r="CB12" i="10"/>
  <c r="CA12" i="10"/>
  <c r="BZ12" i="10"/>
  <c r="BY12" i="10"/>
  <c r="BX12" i="10"/>
  <c r="BW12" i="10"/>
  <c r="BV12" i="10"/>
  <c r="BU12" i="10"/>
  <c r="BT12" i="10"/>
  <c r="BS12" i="10"/>
  <c r="BR12" i="10"/>
  <c r="BQ12" i="10"/>
  <c r="BP12" i="10"/>
  <c r="BO12" i="10"/>
  <c r="BN12" i="10"/>
  <c r="BM12" i="10"/>
  <c r="BL12" i="10"/>
  <c r="BK12" i="10"/>
  <c r="BJ12" i="10"/>
  <c r="BI12" i="10"/>
  <c r="BH12" i="10"/>
  <c r="BG12" i="10"/>
  <c r="BF12" i="10"/>
  <c r="BE12" i="10"/>
  <c r="BD12" i="10"/>
  <c r="BC12" i="10"/>
  <c r="BB12" i="10"/>
  <c r="BA12" i="10"/>
  <c r="AZ12" i="10"/>
  <c r="AY12" i="10"/>
  <c r="AX12" i="10"/>
  <c r="AW12" i="10"/>
  <c r="AV12" i="10"/>
  <c r="AU12" i="10"/>
  <c r="AT12" i="10"/>
  <c r="AS12" i="10"/>
  <c r="AR12" i="10"/>
  <c r="AQ12" i="10"/>
  <c r="AP12" i="10"/>
  <c r="AO12" i="10"/>
  <c r="AN12" i="10"/>
  <c r="AM12" i="10"/>
  <c r="AL12" i="10"/>
  <c r="AK12" i="10"/>
  <c r="AJ12" i="10"/>
  <c r="AI12" i="10"/>
  <c r="AH12" i="10"/>
  <c r="AG12" i="10"/>
  <c r="AF12" i="10"/>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CJ10" i="10"/>
  <c r="CI10" i="10"/>
  <c r="CH10" i="10"/>
  <c r="CG10" i="10"/>
  <c r="CF10" i="10"/>
  <c r="CE10" i="10"/>
  <c r="CD10" i="10"/>
  <c r="CC10" i="10"/>
  <c r="CB10" i="10"/>
  <c r="CA10" i="10"/>
  <c r="BZ10" i="10"/>
  <c r="BY10" i="10"/>
  <c r="BX10" i="10"/>
  <c r="BW10" i="10"/>
  <c r="BV10" i="10"/>
  <c r="BU10" i="10"/>
  <c r="BT10" i="10"/>
  <c r="BS10" i="10"/>
  <c r="BR10" i="10"/>
  <c r="BQ10" i="10"/>
  <c r="BP10" i="10"/>
  <c r="BO10" i="10"/>
  <c r="BN10" i="10"/>
  <c r="BM10" i="10"/>
  <c r="BL10" i="10"/>
  <c r="BK10" i="10"/>
  <c r="BJ10" i="10"/>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E10" i="10"/>
  <c r="CK5" i="10"/>
  <c r="CJ4" i="10"/>
  <c r="CJ6" i="10" s="1"/>
  <c r="CI4" i="10"/>
  <c r="CH4" i="10"/>
  <c r="CG4" i="10"/>
  <c r="CG6" i="10" s="1"/>
  <c r="CF4" i="10"/>
  <c r="CE4" i="10"/>
  <c r="CD4" i="10"/>
  <c r="CC4" i="10"/>
  <c r="CB4" i="10"/>
  <c r="CA4" i="10"/>
  <c r="BZ4" i="10"/>
  <c r="BY4" i="10"/>
  <c r="BX4" i="10"/>
  <c r="BW4" i="10"/>
  <c r="BV4" i="10"/>
  <c r="BU4" i="10"/>
  <c r="BT4" i="10"/>
  <c r="BS4" i="10"/>
  <c r="BR4" i="10"/>
  <c r="BQ4" i="10"/>
  <c r="BP4" i="10"/>
  <c r="BO4" i="10"/>
  <c r="BN4" i="10"/>
  <c r="BM4" i="10"/>
  <c r="BL4" i="10"/>
  <c r="BK4" i="10"/>
  <c r="BJ4" i="10"/>
  <c r="BI4" i="10"/>
  <c r="BH4" i="10"/>
  <c r="BG4" i="10"/>
  <c r="BF4" i="10"/>
  <c r="BE4" i="10"/>
  <c r="BD4" i="10"/>
  <c r="BC4" i="10"/>
  <c r="BB4" i="10"/>
  <c r="BA4" i="10"/>
  <c r="AZ4" i="10"/>
  <c r="AY4" i="10"/>
  <c r="AX4" i="10"/>
  <c r="AW4" i="10"/>
  <c r="AV4" i="10"/>
  <c r="AU4" i="10"/>
  <c r="AT4" i="10"/>
  <c r="AS4" i="10"/>
  <c r="AR4" i="10"/>
  <c r="AQ4" i="10"/>
  <c r="AP4" i="10"/>
  <c r="AO4" i="10"/>
  <c r="AN4" i="10"/>
  <c r="AM4" i="10"/>
  <c r="AL4" i="10"/>
  <c r="AK4" i="10"/>
  <c r="AJ4" i="10"/>
  <c r="AI4" i="10"/>
  <c r="AH4" i="10"/>
  <c r="AG4" i="10"/>
  <c r="AF4" i="10"/>
  <c r="AE4" i="10"/>
  <c r="AD4" i="10"/>
  <c r="AC4" i="10"/>
  <c r="AB4" i="10"/>
  <c r="AA4" i="10"/>
  <c r="Z4" i="10"/>
  <c r="Y4" i="10"/>
  <c r="X4" i="10"/>
  <c r="W4" i="10"/>
  <c r="V4" i="10"/>
  <c r="U4" i="10"/>
  <c r="T4" i="10"/>
  <c r="S4" i="10"/>
  <c r="R4" i="10"/>
  <c r="Q4" i="10"/>
  <c r="P4" i="10"/>
  <c r="O4" i="10"/>
  <c r="N4" i="10"/>
  <c r="M4" i="10"/>
  <c r="L4" i="10"/>
  <c r="K4" i="10"/>
  <c r="J4" i="10"/>
  <c r="I4" i="10"/>
  <c r="H4" i="10"/>
  <c r="G4" i="10"/>
  <c r="F4" i="10"/>
  <c r="E4" i="10"/>
  <c r="CJ2" i="10"/>
  <c r="CI2" i="10"/>
  <c r="CH2" i="10"/>
  <c r="CH3" i="10" s="1"/>
  <c r="CG2" i="10"/>
  <c r="CG3" i="10" s="1"/>
  <c r="CF2" i="10"/>
  <c r="CE2" i="10"/>
  <c r="CD2" i="10"/>
  <c r="CC2" i="10"/>
  <c r="CB2" i="10"/>
  <c r="CA2" i="10"/>
  <c r="BZ2" i="10"/>
  <c r="BZ3" i="10" s="1"/>
  <c r="BY2" i="10"/>
  <c r="BX2" i="10"/>
  <c r="BW2" i="10"/>
  <c r="BV2" i="10"/>
  <c r="BU2" i="10"/>
  <c r="BT2" i="10"/>
  <c r="BS2" i="10"/>
  <c r="BR2" i="10"/>
  <c r="BR3" i="10" s="1"/>
  <c r="BQ2" i="10"/>
  <c r="BP2" i="10"/>
  <c r="BO2" i="10"/>
  <c r="BN2" i="10"/>
  <c r="BM2" i="10"/>
  <c r="BL2" i="10"/>
  <c r="BK2" i="10"/>
  <c r="BJ2" i="10"/>
  <c r="BJ3" i="10" s="1"/>
  <c r="BI2" i="10"/>
  <c r="BH2" i="10"/>
  <c r="BG2" i="10"/>
  <c r="BF2" i="10"/>
  <c r="BE2" i="10"/>
  <c r="BD2" i="10"/>
  <c r="BC2" i="10"/>
  <c r="BB2" i="10"/>
  <c r="BB3" i="10" s="1"/>
  <c r="BA2" i="10"/>
  <c r="AZ2" i="10"/>
  <c r="AY2" i="10"/>
  <c r="AX2" i="10"/>
  <c r="AW2" i="10"/>
  <c r="AV2" i="10"/>
  <c r="AU2" i="10"/>
  <c r="AT2" i="10"/>
  <c r="AT3" i="10" s="1"/>
  <c r="AS2" i="10"/>
  <c r="AR2" i="10"/>
  <c r="AQ2" i="10"/>
  <c r="AP2" i="10"/>
  <c r="AO2" i="10"/>
  <c r="AN2" i="10"/>
  <c r="AM2" i="10"/>
  <c r="AL2" i="10"/>
  <c r="AL3" i="10" s="1"/>
  <c r="AK2" i="10"/>
  <c r="AJ2" i="10"/>
  <c r="AI2" i="10"/>
  <c r="AH2" i="10"/>
  <c r="AG2" i="10"/>
  <c r="AF2" i="10"/>
  <c r="AE2" i="10"/>
  <c r="AD2" i="10"/>
  <c r="AD3" i="10" s="1"/>
  <c r="AC2" i="10"/>
  <c r="AB2" i="10"/>
  <c r="AA2" i="10"/>
  <c r="Z2" i="10"/>
  <c r="Y2" i="10"/>
  <c r="X2" i="10"/>
  <c r="W2" i="10"/>
  <c r="V2" i="10"/>
  <c r="V3" i="10" s="1"/>
  <c r="U2" i="10"/>
  <c r="T2" i="10"/>
  <c r="S2" i="10"/>
  <c r="R2" i="10"/>
  <c r="Q2" i="10"/>
  <c r="P2" i="10"/>
  <c r="O2" i="10"/>
  <c r="N2" i="10"/>
  <c r="N3" i="10" s="1"/>
  <c r="M2" i="10"/>
  <c r="L2" i="10"/>
  <c r="K2" i="10"/>
  <c r="J2" i="10"/>
  <c r="I2" i="10"/>
  <c r="H2" i="10"/>
  <c r="G2" i="10"/>
  <c r="F2" i="10"/>
  <c r="E2" i="10"/>
  <c r="CL12" i="9"/>
  <c r="CL6" i="9"/>
  <c r="CL5" i="9"/>
  <c r="CK3" i="9"/>
  <c r="CJ3" i="9"/>
  <c r="CI3" i="9"/>
  <c r="CH3" i="9"/>
  <c r="CG3" i="9"/>
  <c r="CF3" i="9"/>
  <c r="CE3" i="9"/>
  <c r="CD3" i="9"/>
  <c r="CC3" i="9"/>
  <c r="CB3" i="9"/>
  <c r="CA3" i="9"/>
  <c r="BZ3" i="9"/>
  <c r="BY3" i="9"/>
  <c r="BX3" i="9"/>
  <c r="BW3" i="9"/>
  <c r="BV3" i="9"/>
  <c r="BU3" i="9"/>
  <c r="BT3" i="9"/>
  <c r="BS3" i="9"/>
  <c r="BR3" i="9"/>
  <c r="BQ3" i="9"/>
  <c r="BP3" i="9"/>
  <c r="BO3" i="9"/>
  <c r="BN3" i="9"/>
  <c r="BM3" i="9"/>
  <c r="BL3" i="9"/>
  <c r="BK3" i="9"/>
  <c r="BJ3" i="9"/>
  <c r="BI3" i="9"/>
  <c r="BH3" i="9"/>
  <c r="BG3" i="9"/>
  <c r="BF3" i="9"/>
  <c r="BE3" i="9"/>
  <c r="BD3" i="9"/>
  <c r="BC3" i="9"/>
  <c r="BB3" i="9"/>
  <c r="BA3" i="9"/>
  <c r="AZ3" i="9"/>
  <c r="AY3" i="9"/>
  <c r="AX3" i="9"/>
  <c r="AW3" i="9"/>
  <c r="AV3" i="9"/>
  <c r="AU3" i="9"/>
  <c r="AT3" i="9"/>
  <c r="AS3" i="9"/>
  <c r="AR3" i="9"/>
  <c r="AQ3" i="9"/>
  <c r="AP3" i="9"/>
  <c r="AO3" i="9"/>
  <c r="AN3" i="9"/>
  <c r="AM3" i="9"/>
  <c r="AL3" i="9"/>
  <c r="AK3" i="9"/>
  <c r="AJ3" i="9"/>
  <c r="AI3" i="9"/>
  <c r="AH3" i="9"/>
  <c r="AG3" i="9"/>
  <c r="AF3" i="9"/>
  <c r="AE3" i="9"/>
  <c r="AD3" i="9"/>
  <c r="AC3" i="9"/>
  <c r="AB3" i="9"/>
  <c r="AA3" i="9"/>
  <c r="Z3" i="9"/>
  <c r="Y3" i="9"/>
  <c r="X3" i="9"/>
  <c r="W3" i="9"/>
  <c r="V3" i="9"/>
  <c r="U3" i="9"/>
  <c r="T3" i="9"/>
  <c r="S3" i="9"/>
  <c r="R3" i="9"/>
  <c r="Q3" i="9"/>
  <c r="P3" i="9"/>
  <c r="O3" i="9"/>
  <c r="N3" i="9"/>
  <c r="M3" i="9"/>
  <c r="L3" i="9"/>
  <c r="K3" i="9"/>
  <c r="J3" i="9"/>
  <c r="I3" i="9"/>
  <c r="H3" i="9"/>
  <c r="G3" i="9"/>
  <c r="F3" i="9"/>
  <c r="E3" i="9"/>
  <c r="CL2" i="9"/>
  <c r="CL16" i="9" s="1"/>
  <c r="BV12" i="8"/>
  <c r="BV3" i="8"/>
  <c r="BU3" i="8"/>
  <c r="BT3" i="8"/>
  <c r="BS3" i="8"/>
  <c r="BR3" i="8"/>
  <c r="BQ3" i="8"/>
  <c r="BP3" i="8"/>
  <c r="BO3" i="8"/>
  <c r="BN3" i="8"/>
  <c r="BM3" i="8"/>
  <c r="BL3" i="8"/>
  <c r="BK3" i="8"/>
  <c r="BJ3" i="8"/>
  <c r="BI3" i="8"/>
  <c r="BH3" i="8"/>
  <c r="BG3" i="8"/>
  <c r="BF3" i="8"/>
  <c r="BE3" i="8"/>
  <c r="BD3" i="8"/>
  <c r="BC3" i="8"/>
  <c r="BB3" i="8"/>
  <c r="BA3" i="8"/>
  <c r="AZ3" i="8"/>
  <c r="AY3" i="8"/>
  <c r="AX3" i="8"/>
  <c r="AW3" i="8"/>
  <c r="AV3" i="8"/>
  <c r="AU3" i="8"/>
  <c r="AT3" i="8"/>
  <c r="AS3" i="8"/>
  <c r="AR3" i="8"/>
  <c r="AQ3" i="8"/>
  <c r="AP3" i="8"/>
  <c r="AO3" i="8"/>
  <c r="AN3" i="8"/>
  <c r="AM3" i="8"/>
  <c r="AL3" i="8"/>
  <c r="AK3" i="8"/>
  <c r="AJ3" i="8"/>
  <c r="AI3" i="8"/>
  <c r="AH3" i="8"/>
  <c r="AG3" i="8"/>
  <c r="AF3" i="8"/>
  <c r="AE3" i="8"/>
  <c r="AD3" i="8"/>
  <c r="AC3" i="8"/>
  <c r="AB3" i="8"/>
  <c r="AA3" i="8"/>
  <c r="Z3" i="8"/>
  <c r="Y3" i="8"/>
  <c r="X3" i="8"/>
  <c r="W3" i="8"/>
  <c r="V3" i="8"/>
  <c r="U3" i="8"/>
  <c r="T3" i="8"/>
  <c r="S3" i="8"/>
  <c r="R3" i="8"/>
  <c r="Q3" i="8"/>
  <c r="P3" i="8"/>
  <c r="O3" i="8"/>
  <c r="N3" i="8"/>
  <c r="M3" i="8"/>
  <c r="L3" i="8"/>
  <c r="K3" i="8"/>
  <c r="J3" i="8"/>
  <c r="I3" i="8"/>
  <c r="H3" i="8"/>
  <c r="G3" i="8"/>
  <c r="F3" i="8"/>
  <c r="E3" i="8"/>
  <c r="B3" i="8"/>
  <c r="Y45" i="7"/>
  <c r="Y49" i="7" s="1"/>
  <c r="X45" i="7"/>
  <c r="X49" i="7" s="1"/>
  <c r="W45" i="7"/>
  <c r="W49" i="7" s="1"/>
  <c r="V45" i="7"/>
  <c r="V49" i="7" s="1"/>
  <c r="U45" i="7"/>
  <c r="U49" i="7" s="1"/>
  <c r="T45" i="7"/>
  <c r="T49" i="7" s="1"/>
  <c r="S45" i="7"/>
  <c r="S49" i="7" s="1"/>
  <c r="R45" i="7"/>
  <c r="R49" i="7" s="1"/>
  <c r="Q45" i="7"/>
  <c r="Q49" i="7" s="1"/>
  <c r="P45" i="7"/>
  <c r="P49" i="7" s="1"/>
  <c r="O45" i="7"/>
  <c r="O49" i="7" s="1"/>
  <c r="N45" i="7"/>
  <c r="N49" i="7" s="1"/>
  <c r="M45" i="7"/>
  <c r="M49" i="7" s="1"/>
  <c r="L45" i="7"/>
  <c r="L49" i="7" s="1"/>
  <c r="K45" i="7"/>
  <c r="K49" i="7" s="1"/>
  <c r="J45" i="7"/>
  <c r="J49" i="7" s="1"/>
  <c r="I45" i="7"/>
  <c r="I49" i="7" s="1"/>
  <c r="H45" i="7"/>
  <c r="H49" i="7" s="1"/>
  <c r="G45" i="7"/>
  <c r="G49" i="7" s="1"/>
  <c r="F45" i="7"/>
  <c r="F49" i="7" s="1"/>
  <c r="E45" i="7"/>
  <c r="E49" i="7" s="1"/>
  <c r="Y42" i="7"/>
  <c r="X42" i="7"/>
  <c r="W42" i="7"/>
  <c r="V42" i="7"/>
  <c r="U42" i="7"/>
  <c r="T42" i="7"/>
  <c r="S42" i="7"/>
  <c r="R42" i="7"/>
  <c r="Q42" i="7"/>
  <c r="P42" i="7"/>
  <c r="O42" i="7"/>
  <c r="N42" i="7"/>
  <c r="M42" i="7"/>
  <c r="L42" i="7"/>
  <c r="K42" i="7"/>
  <c r="J42" i="7"/>
  <c r="I42" i="7"/>
  <c r="H42" i="7"/>
  <c r="G42" i="7"/>
  <c r="F42" i="7"/>
  <c r="E42" i="7"/>
  <c r="D35" i="7"/>
  <c r="C35" i="7"/>
  <c r="B35" i="7"/>
  <c r="AJ82" i="11"/>
  <c r="AJ83" i="11" s="1"/>
  <c r="AI82" i="11"/>
  <c r="AI83" i="11" s="1"/>
  <c r="AH82" i="11"/>
  <c r="AH83" i="11" s="1"/>
  <c r="AG82" i="11"/>
  <c r="AG83" i="11" s="1"/>
  <c r="AF82" i="11"/>
  <c r="AF83" i="11" s="1"/>
  <c r="AB82" i="11"/>
  <c r="AB83" i="11" s="1"/>
  <c r="AA82" i="11"/>
  <c r="AA83" i="11" s="1"/>
  <c r="Z82" i="11"/>
  <c r="Z83" i="11" s="1"/>
  <c r="Y82" i="11"/>
  <c r="Y83" i="11" s="1"/>
  <c r="X82" i="11"/>
  <c r="X83" i="11" s="1"/>
  <c r="U34" i="7"/>
  <c r="T34" i="7"/>
  <c r="T82" i="11" s="1"/>
  <c r="T83" i="11" s="1"/>
  <c r="S34" i="7"/>
  <c r="S82" i="11" s="1"/>
  <c r="S83" i="11" s="1"/>
  <c r="R34" i="7"/>
  <c r="R82" i="11" s="1"/>
  <c r="R83" i="11" s="1"/>
  <c r="Q34" i="7"/>
  <c r="Q82" i="11" s="1"/>
  <c r="Q83" i="11" s="1"/>
  <c r="P34" i="7"/>
  <c r="P82" i="11" s="1"/>
  <c r="P83" i="11" s="1"/>
  <c r="O34" i="7"/>
  <c r="O82" i="11" s="1"/>
  <c r="O83" i="11" s="1"/>
  <c r="N34" i="7"/>
  <c r="M34" i="7"/>
  <c r="L34" i="7"/>
  <c r="L82" i="11" s="1"/>
  <c r="L83" i="11" s="1"/>
  <c r="K34" i="7"/>
  <c r="K82" i="11" s="1"/>
  <c r="K83" i="11" s="1"/>
  <c r="J34" i="7"/>
  <c r="J82" i="11" s="1"/>
  <c r="J83" i="11" s="1"/>
  <c r="I34" i="7"/>
  <c r="I82" i="11" s="1"/>
  <c r="I83" i="11" s="1"/>
  <c r="H34" i="7"/>
  <c r="H82" i="11" s="1"/>
  <c r="H83" i="11" s="1"/>
  <c r="G34" i="7"/>
  <c r="G82" i="11" s="1"/>
  <c r="G83" i="11" s="1"/>
  <c r="F34" i="7"/>
  <c r="F82" i="11" s="1"/>
  <c r="F83" i="11" s="1"/>
  <c r="E34" i="7"/>
  <c r="E82" i="11" s="1"/>
  <c r="E83" i="11" s="1"/>
  <c r="Y17" i="7"/>
  <c r="X17" i="7"/>
  <c r="W17" i="7"/>
  <c r="V17" i="7"/>
  <c r="U17" i="7"/>
  <c r="T17" i="7"/>
  <c r="S17" i="7"/>
  <c r="R17" i="7"/>
  <c r="Q17" i="7"/>
  <c r="P17" i="7"/>
  <c r="O17" i="7"/>
  <c r="N17" i="7"/>
  <c r="M17" i="7"/>
  <c r="L17" i="7"/>
  <c r="K17" i="7"/>
  <c r="J17" i="7"/>
  <c r="I17" i="7"/>
  <c r="H17" i="7"/>
  <c r="G17" i="7"/>
  <c r="F17" i="7"/>
  <c r="E17" i="7"/>
  <c r="Y11" i="7"/>
  <c r="Y13" i="7" s="1"/>
  <c r="X11" i="7"/>
  <c r="X13" i="7" s="1"/>
  <c r="W11" i="7"/>
  <c r="W13" i="7" s="1"/>
  <c r="U5" i="7"/>
  <c r="T5" i="7"/>
  <c r="T11" i="7" s="1"/>
  <c r="S5" i="7"/>
  <c r="S11" i="7" s="1"/>
  <c r="R5" i="7"/>
  <c r="R11" i="7" s="1"/>
  <c r="Q5" i="7"/>
  <c r="Q11" i="7" s="1"/>
  <c r="P5" i="7"/>
  <c r="P11" i="7" s="1"/>
  <c r="O5" i="7"/>
  <c r="O11" i="7" s="1"/>
  <c r="N5" i="7"/>
  <c r="M5" i="7"/>
  <c r="L5" i="7"/>
  <c r="L11" i="7" s="1"/>
  <c r="K5" i="7"/>
  <c r="K11" i="7" s="1"/>
  <c r="J5" i="7"/>
  <c r="J11" i="7" s="1"/>
  <c r="I5" i="7"/>
  <c r="I11" i="7" s="1"/>
  <c r="H5" i="7"/>
  <c r="H11" i="7" s="1"/>
  <c r="G5" i="7"/>
  <c r="G11" i="7" s="1"/>
  <c r="F5" i="7"/>
  <c r="E5" i="7"/>
  <c r="CJ67" i="6"/>
  <c r="CI67" i="6"/>
  <c r="CI24" i="6" s="1"/>
  <c r="CH67" i="6"/>
  <c r="CH24" i="6" s="1"/>
  <c r="CG67" i="6"/>
  <c r="CF67" i="6"/>
  <c r="CE67" i="6"/>
  <c r="CE24" i="6" s="1"/>
  <c r="CD67" i="6"/>
  <c r="CD24" i="6" s="1"/>
  <c r="CC67" i="6"/>
  <c r="CC24" i="6" s="1"/>
  <c r="CB67" i="6"/>
  <c r="CA67" i="6"/>
  <c r="CA24" i="6" s="1"/>
  <c r="BZ67" i="6"/>
  <c r="BZ24" i="6" s="1"/>
  <c r="BY67" i="6"/>
  <c r="BY24" i="6" s="1"/>
  <c r="BX67" i="6"/>
  <c r="BX24" i="6" s="1"/>
  <c r="BW67" i="6"/>
  <c r="BW24" i="6" s="1"/>
  <c r="BV67" i="6"/>
  <c r="BU67" i="6"/>
  <c r="BU24" i="6" s="1"/>
  <c r="BT67" i="6"/>
  <c r="BS67" i="6"/>
  <c r="BS24" i="6" s="1"/>
  <c r="BR67" i="6"/>
  <c r="BR24" i="6" s="1"/>
  <c r="BQ67" i="6"/>
  <c r="BQ24" i="6" s="1"/>
  <c r="BP67" i="6"/>
  <c r="BP24" i="6" s="1"/>
  <c r="BO67" i="6"/>
  <c r="BO24" i="6" s="1"/>
  <c r="BN67" i="6"/>
  <c r="BN24" i="6" s="1"/>
  <c r="BM67" i="6"/>
  <c r="BM24" i="6" s="1"/>
  <c r="BL67" i="6"/>
  <c r="BK67" i="6"/>
  <c r="BK24" i="6" s="1"/>
  <c r="BJ67" i="6"/>
  <c r="BJ24" i="6" s="1"/>
  <c r="BI67" i="6"/>
  <c r="BI24" i="6" s="1"/>
  <c r="BH67" i="6"/>
  <c r="BH24" i="6" s="1"/>
  <c r="BG67" i="6"/>
  <c r="BG24" i="6" s="1"/>
  <c r="BF67" i="6"/>
  <c r="BF24" i="6" s="1"/>
  <c r="BE67" i="6"/>
  <c r="BE24" i="6" s="1"/>
  <c r="BD67" i="6"/>
  <c r="BC67" i="6"/>
  <c r="BC24" i="6" s="1"/>
  <c r="BB67" i="6"/>
  <c r="BB24" i="6" s="1"/>
  <c r="BA67" i="6"/>
  <c r="BA24" i="6" s="1"/>
  <c r="AZ67" i="6"/>
  <c r="AZ24" i="6" s="1"/>
  <c r="AY67" i="6"/>
  <c r="AY24" i="6" s="1"/>
  <c r="AX67" i="6"/>
  <c r="AW67" i="6"/>
  <c r="AW24" i="6" s="1"/>
  <c r="AV67" i="6"/>
  <c r="AU67" i="6"/>
  <c r="AU24" i="6" s="1"/>
  <c r="AT67" i="6"/>
  <c r="AT24" i="6" s="1"/>
  <c r="AS67" i="6"/>
  <c r="AS24" i="6" s="1"/>
  <c r="AR67" i="6"/>
  <c r="AR24" i="6" s="1"/>
  <c r="AQ67" i="6"/>
  <c r="AQ24" i="6" s="1"/>
  <c r="AP67" i="6"/>
  <c r="AP24" i="6" s="1"/>
  <c r="AO67" i="6"/>
  <c r="AO24" i="6" s="1"/>
  <c r="AN67" i="6"/>
  <c r="AM67" i="6"/>
  <c r="AM24" i="6" s="1"/>
  <c r="AL67" i="6"/>
  <c r="AL24" i="6" s="1"/>
  <c r="AK67" i="6"/>
  <c r="AK24" i="6" s="1"/>
  <c r="AJ67" i="6"/>
  <c r="AJ24" i="6" s="1"/>
  <c r="AI67" i="6"/>
  <c r="AI24" i="6" s="1"/>
  <c r="AH67" i="6"/>
  <c r="AH24" i="6" s="1"/>
  <c r="AG67" i="6"/>
  <c r="AG24" i="6" s="1"/>
  <c r="AF67" i="6"/>
  <c r="AE67" i="6"/>
  <c r="AE24" i="6" s="1"/>
  <c r="AD67" i="6"/>
  <c r="AD24" i="6" s="1"/>
  <c r="AC67" i="6"/>
  <c r="AC24" i="6" s="1"/>
  <c r="AB67" i="6"/>
  <c r="AB24" i="6" s="1"/>
  <c r="AA67" i="6"/>
  <c r="AA24" i="6" s="1"/>
  <c r="Z67" i="6"/>
  <c r="Z24" i="6" s="1"/>
  <c r="Y67" i="6"/>
  <c r="Y24" i="6" s="1"/>
  <c r="X67" i="6"/>
  <c r="X24" i="6" s="1"/>
  <c r="W67" i="6"/>
  <c r="W24" i="6" s="1"/>
  <c r="V67" i="6"/>
  <c r="V24" i="6" s="1"/>
  <c r="U67" i="6"/>
  <c r="U24" i="6" s="1"/>
  <c r="T67" i="6"/>
  <c r="T24" i="6" s="1"/>
  <c r="S67" i="6"/>
  <c r="S24" i="6" s="1"/>
  <c r="R67" i="6"/>
  <c r="R24" i="6" s="1"/>
  <c r="Q67" i="6"/>
  <c r="Q24" i="6" s="1"/>
  <c r="P67" i="6"/>
  <c r="P24" i="6" s="1"/>
  <c r="O67" i="6"/>
  <c r="O24" i="6" s="1"/>
  <c r="N67" i="6"/>
  <c r="N24" i="6" s="1"/>
  <c r="M67" i="6"/>
  <c r="M24" i="6" s="1"/>
  <c r="L67" i="6"/>
  <c r="L24" i="6" s="1"/>
  <c r="K67" i="6"/>
  <c r="K24" i="6" s="1"/>
  <c r="J67" i="6"/>
  <c r="J24" i="6" s="1"/>
  <c r="I67" i="6"/>
  <c r="I24" i="6" s="1"/>
  <c r="H67" i="6"/>
  <c r="G67" i="6"/>
  <c r="G24" i="6" s="1"/>
  <c r="F67" i="6"/>
  <c r="F24" i="6" s="1"/>
  <c r="E67" i="6"/>
  <c r="E24" i="6" s="1"/>
  <c r="D67" i="6"/>
  <c r="D24" i="6" s="1"/>
  <c r="C67" i="6"/>
  <c r="C24" i="6" s="1"/>
  <c r="B67" i="6"/>
  <c r="B24" i="6" s="1"/>
  <c r="D56" i="6"/>
  <c r="C56" i="6"/>
  <c r="B56" i="6"/>
  <c r="CJ46" i="6"/>
  <c r="CI46" i="6"/>
  <c r="CH46" i="6"/>
  <c r="CG46" i="6"/>
  <c r="CF46" i="6"/>
  <c r="CE46" i="6"/>
  <c r="CD46" i="6"/>
  <c r="CC46" i="6"/>
  <c r="CB46" i="6"/>
  <c r="CA46" i="6"/>
  <c r="BZ46" i="6"/>
  <c r="BY46" i="6"/>
  <c r="BX46" i="6"/>
  <c r="BW46" i="6"/>
  <c r="BV46" i="6"/>
  <c r="BU46" i="6"/>
  <c r="BT46" i="6"/>
  <c r="BS46" i="6"/>
  <c r="BR46" i="6"/>
  <c r="BQ46" i="6"/>
  <c r="BP46" i="6"/>
  <c r="BO46" i="6"/>
  <c r="BN46" i="6"/>
  <c r="BM46" i="6"/>
  <c r="BL46" i="6"/>
  <c r="BK46" i="6"/>
  <c r="BJ46" i="6"/>
  <c r="BI46" i="6"/>
  <c r="BH46" i="6"/>
  <c r="BG46" i="6"/>
  <c r="BF46" i="6"/>
  <c r="BE46" i="6"/>
  <c r="BD46" i="6"/>
  <c r="BC46" i="6"/>
  <c r="BB46" i="6"/>
  <c r="BA46" i="6"/>
  <c r="AZ46" i="6"/>
  <c r="AY46" i="6"/>
  <c r="AX46" i="6"/>
  <c r="AW46" i="6"/>
  <c r="AV46" i="6"/>
  <c r="AU46" i="6"/>
  <c r="AT46" i="6"/>
  <c r="AS46" i="6"/>
  <c r="AR46" i="6"/>
  <c r="AQ46" i="6"/>
  <c r="AP46" i="6"/>
  <c r="AO46" i="6"/>
  <c r="AN46" i="6"/>
  <c r="AM46" i="6"/>
  <c r="AL46" i="6"/>
  <c r="AK46" i="6"/>
  <c r="AJ46" i="6"/>
  <c r="AI46" i="6"/>
  <c r="AH46" i="6"/>
  <c r="AG46" i="6"/>
  <c r="AF46" i="6"/>
  <c r="AE46" i="6"/>
  <c r="AD46" i="6"/>
  <c r="AC46" i="6"/>
  <c r="AB46" i="6"/>
  <c r="AA46" i="6"/>
  <c r="Z46" i="6"/>
  <c r="Y46" i="6"/>
  <c r="X46" i="6"/>
  <c r="W46" i="6"/>
  <c r="V46" i="6"/>
  <c r="U46" i="6"/>
  <c r="T46" i="6"/>
  <c r="S46" i="6"/>
  <c r="R46" i="6"/>
  <c r="Q46" i="6"/>
  <c r="P46" i="6"/>
  <c r="O46" i="6"/>
  <c r="N46" i="6"/>
  <c r="M46" i="6"/>
  <c r="L46" i="6"/>
  <c r="K46" i="6"/>
  <c r="J46" i="6"/>
  <c r="I46" i="6"/>
  <c r="H46" i="6"/>
  <c r="G46" i="6"/>
  <c r="F46" i="6"/>
  <c r="E46" i="6"/>
  <c r="D46" i="6"/>
  <c r="C46" i="6"/>
  <c r="B46" i="6"/>
  <c r="CJ45" i="6"/>
  <c r="CI45" i="6"/>
  <c r="CH45" i="6"/>
  <c r="CG45" i="6"/>
  <c r="CF45" i="6"/>
  <c r="CE45" i="6"/>
  <c r="CD45" i="6"/>
  <c r="CC45" i="6"/>
  <c r="CB45" i="6"/>
  <c r="CA45" i="6"/>
  <c r="BZ45" i="6"/>
  <c r="BY45" i="6"/>
  <c r="BX45" i="6"/>
  <c r="BW45" i="6"/>
  <c r="BV45" i="6"/>
  <c r="BU45" i="6"/>
  <c r="BT45" i="6"/>
  <c r="BS45" i="6"/>
  <c r="BR45" i="6"/>
  <c r="BQ45" i="6"/>
  <c r="BP45" i="6"/>
  <c r="BO45" i="6"/>
  <c r="BN45" i="6"/>
  <c r="BM45" i="6"/>
  <c r="BL45" i="6"/>
  <c r="BK45" i="6"/>
  <c r="BJ45" i="6"/>
  <c r="BI45" i="6"/>
  <c r="BH45" i="6"/>
  <c r="BG45" i="6"/>
  <c r="BF45" i="6"/>
  <c r="BE45" i="6"/>
  <c r="BD45" i="6"/>
  <c r="BC45" i="6"/>
  <c r="BB45" i="6"/>
  <c r="BA45" i="6"/>
  <c r="AZ45" i="6"/>
  <c r="AY45" i="6"/>
  <c r="AX45" i="6"/>
  <c r="AW45" i="6"/>
  <c r="AV45" i="6"/>
  <c r="AU45" i="6"/>
  <c r="AT45" i="6"/>
  <c r="AS45" i="6"/>
  <c r="AR45" i="6"/>
  <c r="AQ45" i="6"/>
  <c r="AP45" i="6"/>
  <c r="AO45" i="6"/>
  <c r="AN45" i="6"/>
  <c r="AM45" i="6"/>
  <c r="AL45" i="6"/>
  <c r="AK45" i="6"/>
  <c r="AJ45" i="6"/>
  <c r="AI45" i="6"/>
  <c r="AH45" i="6"/>
  <c r="AG45" i="6"/>
  <c r="AF45" i="6"/>
  <c r="AE45" i="6"/>
  <c r="AD45" i="6"/>
  <c r="AC45" i="6"/>
  <c r="AB45" i="6"/>
  <c r="AA45" i="6"/>
  <c r="Z45" i="6"/>
  <c r="Y45" i="6"/>
  <c r="X45" i="6"/>
  <c r="W45" i="6"/>
  <c r="V45" i="6"/>
  <c r="U45" i="6"/>
  <c r="T45" i="6"/>
  <c r="S45" i="6"/>
  <c r="R45" i="6"/>
  <c r="Q45" i="6"/>
  <c r="P45" i="6"/>
  <c r="O45" i="6"/>
  <c r="N45" i="6"/>
  <c r="M45" i="6"/>
  <c r="L45" i="6"/>
  <c r="K45" i="6"/>
  <c r="J45" i="6"/>
  <c r="I45" i="6"/>
  <c r="H45" i="6"/>
  <c r="G45" i="6"/>
  <c r="F45" i="6"/>
  <c r="E45" i="6"/>
  <c r="D45" i="6"/>
  <c r="C45" i="6"/>
  <c r="B45" i="6"/>
  <c r="CK42" i="6"/>
  <c r="CK43" i="6" s="1"/>
  <c r="CJ40" i="6"/>
  <c r="CI40" i="6"/>
  <c r="CH40" i="6"/>
  <c r="CG40" i="6"/>
  <c r="CF40" i="6"/>
  <c r="CE40" i="6"/>
  <c r="CD40" i="6"/>
  <c r="CC40" i="6"/>
  <c r="CB40" i="6"/>
  <c r="CA40" i="6"/>
  <c r="BZ40" i="6"/>
  <c r="BY40" i="6"/>
  <c r="BX40" i="6"/>
  <c r="BW40" i="6"/>
  <c r="BV40" i="6"/>
  <c r="BU40" i="6"/>
  <c r="BT40" i="6"/>
  <c r="BS40" i="6"/>
  <c r="BR40" i="6"/>
  <c r="BQ40" i="6"/>
  <c r="BP40" i="6"/>
  <c r="BO40" i="6"/>
  <c r="BN40" i="6"/>
  <c r="BM40" i="6"/>
  <c r="BL40" i="6"/>
  <c r="BK40" i="6"/>
  <c r="BJ40" i="6"/>
  <c r="BI40" i="6"/>
  <c r="BH40" i="6"/>
  <c r="BG40" i="6"/>
  <c r="BF40" i="6"/>
  <c r="BE40" i="6"/>
  <c r="BD40" i="6"/>
  <c r="BC40" i="6"/>
  <c r="BB40" i="6"/>
  <c r="BA40" i="6"/>
  <c r="AZ40" i="6"/>
  <c r="AY40" i="6"/>
  <c r="AX40" i="6"/>
  <c r="AW40" i="6"/>
  <c r="AV40" i="6"/>
  <c r="AU40" i="6"/>
  <c r="AT40" i="6"/>
  <c r="AS40" i="6"/>
  <c r="AR40" i="6"/>
  <c r="AQ40" i="6"/>
  <c r="AP40" i="6"/>
  <c r="AO40" i="6"/>
  <c r="AN40" i="6"/>
  <c r="AM40" i="6"/>
  <c r="AL40" i="6"/>
  <c r="AK40" i="6"/>
  <c r="AJ40" i="6"/>
  <c r="AI40" i="6"/>
  <c r="AH40" i="6"/>
  <c r="AG40" i="6"/>
  <c r="AF40" i="6"/>
  <c r="AE40" i="6"/>
  <c r="AD40" i="6"/>
  <c r="AC40" i="6"/>
  <c r="AC62" i="10" s="1"/>
  <c r="AB40" i="6"/>
  <c r="AB62" i="10" s="1"/>
  <c r="AA40" i="6"/>
  <c r="AA62" i="10" s="1"/>
  <c r="Z40" i="6"/>
  <c r="Z62" i="10" s="1"/>
  <c r="Y40" i="6"/>
  <c r="Y62" i="10" s="1"/>
  <c r="X40" i="6"/>
  <c r="X62" i="10" s="1"/>
  <c r="W40" i="6"/>
  <c r="W62" i="10" s="1"/>
  <c r="V40" i="6"/>
  <c r="V62" i="10" s="1"/>
  <c r="U40" i="6"/>
  <c r="U62" i="10" s="1"/>
  <c r="T40" i="6"/>
  <c r="T62" i="10" s="1"/>
  <c r="S40" i="6"/>
  <c r="S62" i="10" s="1"/>
  <c r="R40" i="6"/>
  <c r="R62" i="10" s="1"/>
  <c r="Q40" i="6"/>
  <c r="Q62" i="10" s="1"/>
  <c r="P40" i="6"/>
  <c r="P62" i="10" s="1"/>
  <c r="O40" i="6"/>
  <c r="O62" i="10" s="1"/>
  <c r="N40" i="6"/>
  <c r="N62" i="10" s="1"/>
  <c r="M40" i="6"/>
  <c r="M62" i="10" s="1"/>
  <c r="L40" i="6"/>
  <c r="L62" i="10" s="1"/>
  <c r="K40" i="6"/>
  <c r="K62" i="10" s="1"/>
  <c r="J40" i="6"/>
  <c r="J62" i="10" s="1"/>
  <c r="I40" i="6"/>
  <c r="I62" i="10" s="1"/>
  <c r="H40" i="6"/>
  <c r="H62" i="10" s="1"/>
  <c r="G40" i="6"/>
  <c r="G62" i="10" s="1"/>
  <c r="F40" i="6"/>
  <c r="F62" i="10" s="1"/>
  <c r="E40" i="6"/>
  <c r="E62" i="10" s="1"/>
  <c r="D40" i="6"/>
  <c r="C40" i="6"/>
  <c r="B40" i="6"/>
  <c r="CG35" i="6"/>
  <c r="CE35" i="6"/>
  <c r="BY35" i="6"/>
  <c r="BW35" i="6"/>
  <c r="B35" i="6"/>
  <c r="CK29" i="6"/>
  <c r="CK25" i="6"/>
  <c r="CJ25" i="6"/>
  <c r="CI25" i="6"/>
  <c r="CH25" i="6"/>
  <c r="CG25" i="6"/>
  <c r="CF25" i="6"/>
  <c r="CE25" i="6"/>
  <c r="CD25" i="6"/>
  <c r="CC25" i="6"/>
  <c r="CB25" i="6"/>
  <c r="CA25" i="6"/>
  <c r="BZ25" i="6"/>
  <c r="BY25" i="6"/>
  <c r="BX25" i="6"/>
  <c r="BW25" i="6"/>
  <c r="BV25" i="6"/>
  <c r="BU25" i="6"/>
  <c r="BT25" i="6"/>
  <c r="BS25" i="6"/>
  <c r="BR25" i="6"/>
  <c r="BQ25" i="6"/>
  <c r="BP25" i="6"/>
  <c r="BO25" i="6"/>
  <c r="BN25" i="6"/>
  <c r="BM25" i="6"/>
  <c r="BL25" i="6"/>
  <c r="BK25" i="6"/>
  <c r="BJ25" i="6"/>
  <c r="BI25" i="6"/>
  <c r="BH25" i="6"/>
  <c r="BG25" i="6"/>
  <c r="BF25" i="6"/>
  <c r="BE25" i="6"/>
  <c r="BD25" i="6"/>
  <c r="BC25" i="6"/>
  <c r="BB25" i="6"/>
  <c r="BA25" i="6"/>
  <c r="AZ25" i="6"/>
  <c r="AY25" i="6"/>
  <c r="AX25" i="6"/>
  <c r="AW25" i="6"/>
  <c r="AV25" i="6"/>
  <c r="AU25" i="6"/>
  <c r="AT25" i="6"/>
  <c r="AS25" i="6"/>
  <c r="AR25" i="6"/>
  <c r="AQ25" i="6"/>
  <c r="AP25" i="6"/>
  <c r="AO25" i="6"/>
  <c r="AN25" i="6"/>
  <c r="AM25" i="6"/>
  <c r="AL25" i="6"/>
  <c r="AK25" i="6"/>
  <c r="AJ25" i="6"/>
  <c r="AI25" i="6"/>
  <c r="AH25" i="6"/>
  <c r="AG25" i="6"/>
  <c r="AF25" i="6"/>
  <c r="AE25" i="6"/>
  <c r="AD25" i="6"/>
  <c r="AC25" i="6"/>
  <c r="AB25" i="6"/>
  <c r="AA25" i="6"/>
  <c r="Z25" i="6"/>
  <c r="Y25" i="6"/>
  <c r="X25" i="6"/>
  <c r="W25" i="6"/>
  <c r="V25" i="6"/>
  <c r="U25" i="6"/>
  <c r="T25" i="6"/>
  <c r="S25" i="6"/>
  <c r="R25" i="6"/>
  <c r="Q25" i="6"/>
  <c r="P25" i="6"/>
  <c r="O25" i="6"/>
  <c r="N25" i="6"/>
  <c r="M25" i="6"/>
  <c r="L25" i="6"/>
  <c r="K25" i="6"/>
  <c r="J25" i="6"/>
  <c r="I25" i="6"/>
  <c r="H25" i="6"/>
  <c r="G25" i="6"/>
  <c r="F25" i="6"/>
  <c r="E25" i="6"/>
  <c r="D25" i="6"/>
  <c r="C25" i="6"/>
  <c r="B25" i="6"/>
  <c r="CJ24" i="6"/>
  <c r="CG24" i="6"/>
  <c r="CF24" i="6"/>
  <c r="CB24" i="6"/>
  <c r="BV24" i="6"/>
  <c r="BT24" i="6"/>
  <c r="BL24" i="6"/>
  <c r="BD24" i="6"/>
  <c r="AX24" i="6"/>
  <c r="AV24" i="6"/>
  <c r="AN24" i="6"/>
  <c r="AF24" i="6"/>
  <c r="H24" i="6"/>
  <c r="CK23" i="6"/>
  <c r="CJ23" i="6"/>
  <c r="CJ35" i="6" s="1"/>
  <c r="CI23" i="6"/>
  <c r="CI35" i="6" s="1"/>
  <c r="CH23" i="6"/>
  <c r="CH35" i="6" s="1"/>
  <c r="CG23" i="6"/>
  <c r="CF23" i="6"/>
  <c r="CF35" i="6" s="1"/>
  <c r="CE23" i="6"/>
  <c r="CD23" i="6"/>
  <c r="CD35" i="6" s="1"/>
  <c r="CC23" i="6"/>
  <c r="CC35" i="6" s="1"/>
  <c r="CB23" i="6"/>
  <c r="CB35" i="6" s="1"/>
  <c r="CA23" i="6"/>
  <c r="CA35" i="6" s="1"/>
  <c r="BZ23" i="6"/>
  <c r="BZ35" i="6" s="1"/>
  <c r="BY23" i="6"/>
  <c r="BX23" i="6"/>
  <c r="BW23" i="6"/>
  <c r="BV23" i="6"/>
  <c r="BV35" i="6" s="1"/>
  <c r="BU23" i="6"/>
  <c r="BU35" i="6" s="1"/>
  <c r="BT23" i="6"/>
  <c r="BT35" i="6" s="1"/>
  <c r="BS23" i="6"/>
  <c r="BS35" i="6" s="1"/>
  <c r="BR23" i="6"/>
  <c r="BR35" i="6" s="1"/>
  <c r="BQ23" i="6"/>
  <c r="BQ35" i="6" s="1"/>
  <c r="BP23" i="6"/>
  <c r="BO23" i="6"/>
  <c r="BN23" i="6"/>
  <c r="BN35" i="6" s="1"/>
  <c r="BM23" i="6"/>
  <c r="BM35" i="6" s="1"/>
  <c r="BL23" i="6"/>
  <c r="BL35" i="6" s="1"/>
  <c r="BK23" i="6"/>
  <c r="BK35" i="6" s="1"/>
  <c r="BJ23" i="6"/>
  <c r="BJ35" i="6" s="1"/>
  <c r="BI23" i="6"/>
  <c r="BI35" i="6" s="1"/>
  <c r="BH23" i="6"/>
  <c r="BG23" i="6"/>
  <c r="BF23" i="6"/>
  <c r="BF35" i="6" s="1"/>
  <c r="BE23" i="6"/>
  <c r="BE35" i="6" s="1"/>
  <c r="BD23" i="6"/>
  <c r="BD35" i="6" s="1"/>
  <c r="BC23" i="6"/>
  <c r="BC35" i="6" s="1"/>
  <c r="BB23" i="6"/>
  <c r="BB35" i="6" s="1"/>
  <c r="BA23" i="6"/>
  <c r="BA35" i="6" s="1"/>
  <c r="AZ23" i="6"/>
  <c r="AZ35" i="6" s="1"/>
  <c r="AY23" i="6"/>
  <c r="AX23" i="6"/>
  <c r="AX35" i="6" s="1"/>
  <c r="AW23" i="6"/>
  <c r="AW35" i="6" s="1"/>
  <c r="AV23" i="6"/>
  <c r="AV35" i="6" s="1"/>
  <c r="AU23" i="6"/>
  <c r="AU35" i="6" s="1"/>
  <c r="AT23" i="6"/>
  <c r="AT35" i="6" s="1"/>
  <c r="AS23" i="6"/>
  <c r="AS35" i="6" s="1"/>
  <c r="AR23" i="6"/>
  <c r="AR35" i="6" s="1"/>
  <c r="AQ23" i="6"/>
  <c r="AQ35" i="6" s="1"/>
  <c r="AP23" i="6"/>
  <c r="AP35" i="6" s="1"/>
  <c r="AO23" i="6"/>
  <c r="AO35" i="6" s="1"/>
  <c r="AN23" i="6"/>
  <c r="AN35" i="6" s="1"/>
  <c r="AM23" i="6"/>
  <c r="AM35" i="6" s="1"/>
  <c r="AL23" i="6"/>
  <c r="AL35" i="6" s="1"/>
  <c r="AK23" i="6"/>
  <c r="AK35" i="6" s="1"/>
  <c r="AJ23" i="6"/>
  <c r="AJ35" i="6" s="1"/>
  <c r="AI23" i="6"/>
  <c r="AI35" i="6" s="1"/>
  <c r="AH23" i="6"/>
  <c r="AH35" i="6" s="1"/>
  <c r="AG23" i="6"/>
  <c r="AG35" i="6" s="1"/>
  <c r="AF23" i="6"/>
  <c r="AF35" i="6" s="1"/>
  <c r="AE23" i="6"/>
  <c r="AE35" i="6" s="1"/>
  <c r="AD23" i="6"/>
  <c r="AD35" i="6" s="1"/>
  <c r="AC23" i="6"/>
  <c r="AC35" i="6" s="1"/>
  <c r="AB23" i="6"/>
  <c r="AB35" i="6" s="1"/>
  <c r="AA23" i="6"/>
  <c r="AA35" i="6" s="1"/>
  <c r="Z23" i="6"/>
  <c r="Z35" i="6" s="1"/>
  <c r="Y23" i="6"/>
  <c r="Y35" i="6" s="1"/>
  <c r="X23" i="6"/>
  <c r="X35" i="6" s="1"/>
  <c r="W23" i="6"/>
  <c r="W35" i="6" s="1"/>
  <c r="V23" i="6"/>
  <c r="V35" i="6" s="1"/>
  <c r="U23" i="6"/>
  <c r="U35" i="6" s="1"/>
  <c r="T23" i="6"/>
  <c r="T35" i="6" s="1"/>
  <c r="S23" i="6"/>
  <c r="S35" i="6" s="1"/>
  <c r="R23" i="6"/>
  <c r="R35" i="6" s="1"/>
  <c r="Q23" i="6"/>
  <c r="Q35" i="6" s="1"/>
  <c r="P23" i="6"/>
  <c r="P35" i="6" s="1"/>
  <c r="O23" i="6"/>
  <c r="O35" i="6" s="1"/>
  <c r="N23" i="6"/>
  <c r="N35" i="6" s="1"/>
  <c r="M23" i="6"/>
  <c r="M35" i="6" s="1"/>
  <c r="L23" i="6"/>
  <c r="L35" i="6" s="1"/>
  <c r="K23" i="6"/>
  <c r="K35" i="6" s="1"/>
  <c r="J23" i="6"/>
  <c r="J35" i="6" s="1"/>
  <c r="I23" i="6"/>
  <c r="I35" i="6" s="1"/>
  <c r="H23" i="6"/>
  <c r="H35" i="6" s="1"/>
  <c r="G23" i="6"/>
  <c r="G35" i="6" s="1"/>
  <c r="F23" i="6"/>
  <c r="F35" i="6" s="1"/>
  <c r="E23" i="6"/>
  <c r="E35" i="6" s="1"/>
  <c r="D23" i="6"/>
  <c r="D35" i="6" s="1"/>
  <c r="C23" i="6"/>
  <c r="C35" i="6" s="1"/>
  <c r="B23" i="6"/>
  <c r="CK16" i="6"/>
  <c r="CJ12" i="6"/>
  <c r="CJ18" i="10" s="1"/>
  <c r="CI12" i="6"/>
  <c r="CI18" i="10" s="1"/>
  <c r="CH12" i="6"/>
  <c r="CH18" i="10" s="1"/>
  <c r="CG12" i="6"/>
  <c r="CG18" i="10" s="1"/>
  <c r="CF12" i="6"/>
  <c r="CF18" i="10" s="1"/>
  <c r="CE12" i="6"/>
  <c r="CE18" i="10" s="1"/>
  <c r="CD12" i="6"/>
  <c r="CD18" i="10" s="1"/>
  <c r="CC12" i="6"/>
  <c r="CC18" i="10" s="1"/>
  <c r="CB12" i="6"/>
  <c r="CB18" i="10" s="1"/>
  <c r="CA12" i="6"/>
  <c r="CA18" i="10" s="1"/>
  <c r="BZ12" i="6"/>
  <c r="BZ18" i="10" s="1"/>
  <c r="BY12" i="6"/>
  <c r="BY18" i="10" s="1"/>
  <c r="BX12" i="6"/>
  <c r="BX18" i="10" s="1"/>
  <c r="BW12" i="6"/>
  <c r="BW18" i="10" s="1"/>
  <c r="BV12" i="6"/>
  <c r="BV18" i="10" s="1"/>
  <c r="BU12" i="6"/>
  <c r="BU18" i="10" s="1"/>
  <c r="BT12" i="6"/>
  <c r="BT18" i="10" s="1"/>
  <c r="BS12" i="6"/>
  <c r="BS18" i="10" s="1"/>
  <c r="BR12" i="6"/>
  <c r="BR18" i="10" s="1"/>
  <c r="BQ12" i="6"/>
  <c r="BQ18" i="10" s="1"/>
  <c r="BP12" i="6"/>
  <c r="BP18" i="10" s="1"/>
  <c r="BO12" i="6"/>
  <c r="BO18" i="10" s="1"/>
  <c r="BN12" i="6"/>
  <c r="BN18" i="10" s="1"/>
  <c r="BM12" i="6"/>
  <c r="BM18" i="10" s="1"/>
  <c r="BL12" i="6"/>
  <c r="BL18" i="10" s="1"/>
  <c r="BK12" i="6"/>
  <c r="BK18" i="10" s="1"/>
  <c r="BJ12" i="6"/>
  <c r="BJ18" i="10" s="1"/>
  <c r="BI12" i="6"/>
  <c r="BI18" i="10" s="1"/>
  <c r="BH12" i="6"/>
  <c r="BH18" i="10" s="1"/>
  <c r="BG12" i="6"/>
  <c r="BG18" i="10" s="1"/>
  <c r="BF12" i="6"/>
  <c r="BF18" i="10" s="1"/>
  <c r="BE12" i="6"/>
  <c r="BE18" i="10" s="1"/>
  <c r="BD12" i="6"/>
  <c r="BD18" i="10" s="1"/>
  <c r="BC12" i="6"/>
  <c r="BC18" i="10" s="1"/>
  <c r="BB12" i="6"/>
  <c r="BB18" i="10" s="1"/>
  <c r="BA12" i="6"/>
  <c r="BA18" i="10" s="1"/>
  <c r="AZ12" i="6"/>
  <c r="AZ18" i="10" s="1"/>
  <c r="AY12" i="6"/>
  <c r="AY18" i="10" s="1"/>
  <c r="AX12" i="6"/>
  <c r="AX18" i="10" s="1"/>
  <c r="AW12" i="6"/>
  <c r="AW18" i="10" s="1"/>
  <c r="AV12" i="6"/>
  <c r="AV18" i="10" s="1"/>
  <c r="AU12" i="6"/>
  <c r="AU18" i="10" s="1"/>
  <c r="AT12" i="6"/>
  <c r="AT18" i="10" s="1"/>
  <c r="AS12" i="6"/>
  <c r="AS18" i="10" s="1"/>
  <c r="AR12" i="6"/>
  <c r="AR18" i="10" s="1"/>
  <c r="AQ12" i="6"/>
  <c r="AQ18" i="10" s="1"/>
  <c r="AP12" i="6"/>
  <c r="AP18" i="10" s="1"/>
  <c r="AO12" i="6"/>
  <c r="AO18" i="10" s="1"/>
  <c r="AN12" i="6"/>
  <c r="AN18" i="10" s="1"/>
  <c r="AM12" i="6"/>
  <c r="AM18" i="10" s="1"/>
  <c r="AL12" i="6"/>
  <c r="AL18" i="10" s="1"/>
  <c r="AK12" i="6"/>
  <c r="AK18" i="10" s="1"/>
  <c r="AJ12" i="6"/>
  <c r="AJ18" i="10" s="1"/>
  <c r="AI12" i="6"/>
  <c r="AI18" i="10" s="1"/>
  <c r="AH12" i="6"/>
  <c r="AH18" i="10" s="1"/>
  <c r="AG12" i="6"/>
  <c r="AG18" i="10" s="1"/>
  <c r="AF12" i="6"/>
  <c r="AF18" i="10" s="1"/>
  <c r="AE12" i="6"/>
  <c r="AE18" i="10" s="1"/>
  <c r="AD12" i="6"/>
  <c r="AD18" i="10" s="1"/>
  <c r="AC12" i="6"/>
  <c r="AC18" i="10" s="1"/>
  <c r="AB12" i="6"/>
  <c r="AB18" i="10" s="1"/>
  <c r="AA12" i="6"/>
  <c r="AA18" i="10" s="1"/>
  <c r="Z12" i="6"/>
  <c r="Z18" i="10" s="1"/>
  <c r="Y12" i="6"/>
  <c r="Y18" i="10" s="1"/>
  <c r="X12" i="6"/>
  <c r="X18" i="10" s="1"/>
  <c r="W12" i="6"/>
  <c r="W18" i="10" s="1"/>
  <c r="V12" i="6"/>
  <c r="V18" i="10" s="1"/>
  <c r="U12" i="6"/>
  <c r="U18" i="10" s="1"/>
  <c r="T12" i="6"/>
  <c r="T18" i="10" s="1"/>
  <c r="S12" i="6"/>
  <c r="S18" i="10" s="1"/>
  <c r="R12" i="6"/>
  <c r="R18" i="10" s="1"/>
  <c r="Q12" i="6"/>
  <c r="Q18" i="10" s="1"/>
  <c r="P12" i="6"/>
  <c r="P18" i="10" s="1"/>
  <c r="O12" i="6"/>
  <c r="O18" i="10" s="1"/>
  <c r="N12" i="6"/>
  <c r="N18" i="10" s="1"/>
  <c r="M12" i="6"/>
  <c r="M18" i="10" s="1"/>
  <c r="L12" i="6"/>
  <c r="L18" i="10" s="1"/>
  <c r="K12" i="6"/>
  <c r="K18" i="10" s="1"/>
  <c r="J12" i="6"/>
  <c r="J18" i="10" s="1"/>
  <c r="I12" i="6"/>
  <c r="I18" i="10" s="1"/>
  <c r="H12" i="6"/>
  <c r="H18" i="10" s="1"/>
  <c r="G12" i="6"/>
  <c r="G18" i="10" s="1"/>
  <c r="F12" i="6"/>
  <c r="F18" i="10" s="1"/>
  <c r="E12" i="6"/>
  <c r="E18" i="10" s="1"/>
  <c r="D12" i="6"/>
  <c r="C12" i="6"/>
  <c r="B12" i="6"/>
  <c r="CK6" i="6"/>
  <c r="CJ6" i="6"/>
  <c r="CI6" i="6"/>
  <c r="CH6" i="6"/>
  <c r="CG6" i="6"/>
  <c r="CF6" i="6"/>
  <c r="CE6" i="6"/>
  <c r="CD6" i="6"/>
  <c r="CC6" i="6"/>
  <c r="CB6" i="6"/>
  <c r="CA6" i="6"/>
  <c r="BZ6" i="6"/>
  <c r="BZ15" i="6" s="1"/>
  <c r="BZ20" i="11" s="1"/>
  <c r="BZ21" i="11" s="1"/>
  <c r="BY6" i="6"/>
  <c r="BX6" i="6"/>
  <c r="BW6" i="6"/>
  <c r="BV6" i="6"/>
  <c r="BU6" i="6"/>
  <c r="BT6" i="6"/>
  <c r="BS6" i="6"/>
  <c r="BR6" i="6"/>
  <c r="BR15" i="6" s="1"/>
  <c r="BR20" i="11" s="1"/>
  <c r="BR21" i="11" s="1"/>
  <c r="BQ6" i="6"/>
  <c r="BP6" i="6"/>
  <c r="BO6" i="6"/>
  <c r="BN6" i="6"/>
  <c r="BM6" i="6"/>
  <c r="BL6" i="6"/>
  <c r="BK6" i="6"/>
  <c r="BJ6" i="6"/>
  <c r="BJ15" i="6" s="1"/>
  <c r="BJ20" i="11" s="1"/>
  <c r="BJ21" i="11" s="1"/>
  <c r="BI6" i="6"/>
  <c r="BH6" i="6"/>
  <c r="BG6" i="6"/>
  <c r="BF6" i="6"/>
  <c r="BE6" i="6"/>
  <c r="BD6" i="6"/>
  <c r="BC6" i="6"/>
  <c r="BB6" i="6"/>
  <c r="BB15" i="6" s="1"/>
  <c r="BB20" i="11" s="1"/>
  <c r="BB21" i="11" s="1"/>
  <c r="BA6" i="6"/>
  <c r="AZ6" i="6"/>
  <c r="AY6" i="6"/>
  <c r="AX6" i="6"/>
  <c r="AW6" i="6"/>
  <c r="AV6" i="6"/>
  <c r="AU6" i="6"/>
  <c r="AT6" i="6"/>
  <c r="AS6" i="6"/>
  <c r="AR6" i="6"/>
  <c r="AQ6" i="6"/>
  <c r="AP6" i="6"/>
  <c r="AO6" i="6"/>
  <c r="AN6" i="6"/>
  <c r="AM6" i="6"/>
  <c r="AL6" i="6"/>
  <c r="AK6" i="6"/>
  <c r="AJ6" i="6"/>
  <c r="AI6" i="6"/>
  <c r="AH6" i="6"/>
  <c r="AG6" i="6"/>
  <c r="AF6" i="6"/>
  <c r="AE6" i="6"/>
  <c r="AD6" i="6"/>
  <c r="AC6" i="6"/>
  <c r="AB6" i="6"/>
  <c r="AA6" i="6"/>
  <c r="Z6" i="6"/>
  <c r="Y6" i="6"/>
  <c r="X6" i="6"/>
  <c r="W6" i="6"/>
  <c r="V6" i="6"/>
  <c r="U6" i="6"/>
  <c r="T6" i="6"/>
  <c r="S6" i="6"/>
  <c r="R6" i="6"/>
  <c r="Q6" i="6"/>
  <c r="P6" i="6"/>
  <c r="O6" i="6"/>
  <c r="N6" i="6"/>
  <c r="M6" i="6"/>
  <c r="L6" i="6"/>
  <c r="K6" i="6"/>
  <c r="J6" i="6"/>
  <c r="I6" i="6"/>
  <c r="H6" i="6"/>
  <c r="G6" i="6"/>
  <c r="F6" i="6"/>
  <c r="E6" i="6"/>
  <c r="D6" i="6"/>
  <c r="D7" i="6" s="1"/>
  <c r="C6" i="6"/>
  <c r="C7" i="6" s="1"/>
  <c r="B6" i="6"/>
  <c r="B7" i="6" s="1"/>
  <c r="CL107" i="5"/>
  <c r="CK107" i="5"/>
  <c r="CK3" i="11" s="1"/>
  <c r="CJ107" i="5"/>
  <c r="CJ3" i="11" s="1"/>
  <c r="CI107" i="5"/>
  <c r="CI3" i="11" s="1"/>
  <c r="CH107" i="5"/>
  <c r="CH3" i="11" s="1"/>
  <c r="CG107" i="5"/>
  <c r="CG3" i="11" s="1"/>
  <c r="CF107" i="5"/>
  <c r="CF3" i="11" s="1"/>
  <c r="CE107" i="5"/>
  <c r="CE3" i="11" s="1"/>
  <c r="CD107" i="5"/>
  <c r="CD3" i="11" s="1"/>
  <c r="CC107" i="5"/>
  <c r="CC3" i="11" s="1"/>
  <c r="CB107" i="5"/>
  <c r="CB3" i="11" s="1"/>
  <c r="CA107" i="5"/>
  <c r="CA3" i="11" s="1"/>
  <c r="BZ107" i="5"/>
  <c r="BZ3" i="11" s="1"/>
  <c r="BY107" i="5"/>
  <c r="BY3" i="11" s="1"/>
  <c r="BX107" i="5"/>
  <c r="BX3" i="11" s="1"/>
  <c r="BW107" i="5"/>
  <c r="BW3" i="11" s="1"/>
  <c r="BV107" i="5"/>
  <c r="BV3" i="11" s="1"/>
  <c r="BU107" i="5"/>
  <c r="BU8" i="8" s="1"/>
  <c r="BT107" i="5"/>
  <c r="BT8" i="8" s="1"/>
  <c r="BS107" i="5"/>
  <c r="BS8" i="8" s="1"/>
  <c r="BR107" i="5"/>
  <c r="BR8" i="8" s="1"/>
  <c r="BQ107" i="5"/>
  <c r="BQ3" i="11" s="1"/>
  <c r="BP107" i="5"/>
  <c r="BP3" i="11" s="1"/>
  <c r="BO107" i="5"/>
  <c r="BO3" i="11" s="1"/>
  <c r="BN107" i="5"/>
  <c r="BN3" i="11" s="1"/>
  <c r="BM107" i="5"/>
  <c r="BM8" i="8" s="1"/>
  <c r="BL107" i="5"/>
  <c r="BL8" i="8" s="1"/>
  <c r="BK107" i="5"/>
  <c r="BK8" i="8" s="1"/>
  <c r="BJ107" i="5"/>
  <c r="BJ8" i="8" s="1"/>
  <c r="BI107" i="5"/>
  <c r="BI3" i="11" s="1"/>
  <c r="BH107" i="5"/>
  <c r="BH3" i="11" s="1"/>
  <c r="BG107" i="5"/>
  <c r="BG3" i="11" s="1"/>
  <c r="BF107" i="5"/>
  <c r="BF3" i="11" s="1"/>
  <c r="BE107" i="5"/>
  <c r="BE8" i="8" s="1"/>
  <c r="BD107" i="5"/>
  <c r="BD8" i="8" s="1"/>
  <c r="BC107" i="5"/>
  <c r="BC8" i="8" s="1"/>
  <c r="BB107" i="5"/>
  <c r="BB8" i="8" s="1"/>
  <c r="BA107" i="5"/>
  <c r="BA3" i="11" s="1"/>
  <c r="AZ107" i="5"/>
  <c r="AZ3" i="11" s="1"/>
  <c r="AY107" i="5"/>
  <c r="AY3" i="11" s="1"/>
  <c r="AX107" i="5"/>
  <c r="AX3" i="11" s="1"/>
  <c r="AW107" i="5"/>
  <c r="AW8" i="8" s="1"/>
  <c r="AV107" i="5"/>
  <c r="AV8" i="8" s="1"/>
  <c r="AU107" i="5"/>
  <c r="AU8" i="8" s="1"/>
  <c r="AT107" i="5"/>
  <c r="AT8" i="8" s="1"/>
  <c r="AS107" i="5"/>
  <c r="AS3" i="11" s="1"/>
  <c r="AR107" i="5"/>
  <c r="AR3" i="11" s="1"/>
  <c r="AQ107" i="5"/>
  <c r="AQ3" i="11" s="1"/>
  <c r="AP107" i="5"/>
  <c r="AP3" i="11" s="1"/>
  <c r="AO107" i="5"/>
  <c r="AO3" i="11" s="1"/>
  <c r="AN107" i="5"/>
  <c r="AN3" i="11" s="1"/>
  <c r="AM107" i="5"/>
  <c r="AM3" i="11" s="1"/>
  <c r="AL107" i="5"/>
  <c r="AL8" i="8" s="1"/>
  <c r="AK107" i="5"/>
  <c r="AK8" i="8" s="1"/>
  <c r="AJ107" i="5"/>
  <c r="AJ8" i="8" s="1"/>
  <c r="AI107" i="5"/>
  <c r="AI3" i="11" s="1"/>
  <c r="AH107" i="5"/>
  <c r="AH3" i="11" s="1"/>
  <c r="AG107" i="5"/>
  <c r="AG3" i="11" s="1"/>
  <c r="AF107" i="5"/>
  <c r="AF3" i="11" s="1"/>
  <c r="AE107" i="5"/>
  <c r="AE3" i="11" s="1"/>
  <c r="AD107" i="5"/>
  <c r="AD8" i="8" s="1"/>
  <c r="AC107" i="5"/>
  <c r="AC8" i="8" s="1"/>
  <c r="AB107" i="5"/>
  <c r="AB8" i="8" s="1"/>
  <c r="AA107" i="5"/>
  <c r="AA3" i="11" s="1"/>
  <c r="Z107" i="5"/>
  <c r="Z3" i="11" s="1"/>
  <c r="Y107" i="5"/>
  <c r="Y3" i="11" s="1"/>
  <c r="X107" i="5"/>
  <c r="X3" i="11" s="1"/>
  <c r="W107" i="5"/>
  <c r="W3" i="11" s="1"/>
  <c r="V107" i="5"/>
  <c r="V8" i="8" s="1"/>
  <c r="U107" i="5"/>
  <c r="U8" i="8" s="1"/>
  <c r="T107" i="5"/>
  <c r="T8" i="8" s="1"/>
  <c r="S107" i="5"/>
  <c r="S3" i="11" s="1"/>
  <c r="R107" i="5"/>
  <c r="R3" i="11" s="1"/>
  <c r="Q107" i="5"/>
  <c r="Q3" i="11" s="1"/>
  <c r="P107" i="5"/>
  <c r="P3" i="11" s="1"/>
  <c r="O107" i="5"/>
  <c r="O3" i="11" s="1"/>
  <c r="N107" i="5"/>
  <c r="N8" i="8" s="1"/>
  <c r="M107" i="5"/>
  <c r="M8" i="8" s="1"/>
  <c r="L107" i="5"/>
  <c r="L8" i="8" s="1"/>
  <c r="K107" i="5"/>
  <c r="K3" i="11" s="1"/>
  <c r="J107" i="5"/>
  <c r="J3" i="11" s="1"/>
  <c r="I107" i="5"/>
  <c r="I3" i="11" s="1"/>
  <c r="H107" i="5"/>
  <c r="H3" i="11" s="1"/>
  <c r="G107" i="5"/>
  <c r="G3" i="11" s="1"/>
  <c r="F107" i="5"/>
  <c r="F8" i="8" s="1"/>
  <c r="E107" i="5"/>
  <c r="D107" i="5"/>
  <c r="C107" i="5"/>
  <c r="B107" i="5"/>
  <c r="D89" i="5"/>
  <c r="C89" i="5"/>
  <c r="B89" i="5"/>
  <c r="CK81" i="5"/>
  <c r="CK11" i="9" s="1"/>
  <c r="CJ81" i="5"/>
  <c r="CJ11" i="9" s="1"/>
  <c r="CI81" i="5"/>
  <c r="CI11" i="9" s="1"/>
  <c r="CH81" i="5"/>
  <c r="CH11" i="9" s="1"/>
  <c r="CG81" i="5"/>
  <c r="CG11" i="9" s="1"/>
  <c r="CF81" i="5"/>
  <c r="CF11" i="9" s="1"/>
  <c r="CE81" i="5"/>
  <c r="CE11" i="9" s="1"/>
  <c r="CD81" i="5"/>
  <c r="CD11" i="9" s="1"/>
  <c r="CC81" i="5"/>
  <c r="CC11" i="9" s="1"/>
  <c r="CB81" i="5"/>
  <c r="CB11" i="9" s="1"/>
  <c r="CA81" i="5"/>
  <c r="CA11" i="9" s="1"/>
  <c r="BZ81" i="5"/>
  <c r="BZ11" i="9" s="1"/>
  <c r="BY81" i="5"/>
  <c r="BY11" i="9" s="1"/>
  <c r="BX81" i="5"/>
  <c r="BX11" i="9" s="1"/>
  <c r="BW81" i="5"/>
  <c r="BW11" i="9" s="1"/>
  <c r="BV81" i="5"/>
  <c r="BV11" i="9" s="1"/>
  <c r="BU81" i="5"/>
  <c r="BU11" i="9" s="1"/>
  <c r="BT81" i="5"/>
  <c r="BT11" i="9" s="1"/>
  <c r="BS81" i="5"/>
  <c r="BS11" i="9" s="1"/>
  <c r="BR81" i="5"/>
  <c r="BR11" i="9" s="1"/>
  <c r="BQ81" i="5"/>
  <c r="BQ11" i="9" s="1"/>
  <c r="BP81" i="5"/>
  <c r="BP11" i="9" s="1"/>
  <c r="BO81" i="5"/>
  <c r="BO11" i="9" s="1"/>
  <c r="BN81" i="5"/>
  <c r="BN11" i="9" s="1"/>
  <c r="BM81" i="5"/>
  <c r="BM11" i="9" s="1"/>
  <c r="BL81" i="5"/>
  <c r="BL11" i="9" s="1"/>
  <c r="BK81" i="5"/>
  <c r="BK11" i="9" s="1"/>
  <c r="BJ81" i="5"/>
  <c r="BJ11" i="9" s="1"/>
  <c r="BI81" i="5"/>
  <c r="BI11" i="9" s="1"/>
  <c r="BH81" i="5"/>
  <c r="BH11" i="9" s="1"/>
  <c r="BG81" i="5"/>
  <c r="BG11" i="9" s="1"/>
  <c r="BF81" i="5"/>
  <c r="BF11" i="9" s="1"/>
  <c r="BE81" i="5"/>
  <c r="BE11" i="9" s="1"/>
  <c r="BD81" i="5"/>
  <c r="BD11" i="9" s="1"/>
  <c r="BC81" i="5"/>
  <c r="BC11" i="9" s="1"/>
  <c r="BB81" i="5"/>
  <c r="BB11" i="9" s="1"/>
  <c r="BA81" i="5"/>
  <c r="BA11" i="9" s="1"/>
  <c r="AZ81" i="5"/>
  <c r="AZ11" i="9" s="1"/>
  <c r="AY81" i="5"/>
  <c r="AY11" i="9" s="1"/>
  <c r="AX81" i="5"/>
  <c r="AX11" i="9" s="1"/>
  <c r="AW81" i="5"/>
  <c r="AW11" i="9" s="1"/>
  <c r="AV81" i="5"/>
  <c r="AV11" i="9" s="1"/>
  <c r="AU81" i="5"/>
  <c r="AU11" i="9" s="1"/>
  <c r="AT81" i="5"/>
  <c r="AT11" i="9" s="1"/>
  <c r="AS81" i="5"/>
  <c r="AS11" i="9" s="1"/>
  <c r="AR81" i="5"/>
  <c r="AR11" i="9" s="1"/>
  <c r="AQ81" i="5"/>
  <c r="AQ11" i="9" s="1"/>
  <c r="AP81" i="5"/>
  <c r="AP11" i="9" s="1"/>
  <c r="AO81" i="5"/>
  <c r="AO11" i="9" s="1"/>
  <c r="AN81" i="5"/>
  <c r="AN11" i="9" s="1"/>
  <c r="AM81" i="5"/>
  <c r="AM11" i="9" s="1"/>
  <c r="AL81" i="5"/>
  <c r="AL11" i="9" s="1"/>
  <c r="AK81" i="5"/>
  <c r="AK11" i="9" s="1"/>
  <c r="AJ81" i="5"/>
  <c r="AJ11" i="9" s="1"/>
  <c r="AI81" i="5"/>
  <c r="AI11" i="9" s="1"/>
  <c r="AH81" i="5"/>
  <c r="AH11" i="9" s="1"/>
  <c r="AG81" i="5"/>
  <c r="AG11" i="9" s="1"/>
  <c r="AF81" i="5"/>
  <c r="AF11" i="9" s="1"/>
  <c r="AE81" i="5"/>
  <c r="AE11" i="9" s="1"/>
  <c r="AD81" i="5"/>
  <c r="AD11" i="9" s="1"/>
  <c r="AC81" i="5"/>
  <c r="AC11" i="9" s="1"/>
  <c r="AB81" i="5"/>
  <c r="AB11" i="9" s="1"/>
  <c r="AA81" i="5"/>
  <c r="AA11" i="9" s="1"/>
  <c r="Z81" i="5"/>
  <c r="Z11" i="9" s="1"/>
  <c r="Y81" i="5"/>
  <c r="Y11" i="9" s="1"/>
  <c r="X81" i="5"/>
  <c r="X11" i="9" s="1"/>
  <c r="W81" i="5"/>
  <c r="W11" i="9" s="1"/>
  <c r="V81" i="5"/>
  <c r="V11" i="9" s="1"/>
  <c r="U81" i="5"/>
  <c r="U11" i="9" s="1"/>
  <c r="U81" i="9" s="1"/>
  <c r="T81" i="5"/>
  <c r="T11" i="9" s="1"/>
  <c r="T81" i="9" s="1"/>
  <c r="S81" i="5"/>
  <c r="S11" i="9" s="1"/>
  <c r="S81" i="9" s="1"/>
  <c r="R81" i="5"/>
  <c r="R11" i="9" s="1"/>
  <c r="R81" i="9" s="1"/>
  <c r="Q81" i="5"/>
  <c r="Q11" i="9" s="1"/>
  <c r="Q81" i="9" s="1"/>
  <c r="P81" i="5"/>
  <c r="P11" i="9" s="1"/>
  <c r="P81" i="9" s="1"/>
  <c r="O81" i="5"/>
  <c r="O11" i="9" s="1"/>
  <c r="O81" i="9" s="1"/>
  <c r="N81" i="5"/>
  <c r="N11" i="9" s="1"/>
  <c r="N81" i="9" s="1"/>
  <c r="M81" i="5"/>
  <c r="M11" i="9" s="1"/>
  <c r="L81" i="5"/>
  <c r="L11" i="9" s="1"/>
  <c r="K81" i="5"/>
  <c r="K11" i="9" s="1"/>
  <c r="J81" i="5"/>
  <c r="J11" i="9" s="1"/>
  <c r="I81" i="5"/>
  <c r="I11" i="9" s="1"/>
  <c r="H81" i="5"/>
  <c r="H11" i="9" s="1"/>
  <c r="G81" i="5"/>
  <c r="G11" i="9" s="1"/>
  <c r="F81" i="5"/>
  <c r="F11" i="9" s="1"/>
  <c r="E81" i="5"/>
  <c r="E11" i="9" s="1"/>
  <c r="CL72" i="5"/>
  <c r="CK72" i="5"/>
  <c r="CK10" i="9" s="1"/>
  <c r="CJ72" i="5"/>
  <c r="CJ10" i="9" s="1"/>
  <c r="CI72" i="5"/>
  <c r="CI10" i="9" s="1"/>
  <c r="CH72" i="5"/>
  <c r="CH10" i="9" s="1"/>
  <c r="CG72" i="5"/>
  <c r="CG10" i="9" s="1"/>
  <c r="CF72" i="5"/>
  <c r="CF10" i="9" s="1"/>
  <c r="CE72" i="5"/>
  <c r="CE10" i="9" s="1"/>
  <c r="CD72" i="5"/>
  <c r="CC72" i="5"/>
  <c r="CC10" i="9" s="1"/>
  <c r="CB72" i="5"/>
  <c r="CB10" i="9" s="1"/>
  <c r="CA72" i="5"/>
  <c r="CA10" i="9" s="1"/>
  <c r="BZ72" i="5"/>
  <c r="BZ10" i="9" s="1"/>
  <c r="BY72" i="5"/>
  <c r="BY10" i="9" s="1"/>
  <c r="BX72" i="5"/>
  <c r="BX10" i="9" s="1"/>
  <c r="BW72" i="5"/>
  <c r="BW10" i="9" s="1"/>
  <c r="BV72" i="5"/>
  <c r="BU72" i="5"/>
  <c r="BU10" i="9" s="1"/>
  <c r="BT72" i="5"/>
  <c r="BT10" i="9" s="1"/>
  <c r="BS72" i="5"/>
  <c r="BS10" i="9" s="1"/>
  <c r="BR72" i="5"/>
  <c r="BR10" i="9" s="1"/>
  <c r="BQ72" i="5"/>
  <c r="BQ10" i="9" s="1"/>
  <c r="BP72" i="5"/>
  <c r="BP10" i="9" s="1"/>
  <c r="BO72" i="5"/>
  <c r="BO10" i="9" s="1"/>
  <c r="BN72" i="5"/>
  <c r="BM72" i="5"/>
  <c r="BM10" i="9" s="1"/>
  <c r="BL72" i="5"/>
  <c r="BL10" i="9" s="1"/>
  <c r="BK72" i="5"/>
  <c r="BK10" i="9" s="1"/>
  <c r="BJ72" i="5"/>
  <c r="BJ10" i="9" s="1"/>
  <c r="BI72" i="5"/>
  <c r="BI10" i="9" s="1"/>
  <c r="BH72" i="5"/>
  <c r="BH10" i="9" s="1"/>
  <c r="BG72" i="5"/>
  <c r="BG10" i="9" s="1"/>
  <c r="BF72" i="5"/>
  <c r="BE72" i="5"/>
  <c r="BE10" i="9" s="1"/>
  <c r="BD72" i="5"/>
  <c r="BD10" i="9" s="1"/>
  <c r="BC72" i="5"/>
  <c r="BC10" i="9" s="1"/>
  <c r="BB72" i="5"/>
  <c r="BB10" i="9" s="1"/>
  <c r="BA72" i="5"/>
  <c r="BA10" i="9" s="1"/>
  <c r="AZ72" i="5"/>
  <c r="AZ10" i="9" s="1"/>
  <c r="AY72" i="5"/>
  <c r="AY10" i="9" s="1"/>
  <c r="AX72" i="5"/>
  <c r="AW72" i="5"/>
  <c r="AW10" i="9" s="1"/>
  <c r="AV72" i="5"/>
  <c r="AV10" i="9" s="1"/>
  <c r="AU72" i="5"/>
  <c r="AU10" i="9" s="1"/>
  <c r="AT72" i="5"/>
  <c r="AT10" i="9" s="1"/>
  <c r="AS72" i="5"/>
  <c r="AS10" i="9" s="1"/>
  <c r="AR72" i="5"/>
  <c r="AR10" i="9" s="1"/>
  <c r="AQ72" i="5"/>
  <c r="AQ10" i="9" s="1"/>
  <c r="AP72" i="5"/>
  <c r="AO72" i="5"/>
  <c r="AO10" i="9" s="1"/>
  <c r="AN72" i="5"/>
  <c r="AN10" i="9" s="1"/>
  <c r="AM72" i="5"/>
  <c r="AM10" i="9" s="1"/>
  <c r="AL72" i="5"/>
  <c r="AL10" i="9" s="1"/>
  <c r="AK72" i="5"/>
  <c r="AK10" i="9" s="1"/>
  <c r="AJ72" i="5"/>
  <c r="AJ10" i="9" s="1"/>
  <c r="AI72" i="5"/>
  <c r="AI10" i="9" s="1"/>
  <c r="AH72" i="5"/>
  <c r="AG72" i="5"/>
  <c r="AG10" i="9" s="1"/>
  <c r="AF72" i="5"/>
  <c r="AF10" i="9" s="1"/>
  <c r="AE72" i="5"/>
  <c r="AE10" i="9" s="1"/>
  <c r="AD72" i="5"/>
  <c r="AD10" i="9" s="1"/>
  <c r="AC72" i="5"/>
  <c r="AC10" i="9" s="1"/>
  <c r="AB72" i="5"/>
  <c r="AB10" i="9" s="1"/>
  <c r="AA72" i="5"/>
  <c r="AA10" i="9" s="1"/>
  <c r="Z72" i="5"/>
  <c r="Y72" i="5"/>
  <c r="Y10" i="9" s="1"/>
  <c r="X72" i="5"/>
  <c r="X10" i="9" s="1"/>
  <c r="W72" i="5"/>
  <c r="W10" i="9" s="1"/>
  <c r="V72" i="5"/>
  <c r="V10" i="9" s="1"/>
  <c r="U72" i="5"/>
  <c r="U10" i="9" s="1"/>
  <c r="U78" i="9" s="1"/>
  <c r="U79" i="9" s="1"/>
  <c r="T72" i="5"/>
  <c r="T10" i="9" s="1"/>
  <c r="T78" i="9" s="1"/>
  <c r="T79" i="9" s="1"/>
  <c r="S72" i="5"/>
  <c r="S10" i="9" s="1"/>
  <c r="S78" i="9" s="1"/>
  <c r="S79" i="9" s="1"/>
  <c r="R72" i="5"/>
  <c r="Q72" i="5"/>
  <c r="Q10" i="9" s="1"/>
  <c r="Q78" i="9" s="1"/>
  <c r="Q79" i="9" s="1"/>
  <c r="P72" i="5"/>
  <c r="P10" i="9" s="1"/>
  <c r="P78" i="9" s="1"/>
  <c r="P79" i="9" s="1"/>
  <c r="O72" i="5"/>
  <c r="O10" i="9" s="1"/>
  <c r="O78" i="9" s="1"/>
  <c r="O79" i="9" s="1"/>
  <c r="N72" i="5"/>
  <c r="N10" i="9" s="1"/>
  <c r="N78" i="9" s="1"/>
  <c r="N79" i="9" s="1"/>
  <c r="M72" i="5"/>
  <c r="L72" i="5"/>
  <c r="L10" i="9" s="1"/>
  <c r="K72" i="5"/>
  <c r="K10" i="9" s="1"/>
  <c r="J72" i="5"/>
  <c r="I72" i="5"/>
  <c r="H72" i="5"/>
  <c r="H10" i="9" s="1"/>
  <c r="G72" i="5"/>
  <c r="G10" i="9" s="1"/>
  <c r="F72" i="5"/>
  <c r="F10" i="9" s="1"/>
  <c r="E72" i="5"/>
  <c r="CL70" i="5"/>
  <c r="CL9" i="9" s="1"/>
  <c r="CL69" i="5"/>
  <c r="CL8" i="9" s="1"/>
  <c r="CK68" i="5"/>
  <c r="CJ68" i="5"/>
  <c r="CI68" i="5"/>
  <c r="CH68" i="5"/>
  <c r="CG68" i="5"/>
  <c r="CF68" i="5"/>
  <c r="CE68" i="5"/>
  <c r="CD68" i="5"/>
  <c r="CC68" i="5"/>
  <c r="CB68" i="5"/>
  <c r="CA68" i="5"/>
  <c r="BZ68" i="5"/>
  <c r="BY68" i="5"/>
  <c r="BX68" i="5"/>
  <c r="BW68" i="5"/>
  <c r="BV68" i="5"/>
  <c r="BU68" i="5"/>
  <c r="BT68" i="5"/>
  <c r="BS68" i="5"/>
  <c r="BR68" i="5"/>
  <c r="BQ68" i="5"/>
  <c r="BP68" i="5"/>
  <c r="BO68" i="5"/>
  <c r="BN68" i="5"/>
  <c r="BM68" i="5"/>
  <c r="BL68" i="5"/>
  <c r="BK68" i="5"/>
  <c r="BJ68" i="5"/>
  <c r="BI68" i="5"/>
  <c r="BH68" i="5"/>
  <c r="BG68" i="5"/>
  <c r="BF68" i="5"/>
  <c r="BE68" i="5"/>
  <c r="BD68" i="5"/>
  <c r="BC68" i="5"/>
  <c r="BB68" i="5"/>
  <c r="BA68" i="5"/>
  <c r="AZ68" i="5"/>
  <c r="AY68" i="5"/>
  <c r="AX68" i="5"/>
  <c r="AW68" i="5"/>
  <c r="AV68" i="5"/>
  <c r="AU68" i="5"/>
  <c r="AT68" i="5"/>
  <c r="AS68" i="5"/>
  <c r="AR68" i="5"/>
  <c r="AQ68" i="5"/>
  <c r="AP68" i="5"/>
  <c r="AO68" i="5"/>
  <c r="AN68" i="5"/>
  <c r="AM68" i="5"/>
  <c r="AL68" i="5"/>
  <c r="AK68" i="5"/>
  <c r="AJ68" i="5"/>
  <c r="AI68" i="5"/>
  <c r="AH68" i="5"/>
  <c r="AG68" i="5"/>
  <c r="AF68" i="5"/>
  <c r="AE68" i="5"/>
  <c r="AD68" i="5"/>
  <c r="AC68" i="5"/>
  <c r="AB68" i="5"/>
  <c r="AA68" i="5"/>
  <c r="Z68" i="5"/>
  <c r="Y68" i="5"/>
  <c r="X68" i="5"/>
  <c r="W68" i="5"/>
  <c r="V68" i="5"/>
  <c r="U68" i="5"/>
  <c r="T68" i="5"/>
  <c r="S68" i="5"/>
  <c r="R68" i="5"/>
  <c r="Q68" i="5"/>
  <c r="P68" i="5"/>
  <c r="O68" i="5"/>
  <c r="N68" i="5"/>
  <c r="M68" i="5"/>
  <c r="L68" i="5"/>
  <c r="K68" i="5"/>
  <c r="J68" i="5"/>
  <c r="I68" i="5"/>
  <c r="H68" i="5"/>
  <c r="G68" i="5"/>
  <c r="F68" i="5"/>
  <c r="E68" i="5"/>
  <c r="D68" i="5"/>
  <c r="C68" i="5"/>
  <c r="B68" i="5"/>
  <c r="CK49" i="5"/>
  <c r="CK6" i="9" s="1"/>
  <c r="CK31" i="9" s="1"/>
  <c r="CJ49" i="5"/>
  <c r="CJ6" i="9" s="1"/>
  <c r="CJ31" i="9" s="1"/>
  <c r="CI49" i="5"/>
  <c r="CI6" i="9" s="1"/>
  <c r="CI31" i="9" s="1"/>
  <c r="CH49" i="5"/>
  <c r="CH6" i="9" s="1"/>
  <c r="CG49" i="5"/>
  <c r="CG6" i="9" s="1"/>
  <c r="CF49" i="5"/>
  <c r="CF6" i="9" s="1"/>
  <c r="CE49" i="5"/>
  <c r="CE6" i="9" s="1"/>
  <c r="CD49" i="5"/>
  <c r="CD6" i="9" s="1"/>
  <c r="CC49" i="5"/>
  <c r="CC6" i="9" s="1"/>
  <c r="CB49" i="5"/>
  <c r="CB6" i="9" s="1"/>
  <c r="CA49" i="5"/>
  <c r="CA6" i="9" s="1"/>
  <c r="BZ49" i="5"/>
  <c r="BZ6" i="9" s="1"/>
  <c r="BY49" i="5"/>
  <c r="BY6" i="9" s="1"/>
  <c r="BX49" i="5"/>
  <c r="BX6" i="9" s="1"/>
  <c r="BW49" i="5"/>
  <c r="BW6" i="9" s="1"/>
  <c r="BV49" i="5"/>
  <c r="BV6" i="9" s="1"/>
  <c r="BU49" i="5"/>
  <c r="BU6" i="9" s="1"/>
  <c r="BT49" i="5"/>
  <c r="BT6" i="9" s="1"/>
  <c r="BS49" i="5"/>
  <c r="BS6" i="9" s="1"/>
  <c r="BR49" i="5"/>
  <c r="BR6" i="9" s="1"/>
  <c r="BQ49" i="5"/>
  <c r="BQ6" i="9" s="1"/>
  <c r="BP49" i="5"/>
  <c r="BP6" i="9" s="1"/>
  <c r="BO49" i="5"/>
  <c r="BO6" i="9" s="1"/>
  <c r="BN49" i="5"/>
  <c r="BN6" i="9" s="1"/>
  <c r="BM49" i="5"/>
  <c r="BM6" i="9" s="1"/>
  <c r="BL49" i="5"/>
  <c r="BL6" i="9" s="1"/>
  <c r="BK49" i="5"/>
  <c r="BK6" i="9" s="1"/>
  <c r="BJ49" i="5"/>
  <c r="BJ6" i="9" s="1"/>
  <c r="BI49" i="5"/>
  <c r="BI6" i="9" s="1"/>
  <c r="BH49" i="5"/>
  <c r="BH6" i="9" s="1"/>
  <c r="BG49" i="5"/>
  <c r="BG6" i="9" s="1"/>
  <c r="BF49" i="5"/>
  <c r="BF6" i="9" s="1"/>
  <c r="BE49" i="5"/>
  <c r="BE6" i="9" s="1"/>
  <c r="BD49" i="5"/>
  <c r="BD6" i="9" s="1"/>
  <c r="BC49" i="5"/>
  <c r="BC6" i="9" s="1"/>
  <c r="BB49" i="5"/>
  <c r="BB6" i="9" s="1"/>
  <c r="BA49" i="5"/>
  <c r="BA6" i="9" s="1"/>
  <c r="AZ49" i="5"/>
  <c r="AZ6" i="9" s="1"/>
  <c r="AY49" i="5"/>
  <c r="AY6" i="9" s="1"/>
  <c r="AX49" i="5"/>
  <c r="AX6" i="9" s="1"/>
  <c r="AW49" i="5"/>
  <c r="AW6" i="9" s="1"/>
  <c r="AV49" i="5"/>
  <c r="AV6" i="9" s="1"/>
  <c r="AU49" i="5"/>
  <c r="AU6" i="9" s="1"/>
  <c r="AT49" i="5"/>
  <c r="AT6" i="9" s="1"/>
  <c r="AS49" i="5"/>
  <c r="AS6" i="9" s="1"/>
  <c r="AR49" i="5"/>
  <c r="AR6" i="9" s="1"/>
  <c r="AQ49" i="5"/>
  <c r="AQ6" i="9" s="1"/>
  <c r="AP49" i="5"/>
  <c r="AP6" i="9" s="1"/>
  <c r="AO49" i="5"/>
  <c r="AO6" i="9" s="1"/>
  <c r="AN49" i="5"/>
  <c r="AN6" i="9" s="1"/>
  <c r="AM49" i="5"/>
  <c r="AM6" i="9" s="1"/>
  <c r="AL49" i="5"/>
  <c r="AL6" i="9" s="1"/>
  <c r="AK49" i="5"/>
  <c r="AK6" i="9" s="1"/>
  <c r="AJ49" i="5"/>
  <c r="AJ6" i="9" s="1"/>
  <c r="AI49" i="5"/>
  <c r="AI6" i="9" s="1"/>
  <c r="AH49" i="5"/>
  <c r="AH6" i="9" s="1"/>
  <c r="AG49" i="5"/>
  <c r="AG6" i="9" s="1"/>
  <c r="AF49" i="5"/>
  <c r="AF6" i="9" s="1"/>
  <c r="AE49" i="5"/>
  <c r="AE6" i="9" s="1"/>
  <c r="AD49" i="5"/>
  <c r="AD6" i="9" s="1"/>
  <c r="AC49" i="5"/>
  <c r="AC6" i="9" s="1"/>
  <c r="AB49" i="5"/>
  <c r="AB6" i="9" s="1"/>
  <c r="AA49" i="5"/>
  <c r="AA6" i="9" s="1"/>
  <c r="Z49" i="5"/>
  <c r="Z6" i="9" s="1"/>
  <c r="Y49" i="5"/>
  <c r="Y6" i="9" s="1"/>
  <c r="X49" i="5"/>
  <c r="X6" i="9" s="1"/>
  <c r="W49" i="5"/>
  <c r="W6" i="9" s="1"/>
  <c r="V49" i="5"/>
  <c r="V6" i="9" s="1"/>
  <c r="U49" i="5"/>
  <c r="U6" i="9" s="1"/>
  <c r="T49" i="5"/>
  <c r="T6" i="9" s="1"/>
  <c r="S49" i="5"/>
  <c r="S6" i="9" s="1"/>
  <c r="R49" i="5"/>
  <c r="R6" i="9" s="1"/>
  <c r="Q49" i="5"/>
  <c r="Q6" i="9" s="1"/>
  <c r="P49" i="5"/>
  <c r="P6" i="9" s="1"/>
  <c r="O49" i="5"/>
  <c r="O6" i="9" s="1"/>
  <c r="N49" i="5"/>
  <c r="N6" i="9" s="1"/>
  <c r="M49" i="5"/>
  <c r="M6" i="9" s="1"/>
  <c r="L49" i="5"/>
  <c r="L6" i="9" s="1"/>
  <c r="K49" i="5"/>
  <c r="K6" i="9" s="1"/>
  <c r="J49" i="5"/>
  <c r="J6" i="9" s="1"/>
  <c r="I49" i="5"/>
  <c r="I6" i="9" s="1"/>
  <c r="H49" i="5"/>
  <c r="H6" i="9" s="1"/>
  <c r="G49" i="5"/>
  <c r="G6" i="9" s="1"/>
  <c r="F49" i="5"/>
  <c r="F6" i="9" s="1"/>
  <c r="E49" i="5"/>
  <c r="E6" i="9" s="1"/>
  <c r="D49" i="5"/>
  <c r="C49" i="5"/>
  <c r="B49" i="5"/>
  <c r="CK33" i="5"/>
  <c r="CK5" i="9" s="1"/>
  <c r="CK30" i="9" s="1"/>
  <c r="CJ33" i="5"/>
  <c r="CJ5" i="9" s="1"/>
  <c r="CJ30" i="9" s="1"/>
  <c r="CI33" i="5"/>
  <c r="CI5" i="9" s="1"/>
  <c r="CI30" i="9" s="1"/>
  <c r="CH33" i="5"/>
  <c r="CH5" i="9" s="1"/>
  <c r="CG33" i="5"/>
  <c r="CG5" i="9" s="1"/>
  <c r="CF33" i="5"/>
  <c r="CF5" i="9" s="1"/>
  <c r="CE33" i="5"/>
  <c r="CE5" i="9" s="1"/>
  <c r="CD33" i="5"/>
  <c r="CD5" i="9" s="1"/>
  <c r="CC33" i="5"/>
  <c r="CC5" i="9" s="1"/>
  <c r="CB33" i="5"/>
  <c r="CB5" i="9" s="1"/>
  <c r="CA33" i="5"/>
  <c r="CA5" i="9" s="1"/>
  <c r="BZ33" i="5"/>
  <c r="BZ5" i="9" s="1"/>
  <c r="BY33" i="5"/>
  <c r="BY5" i="9" s="1"/>
  <c r="BX33" i="5"/>
  <c r="BX5" i="9" s="1"/>
  <c r="BW33" i="5"/>
  <c r="BW5" i="9" s="1"/>
  <c r="BV33" i="5"/>
  <c r="BV5" i="9" s="1"/>
  <c r="BU33" i="5"/>
  <c r="BU5" i="9" s="1"/>
  <c r="BT33" i="5"/>
  <c r="BT5" i="9" s="1"/>
  <c r="BS33" i="5"/>
  <c r="BS5" i="9" s="1"/>
  <c r="BR33" i="5"/>
  <c r="BR5" i="9" s="1"/>
  <c r="BQ33" i="5"/>
  <c r="BQ5" i="9" s="1"/>
  <c r="BP33" i="5"/>
  <c r="BP5" i="9" s="1"/>
  <c r="BO33" i="5"/>
  <c r="BO5" i="9" s="1"/>
  <c r="BN33" i="5"/>
  <c r="BN5" i="9" s="1"/>
  <c r="BM33" i="5"/>
  <c r="BM5" i="9" s="1"/>
  <c r="BL33" i="5"/>
  <c r="BL5" i="9" s="1"/>
  <c r="BK33" i="5"/>
  <c r="BK5" i="9" s="1"/>
  <c r="BJ33" i="5"/>
  <c r="BJ5" i="9" s="1"/>
  <c r="BI33" i="5"/>
  <c r="BI5" i="9" s="1"/>
  <c r="BH33" i="5"/>
  <c r="BH5" i="9" s="1"/>
  <c r="BG33" i="5"/>
  <c r="BG5" i="9" s="1"/>
  <c r="BF33" i="5"/>
  <c r="BF5" i="9" s="1"/>
  <c r="BE33" i="5"/>
  <c r="BE5" i="9" s="1"/>
  <c r="BD33" i="5"/>
  <c r="BD5" i="9" s="1"/>
  <c r="BC33" i="5"/>
  <c r="BC5" i="9" s="1"/>
  <c r="BB33" i="5"/>
  <c r="BB5" i="9" s="1"/>
  <c r="BA33" i="5"/>
  <c r="BA5" i="9" s="1"/>
  <c r="AZ33" i="5"/>
  <c r="AZ5" i="9" s="1"/>
  <c r="AY33" i="5"/>
  <c r="AY5" i="9" s="1"/>
  <c r="AX33" i="5"/>
  <c r="AX5" i="9" s="1"/>
  <c r="AW33" i="5"/>
  <c r="AW5" i="9" s="1"/>
  <c r="AV33" i="5"/>
  <c r="AV5" i="9" s="1"/>
  <c r="AU33" i="5"/>
  <c r="AU5" i="9" s="1"/>
  <c r="AT33" i="5"/>
  <c r="AT5" i="9" s="1"/>
  <c r="AS33" i="5"/>
  <c r="AS5" i="9" s="1"/>
  <c r="AR33" i="5"/>
  <c r="AR5" i="9" s="1"/>
  <c r="AQ33" i="5"/>
  <c r="AQ5" i="9" s="1"/>
  <c r="AP33" i="5"/>
  <c r="AP5" i="9" s="1"/>
  <c r="AO33" i="5"/>
  <c r="AO5" i="9" s="1"/>
  <c r="AN33" i="5"/>
  <c r="AN5" i="9" s="1"/>
  <c r="AM33" i="5"/>
  <c r="AM5" i="9" s="1"/>
  <c r="AL33" i="5"/>
  <c r="AL5" i="9" s="1"/>
  <c r="AK33" i="5"/>
  <c r="AK5" i="9" s="1"/>
  <c r="AJ33" i="5"/>
  <c r="AJ5" i="9" s="1"/>
  <c r="AI33" i="5"/>
  <c r="AI5" i="9" s="1"/>
  <c r="AH33" i="5"/>
  <c r="AH5" i="9" s="1"/>
  <c r="AG33" i="5"/>
  <c r="AG5" i="9" s="1"/>
  <c r="AF33" i="5"/>
  <c r="AF5" i="9" s="1"/>
  <c r="AE33" i="5"/>
  <c r="AE5" i="9" s="1"/>
  <c r="AD33" i="5"/>
  <c r="AD5" i="9" s="1"/>
  <c r="AC33" i="5"/>
  <c r="AC5" i="9" s="1"/>
  <c r="AB33" i="5"/>
  <c r="AB5" i="9" s="1"/>
  <c r="AA33" i="5"/>
  <c r="AA5" i="9" s="1"/>
  <c r="Z33" i="5"/>
  <c r="Z5" i="9" s="1"/>
  <c r="Y33" i="5"/>
  <c r="Y5" i="9" s="1"/>
  <c r="X33" i="5"/>
  <c r="X5" i="9" s="1"/>
  <c r="W33" i="5"/>
  <c r="W5" i="9" s="1"/>
  <c r="V33" i="5"/>
  <c r="V5" i="9" s="1"/>
  <c r="U33" i="5"/>
  <c r="U5" i="9" s="1"/>
  <c r="T33" i="5"/>
  <c r="T5" i="9" s="1"/>
  <c r="S33" i="5"/>
  <c r="S5" i="9" s="1"/>
  <c r="R33" i="5"/>
  <c r="R5" i="9" s="1"/>
  <c r="Q33" i="5"/>
  <c r="Q5" i="9" s="1"/>
  <c r="P33" i="5"/>
  <c r="P5" i="9" s="1"/>
  <c r="O33" i="5"/>
  <c r="O5" i="9" s="1"/>
  <c r="N33" i="5"/>
  <c r="N5" i="9" s="1"/>
  <c r="M33" i="5"/>
  <c r="M5" i="9" s="1"/>
  <c r="L33" i="5"/>
  <c r="L5" i="9" s="1"/>
  <c r="K33" i="5"/>
  <c r="K5" i="9" s="1"/>
  <c r="J33" i="5"/>
  <c r="J5" i="9" s="1"/>
  <c r="I33" i="5"/>
  <c r="I5" i="9" s="1"/>
  <c r="H33" i="5"/>
  <c r="H5" i="9" s="1"/>
  <c r="G33" i="5"/>
  <c r="G5" i="9" s="1"/>
  <c r="F33" i="5"/>
  <c r="F5" i="9" s="1"/>
  <c r="E33" i="5"/>
  <c r="E5" i="9" s="1"/>
  <c r="D33" i="5"/>
  <c r="C33" i="5"/>
  <c r="C50" i="5" s="1"/>
  <c r="C69" i="5" s="1"/>
  <c r="B33" i="5"/>
  <c r="CK17" i="5"/>
  <c r="CJ17" i="5"/>
  <c r="CI17" i="5"/>
  <c r="CH17" i="5"/>
  <c r="CG17" i="5"/>
  <c r="CF17" i="5"/>
  <c r="CE17" i="5"/>
  <c r="CD17" i="5"/>
  <c r="CC17" i="5"/>
  <c r="CB17" i="5"/>
  <c r="CA17" i="5"/>
  <c r="BZ17" i="5"/>
  <c r="BY17" i="5"/>
  <c r="BX17" i="5"/>
  <c r="BW17" i="5"/>
  <c r="BV17" i="5"/>
  <c r="BV35" i="7" s="1"/>
  <c r="BU17" i="5"/>
  <c r="BU35" i="7" s="1"/>
  <c r="BT17" i="5"/>
  <c r="BT35" i="7" s="1"/>
  <c r="BS17" i="5"/>
  <c r="BS35" i="7" s="1"/>
  <c r="BR17" i="5"/>
  <c r="BR35" i="7" s="1"/>
  <c r="BQ17" i="5"/>
  <c r="BQ35" i="7" s="1"/>
  <c r="BP17" i="5"/>
  <c r="BP35" i="7" s="1"/>
  <c r="BO17" i="5"/>
  <c r="BO35" i="7" s="1"/>
  <c r="BN17" i="5"/>
  <c r="BN35" i="7" s="1"/>
  <c r="BM17" i="5"/>
  <c r="BM35" i="7" s="1"/>
  <c r="BL17" i="5"/>
  <c r="BL35" i="7" s="1"/>
  <c r="BK17" i="5"/>
  <c r="BK35" i="7" s="1"/>
  <c r="BJ17" i="5"/>
  <c r="BJ35" i="7" s="1"/>
  <c r="BI17" i="5"/>
  <c r="BI35" i="7" s="1"/>
  <c r="BH17" i="5"/>
  <c r="BH35" i="7" s="1"/>
  <c r="BG17" i="5"/>
  <c r="BG35" i="7" s="1"/>
  <c r="BF17" i="5"/>
  <c r="BF35" i="7" s="1"/>
  <c r="BE17" i="5"/>
  <c r="BE35" i="7" s="1"/>
  <c r="BD17" i="5"/>
  <c r="BD35" i="7" s="1"/>
  <c r="BC17" i="5"/>
  <c r="BC35" i="7" s="1"/>
  <c r="BB17" i="5"/>
  <c r="BB35" i="7" s="1"/>
  <c r="BA17" i="5"/>
  <c r="BA35" i="7" s="1"/>
  <c r="AZ17" i="5"/>
  <c r="AZ35" i="7" s="1"/>
  <c r="AY17" i="5"/>
  <c r="AY35" i="7" s="1"/>
  <c r="AX17" i="5"/>
  <c r="AX35" i="7" s="1"/>
  <c r="AW17" i="5"/>
  <c r="AW35" i="7" s="1"/>
  <c r="AS22" i="7" s="1"/>
  <c r="AS23" i="7" s="1"/>
  <c r="AV17" i="5"/>
  <c r="AV35" i="7" s="1"/>
  <c r="AR22" i="7" s="1"/>
  <c r="AR23" i="7" s="1"/>
  <c r="AU17" i="5"/>
  <c r="AU35" i="7" s="1"/>
  <c r="AQ22" i="7" s="1"/>
  <c r="AQ23" i="7" s="1"/>
  <c r="AT17" i="5"/>
  <c r="AT35" i="7" s="1"/>
  <c r="AP22" i="7" s="1"/>
  <c r="AP23" i="7" s="1"/>
  <c r="AS17" i="5"/>
  <c r="AS35" i="7" s="1"/>
  <c r="AO22" i="7" s="1"/>
  <c r="AO23" i="7" s="1"/>
  <c r="AR17" i="5"/>
  <c r="AR35" i="7" s="1"/>
  <c r="AN22" i="7" s="1"/>
  <c r="AN23" i="7" s="1"/>
  <c r="AQ17" i="5"/>
  <c r="AQ35" i="7" s="1"/>
  <c r="AM22" i="7" s="1"/>
  <c r="AM23" i="7" s="1"/>
  <c r="AP17" i="5"/>
  <c r="AP35" i="7" s="1"/>
  <c r="AL22" i="7" s="1"/>
  <c r="AL23" i="7" s="1"/>
  <c r="AO17" i="5"/>
  <c r="AO35" i="7" s="1"/>
  <c r="AK22" i="7" s="1"/>
  <c r="AK23" i="7" s="1"/>
  <c r="AN17" i="5"/>
  <c r="AN35" i="7" s="1"/>
  <c r="AJ22" i="7" s="1"/>
  <c r="AJ23" i="7" s="1"/>
  <c r="AM17" i="5"/>
  <c r="AM35" i="7" s="1"/>
  <c r="AI22" i="7" s="1"/>
  <c r="AI23" i="7" s="1"/>
  <c r="AL17" i="5"/>
  <c r="AL35" i="7" s="1"/>
  <c r="AH22" i="7" s="1"/>
  <c r="AH23" i="7" s="1"/>
  <c r="AK17" i="5"/>
  <c r="AK35" i="7" s="1"/>
  <c r="AG22" i="7" s="1"/>
  <c r="AG23" i="7" s="1"/>
  <c r="AJ17" i="5"/>
  <c r="AJ35" i="7" s="1"/>
  <c r="AF22" i="7" s="1"/>
  <c r="AF23" i="7" s="1"/>
  <c r="AI17" i="5"/>
  <c r="AI35" i="7" s="1"/>
  <c r="AE22" i="7" s="1"/>
  <c r="AE23" i="7" s="1"/>
  <c r="AH17" i="5"/>
  <c r="AH35" i="7" s="1"/>
  <c r="AD22" i="7" s="1"/>
  <c r="AD23" i="7" s="1"/>
  <c r="AG17" i="5"/>
  <c r="AG35" i="7" s="1"/>
  <c r="AC22" i="7" s="1"/>
  <c r="AC23" i="7" s="1"/>
  <c r="AF17" i="5"/>
  <c r="AF35" i="7" s="1"/>
  <c r="AB22" i="7" s="1"/>
  <c r="AB23" i="7" s="1"/>
  <c r="AE17" i="5"/>
  <c r="AE35" i="7" s="1"/>
  <c r="AA22" i="7" s="1"/>
  <c r="AA23" i="7" s="1"/>
  <c r="AD17" i="5"/>
  <c r="AD35" i="7" s="1"/>
  <c r="Z22" i="7" s="1"/>
  <c r="Z23" i="7" s="1"/>
  <c r="AC17" i="5"/>
  <c r="AC35" i="7" s="1"/>
  <c r="AB17" i="5"/>
  <c r="AB35" i="7" s="1"/>
  <c r="AA17" i="5"/>
  <c r="AA35" i="7" s="1"/>
  <c r="Z17" i="5"/>
  <c r="Z35" i="7" s="1"/>
  <c r="Y17" i="5"/>
  <c r="X17" i="5"/>
  <c r="W17" i="5"/>
  <c r="V17" i="5"/>
  <c r="U17" i="5"/>
  <c r="T17" i="5"/>
  <c r="S17" i="5"/>
  <c r="R17" i="5"/>
  <c r="Q17" i="5"/>
  <c r="P17" i="5"/>
  <c r="O17" i="5"/>
  <c r="N17" i="5"/>
  <c r="M17" i="5"/>
  <c r="L17" i="5"/>
  <c r="K17" i="5"/>
  <c r="J17" i="5"/>
  <c r="I17" i="5"/>
  <c r="H17" i="5"/>
  <c r="G17" i="5"/>
  <c r="F17" i="5"/>
  <c r="E17" i="5"/>
  <c r="B45" i="13" s="1"/>
  <c r="D17" i="5"/>
  <c r="C17" i="5"/>
  <c r="B17" i="5"/>
  <c r="F3" i="10" l="1"/>
  <c r="BZ6" i="10"/>
  <c r="CH65" i="11"/>
  <c r="CH66" i="11" s="1"/>
  <c r="CE27" i="6"/>
  <c r="CE32" i="10" s="1"/>
  <c r="T6" i="10"/>
  <c r="AB6" i="10"/>
  <c r="AR6" i="10"/>
  <c r="AZ6" i="10"/>
  <c r="BH6" i="10"/>
  <c r="BP6" i="10"/>
  <c r="BX6" i="10"/>
  <c r="CF6" i="10"/>
  <c r="BI5" i="10"/>
  <c r="D108" i="5"/>
  <c r="D50" i="5"/>
  <c r="D69" i="5" s="1"/>
  <c r="D70" i="5" s="1"/>
  <c r="K68" i="9"/>
  <c r="K81" i="9"/>
  <c r="K67" i="9"/>
  <c r="K78" i="9"/>
  <c r="K79" i="9" s="1"/>
  <c r="M68" i="9"/>
  <c r="M81" i="9"/>
  <c r="L67" i="9"/>
  <c r="L78" i="9"/>
  <c r="L79" i="9" s="1"/>
  <c r="F68" i="9"/>
  <c r="F81" i="9"/>
  <c r="G68" i="9"/>
  <c r="G81" i="9"/>
  <c r="F67" i="9"/>
  <c r="F78" i="9"/>
  <c r="F79" i="9" s="1"/>
  <c r="H68" i="9"/>
  <c r="H81" i="9"/>
  <c r="G67" i="9"/>
  <c r="G78" i="9"/>
  <c r="G79" i="9" s="1"/>
  <c r="I68" i="9"/>
  <c r="I81" i="9"/>
  <c r="L68" i="9"/>
  <c r="L81" i="9"/>
  <c r="H67" i="9"/>
  <c r="H78" i="9"/>
  <c r="H79" i="9" s="1"/>
  <c r="J68" i="9"/>
  <c r="J81" i="9"/>
  <c r="BM65" i="11"/>
  <c r="BM66" i="11" s="1"/>
  <c r="BU65" i="11"/>
  <c r="BU66" i="11" s="1"/>
  <c r="CC65" i="11"/>
  <c r="CC66" i="11" s="1"/>
  <c r="AP28" i="11"/>
  <c r="AX28" i="11"/>
  <c r="BN28" i="11"/>
  <c r="BV28" i="11"/>
  <c r="CD28" i="11"/>
  <c r="AQ28" i="11"/>
  <c r="AY28" i="11"/>
  <c r="BG28" i="11"/>
  <c r="BO28" i="11"/>
  <c r="BW28" i="11"/>
  <c r="CE28" i="11"/>
  <c r="Q67" i="9"/>
  <c r="S68" i="9"/>
  <c r="T68" i="9"/>
  <c r="S67" i="9"/>
  <c r="E81" i="9"/>
  <c r="E68" i="9"/>
  <c r="U68" i="9"/>
  <c r="T67" i="9"/>
  <c r="N68" i="9"/>
  <c r="U67" i="9"/>
  <c r="O68" i="9"/>
  <c r="N67" i="9"/>
  <c r="P68" i="9"/>
  <c r="O67" i="9"/>
  <c r="Q68" i="9"/>
  <c r="P67" i="9"/>
  <c r="R68" i="9"/>
  <c r="AM27" i="6"/>
  <c r="AM32" i="10" s="1"/>
  <c r="AY27" i="6"/>
  <c r="AY32" i="10" s="1"/>
  <c r="BG27" i="6"/>
  <c r="BG32" i="10" s="1"/>
  <c r="BO27" i="6"/>
  <c r="BO32" i="10" s="1"/>
  <c r="BW27" i="6"/>
  <c r="BW32" i="10" s="1"/>
  <c r="AJ6" i="10"/>
  <c r="BW5" i="10"/>
  <c r="BR3" i="11"/>
  <c r="O28" i="11"/>
  <c r="BS28" i="11"/>
  <c r="CA28" i="11"/>
  <c r="BH27" i="6"/>
  <c r="BH32" i="10" s="1"/>
  <c r="BP27" i="6"/>
  <c r="BP32" i="10" s="1"/>
  <c r="BX27" i="6"/>
  <c r="BX32" i="10" s="1"/>
  <c r="BV27" i="6"/>
  <c r="BV32" i="10" s="1"/>
  <c r="BF27" i="6"/>
  <c r="BF32" i="10" s="1"/>
  <c r="BN8" i="8"/>
  <c r="AJ19" i="10"/>
  <c r="BP3" i="10"/>
  <c r="CF3" i="10"/>
  <c r="BQ27" i="6"/>
  <c r="BQ32" i="10" s="1"/>
  <c r="BY27" i="6"/>
  <c r="BY32" i="10" s="1"/>
  <c r="CG27" i="6"/>
  <c r="CG32" i="10" s="1"/>
  <c r="CD27" i="6"/>
  <c r="CD32" i="10" s="1"/>
  <c r="AY35" i="6"/>
  <c r="C27" i="6"/>
  <c r="AI27" i="6"/>
  <c r="AI32" i="10" s="1"/>
  <c r="AQ27" i="6"/>
  <c r="AQ32" i="10" s="1"/>
  <c r="CB6" i="10"/>
  <c r="BJ3" i="11"/>
  <c r="AV28" i="11"/>
  <c r="BD28" i="11"/>
  <c r="BL28" i="11"/>
  <c r="BT28" i="11"/>
  <c r="CB28" i="11"/>
  <c r="CJ28" i="11"/>
  <c r="BO43" i="11"/>
  <c r="BW43" i="11"/>
  <c r="CE43" i="11"/>
  <c r="AN65" i="11"/>
  <c r="AN66" i="11" s="1"/>
  <c r="AV65" i="11"/>
  <c r="AV66" i="11" s="1"/>
  <c r="BD65" i="11"/>
  <c r="BD66" i="11" s="1"/>
  <c r="BL65" i="11"/>
  <c r="BL66" i="11" s="1"/>
  <c r="BT65" i="11"/>
  <c r="BT66" i="11" s="1"/>
  <c r="CB65" i="11"/>
  <c r="CB66" i="11" s="1"/>
  <c r="CJ65" i="11"/>
  <c r="CJ66" i="11" s="1"/>
  <c r="BL76" i="11"/>
  <c r="BT76" i="11"/>
  <c r="CB76" i="11"/>
  <c r="CJ76" i="11"/>
  <c r="AX27" i="6"/>
  <c r="AX32" i="10" s="1"/>
  <c r="BG35" i="6"/>
  <c r="BO5" i="10"/>
  <c r="CE5" i="10"/>
  <c r="BJ43" i="11"/>
  <c r="BR43" i="11"/>
  <c r="BZ43" i="11"/>
  <c r="CH43" i="11"/>
  <c r="BO76" i="11"/>
  <c r="BW76" i="11"/>
  <c r="CE76" i="11"/>
  <c r="J12" i="12"/>
  <c r="J13" i="12" s="1"/>
  <c r="R12" i="12"/>
  <c r="Z12" i="12"/>
  <c r="Z13" i="12" s="1"/>
  <c r="AH12" i="12"/>
  <c r="AH13" i="12" s="1"/>
  <c r="AP12" i="12"/>
  <c r="AX12" i="12"/>
  <c r="AX13" i="12" s="1"/>
  <c r="BF12" i="12"/>
  <c r="BF13" i="12" s="1"/>
  <c r="BN12" i="12"/>
  <c r="BV12" i="12"/>
  <c r="BV13" i="12" s="1"/>
  <c r="CD12" i="12"/>
  <c r="AS27" i="6"/>
  <c r="AS32" i="10" s="1"/>
  <c r="L57" i="11"/>
  <c r="AJ57" i="11"/>
  <c r="AR65" i="11"/>
  <c r="AR66" i="11" s="1"/>
  <c r="AZ65" i="11"/>
  <c r="AZ66" i="11" s="1"/>
  <c r="BH57" i="11"/>
  <c r="BP65" i="11"/>
  <c r="BP66" i="11" s="1"/>
  <c r="BX65" i="11"/>
  <c r="BX66" i="11" s="1"/>
  <c r="CF65" i="11"/>
  <c r="CF66" i="11" s="1"/>
  <c r="K12" i="12"/>
  <c r="K13" i="12" s="1"/>
  <c r="S12" i="12"/>
  <c r="S13" i="12" s="1"/>
  <c r="AA12" i="12"/>
  <c r="AA13" i="12" s="1"/>
  <c r="AI12" i="12"/>
  <c r="AI13" i="12" s="1"/>
  <c r="AQ12" i="12"/>
  <c r="AY12" i="12"/>
  <c r="AY13" i="12" s="1"/>
  <c r="BG12" i="12"/>
  <c r="BG13" i="12" s="1"/>
  <c r="BO12" i="12"/>
  <c r="BO13" i="12" s="1"/>
  <c r="BW12" i="12"/>
  <c r="BW13" i="12" s="1"/>
  <c r="CE12" i="12"/>
  <c r="CE13" i="12" s="1"/>
  <c r="BI6" i="10"/>
  <c r="BQ6" i="10"/>
  <c r="BY6" i="10"/>
  <c r="E28" i="11"/>
  <c r="M28" i="11"/>
  <c r="U28" i="11"/>
  <c r="AC28" i="11"/>
  <c r="AK28" i="11"/>
  <c r="AS28" i="11"/>
  <c r="BA28" i="11"/>
  <c r="BI28" i="11"/>
  <c r="BQ28" i="11"/>
  <c r="BY28" i="11"/>
  <c r="CG28" i="11"/>
  <c r="BN27" i="6"/>
  <c r="BN32" i="10" s="1"/>
  <c r="BO35" i="6"/>
  <c r="BW3" i="10"/>
  <c r="F6" i="10"/>
  <c r="N6" i="10"/>
  <c r="V6" i="10"/>
  <c r="AD6" i="10"/>
  <c r="AL6" i="10"/>
  <c r="AT6" i="10"/>
  <c r="F28" i="11"/>
  <c r="N28" i="11"/>
  <c r="V28" i="11"/>
  <c r="AD28" i="11"/>
  <c r="AL28" i="11"/>
  <c r="AT28" i="11"/>
  <c r="BB28" i="11"/>
  <c r="BR28" i="11"/>
  <c r="BZ28" i="11"/>
  <c r="CH28" i="11"/>
  <c r="BM43" i="11"/>
  <c r="BA27" i="6"/>
  <c r="BA32" i="10" s="1"/>
  <c r="BI27" i="6"/>
  <c r="BI32" i="10" s="1"/>
  <c r="M5" i="10"/>
  <c r="U5" i="10"/>
  <c r="AC5" i="10"/>
  <c r="AK5" i="10"/>
  <c r="AS5" i="10"/>
  <c r="AV6" i="10"/>
  <c r="AK6" i="10"/>
  <c r="AS6" i="10"/>
  <c r="BA6" i="10"/>
  <c r="AY5" i="10"/>
  <c r="AY3" i="10"/>
  <c r="E6" i="10"/>
  <c r="M6" i="10"/>
  <c r="U6" i="10"/>
  <c r="AC6" i="10"/>
  <c r="BB3" i="11"/>
  <c r="AX8" i="8"/>
  <c r="BF8" i="8"/>
  <c r="AT3" i="11"/>
  <c r="AV76" i="11"/>
  <c r="BD76" i="11"/>
  <c r="AW65" i="11"/>
  <c r="AW66" i="11" s="1"/>
  <c r="BE65" i="11"/>
  <c r="BE66" i="11" s="1"/>
  <c r="AY76" i="11"/>
  <c r="BG76" i="11"/>
  <c r="AY43" i="11"/>
  <c r="BG43" i="11"/>
  <c r="AT43" i="11"/>
  <c r="BB43" i="11"/>
  <c r="AW43" i="11"/>
  <c r="BE43" i="11"/>
  <c r="J28" i="11"/>
  <c r="R28" i="11"/>
  <c r="Z28" i="11"/>
  <c r="AH28" i="11"/>
  <c r="AA28" i="11"/>
  <c r="AI28" i="11"/>
  <c r="AW27" i="6"/>
  <c r="AW32" i="10" s="1"/>
  <c r="BE27" i="6"/>
  <c r="BE32" i="10" s="1"/>
  <c r="BM27" i="6"/>
  <c r="BM32" i="10" s="1"/>
  <c r="BU27" i="6"/>
  <c r="BU32" i="10" s="1"/>
  <c r="CC27" i="6"/>
  <c r="CC32" i="10" s="1"/>
  <c r="BF7" i="10"/>
  <c r="BF8" i="10" s="1"/>
  <c r="BF7" i="6"/>
  <c r="BV7" i="10"/>
  <c r="BV8" i="10" s="1"/>
  <c r="BV7" i="6"/>
  <c r="AZ19" i="10"/>
  <c r="AY7" i="10"/>
  <c r="AY7" i="6"/>
  <c r="BG7" i="10"/>
  <c r="BG8" i="10" s="1"/>
  <c r="BG7" i="6"/>
  <c r="BO7" i="10"/>
  <c r="BO7" i="6"/>
  <c r="BW7" i="10"/>
  <c r="BW7" i="6"/>
  <c r="CE7" i="10"/>
  <c r="CE7" i="6"/>
  <c r="AL27" i="6"/>
  <c r="AL32" i="10" s="1"/>
  <c r="B27" i="6"/>
  <c r="AY8" i="8"/>
  <c r="BG8" i="8"/>
  <c r="BO8" i="8"/>
  <c r="AU3" i="11"/>
  <c r="BC3" i="11"/>
  <c r="BK3" i="11"/>
  <c r="BS3" i="11"/>
  <c r="AW76" i="11"/>
  <c r="BE76" i="11"/>
  <c r="BM76" i="11"/>
  <c r="BU76" i="11"/>
  <c r="CC76" i="11"/>
  <c r="AR8" i="8"/>
  <c r="AZ8" i="8"/>
  <c r="BH8" i="8"/>
  <c r="BP8" i="8"/>
  <c r="AT5" i="10"/>
  <c r="BB5" i="10"/>
  <c r="BJ5" i="10"/>
  <c r="BR5" i="10"/>
  <c r="BZ5" i="10"/>
  <c r="CH5" i="10"/>
  <c r="BQ5" i="10"/>
  <c r="BB6" i="10"/>
  <c r="CH6" i="10"/>
  <c r="AV3" i="11"/>
  <c r="BD3" i="11"/>
  <c r="BL3" i="11"/>
  <c r="BT3" i="11"/>
  <c r="AX76" i="11"/>
  <c r="BF76" i="11"/>
  <c r="BN76" i="11"/>
  <c r="BV76" i="11"/>
  <c r="CD76" i="11"/>
  <c r="CK17" i="12"/>
  <c r="BX19" i="10"/>
  <c r="AZ27" i="6"/>
  <c r="AZ32" i="10" s="1"/>
  <c r="CF27" i="6"/>
  <c r="CF32" i="10" s="1"/>
  <c r="BA7" i="10"/>
  <c r="BA8" i="10" s="1"/>
  <c r="BA7" i="6"/>
  <c r="BI7" i="10"/>
  <c r="BI7" i="6"/>
  <c r="BQ7" i="10"/>
  <c r="BQ7" i="6"/>
  <c r="BY7" i="10"/>
  <c r="BY8" i="10" s="1"/>
  <c r="BY7" i="6"/>
  <c r="CG7" i="10"/>
  <c r="CG7" i="6"/>
  <c r="AN27" i="6"/>
  <c r="AN32" i="10" s="1"/>
  <c r="BH35" i="6"/>
  <c r="BP35" i="6"/>
  <c r="BX35" i="6"/>
  <c r="AS8" i="8"/>
  <c r="BA8" i="8"/>
  <c r="BI8" i="8"/>
  <c r="BQ8" i="8"/>
  <c r="BD6" i="10"/>
  <c r="AW3" i="11"/>
  <c r="BE3" i="11"/>
  <c r="BM3" i="11"/>
  <c r="BU3" i="11"/>
  <c r="AI57" i="11"/>
  <c r="AY65" i="11"/>
  <c r="AY66" i="11" s="1"/>
  <c r="BG65" i="11"/>
  <c r="BG66" i="11" s="1"/>
  <c r="BO65" i="11"/>
  <c r="BO66" i="11" s="1"/>
  <c r="BW65" i="11"/>
  <c r="BW66" i="11" s="1"/>
  <c r="CE65" i="11"/>
  <c r="CE66" i="11" s="1"/>
  <c r="AX7" i="10"/>
  <c r="AX8" i="10" s="1"/>
  <c r="AX7" i="6"/>
  <c r="BH7" i="10"/>
  <c r="BH7" i="6"/>
  <c r="CF7" i="10"/>
  <c r="CF8" i="10" s="1"/>
  <c r="CF7" i="6"/>
  <c r="BK30" i="9"/>
  <c r="AT7" i="10"/>
  <c r="AT8" i="10" s="1"/>
  <c r="AT7" i="6"/>
  <c r="BB7" i="10"/>
  <c r="BB8" i="10" s="1"/>
  <c r="BB7" i="6"/>
  <c r="BJ7" i="10"/>
  <c r="BJ8" i="10" s="1"/>
  <c r="BJ7" i="6"/>
  <c r="BR7" i="10"/>
  <c r="BR7" i="6"/>
  <c r="BZ7" i="10"/>
  <c r="BZ8" i="10" s="1"/>
  <c r="BZ7" i="6"/>
  <c r="CH7" i="10"/>
  <c r="CH8" i="10" s="1"/>
  <c r="CH7" i="6"/>
  <c r="CH15" i="6"/>
  <c r="CH20" i="11" s="1"/>
  <c r="CH21" i="11" s="1"/>
  <c r="AT27" i="6"/>
  <c r="AT32" i="10" s="1"/>
  <c r="BB27" i="6"/>
  <c r="BB32" i="10" s="1"/>
  <c r="BJ27" i="6"/>
  <c r="BJ32" i="10" s="1"/>
  <c r="BR27" i="6"/>
  <c r="BR32" i="10" s="1"/>
  <c r="BZ27" i="6"/>
  <c r="BZ32" i="10" s="1"/>
  <c r="CH27" i="6"/>
  <c r="CH32" i="10" s="1"/>
  <c r="AN19" i="10"/>
  <c r="AV19" i="10"/>
  <c r="BL19" i="10"/>
  <c r="BT19" i="10"/>
  <c r="CB19" i="10"/>
  <c r="CJ19" i="10"/>
  <c r="AF6" i="10"/>
  <c r="AN6" i="10"/>
  <c r="AV5" i="10"/>
  <c r="BD5" i="10"/>
  <c r="BL5" i="10"/>
  <c r="BT5" i="10"/>
  <c r="CB5" i="10"/>
  <c r="CJ5" i="10"/>
  <c r="BY5" i="10"/>
  <c r="BJ6" i="10"/>
  <c r="AW13" i="10"/>
  <c r="BE13" i="10"/>
  <c r="BM13" i="10"/>
  <c r="BU13" i="10"/>
  <c r="CC13" i="10"/>
  <c r="AR76" i="11"/>
  <c r="AZ76" i="11"/>
  <c r="BH76" i="11"/>
  <c r="BP76" i="11"/>
  <c r="BX76" i="11"/>
  <c r="CF76" i="11"/>
  <c r="CD7" i="10"/>
  <c r="CD7" i="6"/>
  <c r="AR19" i="10"/>
  <c r="AZ7" i="10"/>
  <c r="AZ7" i="6"/>
  <c r="AU30" i="9"/>
  <c r="C108" i="5"/>
  <c r="AU7" i="10"/>
  <c r="AU8" i="10" s="1"/>
  <c r="AU7" i="6"/>
  <c r="BC7" i="10"/>
  <c r="BC7" i="6"/>
  <c r="BK7" i="10"/>
  <c r="BK7" i="6"/>
  <c r="BS7" i="10"/>
  <c r="BS7" i="6"/>
  <c r="CA7" i="10"/>
  <c r="CA9" i="10" s="1"/>
  <c r="CA7" i="6"/>
  <c r="CI7" i="10"/>
  <c r="CI9" i="10" s="1"/>
  <c r="CI7" i="6"/>
  <c r="AH27" i="6"/>
  <c r="AH32" i="10" s="1"/>
  <c r="AP27" i="6"/>
  <c r="AP32" i="10" s="1"/>
  <c r="AU27" i="6"/>
  <c r="AU32" i="10" s="1"/>
  <c r="BC27" i="6"/>
  <c r="BC32" i="10" s="1"/>
  <c r="BK27" i="6"/>
  <c r="BK32" i="10" s="1"/>
  <c r="BS27" i="6"/>
  <c r="BS32" i="10" s="1"/>
  <c r="CA27" i="6"/>
  <c r="CA32" i="10" s="1"/>
  <c r="CI27" i="6"/>
  <c r="CI32" i="10" s="1"/>
  <c r="AW5" i="10"/>
  <c r="BE5" i="10"/>
  <c r="BM5" i="10"/>
  <c r="BU5" i="10"/>
  <c r="CC5" i="10"/>
  <c r="BL6" i="10"/>
  <c r="CK2" i="11"/>
  <c r="AS76" i="11"/>
  <c r="BA76" i="11"/>
  <c r="BI76" i="11"/>
  <c r="BQ76" i="11"/>
  <c r="BY76" i="11"/>
  <c r="CG76" i="11"/>
  <c r="BH19" i="10"/>
  <c r="BX7" i="10"/>
  <c r="BX7" i="6"/>
  <c r="BS30" i="9"/>
  <c r="AO31" i="9"/>
  <c r="AW31" i="9"/>
  <c r="BE31" i="9"/>
  <c r="BM31" i="9"/>
  <c r="BU31" i="9"/>
  <c r="CC31" i="9"/>
  <c r="AV7" i="10"/>
  <c r="AV8" i="10" s="1"/>
  <c r="AV7" i="6"/>
  <c r="BD7" i="10"/>
  <c r="BD8" i="10" s="1"/>
  <c r="BD7" i="6"/>
  <c r="BL7" i="10"/>
  <c r="BL8" i="10" s="1"/>
  <c r="BL7" i="6"/>
  <c r="BT7" i="10"/>
  <c r="BT7" i="6"/>
  <c r="CB7" i="10"/>
  <c r="CB8" i="10" s="1"/>
  <c r="CB7" i="6"/>
  <c r="CJ7" i="10"/>
  <c r="CJ7" i="6"/>
  <c r="AV27" i="6"/>
  <c r="AV32" i="10" s="1"/>
  <c r="BD27" i="6"/>
  <c r="BD32" i="10" s="1"/>
  <c r="BL27" i="6"/>
  <c r="BT27" i="6"/>
  <c r="BT32" i="10" s="1"/>
  <c r="CB27" i="6"/>
  <c r="CB32" i="10" s="1"/>
  <c r="CJ27" i="6"/>
  <c r="CJ32" i="10" s="1"/>
  <c r="AX5" i="10"/>
  <c r="BF5" i="10"/>
  <c r="BN5" i="10"/>
  <c r="BV5" i="10"/>
  <c r="CD5" i="10"/>
  <c r="BA5" i="10"/>
  <c r="CG5" i="10"/>
  <c r="BR6" i="10"/>
  <c r="BU43" i="11"/>
  <c r="CC43" i="11"/>
  <c r="AL65" i="11"/>
  <c r="AL66" i="11" s="1"/>
  <c r="AT65" i="11"/>
  <c r="AT66" i="11" s="1"/>
  <c r="BB65" i="11"/>
  <c r="BB66" i="11" s="1"/>
  <c r="BJ65" i="11"/>
  <c r="BJ66" i="11" s="1"/>
  <c r="BR65" i="11"/>
  <c r="BR66" i="11" s="1"/>
  <c r="BZ65" i="11"/>
  <c r="BZ66" i="11" s="1"/>
  <c r="BN7" i="10"/>
  <c r="BN7" i="6"/>
  <c r="BP7" i="10"/>
  <c r="BP8" i="10" s="1"/>
  <c r="BP7" i="6"/>
  <c r="BC30" i="9"/>
  <c r="CA30" i="9"/>
  <c r="AW7" i="10"/>
  <c r="AW8" i="10" s="1"/>
  <c r="AW7" i="6"/>
  <c r="BE7" i="10"/>
  <c r="BE8" i="10" s="1"/>
  <c r="BE7" i="6"/>
  <c r="BM7" i="10"/>
  <c r="BI9" i="10" s="1"/>
  <c r="BM7" i="6"/>
  <c r="BU7" i="10"/>
  <c r="BU7" i="6"/>
  <c r="CC7" i="10"/>
  <c r="CC7" i="6"/>
  <c r="CK7" i="10"/>
  <c r="CK9" i="10" s="1"/>
  <c r="CK7" i="6"/>
  <c r="AT15" i="6"/>
  <c r="AT20" i="11" s="1"/>
  <c r="AT21" i="11" s="1"/>
  <c r="D27" i="6"/>
  <c r="AJ27" i="6"/>
  <c r="AJ32" i="10" s="1"/>
  <c r="AR27" i="6"/>
  <c r="AR32" i="10" s="1"/>
  <c r="K12" i="7"/>
  <c r="K13" i="7" s="1"/>
  <c r="AI19" i="10"/>
  <c r="AQ19" i="10"/>
  <c r="AY19" i="10"/>
  <c r="BG19" i="10"/>
  <c r="BO19" i="10"/>
  <c r="BW19" i="10"/>
  <c r="CE19" i="10"/>
  <c r="CE3" i="10"/>
  <c r="K6" i="10"/>
  <c r="S6" i="10"/>
  <c r="AA6" i="10"/>
  <c r="AI6" i="10"/>
  <c r="AQ6" i="10"/>
  <c r="AY6" i="10"/>
  <c r="BG6" i="10"/>
  <c r="BO6" i="10"/>
  <c r="BW6" i="10"/>
  <c r="CE6" i="10"/>
  <c r="BG5" i="10"/>
  <c r="BT6" i="10"/>
  <c r="AU65" i="11"/>
  <c r="AU66" i="11" s="1"/>
  <c r="BC65" i="11"/>
  <c r="BC66" i="11" s="1"/>
  <c r="BK65" i="11"/>
  <c r="BK66" i="11" s="1"/>
  <c r="BS65" i="11"/>
  <c r="BS66" i="11" s="1"/>
  <c r="CA65" i="11"/>
  <c r="CA66" i="11" s="1"/>
  <c r="CI65" i="11"/>
  <c r="CI66" i="11" s="1"/>
  <c r="AU76" i="11"/>
  <c r="BC76" i="11"/>
  <c r="BK76" i="11"/>
  <c r="BS76" i="11"/>
  <c r="CA76" i="11"/>
  <c r="CI76" i="11"/>
  <c r="CK16" i="12"/>
  <c r="H19" i="10"/>
  <c r="F27" i="6"/>
  <c r="F32" i="10" s="1"/>
  <c r="H27" i="6"/>
  <c r="H32" i="10" s="1"/>
  <c r="G27" i="6"/>
  <c r="G32" i="10" s="1"/>
  <c r="K27" i="6"/>
  <c r="K32" i="10" s="1"/>
  <c r="L12" i="7"/>
  <c r="L13" i="7" s="1"/>
  <c r="M12" i="7"/>
  <c r="T13" i="7"/>
  <c r="L6" i="10"/>
  <c r="E8" i="8"/>
  <c r="B49" i="13"/>
  <c r="K28" i="11"/>
  <c r="K57" i="11"/>
  <c r="C70" i="5"/>
  <c r="E25" i="12"/>
  <c r="E26" i="12" s="1"/>
  <c r="E27" i="12" s="1"/>
  <c r="M25" i="12"/>
  <c r="M26" i="12" s="1"/>
  <c r="M27" i="12" s="1"/>
  <c r="U25" i="12"/>
  <c r="U26" i="12" s="1"/>
  <c r="U27" i="12" s="1"/>
  <c r="AC25" i="12"/>
  <c r="AK25" i="12"/>
  <c r="AK26" i="12" s="1"/>
  <c r="AK27" i="12" s="1"/>
  <c r="AS25" i="12"/>
  <c r="AS26" i="12" s="1"/>
  <c r="AS27" i="12" s="1"/>
  <c r="BA25" i="12"/>
  <c r="BA26" i="12" s="1"/>
  <c r="BA27" i="12" s="1"/>
  <c r="BI25" i="12"/>
  <c r="BI26" i="12" s="1"/>
  <c r="BI27" i="12" s="1"/>
  <c r="BQ25" i="12"/>
  <c r="BQ26" i="12" s="1"/>
  <c r="BQ27" i="12" s="1"/>
  <c r="BY25" i="12"/>
  <c r="BY26" i="12" s="1"/>
  <c r="BY27" i="12" s="1"/>
  <c r="CG25" i="12"/>
  <c r="CG26" i="12" s="1"/>
  <c r="CG27" i="12" s="1"/>
  <c r="L27" i="6"/>
  <c r="L32" i="10" s="1"/>
  <c r="N27" i="6"/>
  <c r="N32" i="10" s="1"/>
  <c r="K19" i="10"/>
  <c r="P27" i="6"/>
  <c r="P32" i="10" s="1"/>
  <c r="L19" i="10"/>
  <c r="P19" i="10"/>
  <c r="O27" i="6"/>
  <c r="O32" i="10" s="1"/>
  <c r="J27" i="6"/>
  <c r="J32" i="10" s="1"/>
  <c r="F25" i="12"/>
  <c r="F26" i="12" s="1"/>
  <c r="F27" i="12" s="1"/>
  <c r="N25" i="12"/>
  <c r="N26" i="12" s="1"/>
  <c r="N27" i="12" s="1"/>
  <c r="V25" i="12"/>
  <c r="V26" i="12" s="1"/>
  <c r="V27" i="12" s="1"/>
  <c r="AD25" i="12"/>
  <c r="AD26" i="12" s="1"/>
  <c r="AD27" i="12" s="1"/>
  <c r="AL25" i="12"/>
  <c r="AL26" i="12" s="1"/>
  <c r="AL27" i="12" s="1"/>
  <c r="AT25" i="12"/>
  <c r="AT26" i="12" s="1"/>
  <c r="AT27" i="12" s="1"/>
  <c r="BB25" i="12"/>
  <c r="BB26" i="12" s="1"/>
  <c r="BB27" i="12" s="1"/>
  <c r="BJ25" i="12"/>
  <c r="BJ26" i="12" s="1"/>
  <c r="BJ27" i="12" s="1"/>
  <c r="BR25" i="12"/>
  <c r="BR26" i="12" s="1"/>
  <c r="BR27" i="12" s="1"/>
  <c r="BZ25" i="12"/>
  <c r="BZ26" i="12" s="1"/>
  <c r="BZ27" i="12" s="1"/>
  <c r="CH25" i="12"/>
  <c r="CH26" i="12" s="1"/>
  <c r="CH27" i="12" s="1"/>
  <c r="CH28" i="12" s="1"/>
  <c r="I25" i="12"/>
  <c r="I26" i="12" s="1"/>
  <c r="I27" i="12" s="1"/>
  <c r="Q25" i="12"/>
  <c r="Q26" i="12" s="1"/>
  <c r="Q27" i="12" s="1"/>
  <c r="Y25" i="12"/>
  <c r="AG25" i="12"/>
  <c r="AG26" i="12" s="1"/>
  <c r="AG27" i="12" s="1"/>
  <c r="AO25" i="12"/>
  <c r="AO26" i="12" s="1"/>
  <c r="AO27" i="12" s="1"/>
  <c r="AW25" i="12"/>
  <c r="AW26" i="12" s="1"/>
  <c r="AW27" i="12" s="1"/>
  <c r="BE25" i="12"/>
  <c r="BE26" i="12" s="1"/>
  <c r="BE27" i="12" s="1"/>
  <c r="BM25" i="12"/>
  <c r="BM26" i="12" s="1"/>
  <c r="BM27" i="12" s="1"/>
  <c r="BU25" i="12"/>
  <c r="BU26" i="12" s="1"/>
  <c r="BU27" i="12" s="1"/>
  <c r="L12" i="12"/>
  <c r="L13" i="12" s="1"/>
  <c r="T12" i="12"/>
  <c r="T13" i="12" s="1"/>
  <c r="AB12" i="12"/>
  <c r="AB13" i="12" s="1"/>
  <c r="AJ12" i="12"/>
  <c r="AJ13" i="12" s="1"/>
  <c r="AR12" i="12"/>
  <c r="AR13" i="12" s="1"/>
  <c r="AZ12" i="12"/>
  <c r="AZ13" i="12" s="1"/>
  <c r="BH12" i="12"/>
  <c r="BH13" i="12" s="1"/>
  <c r="BP12" i="12"/>
  <c r="BP13" i="12" s="1"/>
  <c r="BX12" i="12"/>
  <c r="BX13" i="12" s="1"/>
  <c r="CF12" i="12"/>
  <c r="CF13" i="12" s="1"/>
  <c r="G12" i="12"/>
  <c r="G13" i="12" s="1"/>
  <c r="O12" i="12"/>
  <c r="O13" i="12" s="1"/>
  <c r="W12" i="12"/>
  <c r="W13" i="12" s="1"/>
  <c r="AE12" i="12"/>
  <c r="AE13" i="12" s="1"/>
  <c r="AM12" i="12"/>
  <c r="AM13" i="12" s="1"/>
  <c r="AU12" i="12"/>
  <c r="AU13" i="12" s="1"/>
  <c r="BC12" i="12"/>
  <c r="BC13" i="12" s="1"/>
  <c r="BK12" i="12"/>
  <c r="BK13" i="12" s="1"/>
  <c r="BS12" i="12"/>
  <c r="BS13" i="12" s="1"/>
  <c r="CA12" i="12"/>
  <c r="CA13" i="12" s="1"/>
  <c r="CI12" i="12"/>
  <c r="CI13" i="12" s="1"/>
  <c r="AN7" i="10"/>
  <c r="AN8" i="10" s="1"/>
  <c r="AN7" i="6"/>
  <c r="AO7" i="10"/>
  <c r="AO8" i="10" s="1"/>
  <c r="AO7" i="6"/>
  <c r="AP7" i="10"/>
  <c r="AP8" i="10" s="1"/>
  <c r="AP7" i="6"/>
  <c r="AQ7" i="10"/>
  <c r="AQ8" i="10" s="1"/>
  <c r="AQ7" i="6"/>
  <c r="AR7" i="10"/>
  <c r="AR8" i="10" s="1"/>
  <c r="AR7" i="6"/>
  <c r="AK7" i="10"/>
  <c r="AK7" i="6"/>
  <c r="AS7" i="10"/>
  <c r="AS8" i="10" s="1"/>
  <c r="AS7" i="6"/>
  <c r="AL7" i="10"/>
  <c r="AL8" i="10" s="1"/>
  <c r="AL7" i="6"/>
  <c r="AM7" i="10"/>
  <c r="AM8" i="10" s="1"/>
  <c r="AM7" i="6"/>
  <c r="H7" i="10"/>
  <c r="H8" i="10" s="1"/>
  <c r="H7" i="6"/>
  <c r="P7" i="10"/>
  <c r="P8" i="10" s="1"/>
  <c r="P7" i="6"/>
  <c r="X7" i="10"/>
  <c r="X8" i="10" s="1"/>
  <c r="X7" i="6"/>
  <c r="AF7" i="10"/>
  <c r="AF8" i="10" s="1"/>
  <c r="AF7" i="6"/>
  <c r="I7" i="10"/>
  <c r="I8" i="10" s="1"/>
  <c r="I7" i="6"/>
  <c r="Q7" i="10"/>
  <c r="Q7" i="6"/>
  <c r="Y7" i="10"/>
  <c r="Y8" i="10" s="1"/>
  <c r="Y7" i="6"/>
  <c r="AG7" i="10"/>
  <c r="AG8" i="10" s="1"/>
  <c r="AG7" i="6"/>
  <c r="J7" i="10"/>
  <c r="J7" i="6"/>
  <c r="R7" i="10"/>
  <c r="R7" i="6"/>
  <c r="Z7" i="10"/>
  <c r="Z8" i="10" s="1"/>
  <c r="Z7" i="6"/>
  <c r="AH7" i="10"/>
  <c r="AH7" i="6"/>
  <c r="K7" i="10"/>
  <c r="K7" i="6"/>
  <c r="S7" i="10"/>
  <c r="S8" i="10" s="1"/>
  <c r="S7" i="6"/>
  <c r="AA7" i="10"/>
  <c r="AA8" i="10" s="1"/>
  <c r="AA7" i="6"/>
  <c r="AI7" i="10"/>
  <c r="AI9" i="10" s="1"/>
  <c r="AI7" i="6"/>
  <c r="L7" i="10"/>
  <c r="L8" i="10" s="1"/>
  <c r="L7" i="6"/>
  <c r="T7" i="10"/>
  <c r="T7" i="6"/>
  <c r="AB7" i="10"/>
  <c r="AB8" i="10" s="1"/>
  <c r="AB7" i="6"/>
  <c r="AJ7" i="10"/>
  <c r="AJ9" i="10" s="1"/>
  <c r="AJ7" i="6"/>
  <c r="E7" i="10"/>
  <c r="E9" i="10" s="1"/>
  <c r="E7" i="6"/>
  <c r="M7" i="10"/>
  <c r="M9" i="10" s="1"/>
  <c r="M7" i="6"/>
  <c r="U7" i="10"/>
  <c r="U9" i="10" s="1"/>
  <c r="U7" i="6"/>
  <c r="AC7" i="10"/>
  <c r="AC9" i="10" s="1"/>
  <c r="AC7" i="6"/>
  <c r="E5" i="10"/>
  <c r="E26" i="10"/>
  <c r="F7" i="10"/>
  <c r="F8" i="10" s="1"/>
  <c r="F7" i="6"/>
  <c r="N7" i="10"/>
  <c r="N8" i="10" s="1"/>
  <c r="N7" i="6"/>
  <c r="V7" i="10"/>
  <c r="V8" i="10" s="1"/>
  <c r="V7" i="6"/>
  <c r="AD7" i="10"/>
  <c r="AD8" i="10" s="1"/>
  <c r="AD7" i="6"/>
  <c r="G7" i="10"/>
  <c r="G8" i="10" s="1"/>
  <c r="G7" i="6"/>
  <c r="O7" i="10"/>
  <c r="O8" i="10" s="1"/>
  <c r="O7" i="6"/>
  <c r="W7" i="10"/>
  <c r="W8" i="10" s="1"/>
  <c r="W7" i="6"/>
  <c r="AE7" i="10"/>
  <c r="AE8" i="10" s="1"/>
  <c r="AE7" i="6"/>
  <c r="H28" i="11"/>
  <c r="P28" i="11"/>
  <c r="X28" i="11"/>
  <c r="AF28" i="11"/>
  <c r="AN28" i="11"/>
  <c r="M22" i="9"/>
  <c r="I22" i="9"/>
  <c r="I23" i="9"/>
  <c r="M23" i="9"/>
  <c r="AC31" i="12"/>
  <c r="Y31" i="12"/>
  <c r="U31" i="12"/>
  <c r="K25" i="12"/>
  <c r="K26" i="12" s="1"/>
  <c r="K27" i="12" s="1"/>
  <c r="S25" i="12"/>
  <c r="S26" i="12" s="1"/>
  <c r="S27" i="12" s="1"/>
  <c r="E12" i="12"/>
  <c r="E13" i="12" s="1"/>
  <c r="M12" i="12"/>
  <c r="M13" i="12" s="1"/>
  <c r="U12" i="12"/>
  <c r="U13" i="12" s="1"/>
  <c r="AC12" i="12"/>
  <c r="AK12" i="12"/>
  <c r="AK13" i="12" s="1"/>
  <c r="AS12" i="12"/>
  <c r="AS13" i="12" s="1"/>
  <c r="BA12" i="12"/>
  <c r="BA13" i="12" s="1"/>
  <c r="BI12" i="12"/>
  <c r="BI13" i="12" s="1"/>
  <c r="BQ12" i="12"/>
  <c r="BQ13" i="12" s="1"/>
  <c r="BY12" i="12"/>
  <c r="BY13" i="12" s="1"/>
  <c r="CG12" i="12"/>
  <c r="CG13" i="12" s="1"/>
  <c r="CF28" i="11"/>
  <c r="H12" i="12"/>
  <c r="H13" i="12" s="1"/>
  <c r="P12" i="12"/>
  <c r="P13" i="12" s="1"/>
  <c r="X12" i="12"/>
  <c r="AF12" i="12"/>
  <c r="AF13" i="12" s="1"/>
  <c r="AN12" i="12"/>
  <c r="AN13" i="12" s="1"/>
  <c r="AV12" i="12"/>
  <c r="AV13" i="12" s="1"/>
  <c r="BD12" i="12"/>
  <c r="BD13" i="12" s="1"/>
  <c r="BL12" i="12"/>
  <c r="BT12" i="12"/>
  <c r="BT13" i="12" s="1"/>
  <c r="CB12" i="12"/>
  <c r="CB13" i="12" s="1"/>
  <c r="CJ12" i="12"/>
  <c r="CJ13" i="12" s="1"/>
  <c r="E19" i="7"/>
  <c r="E21" i="7" s="1"/>
  <c r="M19" i="7"/>
  <c r="M21" i="7" s="1"/>
  <c r="U19" i="7"/>
  <c r="U21" i="7" s="1"/>
  <c r="B50" i="5"/>
  <c r="B69" i="5" s="1"/>
  <c r="B70" i="5" s="1"/>
  <c r="G12" i="7"/>
  <c r="G13" i="7" s="1"/>
  <c r="O12" i="7"/>
  <c r="O13" i="7" s="1"/>
  <c r="F19" i="7"/>
  <c r="F21" i="7" s="1"/>
  <c r="N19" i="7"/>
  <c r="N21" i="7" s="1"/>
  <c r="V19" i="7"/>
  <c r="V21" i="7" s="1"/>
  <c r="P12" i="7"/>
  <c r="P13" i="7" s="1"/>
  <c r="H12" i="7"/>
  <c r="H13" i="7" s="1"/>
  <c r="E12" i="7"/>
  <c r="AD27" i="6"/>
  <c r="AD32" i="10" s="1"/>
  <c r="AE27" i="6"/>
  <c r="AE32" i="10" s="1"/>
  <c r="AF27" i="6"/>
  <c r="AF32" i="10" s="1"/>
  <c r="AF19" i="10"/>
  <c r="N12" i="7"/>
  <c r="F12" i="7"/>
  <c r="I12" i="7"/>
  <c r="I13" i="7" s="1"/>
  <c r="M82" i="11"/>
  <c r="M83" i="11" s="1"/>
  <c r="Q12" i="7"/>
  <c r="Q13" i="7" s="1"/>
  <c r="U82" i="11"/>
  <c r="U83" i="11" s="1"/>
  <c r="AC82" i="11"/>
  <c r="AC83" i="11" s="1"/>
  <c r="J12" i="7"/>
  <c r="J13" i="7" s="1"/>
  <c r="N82" i="11"/>
  <c r="N83" i="11" s="1"/>
  <c r="R13" i="7"/>
  <c r="V82" i="11"/>
  <c r="V83" i="11" s="1"/>
  <c r="AD82" i="11"/>
  <c r="AD83" i="11" s="1"/>
  <c r="S13" i="7"/>
  <c r="W82" i="11"/>
  <c r="W83" i="11" s="1"/>
  <c r="AE82" i="11"/>
  <c r="AE83" i="11" s="1"/>
  <c r="H6" i="10"/>
  <c r="P6" i="10"/>
  <c r="T65" i="11"/>
  <c r="T66" i="11" s="1"/>
  <c r="AB65" i="11"/>
  <c r="AB66" i="11" s="1"/>
  <c r="H65" i="11"/>
  <c r="H66" i="11" s="1"/>
  <c r="J65" i="11"/>
  <c r="J66" i="11" s="1"/>
  <c r="F57" i="11"/>
  <c r="N57" i="11"/>
  <c r="V57" i="11"/>
  <c r="AD57" i="11"/>
  <c r="F43" i="11"/>
  <c r="N43" i="11"/>
  <c r="V43" i="11"/>
  <c r="AA25" i="12"/>
  <c r="AA26" i="12" s="1"/>
  <c r="AA27" i="12" s="1"/>
  <c r="AI25" i="12"/>
  <c r="AI26" i="12" s="1"/>
  <c r="AI27" i="12" s="1"/>
  <c r="AQ25" i="12"/>
  <c r="AQ26" i="12" s="1"/>
  <c r="AQ27" i="12" s="1"/>
  <c r="AY25" i="12"/>
  <c r="AY26" i="12" s="1"/>
  <c r="AY27" i="12" s="1"/>
  <c r="BG25" i="12"/>
  <c r="BG26" i="12" s="1"/>
  <c r="BG27" i="12" s="1"/>
  <c r="BO25" i="12"/>
  <c r="BO26" i="12" s="1"/>
  <c r="BO27" i="12" s="1"/>
  <c r="BW25" i="12"/>
  <c r="BW26" i="12" s="1"/>
  <c r="BW27" i="12" s="1"/>
  <c r="CE25" i="12"/>
  <c r="CE26" i="12" s="1"/>
  <c r="CE27" i="12" s="1"/>
  <c r="BJ28" i="11"/>
  <c r="S28" i="11"/>
  <c r="BX43" i="11"/>
  <c r="BF28" i="11"/>
  <c r="BK57" i="11"/>
  <c r="E22" i="9"/>
  <c r="E23" i="9"/>
  <c r="AO27" i="6"/>
  <c r="AO32" i="10" s="1"/>
  <c r="AK27" i="6"/>
  <c r="AK32" i="10" s="1"/>
  <c r="AG27" i="6"/>
  <c r="AG32" i="10" s="1"/>
  <c r="X19" i="10"/>
  <c r="S19" i="10"/>
  <c r="AA19" i="10"/>
  <c r="T19" i="10"/>
  <c r="AB19" i="10"/>
  <c r="R27" i="6"/>
  <c r="R32" i="10" s="1"/>
  <c r="Z27" i="6"/>
  <c r="Z32" i="10" s="1"/>
  <c r="S27" i="6"/>
  <c r="S32" i="10" s="1"/>
  <c r="AA27" i="6"/>
  <c r="AA32" i="10" s="1"/>
  <c r="T27" i="6"/>
  <c r="T32" i="10" s="1"/>
  <c r="AB27" i="6"/>
  <c r="AB32" i="10" s="1"/>
  <c r="U27" i="6"/>
  <c r="U32" i="10" s="1"/>
  <c r="AC27" i="6"/>
  <c r="AC32" i="10" s="1"/>
  <c r="V27" i="6"/>
  <c r="V32" i="10" s="1"/>
  <c r="W27" i="6"/>
  <c r="W32" i="10" s="1"/>
  <c r="X27" i="6"/>
  <c r="X32" i="10" s="1"/>
  <c r="Q27" i="6"/>
  <c r="Q32" i="10" s="1"/>
  <c r="Y27" i="6"/>
  <c r="Y32" i="10" s="1"/>
  <c r="M27" i="6"/>
  <c r="M32" i="10" s="1"/>
  <c r="I27" i="6"/>
  <c r="I32" i="10" s="1"/>
  <c r="E27" i="6"/>
  <c r="E32" i="10" s="1"/>
  <c r="E11" i="7"/>
  <c r="M11" i="7"/>
  <c r="U11" i="7"/>
  <c r="U13" i="7" s="1"/>
  <c r="G19" i="7"/>
  <c r="G21" i="7" s="1"/>
  <c r="O19" i="7"/>
  <c r="O21" i="7" s="1"/>
  <c r="W19" i="7"/>
  <c r="W21" i="7" s="1"/>
  <c r="F11" i="7"/>
  <c r="N11" i="7"/>
  <c r="V11" i="7"/>
  <c r="V13" i="7" s="1"/>
  <c r="H19" i="7"/>
  <c r="H21" i="7" s="1"/>
  <c r="P19" i="7"/>
  <c r="P21" i="7" s="1"/>
  <c r="X19" i="7"/>
  <c r="X21" i="7" s="1"/>
  <c r="I19" i="7"/>
  <c r="I21" i="7" s="1"/>
  <c r="Q19" i="7"/>
  <c r="Q21" i="7" s="1"/>
  <c r="Y19" i="7"/>
  <c r="Y21" i="7" s="1"/>
  <c r="J19" i="7"/>
  <c r="J21" i="7" s="1"/>
  <c r="R19" i="7"/>
  <c r="R21" i="7" s="1"/>
  <c r="K19" i="7"/>
  <c r="K21" i="7" s="1"/>
  <c r="S19" i="7"/>
  <c r="S21" i="7" s="1"/>
  <c r="L19" i="7"/>
  <c r="L21" i="7" s="1"/>
  <c r="T19" i="7"/>
  <c r="T21" i="7" s="1"/>
  <c r="X6" i="10"/>
  <c r="N15" i="6"/>
  <c r="N20" i="11" s="1"/>
  <c r="N21" i="11" s="1"/>
  <c r="I13" i="10"/>
  <c r="Q13" i="10"/>
  <c r="Y13" i="10"/>
  <c r="AG13" i="10"/>
  <c r="AO13" i="10"/>
  <c r="V15" i="6"/>
  <c r="K3" i="10"/>
  <c r="F5" i="10"/>
  <c r="N5" i="10"/>
  <c r="V5" i="10"/>
  <c r="AD5" i="10"/>
  <c r="AL5" i="10"/>
  <c r="AA5" i="10"/>
  <c r="AD15" i="6"/>
  <c r="AD20" i="11" s="1"/>
  <c r="AD21" i="11" s="1"/>
  <c r="S3" i="10"/>
  <c r="AL15" i="6"/>
  <c r="AL20" i="11" s="1"/>
  <c r="AL21" i="11" s="1"/>
  <c r="AA3" i="10"/>
  <c r="H5" i="10"/>
  <c r="P5" i="10"/>
  <c r="X5" i="10"/>
  <c r="AF5" i="10"/>
  <c r="AN5" i="10"/>
  <c r="AI5" i="10"/>
  <c r="I5" i="10"/>
  <c r="Q5" i="10"/>
  <c r="Y5" i="10"/>
  <c r="AG5" i="10"/>
  <c r="AO5" i="10"/>
  <c r="J5" i="10"/>
  <c r="R5" i="10"/>
  <c r="Z5" i="10"/>
  <c r="AH5" i="10"/>
  <c r="AP5" i="10"/>
  <c r="K5" i="10"/>
  <c r="AQ5" i="10"/>
  <c r="F15" i="6"/>
  <c r="F20" i="11" s="1"/>
  <c r="F21" i="11" s="1"/>
  <c r="AI3" i="10"/>
  <c r="AQ3" i="10"/>
  <c r="S5" i="10"/>
  <c r="BI8" i="10"/>
  <c r="G15" i="6"/>
  <c r="G20" i="11" s="1"/>
  <c r="G21" i="11" s="1"/>
  <c r="O15" i="6"/>
  <c r="O20" i="11" s="1"/>
  <c r="O21" i="11" s="1"/>
  <c r="W15" i="6"/>
  <c r="W20" i="11" s="1"/>
  <c r="W21" i="11" s="1"/>
  <c r="AE15" i="6"/>
  <c r="AE20" i="11" s="1"/>
  <c r="AE21" i="11" s="1"/>
  <c r="AM15" i="6"/>
  <c r="AM20" i="11" s="1"/>
  <c r="AM21" i="11" s="1"/>
  <c r="AU15" i="6"/>
  <c r="AU20" i="11" s="1"/>
  <c r="AU21" i="11" s="1"/>
  <c r="BC15" i="6"/>
  <c r="BC20" i="11" s="1"/>
  <c r="BC21" i="11" s="1"/>
  <c r="BK15" i="6"/>
  <c r="BK20" i="11" s="1"/>
  <c r="BK21" i="11" s="1"/>
  <c r="BS15" i="6"/>
  <c r="BS20" i="11" s="1"/>
  <c r="BS21" i="11" s="1"/>
  <c r="CA15" i="6"/>
  <c r="CA20" i="11" s="1"/>
  <c r="CA21" i="11" s="1"/>
  <c r="CI15" i="6"/>
  <c r="CI20" i="11" s="1"/>
  <c r="CI21" i="11" s="1"/>
  <c r="BR28" i="10"/>
  <c r="BR8" i="10"/>
  <c r="BR9" i="10"/>
  <c r="BZ9" i="10"/>
  <c r="H15" i="6"/>
  <c r="H20" i="11" s="1"/>
  <c r="H21" i="11" s="1"/>
  <c r="P15" i="6"/>
  <c r="P20" i="11" s="1"/>
  <c r="P21" i="11" s="1"/>
  <c r="X15" i="6"/>
  <c r="X20" i="11" s="1"/>
  <c r="X21" i="11" s="1"/>
  <c r="AF15" i="6"/>
  <c r="AF20" i="11" s="1"/>
  <c r="AF21" i="11" s="1"/>
  <c r="AN15" i="6"/>
  <c r="AN20" i="11" s="1"/>
  <c r="AN21" i="11" s="1"/>
  <c r="AV15" i="6"/>
  <c r="AV20" i="11" s="1"/>
  <c r="AV21" i="11" s="1"/>
  <c r="BD15" i="6"/>
  <c r="BD20" i="11" s="1"/>
  <c r="BD21" i="11" s="1"/>
  <c r="BL15" i="6"/>
  <c r="BL20" i="11" s="1"/>
  <c r="BL21" i="11" s="1"/>
  <c r="BT15" i="6"/>
  <c r="BT20" i="11" s="1"/>
  <c r="BT21" i="11" s="1"/>
  <c r="CB15" i="6"/>
  <c r="CB20" i="11" s="1"/>
  <c r="CB21" i="11" s="1"/>
  <c r="CJ15" i="6"/>
  <c r="CJ20" i="11" s="1"/>
  <c r="CJ21" i="11" s="1"/>
  <c r="BZ28" i="10"/>
  <c r="BZ31" i="6"/>
  <c r="BZ32" i="6" s="1"/>
  <c r="BC8" i="10"/>
  <c r="BK8" i="10"/>
  <c r="BK9" i="10"/>
  <c r="BS8" i="10"/>
  <c r="CI8" i="10"/>
  <c r="I15" i="6"/>
  <c r="I20" i="11" s="1"/>
  <c r="I21" i="11" s="1"/>
  <c r="Q15" i="6"/>
  <c r="Q20" i="11" s="1"/>
  <c r="Q21" i="11" s="1"/>
  <c r="Y15" i="6"/>
  <c r="Y20" i="11" s="1"/>
  <c r="Y21" i="11" s="1"/>
  <c r="AG15" i="6"/>
  <c r="AG20" i="11" s="1"/>
  <c r="AG21" i="11" s="1"/>
  <c r="AO15" i="6"/>
  <c r="AO20" i="11" s="1"/>
  <c r="AO21" i="11" s="1"/>
  <c r="AW15" i="6"/>
  <c r="AW20" i="11" s="1"/>
  <c r="AW21" i="11" s="1"/>
  <c r="BE15" i="6"/>
  <c r="BE20" i="11" s="1"/>
  <c r="BE21" i="11" s="1"/>
  <c r="BM15" i="6"/>
  <c r="BM20" i="11" s="1"/>
  <c r="BM21" i="11" s="1"/>
  <c r="BU15" i="6"/>
  <c r="BU20" i="11" s="1"/>
  <c r="BU21" i="11" s="1"/>
  <c r="CC15" i="6"/>
  <c r="CC20" i="11" s="1"/>
  <c r="CC21" i="11" s="1"/>
  <c r="BT8" i="10"/>
  <c r="CB9" i="10"/>
  <c r="CJ9" i="10"/>
  <c r="B15" i="6"/>
  <c r="J15" i="6"/>
  <c r="J20" i="11" s="1"/>
  <c r="J21" i="11" s="1"/>
  <c r="R15" i="6"/>
  <c r="R20" i="11" s="1"/>
  <c r="R21" i="11" s="1"/>
  <c r="Z15" i="6"/>
  <c r="Z20" i="11" s="1"/>
  <c r="Z21" i="11" s="1"/>
  <c r="AH15" i="6"/>
  <c r="AH20" i="11" s="1"/>
  <c r="AH21" i="11" s="1"/>
  <c r="AP15" i="6"/>
  <c r="AP20" i="11" s="1"/>
  <c r="AP21" i="11" s="1"/>
  <c r="AX15" i="6"/>
  <c r="AX20" i="11" s="1"/>
  <c r="AX21" i="11" s="1"/>
  <c r="BF15" i="6"/>
  <c r="BF20" i="11" s="1"/>
  <c r="BF21" i="11" s="1"/>
  <c r="BN15" i="6"/>
  <c r="BN20" i="11" s="1"/>
  <c r="BN21" i="11" s="1"/>
  <c r="BV15" i="6"/>
  <c r="BV20" i="11" s="1"/>
  <c r="BV21" i="11" s="1"/>
  <c r="CD15" i="6"/>
  <c r="CD20" i="11" s="1"/>
  <c r="CD21" i="11" s="1"/>
  <c r="BL32" i="10"/>
  <c r="BX8" i="10"/>
  <c r="BB28" i="10"/>
  <c r="BU8" i="10"/>
  <c r="CC8" i="10"/>
  <c r="C15" i="6"/>
  <c r="K15" i="6"/>
  <c r="K20" i="11" s="1"/>
  <c r="K21" i="11" s="1"/>
  <c r="S15" i="6"/>
  <c r="S20" i="11" s="1"/>
  <c r="S21" i="11" s="1"/>
  <c r="AA15" i="6"/>
  <c r="AA20" i="11" s="1"/>
  <c r="AA21" i="11" s="1"/>
  <c r="AI15" i="6"/>
  <c r="AI20" i="11" s="1"/>
  <c r="AI21" i="11" s="1"/>
  <c r="AQ15" i="6"/>
  <c r="AQ20" i="11" s="1"/>
  <c r="AQ21" i="11" s="1"/>
  <c r="AY15" i="6"/>
  <c r="AY20" i="11" s="1"/>
  <c r="AY21" i="11" s="1"/>
  <c r="BG15" i="6"/>
  <c r="BG20" i="11" s="1"/>
  <c r="BG21" i="11" s="1"/>
  <c r="BO15" i="6"/>
  <c r="BO20" i="11" s="1"/>
  <c r="BO21" i="11" s="1"/>
  <c r="BW15" i="6"/>
  <c r="BW20" i="11" s="1"/>
  <c r="BW21" i="11" s="1"/>
  <c r="CE15" i="6"/>
  <c r="CE20" i="11" s="1"/>
  <c r="CE21" i="11" s="1"/>
  <c r="CD8" i="10"/>
  <c r="D15" i="6"/>
  <c r="L15" i="6"/>
  <c r="L20" i="11" s="1"/>
  <c r="L21" i="11" s="1"/>
  <c r="T15" i="6"/>
  <c r="T20" i="11" s="1"/>
  <c r="T21" i="11" s="1"/>
  <c r="AB15" i="6"/>
  <c r="AB20" i="11" s="1"/>
  <c r="AB21" i="11" s="1"/>
  <c r="AJ15" i="6"/>
  <c r="AJ20" i="11" s="1"/>
  <c r="AJ21" i="11" s="1"/>
  <c r="AR15" i="6"/>
  <c r="AR20" i="11" s="1"/>
  <c r="AR21" i="11" s="1"/>
  <c r="AZ15" i="6"/>
  <c r="AZ20" i="11" s="1"/>
  <c r="AZ21" i="11" s="1"/>
  <c r="BH15" i="6"/>
  <c r="BH20" i="11" s="1"/>
  <c r="BH21" i="11" s="1"/>
  <c r="BP15" i="6"/>
  <c r="BP20" i="11" s="1"/>
  <c r="BP21" i="11" s="1"/>
  <c r="BX15" i="6"/>
  <c r="BX20" i="11" s="1"/>
  <c r="BX21" i="11" s="1"/>
  <c r="CF15" i="6"/>
  <c r="CF20" i="11" s="1"/>
  <c r="CF21" i="11" s="1"/>
  <c r="BH8" i="10"/>
  <c r="BJ28" i="10"/>
  <c r="BO9" i="10"/>
  <c r="BO8" i="10"/>
  <c r="BW8" i="10"/>
  <c r="CE9" i="10"/>
  <c r="CE8" i="10"/>
  <c r="E15" i="6"/>
  <c r="E20" i="11" s="1"/>
  <c r="E21" i="11" s="1"/>
  <c r="M15" i="6"/>
  <c r="M20" i="11" s="1"/>
  <c r="M21" i="11" s="1"/>
  <c r="U15" i="6"/>
  <c r="U20" i="11" s="1"/>
  <c r="U21" i="11" s="1"/>
  <c r="AC15" i="6"/>
  <c r="AC20" i="11" s="1"/>
  <c r="AC21" i="11" s="1"/>
  <c r="AK15" i="6"/>
  <c r="AK20" i="11" s="1"/>
  <c r="AK21" i="11" s="1"/>
  <c r="AS15" i="6"/>
  <c r="AS20" i="11" s="1"/>
  <c r="AS21" i="11" s="1"/>
  <c r="BA15" i="6"/>
  <c r="BA20" i="11" s="1"/>
  <c r="BA21" i="11" s="1"/>
  <c r="BI15" i="6"/>
  <c r="BI20" i="11" s="1"/>
  <c r="BI21" i="11" s="1"/>
  <c r="BQ15" i="6"/>
  <c r="BQ20" i="11" s="1"/>
  <c r="BQ21" i="11" s="1"/>
  <c r="BY15" i="6"/>
  <c r="BY20" i="11" s="1"/>
  <c r="BY21" i="11" s="1"/>
  <c r="CG15" i="6"/>
  <c r="CG20" i="11" s="1"/>
  <c r="CG21" i="11" s="1"/>
  <c r="G5" i="10"/>
  <c r="G6" i="10"/>
  <c r="O5" i="10"/>
  <c r="O6" i="10"/>
  <c r="W5" i="10"/>
  <c r="W6" i="10"/>
  <c r="AE5" i="10"/>
  <c r="AE6" i="10"/>
  <c r="AM5" i="10"/>
  <c r="AM6" i="10"/>
  <c r="AU5" i="10"/>
  <c r="AU6" i="10"/>
  <c r="BC5" i="10"/>
  <c r="BC6" i="10"/>
  <c r="BK5" i="10"/>
  <c r="BK6" i="10"/>
  <c r="BS5" i="10"/>
  <c r="BS6" i="10"/>
  <c r="CA5" i="10"/>
  <c r="CA6" i="10"/>
  <c r="CI5" i="10"/>
  <c r="CI6" i="10"/>
  <c r="G19" i="10"/>
  <c r="G13" i="10"/>
  <c r="G11" i="10"/>
  <c r="G3" i="10"/>
  <c r="O19" i="10"/>
  <c r="O13" i="10"/>
  <c r="O11" i="10"/>
  <c r="O3" i="10"/>
  <c r="W13" i="10"/>
  <c r="W11" i="10"/>
  <c r="W19" i="10"/>
  <c r="W3" i="10"/>
  <c r="AE13" i="10"/>
  <c r="AE11" i="10"/>
  <c r="AE19" i="10"/>
  <c r="AE3" i="10"/>
  <c r="AM19" i="10"/>
  <c r="AM13" i="10"/>
  <c r="AM11" i="10"/>
  <c r="AM3" i="10"/>
  <c r="AU19" i="10"/>
  <c r="AU13" i="10"/>
  <c r="AU11" i="10"/>
  <c r="AU3" i="10"/>
  <c r="BC19" i="10"/>
  <c r="BC11" i="10"/>
  <c r="BC13" i="10"/>
  <c r="BC3" i="10"/>
  <c r="BK19" i="10"/>
  <c r="BK11" i="10"/>
  <c r="BK3" i="10"/>
  <c r="BS19" i="10"/>
  <c r="BS13" i="10"/>
  <c r="BS11" i="10"/>
  <c r="BS3" i="10"/>
  <c r="CA19" i="10"/>
  <c r="CA11" i="10"/>
  <c r="CA3" i="10"/>
  <c r="CI13" i="10"/>
  <c r="CI11" i="10"/>
  <c r="CI19" i="10"/>
  <c r="CI3" i="10"/>
  <c r="BG3" i="10"/>
  <c r="BO3" i="10"/>
  <c r="BD19" i="10"/>
  <c r="BD13" i="10"/>
  <c r="L3" i="10"/>
  <c r="T3" i="10"/>
  <c r="AB3" i="10"/>
  <c r="AJ3" i="10"/>
  <c r="AR3" i="10"/>
  <c r="AZ3" i="10"/>
  <c r="BH3" i="10"/>
  <c r="BX3" i="10"/>
  <c r="L5" i="10"/>
  <c r="T5" i="10"/>
  <c r="AB5" i="10"/>
  <c r="AJ5" i="10"/>
  <c r="AR5" i="10"/>
  <c r="AZ5" i="10"/>
  <c r="BH5" i="10"/>
  <c r="BP5" i="10"/>
  <c r="BX5" i="10"/>
  <c r="CF5" i="10"/>
  <c r="J13" i="10"/>
  <c r="R13" i="10"/>
  <c r="Z13" i="10"/>
  <c r="AH13" i="10"/>
  <c r="AP13" i="10"/>
  <c r="AX13" i="10"/>
  <c r="I19" i="10"/>
  <c r="I17" i="10"/>
  <c r="Q19" i="10"/>
  <c r="Q17" i="10"/>
  <c r="Y19" i="10"/>
  <c r="Y17" i="10"/>
  <c r="AG19" i="10"/>
  <c r="AG17" i="10"/>
  <c r="AO19" i="10"/>
  <c r="AO17" i="10"/>
  <c r="AW19" i="10"/>
  <c r="AW17" i="10"/>
  <c r="BE19" i="10"/>
  <c r="BE17" i="10"/>
  <c r="BM19" i="10"/>
  <c r="BM17" i="10"/>
  <c r="BU19" i="10"/>
  <c r="BU17" i="10"/>
  <c r="CC19" i="10"/>
  <c r="CC17" i="10"/>
  <c r="E3" i="10"/>
  <c r="M3" i="10"/>
  <c r="U3" i="10"/>
  <c r="AC3" i="10"/>
  <c r="AK3" i="10"/>
  <c r="AS3" i="10"/>
  <c r="BA3" i="10"/>
  <c r="BI3" i="10"/>
  <c r="BQ3" i="10"/>
  <c r="BY3" i="10"/>
  <c r="K13" i="10"/>
  <c r="S13" i="10"/>
  <c r="AA13" i="10"/>
  <c r="AI13" i="10"/>
  <c r="AQ13" i="10"/>
  <c r="AY13" i="10"/>
  <c r="BG13" i="10"/>
  <c r="BO13" i="10"/>
  <c r="BW13" i="10"/>
  <c r="CE13" i="10"/>
  <c r="J19" i="10"/>
  <c r="J15" i="10"/>
  <c r="R19" i="10"/>
  <c r="R15" i="10"/>
  <c r="Z19" i="10"/>
  <c r="Z15" i="10"/>
  <c r="AH19" i="10"/>
  <c r="AH15" i="10"/>
  <c r="AP19" i="10"/>
  <c r="AP15" i="10"/>
  <c r="AX19" i="10"/>
  <c r="AX15" i="10"/>
  <c r="BF19" i="10"/>
  <c r="BF15" i="10"/>
  <c r="BN19" i="10"/>
  <c r="BN15" i="10"/>
  <c r="BV19" i="10"/>
  <c r="BV15" i="10"/>
  <c r="CD19" i="10"/>
  <c r="CD15" i="10"/>
  <c r="I6" i="10"/>
  <c r="Q6" i="10"/>
  <c r="Y6" i="10"/>
  <c r="AG6" i="10"/>
  <c r="AO6" i="10"/>
  <c r="AW6" i="10"/>
  <c r="BE6" i="10"/>
  <c r="BM6" i="10"/>
  <c r="BU6" i="10"/>
  <c r="CC6" i="10"/>
  <c r="H11" i="10"/>
  <c r="P11" i="10"/>
  <c r="X11" i="10"/>
  <c r="AF11" i="10"/>
  <c r="AN11" i="10"/>
  <c r="AV11" i="10"/>
  <c r="BD11" i="10"/>
  <c r="BL11" i="10"/>
  <c r="BT11" i="10"/>
  <c r="CB11" i="10"/>
  <c r="CJ11" i="10"/>
  <c r="L13" i="10"/>
  <c r="T13" i="10"/>
  <c r="AB13" i="10"/>
  <c r="AJ13" i="10"/>
  <c r="AR13" i="10"/>
  <c r="AZ13" i="10"/>
  <c r="BH13" i="10"/>
  <c r="BX13" i="10"/>
  <c r="J6" i="10"/>
  <c r="R6" i="10"/>
  <c r="Z6" i="10"/>
  <c r="AH6" i="10"/>
  <c r="AP6" i="10"/>
  <c r="AX6" i="10"/>
  <c r="BF6" i="10"/>
  <c r="BN6" i="10"/>
  <c r="BV6" i="10"/>
  <c r="CD6" i="10"/>
  <c r="I11" i="10"/>
  <c r="Q11" i="10"/>
  <c r="Y11" i="10"/>
  <c r="AG11" i="10"/>
  <c r="AO11" i="10"/>
  <c r="AW11" i="10"/>
  <c r="BE11" i="10"/>
  <c r="BM11" i="10"/>
  <c r="BU11" i="10"/>
  <c r="CC11" i="10"/>
  <c r="BP19" i="10"/>
  <c r="BP13" i="10"/>
  <c r="CF19" i="10"/>
  <c r="CF13" i="10"/>
  <c r="H3" i="10"/>
  <c r="P3" i="10"/>
  <c r="X3" i="10"/>
  <c r="AF3" i="10"/>
  <c r="AN3" i="10"/>
  <c r="AV3" i="10"/>
  <c r="BD3" i="10"/>
  <c r="BL3" i="10"/>
  <c r="BT3" i="10"/>
  <c r="CB3" i="10"/>
  <c r="CJ3" i="10"/>
  <c r="J11" i="10"/>
  <c r="R11" i="10"/>
  <c r="Z11" i="10"/>
  <c r="AH11" i="10"/>
  <c r="AP11" i="10"/>
  <c r="AX11" i="10"/>
  <c r="BF11" i="10"/>
  <c r="BN11" i="10"/>
  <c r="BV11" i="10"/>
  <c r="CD11" i="10"/>
  <c r="E19" i="10"/>
  <c r="E13" i="10"/>
  <c r="E11" i="10"/>
  <c r="M19" i="10"/>
  <c r="M13" i="10"/>
  <c r="M11" i="10"/>
  <c r="U19" i="10"/>
  <c r="U13" i="10"/>
  <c r="U11" i="10"/>
  <c r="AC19" i="10"/>
  <c r="AC13" i="10"/>
  <c r="AC11" i="10"/>
  <c r="AK19" i="10"/>
  <c r="AK13" i="10"/>
  <c r="AK11" i="10"/>
  <c r="AS19" i="10"/>
  <c r="AS13" i="10"/>
  <c r="AS11" i="10"/>
  <c r="BA19" i="10"/>
  <c r="BA11" i="10"/>
  <c r="BI19" i="10"/>
  <c r="BI11" i="10"/>
  <c r="BQ19" i="10"/>
  <c r="BQ11" i="10"/>
  <c r="BY19" i="10"/>
  <c r="BY11" i="10"/>
  <c r="CG19" i="10"/>
  <c r="CG11" i="10"/>
  <c r="I3" i="10"/>
  <c r="Q3" i="10"/>
  <c r="Y3" i="10"/>
  <c r="AG3" i="10"/>
  <c r="AO3" i="10"/>
  <c r="AW3" i="10"/>
  <c r="BE3" i="10"/>
  <c r="BM3" i="10"/>
  <c r="BU3" i="10"/>
  <c r="CC3" i="10"/>
  <c r="K11" i="10"/>
  <c r="S11" i="10"/>
  <c r="AA11" i="10"/>
  <c r="AI11" i="10"/>
  <c r="AQ11" i="10"/>
  <c r="AY11" i="10"/>
  <c r="BG11" i="10"/>
  <c r="BO11" i="10"/>
  <c r="BW11" i="10"/>
  <c r="CE11" i="10"/>
  <c r="BK13" i="10"/>
  <c r="CA13" i="10"/>
  <c r="F19" i="10"/>
  <c r="F21" i="10"/>
  <c r="F13" i="10"/>
  <c r="F11" i="10"/>
  <c r="N19" i="10"/>
  <c r="N21" i="10"/>
  <c r="N13" i="10"/>
  <c r="N11" i="10"/>
  <c r="V19" i="10"/>
  <c r="V13" i="10"/>
  <c r="V11" i="10"/>
  <c r="V21" i="10"/>
  <c r="AD19" i="10"/>
  <c r="AD21" i="10"/>
  <c r="AD13" i="10"/>
  <c r="AD11" i="10"/>
  <c r="AL19" i="10"/>
  <c r="AL21" i="10"/>
  <c r="AL13" i="10"/>
  <c r="AL11" i="10"/>
  <c r="AT19" i="10"/>
  <c r="AT21" i="10"/>
  <c r="AT13" i="10"/>
  <c r="AT11" i="10"/>
  <c r="BB19" i="10"/>
  <c r="BB21" i="10"/>
  <c r="BB11" i="10"/>
  <c r="BB13" i="10"/>
  <c r="BJ19" i="10"/>
  <c r="BJ21" i="10"/>
  <c r="BJ11" i="10"/>
  <c r="BR19" i="10"/>
  <c r="BR21" i="10"/>
  <c r="BR11" i="10"/>
  <c r="BZ19" i="10"/>
  <c r="BZ21" i="10"/>
  <c r="BZ11" i="10"/>
  <c r="CH19" i="10"/>
  <c r="CH11" i="10"/>
  <c r="CH21" i="10"/>
  <c r="J3" i="10"/>
  <c r="R3" i="10"/>
  <c r="Z3" i="10"/>
  <c r="AH3" i="10"/>
  <c r="AP3" i="10"/>
  <c r="AX3" i="10"/>
  <c r="BF3" i="10"/>
  <c r="BN3" i="10"/>
  <c r="BV3" i="10"/>
  <c r="CD3" i="10"/>
  <c r="L11" i="10"/>
  <c r="T11" i="10"/>
  <c r="AB11" i="10"/>
  <c r="AJ11" i="10"/>
  <c r="AR11" i="10"/>
  <c r="AZ11" i="10"/>
  <c r="BH11" i="10"/>
  <c r="BP11" i="10"/>
  <c r="BX11" i="10"/>
  <c r="CF11" i="10"/>
  <c r="H13" i="10"/>
  <c r="P13" i="10"/>
  <c r="X13" i="10"/>
  <c r="AF13" i="10"/>
  <c r="AN13" i="10"/>
  <c r="AV13" i="10"/>
  <c r="K17" i="10"/>
  <c r="S17" i="10"/>
  <c r="AA17" i="10"/>
  <c r="AI17" i="10"/>
  <c r="AQ17" i="10"/>
  <c r="AY17" i="10"/>
  <c r="BG17" i="10"/>
  <c r="BO17" i="10"/>
  <c r="BW17" i="10"/>
  <c r="CE17" i="10"/>
  <c r="K21" i="10"/>
  <c r="S21" i="10"/>
  <c r="AA21" i="10"/>
  <c r="AI21" i="10"/>
  <c r="AQ21" i="10"/>
  <c r="AY21" i="10"/>
  <c r="BG21" i="10"/>
  <c r="BO21" i="10"/>
  <c r="BW21" i="10"/>
  <c r="CE21" i="10"/>
  <c r="BF13" i="10"/>
  <c r="BN13" i="10"/>
  <c r="BV13" i="10"/>
  <c r="CD13" i="10"/>
  <c r="K15" i="10"/>
  <c r="S15" i="10"/>
  <c r="AA15" i="10"/>
  <c r="AI15" i="10"/>
  <c r="AQ15" i="10"/>
  <c r="AY15" i="10"/>
  <c r="BG15" i="10"/>
  <c r="BO15" i="10"/>
  <c r="BW15" i="10"/>
  <c r="CE15" i="10"/>
  <c r="L17" i="10"/>
  <c r="T17" i="10"/>
  <c r="AB17" i="10"/>
  <c r="AJ17" i="10"/>
  <c r="AR17" i="10"/>
  <c r="AZ17" i="10"/>
  <c r="BH17" i="10"/>
  <c r="BP17" i="10"/>
  <c r="BX17" i="10"/>
  <c r="CF17" i="10"/>
  <c r="L21" i="10"/>
  <c r="T21" i="10"/>
  <c r="AB21" i="10"/>
  <c r="AJ21" i="10"/>
  <c r="AR21" i="10"/>
  <c r="AZ21" i="10"/>
  <c r="BH21" i="10"/>
  <c r="BP21" i="10"/>
  <c r="BX21" i="10"/>
  <c r="CF21" i="10"/>
  <c r="L15" i="10"/>
  <c r="T15" i="10"/>
  <c r="AB15" i="10"/>
  <c r="AJ15" i="10"/>
  <c r="AR15" i="10"/>
  <c r="AZ15" i="10"/>
  <c r="BH15" i="10"/>
  <c r="BP15" i="10"/>
  <c r="BX15" i="10"/>
  <c r="CF15" i="10"/>
  <c r="E17" i="10"/>
  <c r="M17" i="10"/>
  <c r="U17" i="10"/>
  <c r="AC17" i="10"/>
  <c r="AK17" i="10"/>
  <c r="AS17" i="10"/>
  <c r="BA17" i="10"/>
  <c r="BI17" i="10"/>
  <c r="BQ17" i="10"/>
  <c r="BY17" i="10"/>
  <c r="CG17" i="10"/>
  <c r="E21" i="10"/>
  <c r="M21" i="10"/>
  <c r="U21" i="10"/>
  <c r="AC21" i="10"/>
  <c r="AK21" i="10"/>
  <c r="AS21" i="10"/>
  <c r="BA21" i="10"/>
  <c r="BI21" i="10"/>
  <c r="BQ21" i="10"/>
  <c r="BY21" i="10"/>
  <c r="CG21" i="10"/>
  <c r="E15" i="10"/>
  <c r="M15" i="10"/>
  <c r="U15" i="10"/>
  <c r="AC15" i="10"/>
  <c r="AK15" i="10"/>
  <c r="AS15" i="10"/>
  <c r="BA15" i="10"/>
  <c r="BI15" i="10"/>
  <c r="BQ15" i="10"/>
  <c r="BY15" i="10"/>
  <c r="CG15" i="10"/>
  <c r="F17" i="10"/>
  <c r="N17" i="10"/>
  <c r="V17" i="10"/>
  <c r="AD17" i="10"/>
  <c r="AL17" i="10"/>
  <c r="AT17" i="10"/>
  <c r="BB17" i="10"/>
  <c r="BJ17" i="10"/>
  <c r="BR17" i="10"/>
  <c r="BZ17" i="10"/>
  <c r="CH17" i="10"/>
  <c r="BA13" i="10"/>
  <c r="BI13" i="10"/>
  <c r="BQ13" i="10"/>
  <c r="BY13" i="10"/>
  <c r="CG13" i="10"/>
  <c r="F15" i="10"/>
  <c r="N15" i="10"/>
  <c r="V15" i="10"/>
  <c r="AD15" i="10"/>
  <c r="AL15" i="10"/>
  <c r="AT15" i="10"/>
  <c r="BB15" i="10"/>
  <c r="BJ15" i="10"/>
  <c r="BR15" i="10"/>
  <c r="BZ15" i="10"/>
  <c r="CH15" i="10"/>
  <c r="G17" i="10"/>
  <c r="O17" i="10"/>
  <c r="W17" i="10"/>
  <c r="AE17" i="10"/>
  <c r="AM17" i="10"/>
  <c r="AU17" i="10"/>
  <c r="BC17" i="10"/>
  <c r="BK17" i="10"/>
  <c r="BS17" i="10"/>
  <c r="CA17" i="10"/>
  <c r="CI17" i="10"/>
  <c r="G21" i="10"/>
  <c r="O21" i="10"/>
  <c r="W21" i="10"/>
  <c r="AE21" i="10"/>
  <c r="AM21" i="10"/>
  <c r="AU21" i="10"/>
  <c r="BC21" i="10"/>
  <c r="BK21" i="10"/>
  <c r="BS21" i="10"/>
  <c r="CA21" i="10"/>
  <c r="CI21" i="10"/>
  <c r="BJ13" i="10"/>
  <c r="BR13" i="10"/>
  <c r="BZ13" i="10"/>
  <c r="CH13" i="10"/>
  <c r="G15" i="10"/>
  <c r="O15" i="10"/>
  <c r="W15" i="10"/>
  <c r="AE15" i="10"/>
  <c r="AM15" i="10"/>
  <c r="AU15" i="10"/>
  <c r="BC15" i="10"/>
  <c r="BK15" i="10"/>
  <c r="BS15" i="10"/>
  <c r="CA15" i="10"/>
  <c r="CI15" i="10"/>
  <c r="H17" i="10"/>
  <c r="P17" i="10"/>
  <c r="X17" i="10"/>
  <c r="AF17" i="10"/>
  <c r="AN17" i="10"/>
  <c r="AV17" i="10"/>
  <c r="BD17" i="10"/>
  <c r="BL17" i="10"/>
  <c r="BT17" i="10"/>
  <c r="CB17" i="10"/>
  <c r="CJ17" i="10"/>
  <c r="H21" i="10"/>
  <c r="P21" i="10"/>
  <c r="X21" i="10"/>
  <c r="AF21" i="10"/>
  <c r="AN21" i="10"/>
  <c r="AV21" i="10"/>
  <c r="BD21" i="10"/>
  <c r="BL21" i="10"/>
  <c r="BT21" i="10"/>
  <c r="CB21" i="10"/>
  <c r="CJ21" i="10"/>
  <c r="H15" i="10"/>
  <c r="P15" i="10"/>
  <c r="X15" i="10"/>
  <c r="AF15" i="10"/>
  <c r="AN15" i="10"/>
  <c r="AV15" i="10"/>
  <c r="BD15" i="10"/>
  <c r="BL15" i="10"/>
  <c r="BT15" i="10"/>
  <c r="CB15" i="10"/>
  <c r="CJ15" i="10"/>
  <c r="I21" i="10"/>
  <c r="Q21" i="10"/>
  <c r="Y21" i="10"/>
  <c r="AG21" i="10"/>
  <c r="AO21" i="10"/>
  <c r="AW21" i="10"/>
  <c r="BE21" i="10"/>
  <c r="BM21" i="10"/>
  <c r="BU21" i="10"/>
  <c r="CC21" i="10"/>
  <c r="BL13" i="10"/>
  <c r="BT13" i="10"/>
  <c r="CB13" i="10"/>
  <c r="CJ13" i="10"/>
  <c r="I15" i="10"/>
  <c r="Q15" i="10"/>
  <c r="Y15" i="10"/>
  <c r="AG15" i="10"/>
  <c r="AO15" i="10"/>
  <c r="AW15" i="10"/>
  <c r="BE15" i="10"/>
  <c r="BM15" i="10"/>
  <c r="BU15" i="10"/>
  <c r="CC15" i="10"/>
  <c r="J17" i="10"/>
  <c r="R17" i="10"/>
  <c r="Z17" i="10"/>
  <c r="AH17" i="10"/>
  <c r="AP17" i="10"/>
  <c r="AX17" i="10"/>
  <c r="BF17" i="10"/>
  <c r="BN17" i="10"/>
  <c r="BV17" i="10"/>
  <c r="CD17" i="10"/>
  <c r="J21" i="10"/>
  <c r="R21" i="10"/>
  <c r="Z21" i="10"/>
  <c r="AH21" i="10"/>
  <c r="AP21" i="10"/>
  <c r="AX21" i="10"/>
  <c r="BF21" i="10"/>
  <c r="BN21" i="10"/>
  <c r="BV21" i="10"/>
  <c r="CD21" i="10"/>
  <c r="K69" i="11"/>
  <c r="K70" i="11" s="1"/>
  <c r="S69" i="11"/>
  <c r="S70" i="11" s="1"/>
  <c r="AA69" i="11"/>
  <c r="AA70" i="11" s="1"/>
  <c r="AI69" i="11"/>
  <c r="AI70" i="11" s="1"/>
  <c r="AQ69" i="11"/>
  <c r="AQ70" i="11" s="1"/>
  <c r="AY69" i="11"/>
  <c r="AY70" i="11" s="1"/>
  <c r="BG69" i="11"/>
  <c r="BG70" i="11" s="1"/>
  <c r="BO69" i="11"/>
  <c r="BO70" i="11" s="1"/>
  <c r="BW69" i="11"/>
  <c r="BW70" i="11" s="1"/>
  <c r="CE69" i="11"/>
  <c r="CE70" i="11" s="1"/>
  <c r="L69" i="11"/>
  <c r="L70" i="11" s="1"/>
  <c r="AB69" i="11"/>
  <c r="AB70" i="11" s="1"/>
  <c r="AJ69" i="11"/>
  <c r="AJ70" i="11" s="1"/>
  <c r="AR69" i="11"/>
  <c r="AR70" i="11" s="1"/>
  <c r="AZ69" i="11"/>
  <c r="AZ70" i="11" s="1"/>
  <c r="BH69" i="11"/>
  <c r="BH70" i="11" s="1"/>
  <c r="BP69" i="11"/>
  <c r="BP70" i="11" s="1"/>
  <c r="BX69" i="11"/>
  <c r="BX70" i="11" s="1"/>
  <c r="CF69" i="11"/>
  <c r="CF70" i="11" s="1"/>
  <c r="U69" i="11"/>
  <c r="U70" i="11" s="1"/>
  <c r="AC69" i="11"/>
  <c r="AC70" i="11" s="1"/>
  <c r="AK69" i="11"/>
  <c r="AK70" i="11" s="1"/>
  <c r="AS69" i="11"/>
  <c r="AS70" i="11" s="1"/>
  <c r="BA69" i="11"/>
  <c r="BA70" i="11" s="1"/>
  <c r="BI69" i="11"/>
  <c r="BI70" i="11" s="1"/>
  <c r="BQ69" i="11"/>
  <c r="BQ70" i="11" s="1"/>
  <c r="BY69" i="11"/>
  <c r="BY70" i="11" s="1"/>
  <c r="CG69" i="11"/>
  <c r="CG70" i="11" s="1"/>
  <c r="F69" i="11"/>
  <c r="F70" i="11" s="1"/>
  <c r="V69" i="11"/>
  <c r="V70" i="11" s="1"/>
  <c r="AD69" i="11"/>
  <c r="AD70" i="11" s="1"/>
  <c r="AL69" i="11"/>
  <c r="AL70" i="11" s="1"/>
  <c r="AT69" i="11"/>
  <c r="AT70" i="11" s="1"/>
  <c r="BB69" i="11"/>
  <c r="BB70" i="11" s="1"/>
  <c r="BJ69" i="11"/>
  <c r="BJ70" i="11" s="1"/>
  <c r="BR69" i="11"/>
  <c r="BR70" i="11" s="1"/>
  <c r="BR74" i="11" s="1"/>
  <c r="BZ69" i="11"/>
  <c r="BZ70" i="11" s="1"/>
  <c r="CH69" i="11"/>
  <c r="CH70" i="11" s="1"/>
  <c r="CH74" i="11" s="1"/>
  <c r="AM69" i="11"/>
  <c r="AM70" i="11" s="1"/>
  <c r="AU69" i="11"/>
  <c r="AU70" i="11" s="1"/>
  <c r="BC69" i="11"/>
  <c r="BC70" i="11" s="1"/>
  <c r="BK69" i="11"/>
  <c r="BK70" i="11" s="1"/>
  <c r="BS69" i="11"/>
  <c r="BS70" i="11" s="1"/>
  <c r="CA69" i="11"/>
  <c r="CA70" i="11" s="1"/>
  <c r="CI69" i="11"/>
  <c r="CI70" i="11" s="1"/>
  <c r="H69" i="11"/>
  <c r="H70" i="11" s="1"/>
  <c r="P69" i="11"/>
  <c r="P70" i="11" s="1"/>
  <c r="X69" i="11"/>
  <c r="X70" i="11" s="1"/>
  <c r="AF69" i="11"/>
  <c r="AF70" i="11" s="1"/>
  <c r="AN69" i="11"/>
  <c r="AN70" i="11" s="1"/>
  <c r="AV69" i="11"/>
  <c r="AV70" i="11" s="1"/>
  <c r="BD69" i="11"/>
  <c r="BD70" i="11" s="1"/>
  <c r="BL69" i="11"/>
  <c r="BL70" i="11" s="1"/>
  <c r="BT69" i="11"/>
  <c r="BT70" i="11" s="1"/>
  <c r="CB69" i="11"/>
  <c r="CB70" i="11" s="1"/>
  <c r="CB74" i="11" s="1"/>
  <c r="CJ69" i="11"/>
  <c r="CJ70" i="11" s="1"/>
  <c r="I69" i="11"/>
  <c r="I70" i="11" s="1"/>
  <c r="Q69" i="11"/>
  <c r="Q70" i="11" s="1"/>
  <c r="Y69" i="11"/>
  <c r="Y70" i="11" s="1"/>
  <c r="AG69" i="11"/>
  <c r="AG70" i="11" s="1"/>
  <c r="AO69" i="11"/>
  <c r="AO70" i="11" s="1"/>
  <c r="AW69" i="11"/>
  <c r="AW70" i="11" s="1"/>
  <c r="BE69" i="11"/>
  <c r="BE70" i="11" s="1"/>
  <c r="BE74" i="11" s="1"/>
  <c r="BM69" i="11"/>
  <c r="BM70" i="11" s="1"/>
  <c r="BU69" i="11"/>
  <c r="BU70" i="11" s="1"/>
  <c r="CC69" i="11"/>
  <c r="CC70" i="11" s="1"/>
  <c r="J69" i="11"/>
  <c r="J70" i="11" s="1"/>
  <c r="R69" i="11"/>
  <c r="R70" i="11" s="1"/>
  <c r="Z69" i="11"/>
  <c r="Z70" i="11" s="1"/>
  <c r="AH69" i="11"/>
  <c r="AH70" i="11" s="1"/>
  <c r="AP69" i="11"/>
  <c r="AP70" i="11" s="1"/>
  <c r="AX69" i="11"/>
  <c r="AX70" i="11" s="1"/>
  <c r="BF69" i="11"/>
  <c r="BF70" i="11" s="1"/>
  <c r="BN69" i="11"/>
  <c r="BN70" i="11" s="1"/>
  <c r="BV69" i="11"/>
  <c r="BV70" i="11" s="1"/>
  <c r="CD69" i="11"/>
  <c r="CD70" i="11" s="1"/>
  <c r="AT72" i="11"/>
  <c r="AT73" i="11" s="1"/>
  <c r="BB72" i="11"/>
  <c r="BB73" i="11" s="1"/>
  <c r="BJ72" i="11"/>
  <c r="BJ73" i="11" s="1"/>
  <c r="BR72" i="11"/>
  <c r="BR73" i="11" s="1"/>
  <c r="BZ72" i="11"/>
  <c r="BZ73" i="11" s="1"/>
  <c r="CH72" i="11"/>
  <c r="CH73" i="11" s="1"/>
  <c r="AE8" i="8"/>
  <c r="AB3" i="11"/>
  <c r="AM8" i="8"/>
  <c r="AJ3" i="11"/>
  <c r="G8" i="8"/>
  <c r="O8" i="8"/>
  <c r="L3" i="11"/>
  <c r="W8" i="8"/>
  <c r="T3" i="11"/>
  <c r="H8" i="8"/>
  <c r="P8" i="8"/>
  <c r="X8" i="8"/>
  <c r="AF8" i="8"/>
  <c r="AN8" i="8"/>
  <c r="E3" i="11"/>
  <c r="M3" i="11"/>
  <c r="U3" i="11"/>
  <c r="AC3" i="11"/>
  <c r="AK3" i="11"/>
  <c r="B10" i="13"/>
  <c r="I8" i="8"/>
  <c r="Q8" i="8"/>
  <c r="Y8" i="8"/>
  <c r="AG8" i="8"/>
  <c r="AO8" i="8"/>
  <c r="F3" i="11"/>
  <c r="N3" i="11"/>
  <c r="V3" i="11"/>
  <c r="AD3" i="11"/>
  <c r="AL3" i="11"/>
  <c r="B29" i="13"/>
  <c r="J8" i="8"/>
  <c r="R8" i="8"/>
  <c r="Z8" i="8"/>
  <c r="AH8" i="8"/>
  <c r="AP8" i="8"/>
  <c r="K8" i="8"/>
  <c r="S8" i="8"/>
  <c r="AA8" i="8"/>
  <c r="AI8" i="8"/>
  <c r="AQ8" i="8"/>
  <c r="B108" i="5"/>
  <c r="I31" i="9"/>
  <c r="Q31" i="9"/>
  <c r="Y31" i="9"/>
  <c r="AG31" i="9"/>
  <c r="I65" i="11"/>
  <c r="I66" i="11" s="1"/>
  <c r="Q65" i="11"/>
  <c r="Q66" i="11" s="1"/>
  <c r="Y65" i="11"/>
  <c r="Y66" i="11" s="1"/>
  <c r="AG65" i="11"/>
  <c r="AG66" i="11" s="1"/>
  <c r="AO65" i="11"/>
  <c r="AO66" i="11" s="1"/>
  <c r="F72" i="11"/>
  <c r="F73" i="11" s="1"/>
  <c r="N72" i="11"/>
  <c r="N73" i="11" s="1"/>
  <c r="V72" i="11"/>
  <c r="V73" i="11" s="1"/>
  <c r="AD72" i="11"/>
  <c r="AD73" i="11" s="1"/>
  <c r="AL72" i="11"/>
  <c r="AL73" i="11" s="1"/>
  <c r="W30" i="9"/>
  <c r="AE30" i="9"/>
  <c r="AM30" i="9"/>
  <c r="G30" i="9"/>
  <c r="O30" i="9"/>
  <c r="N69" i="11"/>
  <c r="N70" i="11" s="1"/>
  <c r="G69" i="11"/>
  <c r="G70" i="11" s="1"/>
  <c r="O69" i="11"/>
  <c r="O70" i="11" s="1"/>
  <c r="W69" i="11"/>
  <c r="W70" i="11" s="1"/>
  <c r="AE69" i="11"/>
  <c r="AE70" i="11" s="1"/>
  <c r="T69" i="11"/>
  <c r="T70" i="11" s="1"/>
  <c r="E69" i="11"/>
  <c r="E70" i="11" s="1"/>
  <c r="M69" i="11"/>
  <c r="M70" i="11" s="1"/>
  <c r="S65" i="11"/>
  <c r="S66" i="11" s="1"/>
  <c r="AA65" i="11"/>
  <c r="AA66" i="11" s="1"/>
  <c r="AQ65" i="11"/>
  <c r="AQ66" i="11" s="1"/>
  <c r="AE65" i="11"/>
  <c r="AE66" i="11" s="1"/>
  <c r="AM65" i="11"/>
  <c r="AM66" i="11" s="1"/>
  <c r="J76" i="11"/>
  <c r="R76" i="11"/>
  <c r="Z76" i="11"/>
  <c r="AH76" i="11"/>
  <c r="AP76" i="11"/>
  <c r="K76" i="11"/>
  <c r="S76" i="11"/>
  <c r="AA76" i="11"/>
  <c r="AI76" i="11"/>
  <c r="AQ76" i="11"/>
  <c r="L76" i="11"/>
  <c r="T76" i="11"/>
  <c r="AB76" i="11"/>
  <c r="AJ76" i="11"/>
  <c r="E76" i="11"/>
  <c r="M76" i="11"/>
  <c r="U76" i="11"/>
  <c r="AC76" i="11"/>
  <c r="AK76" i="11"/>
  <c r="G76" i="11"/>
  <c r="O76" i="11"/>
  <c r="W76" i="11"/>
  <c r="AE76" i="11"/>
  <c r="AM76" i="11"/>
  <c r="H76" i="11"/>
  <c r="P76" i="11"/>
  <c r="X76" i="11"/>
  <c r="AF76" i="11"/>
  <c r="AN76" i="11"/>
  <c r="I76" i="11"/>
  <c r="Q76" i="11"/>
  <c r="Y76" i="11"/>
  <c r="AG76" i="11"/>
  <c r="AO76" i="11"/>
  <c r="AB43" i="11"/>
  <c r="AD43" i="11"/>
  <c r="AL43" i="11"/>
  <c r="I43" i="11"/>
  <c r="Q43" i="11"/>
  <c r="Y43" i="11"/>
  <c r="AG43" i="11"/>
  <c r="AO43" i="11"/>
  <c r="K43" i="11"/>
  <c r="S43" i="11"/>
  <c r="AA43" i="11"/>
  <c r="AI43" i="11"/>
  <c r="AQ43" i="11"/>
  <c r="X54" i="11"/>
  <c r="X55" i="11" s="1"/>
  <c r="X2" i="9"/>
  <c r="X16" i="9" s="1"/>
  <c r="X35" i="7"/>
  <c r="T22" i="7" s="1"/>
  <c r="AG54" i="11"/>
  <c r="AG55" i="11" s="1"/>
  <c r="AG2" i="9"/>
  <c r="AG16" i="9" s="1"/>
  <c r="J54" i="11"/>
  <c r="J55" i="11" s="1"/>
  <c r="J2" i="9"/>
  <c r="J35" i="7"/>
  <c r="F22" i="7" s="1"/>
  <c r="R54" i="11"/>
  <c r="R55" i="11" s="1"/>
  <c r="R2" i="9"/>
  <c r="R35" i="7"/>
  <c r="N22" i="7" s="1"/>
  <c r="Z54" i="11"/>
  <c r="Z55" i="11" s="1"/>
  <c r="Z2" i="9"/>
  <c r="V22" i="7"/>
  <c r="AH54" i="11"/>
  <c r="AH55" i="11" s="1"/>
  <c r="AH2" i="9"/>
  <c r="AP54" i="11"/>
  <c r="AP55" i="11" s="1"/>
  <c r="AP2" i="9"/>
  <c r="AX54" i="11"/>
  <c r="AX55" i="11" s="1"/>
  <c r="AX2" i="9"/>
  <c r="BF54" i="11"/>
  <c r="BF55" i="11" s="1"/>
  <c r="BF2" i="9"/>
  <c r="BN54" i="11"/>
  <c r="BN55" i="11" s="1"/>
  <c r="BN2" i="9"/>
  <c r="BV54" i="11"/>
  <c r="BV55" i="11" s="1"/>
  <c r="BV2" i="9"/>
  <c r="CD54" i="11"/>
  <c r="CD55" i="11" s="1"/>
  <c r="CD2" i="9"/>
  <c r="J50" i="5"/>
  <c r="R50" i="5"/>
  <c r="Z50" i="5"/>
  <c r="AH50" i="5"/>
  <c r="AP50" i="5"/>
  <c r="AX50" i="5"/>
  <c r="BF50" i="5"/>
  <c r="BN50" i="5"/>
  <c r="BV50" i="5"/>
  <c r="CD50" i="5"/>
  <c r="J52" i="11"/>
  <c r="J53" i="11" s="1"/>
  <c r="J7" i="9"/>
  <c r="R52" i="11"/>
  <c r="R53" i="11" s="1"/>
  <c r="R7" i="9"/>
  <c r="Z52" i="11"/>
  <c r="Z53" i="11" s="1"/>
  <c r="Z7" i="9"/>
  <c r="AH52" i="11"/>
  <c r="AH53" i="11" s="1"/>
  <c r="AH7" i="9"/>
  <c r="AP52" i="11"/>
  <c r="AP53" i="11" s="1"/>
  <c r="AP7" i="9"/>
  <c r="AX52" i="11"/>
  <c r="AX53" i="11" s="1"/>
  <c r="AX7" i="9"/>
  <c r="BF52" i="11"/>
  <c r="BF53" i="11" s="1"/>
  <c r="BF7" i="9"/>
  <c r="BN52" i="11"/>
  <c r="BN53" i="11" s="1"/>
  <c r="BN7" i="9"/>
  <c r="BV52" i="11"/>
  <c r="BV53" i="11" s="1"/>
  <c r="BV7" i="9"/>
  <c r="CD52" i="11"/>
  <c r="CD53" i="11" s="1"/>
  <c r="CD7" i="9"/>
  <c r="AZ89" i="5"/>
  <c r="L54" i="11"/>
  <c r="L55" i="11" s="1"/>
  <c r="L2" i="9"/>
  <c r="L35" i="7"/>
  <c r="H22" i="7" s="1"/>
  <c r="Q54" i="11"/>
  <c r="Q55" i="11" s="1"/>
  <c r="Q2" i="9"/>
  <c r="Q35" i="7"/>
  <c r="M22" i="7" s="1"/>
  <c r="AO54" i="11"/>
  <c r="AO55" i="11" s="1"/>
  <c r="AO2" i="9"/>
  <c r="AO16" i="9" s="1"/>
  <c r="BE54" i="11"/>
  <c r="BE55" i="11" s="1"/>
  <c r="BE2" i="9"/>
  <c r="CC54" i="11"/>
  <c r="CC55" i="11" s="1"/>
  <c r="CC2" i="9"/>
  <c r="CC16" i="9" s="1"/>
  <c r="K54" i="11"/>
  <c r="K55" i="11" s="1"/>
  <c r="K2" i="9"/>
  <c r="K35" i="7"/>
  <c r="G22" i="7" s="1"/>
  <c r="S54" i="11"/>
  <c r="S55" i="11" s="1"/>
  <c r="S2" i="9"/>
  <c r="S35" i="7"/>
  <c r="O22" i="7" s="1"/>
  <c r="O23" i="7" s="1"/>
  <c r="AA54" i="11"/>
  <c r="AA55" i="11" s="1"/>
  <c r="AA2" i="9"/>
  <c r="W22" i="7"/>
  <c r="AI54" i="11"/>
  <c r="AI55" i="11" s="1"/>
  <c r="AI2" i="9"/>
  <c r="AQ54" i="11"/>
  <c r="AQ55" i="11" s="1"/>
  <c r="AQ2" i="9"/>
  <c r="AY54" i="11"/>
  <c r="AY55" i="11" s="1"/>
  <c r="AY2" i="9"/>
  <c r="AY16" i="9" s="1"/>
  <c r="BG54" i="11"/>
  <c r="BG55" i="11" s="1"/>
  <c r="BG2" i="9"/>
  <c r="BO54" i="11"/>
  <c r="BO55" i="11" s="1"/>
  <c r="BO2" i="9"/>
  <c r="BO16" i="9" s="1"/>
  <c r="BW54" i="11"/>
  <c r="BW55" i="11" s="1"/>
  <c r="BW2" i="9"/>
  <c r="BW16" i="9" s="1"/>
  <c r="CE54" i="11"/>
  <c r="CE55" i="11" s="1"/>
  <c r="CE2" i="9"/>
  <c r="K50" i="5"/>
  <c r="S50" i="5"/>
  <c r="AA50" i="5"/>
  <c r="AI50" i="5"/>
  <c r="AQ50" i="5"/>
  <c r="AY50" i="5"/>
  <c r="BG50" i="5"/>
  <c r="BO50" i="5"/>
  <c r="BW50" i="5"/>
  <c r="CE50" i="5"/>
  <c r="K52" i="11"/>
  <c r="K53" i="11" s="1"/>
  <c r="K7" i="9"/>
  <c r="S52" i="11"/>
  <c r="S53" i="11" s="1"/>
  <c r="S7" i="9"/>
  <c r="AA52" i="11"/>
  <c r="AA53" i="11" s="1"/>
  <c r="AA7" i="9"/>
  <c r="AI52" i="11"/>
  <c r="AI53" i="11" s="1"/>
  <c r="AI7" i="9"/>
  <c r="AQ52" i="11"/>
  <c r="AQ53" i="11" s="1"/>
  <c r="AQ7" i="9"/>
  <c r="AY52" i="11"/>
  <c r="AY53" i="11" s="1"/>
  <c r="AY7" i="9"/>
  <c r="BG52" i="11"/>
  <c r="BG53" i="11" s="1"/>
  <c r="BG7" i="9"/>
  <c r="BO52" i="11"/>
  <c r="BO7" i="9"/>
  <c r="BW52" i="11"/>
  <c r="BW53" i="11" s="1"/>
  <c r="BW7" i="9"/>
  <c r="CE52" i="11"/>
  <c r="CE53" i="11" s="1"/>
  <c r="CE7" i="9"/>
  <c r="I10" i="9"/>
  <c r="I89" i="5"/>
  <c r="BH89" i="5"/>
  <c r="T54" i="11"/>
  <c r="T55" i="11" s="1"/>
  <c r="T2" i="9"/>
  <c r="T35" i="7"/>
  <c r="P22" i="7" s="1"/>
  <c r="AZ54" i="11"/>
  <c r="AZ55" i="11" s="1"/>
  <c r="AZ2" i="9"/>
  <c r="AZ16" i="9" s="1"/>
  <c r="CF54" i="11"/>
  <c r="CF2" i="9"/>
  <c r="L50" i="5"/>
  <c r="T50" i="5"/>
  <c r="AB50" i="5"/>
  <c r="AJ50" i="5"/>
  <c r="AR50" i="5"/>
  <c r="AZ50" i="5"/>
  <c r="BH50" i="5"/>
  <c r="BP50" i="5"/>
  <c r="BX50" i="5"/>
  <c r="CF50" i="5"/>
  <c r="L52" i="11"/>
  <c r="L53" i="11" s="1"/>
  <c r="L7" i="9"/>
  <c r="T52" i="11"/>
  <c r="T53" i="11" s="1"/>
  <c r="T7" i="9"/>
  <c r="AB52" i="11"/>
  <c r="AB53" i="11" s="1"/>
  <c r="AB7" i="9"/>
  <c r="AJ52" i="11"/>
  <c r="AJ53" i="11" s="1"/>
  <c r="AJ7" i="9"/>
  <c r="AR52" i="11"/>
  <c r="AR53" i="11" s="1"/>
  <c r="AR7" i="9"/>
  <c r="AZ52" i="11"/>
  <c r="AZ53" i="11" s="1"/>
  <c r="AZ7" i="9"/>
  <c r="BH52" i="11"/>
  <c r="BH53" i="11" s="1"/>
  <c r="BH7" i="9"/>
  <c r="BP52" i="11"/>
  <c r="BP7" i="9"/>
  <c r="BX52" i="11"/>
  <c r="BX53" i="11" s="1"/>
  <c r="BX7" i="9"/>
  <c r="CF52" i="11"/>
  <c r="CF53" i="11" s="1"/>
  <c r="CF7" i="9"/>
  <c r="J10" i="9"/>
  <c r="J89" i="5"/>
  <c r="R10" i="9"/>
  <c r="R78" i="9" s="1"/>
  <c r="R79" i="9" s="1"/>
  <c r="R89" i="5"/>
  <c r="Z10" i="9"/>
  <c r="Z89" i="5"/>
  <c r="AH10" i="9"/>
  <c r="AH34" i="9" s="1"/>
  <c r="AH89" i="5"/>
  <c r="AP10" i="9"/>
  <c r="AL34" i="9" s="1"/>
  <c r="AP89" i="5"/>
  <c r="AX10" i="9"/>
  <c r="AX89" i="5"/>
  <c r="BF10" i="9"/>
  <c r="BF34" i="9" s="1"/>
  <c r="BF89" i="5"/>
  <c r="BN10" i="9"/>
  <c r="BJ34" i="9" s="1"/>
  <c r="BN89" i="5"/>
  <c r="BV10" i="9"/>
  <c r="BR34" i="9" s="1"/>
  <c r="BV89" i="5"/>
  <c r="CD10" i="9"/>
  <c r="CD34" i="9" s="1"/>
  <c r="CD89" i="5"/>
  <c r="BP89" i="5"/>
  <c r="AB54" i="11"/>
  <c r="AB55" i="11" s="1"/>
  <c r="AB2" i="9"/>
  <c r="AB16" i="9" s="1"/>
  <c r="X22" i="7"/>
  <c r="BH54" i="11"/>
  <c r="BH55" i="11" s="1"/>
  <c r="BH2" i="9"/>
  <c r="BH16" i="9" s="1"/>
  <c r="M54" i="11"/>
  <c r="M55" i="11" s="1"/>
  <c r="M2" i="9"/>
  <c r="M35" i="7"/>
  <c r="I22" i="7" s="1"/>
  <c r="I23" i="7" s="1"/>
  <c r="U54" i="11"/>
  <c r="U55" i="11" s="1"/>
  <c r="U2" i="9"/>
  <c r="U35" i="7"/>
  <c r="Q22" i="7" s="1"/>
  <c r="AC54" i="11"/>
  <c r="AC55" i="11" s="1"/>
  <c r="AC2" i="9"/>
  <c r="AC16" i="9" s="1"/>
  <c r="Y22" i="7"/>
  <c r="AK54" i="11"/>
  <c r="AK55" i="11" s="1"/>
  <c r="AK2" i="9"/>
  <c r="AS54" i="11"/>
  <c r="AS55" i="11" s="1"/>
  <c r="AS2" i="9"/>
  <c r="BA54" i="11"/>
  <c r="BA55" i="11" s="1"/>
  <c r="BA2" i="9"/>
  <c r="BA25" i="9" s="1"/>
  <c r="BI54" i="11"/>
  <c r="BI55" i="11" s="1"/>
  <c r="BI2" i="9"/>
  <c r="BI16" i="9" s="1"/>
  <c r="BQ54" i="11"/>
  <c r="BQ55" i="11" s="1"/>
  <c r="BQ2" i="9"/>
  <c r="BQ16" i="9" s="1"/>
  <c r="BY54" i="11"/>
  <c r="BY55" i="11" s="1"/>
  <c r="BY2" i="9"/>
  <c r="CG54" i="11"/>
  <c r="CG55" i="11" s="1"/>
  <c r="CG2" i="9"/>
  <c r="E50" i="5"/>
  <c r="M50" i="5"/>
  <c r="U50" i="5"/>
  <c r="AC50" i="5"/>
  <c r="AK50" i="5"/>
  <c r="AS50" i="5"/>
  <c r="BA50" i="5"/>
  <c r="BI50" i="5"/>
  <c r="BQ50" i="5"/>
  <c r="BY50" i="5"/>
  <c r="CG50" i="5"/>
  <c r="E52" i="11"/>
  <c r="E53" i="11" s="1"/>
  <c r="E7" i="9"/>
  <c r="M52" i="11"/>
  <c r="M53" i="11" s="1"/>
  <c r="M7" i="9"/>
  <c r="U52" i="11"/>
  <c r="U53" i="11" s="1"/>
  <c r="U7" i="9"/>
  <c r="AC52" i="11"/>
  <c r="AC53" i="11" s="1"/>
  <c r="AC7" i="9"/>
  <c r="AK52" i="11"/>
  <c r="AK53" i="11" s="1"/>
  <c r="AK7" i="9"/>
  <c r="AS52" i="11"/>
  <c r="AS53" i="11" s="1"/>
  <c r="AS7" i="9"/>
  <c r="BA52" i="11"/>
  <c r="BA53" i="11" s="1"/>
  <c r="BA7" i="9"/>
  <c r="BI52" i="11"/>
  <c r="BI53" i="11" s="1"/>
  <c r="BI7" i="9"/>
  <c r="BQ52" i="11"/>
  <c r="BQ53" i="11" s="1"/>
  <c r="BQ7" i="9"/>
  <c r="BY52" i="11"/>
  <c r="BY53" i="11" s="1"/>
  <c r="BY7" i="9"/>
  <c r="CG52" i="11"/>
  <c r="CG53" i="11" s="1"/>
  <c r="CG7" i="9"/>
  <c r="L89" i="5"/>
  <c r="BX89" i="5"/>
  <c r="AR54" i="11"/>
  <c r="AR55" i="11" s="1"/>
  <c r="AR2" i="9"/>
  <c r="AR16" i="9" s="1"/>
  <c r="BX54" i="11"/>
  <c r="BX55" i="11" s="1"/>
  <c r="BX2" i="9"/>
  <c r="BX16" i="9" s="1"/>
  <c r="E54" i="11"/>
  <c r="E55" i="11" s="1"/>
  <c r="B25" i="13"/>
  <c r="B6" i="13"/>
  <c r="E2" i="9"/>
  <c r="E35" i="7"/>
  <c r="F54" i="11"/>
  <c r="F55" i="11" s="1"/>
  <c r="F2" i="9"/>
  <c r="F35" i="7"/>
  <c r="N54" i="11"/>
  <c r="N55" i="11" s="1"/>
  <c r="N2" i="9"/>
  <c r="N35" i="7"/>
  <c r="J22" i="7" s="1"/>
  <c r="V54" i="11"/>
  <c r="V55" i="11" s="1"/>
  <c r="V2" i="9"/>
  <c r="V16" i="9" s="1"/>
  <c r="V35" i="7"/>
  <c r="R22" i="7" s="1"/>
  <c r="AD54" i="11"/>
  <c r="AD55" i="11" s="1"/>
  <c r="AD2" i="9"/>
  <c r="AD16" i="9" s="1"/>
  <c r="AL54" i="11"/>
  <c r="AL55" i="11" s="1"/>
  <c r="AL2" i="9"/>
  <c r="AL16" i="9" s="1"/>
  <c r="AT54" i="11"/>
  <c r="AT55" i="11" s="1"/>
  <c r="AT2" i="9"/>
  <c r="AT16" i="9" s="1"/>
  <c r="BB54" i="11"/>
  <c r="BB55" i="11" s="1"/>
  <c r="BB2" i="9"/>
  <c r="BB16" i="9" s="1"/>
  <c r="BJ54" i="11"/>
  <c r="BJ55" i="11" s="1"/>
  <c r="BJ2" i="9"/>
  <c r="BJ16" i="9" s="1"/>
  <c r="BR54" i="11"/>
  <c r="BR55" i="11" s="1"/>
  <c r="BR2" i="9"/>
  <c r="BZ54" i="11"/>
  <c r="BZ55" i="11" s="1"/>
  <c r="BZ2" i="9"/>
  <c r="BZ16" i="9" s="1"/>
  <c r="CH54" i="11"/>
  <c r="CH55" i="11" s="1"/>
  <c r="CH2" i="9"/>
  <c r="CH16" i="9" s="1"/>
  <c r="F50" i="5"/>
  <c r="N50" i="5"/>
  <c r="V50" i="5"/>
  <c r="AD50" i="5"/>
  <c r="AL50" i="5"/>
  <c r="AT50" i="5"/>
  <c r="BB50" i="5"/>
  <c r="BJ50" i="5"/>
  <c r="BR50" i="5"/>
  <c r="BZ50" i="5"/>
  <c r="CH50" i="5"/>
  <c r="F52" i="11"/>
  <c r="F53" i="11" s="1"/>
  <c r="F7" i="9"/>
  <c r="N52" i="11"/>
  <c r="N53" i="11" s="1"/>
  <c r="N7" i="9"/>
  <c r="V52" i="11"/>
  <c r="V53" i="11" s="1"/>
  <c r="V7" i="9"/>
  <c r="AD52" i="11"/>
  <c r="AD53" i="11" s="1"/>
  <c r="AD7" i="9"/>
  <c r="AL52" i="11"/>
  <c r="AL53" i="11" s="1"/>
  <c r="AL7" i="9"/>
  <c r="AT52" i="11"/>
  <c r="AT53" i="11" s="1"/>
  <c r="AT7" i="9"/>
  <c r="BB52" i="11"/>
  <c r="BB53" i="11" s="1"/>
  <c r="BB7" i="9"/>
  <c r="BJ52" i="11"/>
  <c r="BJ53" i="11" s="1"/>
  <c r="BJ7" i="9"/>
  <c r="BR52" i="11"/>
  <c r="BR7" i="9"/>
  <c r="BZ52" i="11"/>
  <c r="BZ53" i="11" s="1"/>
  <c r="BZ7" i="9"/>
  <c r="CH52" i="11"/>
  <c r="CH7" i="9"/>
  <c r="CD32" i="9" s="1"/>
  <c r="T89" i="5"/>
  <c r="CF89" i="5"/>
  <c r="AJ54" i="11"/>
  <c r="AJ55" i="11" s="1"/>
  <c r="AJ2" i="9"/>
  <c r="BP54" i="11"/>
  <c r="BP55" i="11" s="1"/>
  <c r="BP2" i="9"/>
  <c r="BP16" i="9" s="1"/>
  <c r="G54" i="11"/>
  <c r="G55" i="11" s="1"/>
  <c r="G2" i="9"/>
  <c r="G35" i="7"/>
  <c r="O54" i="11"/>
  <c r="O55" i="11" s="1"/>
  <c r="O2" i="9"/>
  <c r="O35" i="7"/>
  <c r="K22" i="7" s="1"/>
  <c r="W54" i="11"/>
  <c r="W55" i="11" s="1"/>
  <c r="W2" i="9"/>
  <c r="W16" i="9" s="1"/>
  <c r="W35" i="7"/>
  <c r="S22" i="7" s="1"/>
  <c r="AE54" i="11"/>
  <c r="AE55" i="11" s="1"/>
  <c r="AE2" i="9"/>
  <c r="AE16" i="9" s="1"/>
  <c r="AM54" i="11"/>
  <c r="AM55" i="11" s="1"/>
  <c r="AM2" i="9"/>
  <c r="AM16" i="9" s="1"/>
  <c r="AU54" i="11"/>
  <c r="AU55" i="11" s="1"/>
  <c r="AU2" i="9"/>
  <c r="AU16" i="9" s="1"/>
  <c r="BC54" i="11"/>
  <c r="BC55" i="11" s="1"/>
  <c r="BC2" i="9"/>
  <c r="BK54" i="11"/>
  <c r="BK55" i="11" s="1"/>
  <c r="BK2" i="9"/>
  <c r="BK16" i="9" s="1"/>
  <c r="BS54" i="11"/>
  <c r="BS55" i="11" s="1"/>
  <c r="BS2" i="9"/>
  <c r="CA54" i="11"/>
  <c r="CA55" i="11" s="1"/>
  <c r="CA2" i="9"/>
  <c r="CA16" i="9" s="1"/>
  <c r="CI54" i="11"/>
  <c r="CI55" i="11" s="1"/>
  <c r="CI2" i="9"/>
  <c r="CI25" i="9" s="1"/>
  <c r="G50" i="5"/>
  <c r="O50" i="5"/>
  <c r="W50" i="5"/>
  <c r="AE50" i="5"/>
  <c r="AM50" i="5"/>
  <c r="AU50" i="5"/>
  <c r="BC50" i="5"/>
  <c r="BK50" i="5"/>
  <c r="BS50" i="5"/>
  <c r="CA50" i="5"/>
  <c r="CI50" i="5"/>
  <c r="G52" i="11"/>
  <c r="G53" i="11" s="1"/>
  <c r="G7" i="9"/>
  <c r="O52" i="11"/>
  <c r="O53" i="11" s="1"/>
  <c r="O7" i="9"/>
  <c r="W52" i="11"/>
  <c r="W53" i="11" s="1"/>
  <c r="W7" i="9"/>
  <c r="AE52" i="11"/>
  <c r="AE53" i="11" s="1"/>
  <c r="AE7" i="9"/>
  <c r="AM52" i="11"/>
  <c r="AM53" i="11" s="1"/>
  <c r="AM7" i="9"/>
  <c r="AU52" i="11"/>
  <c r="AU53" i="11" s="1"/>
  <c r="AU7" i="9"/>
  <c r="BC52" i="11"/>
  <c r="BC53" i="11" s="1"/>
  <c r="BC7" i="9"/>
  <c r="BK52" i="11"/>
  <c r="BK53" i="11" s="1"/>
  <c r="BK7" i="9"/>
  <c r="BS52" i="11"/>
  <c r="BS7" i="9"/>
  <c r="CA52" i="11"/>
  <c r="CA53" i="11" s="1"/>
  <c r="CA7" i="9"/>
  <c r="CI52" i="11"/>
  <c r="CI53" i="11" s="1"/>
  <c r="CI7" i="9"/>
  <c r="E10" i="9"/>
  <c r="E89" i="5"/>
  <c r="M10" i="9"/>
  <c r="M89" i="5"/>
  <c r="AB89" i="5"/>
  <c r="H54" i="11"/>
  <c r="H55" i="11" s="1"/>
  <c r="H2" i="9"/>
  <c r="H35" i="7"/>
  <c r="AF54" i="11"/>
  <c r="AF55" i="11" s="1"/>
  <c r="AF2" i="9"/>
  <c r="AF16" i="9" s="1"/>
  <c r="AN54" i="11"/>
  <c r="AN55" i="11" s="1"/>
  <c r="AN2" i="9"/>
  <c r="AN16" i="9" s="1"/>
  <c r="AV54" i="11"/>
  <c r="AV55" i="11" s="1"/>
  <c r="AV2" i="9"/>
  <c r="AV16" i="9" s="1"/>
  <c r="BD54" i="11"/>
  <c r="BD55" i="11" s="1"/>
  <c r="BD2" i="9"/>
  <c r="BL54" i="11"/>
  <c r="BL55" i="11" s="1"/>
  <c r="BL2" i="9"/>
  <c r="BL16" i="9" s="1"/>
  <c r="BT54" i="11"/>
  <c r="BT55" i="11" s="1"/>
  <c r="BT2" i="9"/>
  <c r="BT16" i="9" s="1"/>
  <c r="CB54" i="11"/>
  <c r="CB55" i="11" s="1"/>
  <c r="CB2" i="9"/>
  <c r="CB16" i="9" s="1"/>
  <c r="CJ54" i="11"/>
  <c r="CJ55" i="11" s="1"/>
  <c r="CJ2" i="9"/>
  <c r="CJ25" i="9" s="1"/>
  <c r="H30" i="9"/>
  <c r="P30" i="9"/>
  <c r="X30" i="9"/>
  <c r="AF30" i="9"/>
  <c r="H50" i="5"/>
  <c r="P50" i="5"/>
  <c r="X50" i="5"/>
  <c r="AF50" i="5"/>
  <c r="AN50" i="5"/>
  <c r="AV50" i="5"/>
  <c r="BD50" i="5"/>
  <c r="BL50" i="5"/>
  <c r="BT50" i="5"/>
  <c r="CB50" i="5"/>
  <c r="CJ50" i="5"/>
  <c r="H52" i="11"/>
  <c r="H53" i="11" s="1"/>
  <c r="H7" i="9"/>
  <c r="P52" i="11"/>
  <c r="P53" i="11" s="1"/>
  <c r="P7" i="9"/>
  <c r="X52" i="11"/>
  <c r="X53" i="11" s="1"/>
  <c r="X7" i="9"/>
  <c r="AF52" i="11"/>
  <c r="AF7" i="9"/>
  <c r="AN52" i="11"/>
  <c r="AN53" i="11" s="1"/>
  <c r="AN7" i="9"/>
  <c r="AV52" i="11"/>
  <c r="AV53" i="11" s="1"/>
  <c r="AV7" i="9"/>
  <c r="BD52" i="11"/>
  <c r="BD53" i="11" s="1"/>
  <c r="BD7" i="9"/>
  <c r="BL52" i="11"/>
  <c r="BL53" i="11" s="1"/>
  <c r="BL7" i="9"/>
  <c r="BT52" i="11"/>
  <c r="BT53" i="11" s="1"/>
  <c r="BT7" i="9"/>
  <c r="CB52" i="11"/>
  <c r="CB53" i="11" s="1"/>
  <c r="CB7" i="9"/>
  <c r="CJ52" i="11"/>
  <c r="CJ7" i="9"/>
  <c r="AJ89" i="5"/>
  <c r="P54" i="11"/>
  <c r="P55" i="11" s="1"/>
  <c r="P2" i="9"/>
  <c r="P35" i="7"/>
  <c r="L22" i="7" s="1"/>
  <c r="I54" i="11"/>
  <c r="I55" i="11" s="1"/>
  <c r="I2" i="9"/>
  <c r="I35" i="7"/>
  <c r="E22" i="7" s="1"/>
  <c r="Y54" i="11"/>
  <c r="Y55" i="11" s="1"/>
  <c r="Y2" i="9"/>
  <c r="Y35" i="7"/>
  <c r="U22" i="7" s="1"/>
  <c r="AW54" i="11"/>
  <c r="AW55" i="11" s="1"/>
  <c r="AW2" i="9"/>
  <c r="AW16" i="9" s="1"/>
  <c r="BM54" i="11"/>
  <c r="BM55" i="11" s="1"/>
  <c r="BM2" i="9"/>
  <c r="BU54" i="11"/>
  <c r="BU55" i="11" s="1"/>
  <c r="BU2" i="9"/>
  <c r="CK54" i="11"/>
  <c r="CK55" i="11" s="1"/>
  <c r="CK2" i="9"/>
  <c r="CK25" i="9" s="1"/>
  <c r="I50" i="5"/>
  <c r="Q50" i="5"/>
  <c r="Y50" i="5"/>
  <c r="AG50" i="5"/>
  <c r="AO50" i="5"/>
  <c r="AW50" i="5"/>
  <c r="BE50" i="5"/>
  <c r="BM50" i="5"/>
  <c r="BU50" i="5"/>
  <c r="CC50" i="5"/>
  <c r="CK50" i="5"/>
  <c r="I52" i="11"/>
  <c r="I53" i="11" s="1"/>
  <c r="I7" i="9"/>
  <c r="Q52" i="11"/>
  <c r="Q53" i="11" s="1"/>
  <c r="Q7" i="9"/>
  <c r="Y52" i="11"/>
  <c r="Y53" i="11" s="1"/>
  <c r="Y7" i="9"/>
  <c r="AG52" i="11"/>
  <c r="AG53" i="11" s="1"/>
  <c r="AG7" i="9"/>
  <c r="AO52" i="11"/>
  <c r="AO53" i="11" s="1"/>
  <c r="AO7" i="9"/>
  <c r="AW52" i="11"/>
  <c r="AW53" i="11" s="1"/>
  <c r="AW7" i="9"/>
  <c r="BE52" i="11"/>
  <c r="BE53" i="11" s="1"/>
  <c r="BE7" i="9"/>
  <c r="BM52" i="11"/>
  <c r="BM53" i="11" s="1"/>
  <c r="BM7" i="9"/>
  <c r="BU52" i="11"/>
  <c r="BU7" i="9"/>
  <c r="BQ32" i="9" s="1"/>
  <c r="CC52" i="11"/>
  <c r="CC53" i="11" s="1"/>
  <c r="CC7" i="9"/>
  <c r="CK52" i="11"/>
  <c r="CK7" i="9"/>
  <c r="AR89" i="5"/>
  <c r="H89" i="5"/>
  <c r="P89" i="5"/>
  <c r="X89" i="5"/>
  <c r="AF89" i="5"/>
  <c r="AN89" i="5"/>
  <c r="AV89" i="5"/>
  <c r="BD89" i="5"/>
  <c r="BL89" i="5"/>
  <c r="BT89" i="5"/>
  <c r="CB89" i="5"/>
  <c r="CJ89" i="5"/>
  <c r="Q89" i="5"/>
  <c r="Y89" i="5"/>
  <c r="AG89" i="5"/>
  <c r="AO89" i="5"/>
  <c r="AW89" i="5"/>
  <c r="BE89" i="5"/>
  <c r="BM89" i="5"/>
  <c r="BU89" i="5"/>
  <c r="CC89" i="5"/>
  <c r="CK89" i="5"/>
  <c r="K89" i="5"/>
  <c r="S89" i="5"/>
  <c r="AA89" i="5"/>
  <c r="AI89" i="5"/>
  <c r="AQ89" i="5"/>
  <c r="AY89" i="5"/>
  <c r="BG89" i="5"/>
  <c r="BO89" i="5"/>
  <c r="BW89" i="5"/>
  <c r="CE89" i="5"/>
  <c r="U89" i="5"/>
  <c r="AC89" i="5"/>
  <c r="AK89" i="5"/>
  <c r="AS89" i="5"/>
  <c r="BA89" i="5"/>
  <c r="BI89" i="5"/>
  <c r="BQ89" i="5"/>
  <c r="BY89" i="5"/>
  <c r="CG89" i="5"/>
  <c r="F89" i="5"/>
  <c r="N89" i="5"/>
  <c r="V89" i="5"/>
  <c r="AD89" i="5"/>
  <c r="AL89" i="5"/>
  <c r="AT89" i="5"/>
  <c r="BB89" i="5"/>
  <c r="BJ89" i="5"/>
  <c r="BR89" i="5"/>
  <c r="BZ89" i="5"/>
  <c r="CH89" i="5"/>
  <c r="G89" i="5"/>
  <c r="O89" i="5"/>
  <c r="W89" i="5"/>
  <c r="AE89" i="5"/>
  <c r="AM89" i="5"/>
  <c r="AU89" i="5"/>
  <c r="BC89" i="5"/>
  <c r="BK89" i="5"/>
  <c r="BS89" i="5"/>
  <c r="CA89" i="5"/>
  <c r="CI89" i="5"/>
  <c r="I28" i="11"/>
  <c r="Q28" i="11"/>
  <c r="Y28" i="11"/>
  <c r="AG28" i="11"/>
  <c r="AO28" i="11"/>
  <c r="AW28" i="11"/>
  <c r="BE28" i="11"/>
  <c r="BM28" i="11"/>
  <c r="BU28" i="11"/>
  <c r="CC28" i="11"/>
  <c r="G43" i="11"/>
  <c r="O43" i="11"/>
  <c r="W43" i="11"/>
  <c r="AE43" i="11"/>
  <c r="AM43" i="11"/>
  <c r="AU43" i="11"/>
  <c r="BC43" i="11"/>
  <c r="BK43" i="11"/>
  <c r="BS43" i="11"/>
  <c r="CA43" i="11"/>
  <c r="CI43" i="11"/>
  <c r="H43" i="11"/>
  <c r="P43" i="11"/>
  <c r="X43" i="11"/>
  <c r="AF43" i="11"/>
  <c r="AN43" i="11"/>
  <c r="AV43" i="11"/>
  <c r="BD43" i="11"/>
  <c r="BL43" i="11"/>
  <c r="BT43" i="11"/>
  <c r="CB43" i="11"/>
  <c r="CJ43" i="11"/>
  <c r="L28" i="11"/>
  <c r="T28" i="11"/>
  <c r="AB28" i="11"/>
  <c r="AJ28" i="11"/>
  <c r="AR28" i="11"/>
  <c r="AZ28" i="11"/>
  <c r="BH28" i="11"/>
  <c r="BP28" i="11"/>
  <c r="BX28" i="11"/>
  <c r="J43" i="11"/>
  <c r="R43" i="11"/>
  <c r="Z43" i="11"/>
  <c r="AH43" i="11"/>
  <c r="AP43" i="11"/>
  <c r="AX43" i="11"/>
  <c r="BF43" i="11"/>
  <c r="BN43" i="11"/>
  <c r="BV43" i="11"/>
  <c r="CD43" i="11"/>
  <c r="L43" i="11"/>
  <c r="T43" i="11"/>
  <c r="AJ43" i="11"/>
  <c r="AR43" i="11"/>
  <c r="AZ43" i="11"/>
  <c r="BH43" i="11"/>
  <c r="BP43" i="11"/>
  <c r="CF43" i="11"/>
  <c r="G28" i="11"/>
  <c r="W28" i="11"/>
  <c r="AE28" i="11"/>
  <c r="AM28" i="11"/>
  <c r="AU28" i="11"/>
  <c r="BC28" i="11"/>
  <c r="BK28" i="11"/>
  <c r="CI28" i="11"/>
  <c r="E43" i="11"/>
  <c r="M43" i="11"/>
  <c r="U43" i="11"/>
  <c r="AC43" i="11"/>
  <c r="AK43" i="11"/>
  <c r="AS43" i="11"/>
  <c r="BA43" i="11"/>
  <c r="BI43" i="11"/>
  <c r="BQ43" i="11"/>
  <c r="BY43" i="11"/>
  <c r="CG43" i="11"/>
  <c r="AF53" i="11"/>
  <c r="CK53" i="11"/>
  <c r="G72" i="11"/>
  <c r="G73" i="11" s="1"/>
  <c r="O72" i="11"/>
  <c r="O73" i="11" s="1"/>
  <c r="W72" i="11"/>
  <c r="W73" i="11" s="1"/>
  <c r="AE72" i="11"/>
  <c r="AE73" i="11" s="1"/>
  <c r="AM72" i="11"/>
  <c r="AM73" i="11" s="1"/>
  <c r="AU72" i="11"/>
  <c r="AU73" i="11" s="1"/>
  <c r="BC72" i="11"/>
  <c r="BC73" i="11" s="1"/>
  <c r="BK72" i="11"/>
  <c r="BK73" i="11" s="1"/>
  <c r="BS72" i="11"/>
  <c r="BS73" i="11" s="1"/>
  <c r="CA72" i="11"/>
  <c r="CA73" i="11" s="1"/>
  <c r="CI72" i="11"/>
  <c r="CI73" i="11" s="1"/>
  <c r="F76" i="11"/>
  <c r="N76" i="11"/>
  <c r="V76" i="11"/>
  <c r="AD76" i="11"/>
  <c r="AL76" i="11"/>
  <c r="AT76" i="11"/>
  <c r="BB76" i="11"/>
  <c r="BJ76" i="11"/>
  <c r="BR76" i="11"/>
  <c r="BZ76" i="11"/>
  <c r="CH76" i="11"/>
  <c r="H72" i="11"/>
  <c r="H73" i="11" s="1"/>
  <c r="P72" i="11"/>
  <c r="P73" i="11" s="1"/>
  <c r="X72" i="11"/>
  <c r="X73" i="11" s="1"/>
  <c r="AF72" i="11"/>
  <c r="AF73" i="11" s="1"/>
  <c r="AN72" i="11"/>
  <c r="AN73" i="11" s="1"/>
  <c r="AV72" i="11"/>
  <c r="AV73" i="11" s="1"/>
  <c r="BD72" i="11"/>
  <c r="BD73" i="11" s="1"/>
  <c r="BL72" i="11"/>
  <c r="BL73" i="11" s="1"/>
  <c r="BT72" i="11"/>
  <c r="BT73" i="11" s="1"/>
  <c r="CB72" i="11"/>
  <c r="CB73" i="11" s="1"/>
  <c r="CJ72" i="11"/>
  <c r="CJ73" i="11" s="1"/>
  <c r="I72" i="11"/>
  <c r="I73" i="11" s="1"/>
  <c r="Q72" i="11"/>
  <c r="Q73" i="11" s="1"/>
  <c r="Y72" i="11"/>
  <c r="Y73" i="11" s="1"/>
  <c r="AG72" i="11"/>
  <c r="AG73" i="11" s="1"/>
  <c r="AO72" i="11"/>
  <c r="AO73" i="11" s="1"/>
  <c r="AW72" i="11"/>
  <c r="AW73" i="11" s="1"/>
  <c r="BE72" i="11"/>
  <c r="BE73" i="11" s="1"/>
  <c r="BM72" i="11"/>
  <c r="BM73" i="11" s="1"/>
  <c r="BU72" i="11"/>
  <c r="BU73" i="11" s="1"/>
  <c r="CC72" i="11"/>
  <c r="CC73" i="11" s="1"/>
  <c r="J72" i="11"/>
  <c r="J73" i="11" s="1"/>
  <c r="R72" i="11"/>
  <c r="R73" i="11" s="1"/>
  <c r="Z72" i="11"/>
  <c r="Z73" i="11" s="1"/>
  <c r="AH72" i="11"/>
  <c r="AH73" i="11" s="1"/>
  <c r="AP72" i="11"/>
  <c r="AP73" i="11" s="1"/>
  <c r="AX72" i="11"/>
  <c r="AX73" i="11" s="1"/>
  <c r="BF72" i="11"/>
  <c r="BF73" i="11" s="1"/>
  <c r="BN72" i="11"/>
  <c r="BN73" i="11" s="1"/>
  <c r="BV72" i="11"/>
  <c r="BV73" i="11" s="1"/>
  <c r="CD72" i="11"/>
  <c r="CD73" i="11" s="1"/>
  <c r="K72" i="11"/>
  <c r="K73" i="11" s="1"/>
  <c r="S72" i="11"/>
  <c r="S73" i="11" s="1"/>
  <c r="AA72" i="11"/>
  <c r="AA73" i="11" s="1"/>
  <c r="AI72" i="11"/>
  <c r="AI73" i="11" s="1"/>
  <c r="AQ72" i="11"/>
  <c r="AQ73" i="11" s="1"/>
  <c r="AY72" i="11"/>
  <c r="AY73" i="11" s="1"/>
  <c r="BG72" i="11"/>
  <c r="BG73" i="11" s="1"/>
  <c r="BO72" i="11"/>
  <c r="BO73" i="11" s="1"/>
  <c r="BW72" i="11"/>
  <c r="BW73" i="11" s="1"/>
  <c r="CE72" i="11"/>
  <c r="CE73" i="11" s="1"/>
  <c r="L72" i="11"/>
  <c r="L73" i="11" s="1"/>
  <c r="T72" i="11"/>
  <c r="T73" i="11" s="1"/>
  <c r="AB72" i="11"/>
  <c r="AB73" i="11" s="1"/>
  <c r="AJ72" i="11"/>
  <c r="AJ73" i="11" s="1"/>
  <c r="AR72" i="11"/>
  <c r="AR73" i="11" s="1"/>
  <c r="AZ72" i="11"/>
  <c r="AZ73" i="11" s="1"/>
  <c r="BH72" i="11"/>
  <c r="BH73" i="11" s="1"/>
  <c r="BP72" i="11"/>
  <c r="BP73" i="11" s="1"/>
  <c r="BX72" i="11"/>
  <c r="BX73" i="11" s="1"/>
  <c r="CF72" i="11"/>
  <c r="CF73" i="11" s="1"/>
  <c r="E72" i="11"/>
  <c r="E73" i="11" s="1"/>
  <c r="M72" i="11"/>
  <c r="M73" i="11" s="1"/>
  <c r="U72" i="11"/>
  <c r="U73" i="11" s="1"/>
  <c r="AC72" i="11"/>
  <c r="AC73" i="11" s="1"/>
  <c r="AK72" i="11"/>
  <c r="AK73" i="11" s="1"/>
  <c r="AS72" i="11"/>
  <c r="AS73" i="11" s="1"/>
  <c r="BA72" i="11"/>
  <c r="BA73" i="11" s="1"/>
  <c r="BI72" i="11"/>
  <c r="BI73" i="11" s="1"/>
  <c r="BQ72" i="11"/>
  <c r="BQ73" i="11" s="1"/>
  <c r="BY72" i="11"/>
  <c r="BY73" i="11" s="1"/>
  <c r="CG72" i="11"/>
  <c r="CG73" i="11" s="1"/>
  <c r="G5" i="12"/>
  <c r="O5" i="12"/>
  <c r="W5" i="12"/>
  <c r="AE5" i="12"/>
  <c r="AM5" i="12"/>
  <c r="AU5" i="12"/>
  <c r="BC5" i="12"/>
  <c r="BK5" i="12"/>
  <c r="BS5" i="12"/>
  <c r="CA5" i="12"/>
  <c r="CI5" i="12"/>
  <c r="H5" i="12"/>
  <c r="P5" i="12"/>
  <c r="X5" i="12"/>
  <c r="AF5" i="12"/>
  <c r="AN5" i="12"/>
  <c r="AV5" i="12"/>
  <c r="BD5" i="12"/>
  <c r="BL5" i="12"/>
  <c r="BT5" i="12"/>
  <c r="CB5" i="12"/>
  <c r="CJ5" i="12"/>
  <c r="G25" i="12"/>
  <c r="G26" i="12" s="1"/>
  <c r="G27" i="12" s="1"/>
  <c r="O25" i="12"/>
  <c r="O26" i="12" s="1"/>
  <c r="O27" i="12" s="1"/>
  <c r="W25" i="12"/>
  <c r="W26" i="12" s="1"/>
  <c r="W27" i="12" s="1"/>
  <c r="AE25" i="12"/>
  <c r="AE26" i="12" s="1"/>
  <c r="AE27" i="12" s="1"/>
  <c r="AM25" i="12"/>
  <c r="AM26" i="12" s="1"/>
  <c r="AM27" i="12" s="1"/>
  <c r="AU25" i="12"/>
  <c r="AU26" i="12" s="1"/>
  <c r="AU27" i="12" s="1"/>
  <c r="BC25" i="12"/>
  <c r="BC26" i="12" s="1"/>
  <c r="BC27" i="12" s="1"/>
  <c r="BK25" i="12"/>
  <c r="BK26" i="12" s="1"/>
  <c r="BK27" i="12" s="1"/>
  <c r="BS25" i="12"/>
  <c r="BS26" i="12" s="1"/>
  <c r="BS27" i="12" s="1"/>
  <c r="CA25" i="12"/>
  <c r="CA26" i="12" s="1"/>
  <c r="CA27" i="12" s="1"/>
  <c r="CI25" i="12"/>
  <c r="CI26" i="12" s="1"/>
  <c r="CI27" i="12" s="1"/>
  <c r="CI28" i="12" s="1"/>
  <c r="H25" i="12"/>
  <c r="H26" i="12" s="1"/>
  <c r="H27" i="12" s="1"/>
  <c r="P25" i="12"/>
  <c r="P26" i="12" s="1"/>
  <c r="P27" i="12" s="1"/>
  <c r="X25" i="12"/>
  <c r="X26" i="12" s="1"/>
  <c r="X27" i="12" s="1"/>
  <c r="AF25" i="12"/>
  <c r="AF26" i="12" s="1"/>
  <c r="AF27" i="12" s="1"/>
  <c r="AN25" i="12"/>
  <c r="AN26" i="12" s="1"/>
  <c r="AN27" i="12" s="1"/>
  <c r="AV25" i="12"/>
  <c r="AV26" i="12" s="1"/>
  <c r="AV27" i="12" s="1"/>
  <c r="BD25" i="12"/>
  <c r="BD26" i="12" s="1"/>
  <c r="BD27" i="12" s="1"/>
  <c r="BL25" i="12"/>
  <c r="BL26" i="12" s="1"/>
  <c r="BL27" i="12" s="1"/>
  <c r="BT25" i="12"/>
  <c r="BT26" i="12" s="1"/>
  <c r="BT27" i="12" s="1"/>
  <c r="CB25" i="12"/>
  <c r="CB26" i="12" s="1"/>
  <c r="CB27" i="12" s="1"/>
  <c r="CJ25" i="12"/>
  <c r="CJ26" i="12" s="1"/>
  <c r="CJ27" i="12" s="1"/>
  <c r="CJ28" i="12" s="1"/>
  <c r="J5" i="12"/>
  <c r="R5" i="12"/>
  <c r="Z5" i="12"/>
  <c r="AH5" i="12"/>
  <c r="AP5" i="12"/>
  <c r="AX5" i="12"/>
  <c r="BF5" i="12"/>
  <c r="BN5" i="12"/>
  <c r="BV5" i="12"/>
  <c r="CD5" i="12"/>
  <c r="CC25" i="12"/>
  <c r="CC26" i="12" s="1"/>
  <c r="CC27" i="12" s="1"/>
  <c r="CK25" i="12"/>
  <c r="CK26" i="12" s="1"/>
  <c r="CK27" i="12" s="1"/>
  <c r="CK28" i="12" s="1"/>
  <c r="J25" i="12"/>
  <c r="J26" i="12" s="1"/>
  <c r="J27" i="12" s="1"/>
  <c r="R25" i="12"/>
  <c r="R26" i="12" s="1"/>
  <c r="R27" i="12" s="1"/>
  <c r="Z25" i="12"/>
  <c r="Z26" i="12" s="1"/>
  <c r="Z27" i="12" s="1"/>
  <c r="AH25" i="12"/>
  <c r="AH26" i="12" s="1"/>
  <c r="AH27" i="12" s="1"/>
  <c r="AP25" i="12"/>
  <c r="AP26" i="12" s="1"/>
  <c r="AP27" i="12" s="1"/>
  <c r="AX25" i="12"/>
  <c r="AX26" i="12" s="1"/>
  <c r="AX27" i="12" s="1"/>
  <c r="BF25" i="12"/>
  <c r="BF26" i="12" s="1"/>
  <c r="BF27" i="12" s="1"/>
  <c r="BN25" i="12"/>
  <c r="BN26" i="12" s="1"/>
  <c r="BN27" i="12" s="1"/>
  <c r="BV25" i="12"/>
  <c r="BV26" i="12" s="1"/>
  <c r="BV27" i="12" s="1"/>
  <c r="CD25" i="12"/>
  <c r="CD26" i="12" s="1"/>
  <c r="CD27" i="12" s="1"/>
  <c r="L25" i="12"/>
  <c r="L26" i="12" s="1"/>
  <c r="L27" i="12" s="1"/>
  <c r="T25" i="12"/>
  <c r="T26" i="12" s="1"/>
  <c r="T27" i="12" s="1"/>
  <c r="AB25" i="12"/>
  <c r="AB26" i="12" s="1"/>
  <c r="AB27" i="12" s="1"/>
  <c r="AJ25" i="12"/>
  <c r="AJ26" i="12" s="1"/>
  <c r="AJ27" i="12" s="1"/>
  <c r="AR25" i="12"/>
  <c r="AR26" i="12" s="1"/>
  <c r="AR27" i="12" s="1"/>
  <c r="AZ25" i="12"/>
  <c r="AZ26" i="12" s="1"/>
  <c r="AZ27" i="12" s="1"/>
  <c r="BH25" i="12"/>
  <c r="BH26" i="12" s="1"/>
  <c r="BH27" i="12" s="1"/>
  <c r="BP25" i="12"/>
  <c r="BP26" i="12" s="1"/>
  <c r="BP27" i="12" s="1"/>
  <c r="BX25" i="12"/>
  <c r="BX26" i="12" s="1"/>
  <c r="BX27" i="12" s="1"/>
  <c r="CF25" i="12"/>
  <c r="CF26" i="12" s="1"/>
  <c r="CF27" i="12" s="1"/>
  <c r="F5" i="12"/>
  <c r="N5" i="12"/>
  <c r="V5" i="12"/>
  <c r="AD5" i="12"/>
  <c r="AL5" i="12"/>
  <c r="AT5" i="12"/>
  <c r="BB5" i="12"/>
  <c r="BJ5" i="12"/>
  <c r="BR5" i="12"/>
  <c r="BZ5" i="12"/>
  <c r="CH5" i="12"/>
  <c r="I5" i="12"/>
  <c r="Q5" i="12"/>
  <c r="Y5" i="12"/>
  <c r="AG5" i="12"/>
  <c r="AO5" i="12"/>
  <c r="AW5" i="12"/>
  <c r="BE5" i="12"/>
  <c r="BM5" i="12"/>
  <c r="BU5" i="12"/>
  <c r="CC5" i="12"/>
  <c r="CK5" i="12"/>
  <c r="K5" i="12"/>
  <c r="S5" i="12"/>
  <c r="AA5" i="12"/>
  <c r="AI5" i="12"/>
  <c r="AQ5" i="12"/>
  <c r="AY5" i="12"/>
  <c r="BG5" i="12"/>
  <c r="BO5" i="12"/>
  <c r="BW5" i="12"/>
  <c r="CE5" i="12"/>
  <c r="L5" i="12"/>
  <c r="T5" i="12"/>
  <c r="AB5" i="12"/>
  <c r="AJ5" i="12"/>
  <c r="AR5" i="12"/>
  <c r="AZ5" i="12"/>
  <c r="BH5" i="12"/>
  <c r="BP5" i="12"/>
  <c r="BX5" i="12"/>
  <c r="CF5" i="12"/>
  <c r="E5" i="12"/>
  <c r="M5" i="12"/>
  <c r="U5" i="12"/>
  <c r="AC5" i="12"/>
  <c r="AK5" i="12"/>
  <c r="AS5" i="12"/>
  <c r="BA5" i="12"/>
  <c r="BI5" i="12"/>
  <c r="BQ5" i="12"/>
  <c r="BY5" i="12"/>
  <c r="CG5" i="12"/>
  <c r="AQ13" i="12"/>
  <c r="AC26" i="12"/>
  <c r="AC27" i="12" s="1"/>
  <c r="AC13" i="12"/>
  <c r="CK18" i="12"/>
  <c r="X13" i="12"/>
  <c r="BL13" i="12"/>
  <c r="Y26" i="12"/>
  <c r="Y27" i="12" s="1"/>
  <c r="R13" i="12"/>
  <c r="AP13" i="12"/>
  <c r="BN13" i="12"/>
  <c r="CD13" i="12"/>
  <c r="G57" i="11"/>
  <c r="BS57" i="11"/>
  <c r="O57" i="11"/>
  <c r="CA57" i="11"/>
  <c r="W57" i="11"/>
  <c r="CI57" i="11"/>
  <c r="AE57" i="11"/>
  <c r="K63" i="11"/>
  <c r="K65" i="11" s="1"/>
  <c r="K66" i="11" s="1"/>
  <c r="AM57" i="11"/>
  <c r="V63" i="11"/>
  <c r="V65" i="11" s="1"/>
  <c r="V66" i="11" s="1"/>
  <c r="AU57" i="11"/>
  <c r="AF63" i="11"/>
  <c r="AF65" i="11" s="1"/>
  <c r="AF66" i="11" s="1"/>
  <c r="BC57" i="11"/>
  <c r="BF63" i="11"/>
  <c r="BF65" i="11" s="1"/>
  <c r="BF66" i="11" s="1"/>
  <c r="E57" i="11"/>
  <c r="E63" i="11"/>
  <c r="E65" i="11" s="1"/>
  <c r="E66" i="11" s="1"/>
  <c r="M63" i="11"/>
  <c r="M65" i="11" s="1"/>
  <c r="M66" i="11" s="1"/>
  <c r="M57" i="11"/>
  <c r="U63" i="11"/>
  <c r="U65" i="11" s="1"/>
  <c r="U66" i="11" s="1"/>
  <c r="U57" i="11"/>
  <c r="AC63" i="11"/>
  <c r="AC65" i="11" s="1"/>
  <c r="AC66" i="11" s="1"/>
  <c r="AC57" i="11"/>
  <c r="AK63" i="11"/>
  <c r="AK65" i="11" s="1"/>
  <c r="AK66" i="11" s="1"/>
  <c r="AK57" i="11"/>
  <c r="AS63" i="11"/>
  <c r="AS65" i="11" s="1"/>
  <c r="AS66" i="11" s="1"/>
  <c r="AS57" i="11"/>
  <c r="BA63" i="11"/>
  <c r="BA65" i="11" s="1"/>
  <c r="BA66" i="11" s="1"/>
  <c r="BA57" i="11"/>
  <c r="BI63" i="11"/>
  <c r="BI65" i="11" s="1"/>
  <c r="BI66" i="11" s="1"/>
  <c r="BI57" i="11"/>
  <c r="BQ63" i="11"/>
  <c r="BQ65" i="11" s="1"/>
  <c r="BQ66" i="11" s="1"/>
  <c r="BQ57" i="11"/>
  <c r="BY63" i="11"/>
  <c r="BY65" i="11" s="1"/>
  <c r="BY66" i="11" s="1"/>
  <c r="BY57" i="11"/>
  <c r="CG63" i="11"/>
  <c r="CG65" i="11" s="1"/>
  <c r="CG66" i="11" s="1"/>
  <c r="CG57" i="11"/>
  <c r="BO53" i="11"/>
  <c r="H57" i="11"/>
  <c r="P57" i="11"/>
  <c r="X57" i="11"/>
  <c r="AF57" i="11"/>
  <c r="AN57" i="11"/>
  <c r="AV57" i="11"/>
  <c r="BD57" i="11"/>
  <c r="BL57" i="11"/>
  <c r="BT57" i="11"/>
  <c r="CB57" i="11"/>
  <c r="CJ57" i="11"/>
  <c r="L63" i="11"/>
  <c r="L65" i="11" s="1"/>
  <c r="L66" i="11" s="1"/>
  <c r="W63" i="11"/>
  <c r="W65" i="11" s="1"/>
  <c r="W66" i="11" s="1"/>
  <c r="AH63" i="11"/>
  <c r="AH65" i="11" s="1"/>
  <c r="AH66" i="11" s="1"/>
  <c r="BH63" i="11"/>
  <c r="BH65" i="11" s="1"/>
  <c r="BH66" i="11" s="1"/>
  <c r="BP53" i="11"/>
  <c r="I57" i="11"/>
  <c r="Q57" i="11"/>
  <c r="Y57" i="11"/>
  <c r="AG57" i="11"/>
  <c r="AO57" i="11"/>
  <c r="AW57" i="11"/>
  <c r="BE57" i="11"/>
  <c r="BM57" i="11"/>
  <c r="BU57" i="11"/>
  <c r="CC57" i="11"/>
  <c r="CK57" i="11"/>
  <c r="N63" i="11"/>
  <c r="N65" i="11" s="1"/>
  <c r="N66" i="11" s="1"/>
  <c r="X63" i="11"/>
  <c r="X65" i="11" s="1"/>
  <c r="X66" i="11" s="1"/>
  <c r="AI63" i="11"/>
  <c r="AI65" i="11" s="1"/>
  <c r="AI66" i="11" s="1"/>
  <c r="BN63" i="11"/>
  <c r="BN65" i="11" s="1"/>
  <c r="BN66" i="11" s="1"/>
  <c r="I12" i="12"/>
  <c r="I13" i="12" s="1"/>
  <c r="Q12" i="12"/>
  <c r="Q13" i="12" s="1"/>
  <c r="Y12" i="12"/>
  <c r="Y13" i="12" s="1"/>
  <c r="AG12" i="12"/>
  <c r="AG13" i="12" s="1"/>
  <c r="AO12" i="12"/>
  <c r="AO13" i="12" s="1"/>
  <c r="AW12" i="12"/>
  <c r="AW13" i="12" s="1"/>
  <c r="BE12" i="12"/>
  <c r="BE13" i="12" s="1"/>
  <c r="BM12" i="12"/>
  <c r="BM13" i="12" s="1"/>
  <c r="BU12" i="12"/>
  <c r="BU13" i="12" s="1"/>
  <c r="CC12" i="12"/>
  <c r="CC13" i="12" s="1"/>
  <c r="CK12" i="12"/>
  <c r="CK13" i="12" s="1"/>
  <c r="J57" i="11"/>
  <c r="R57" i="11"/>
  <c r="Z57" i="11"/>
  <c r="AH57" i="11"/>
  <c r="AP57" i="11"/>
  <c r="AX57" i="11"/>
  <c r="BF57" i="11"/>
  <c r="BN57" i="11"/>
  <c r="BV57" i="11"/>
  <c r="CD57" i="11"/>
  <c r="O63" i="11"/>
  <c r="O65" i="11" s="1"/>
  <c r="O66" i="11" s="1"/>
  <c r="Z63" i="11"/>
  <c r="Z65" i="11" s="1"/>
  <c r="Z66" i="11" s="1"/>
  <c r="AJ63" i="11"/>
  <c r="AJ65" i="11" s="1"/>
  <c r="AJ66" i="11" s="1"/>
  <c r="AJ74" i="11" s="1"/>
  <c r="BV63" i="11"/>
  <c r="BV65" i="11" s="1"/>
  <c r="BV66" i="11" s="1"/>
  <c r="BR53" i="11"/>
  <c r="CH53" i="11"/>
  <c r="CF55" i="11"/>
  <c r="S57" i="11"/>
  <c r="AA57" i="11"/>
  <c r="AQ57" i="11"/>
  <c r="AY57" i="11"/>
  <c r="BG57" i="11"/>
  <c r="BO57" i="11"/>
  <c r="BW57" i="11"/>
  <c r="CE57" i="11"/>
  <c r="F63" i="11"/>
  <c r="F65" i="11" s="1"/>
  <c r="F66" i="11" s="1"/>
  <c r="P63" i="11"/>
  <c r="P65" i="11" s="1"/>
  <c r="P66" i="11" s="1"/>
  <c r="AP63" i="11"/>
  <c r="AP65" i="11" s="1"/>
  <c r="AP66" i="11" s="1"/>
  <c r="CD63" i="11"/>
  <c r="CD65" i="11" s="1"/>
  <c r="CD66" i="11" s="1"/>
  <c r="CD74" i="11" s="1"/>
  <c r="BS53" i="11"/>
  <c r="T57" i="11"/>
  <c r="AB57" i="11"/>
  <c r="AR57" i="11"/>
  <c r="AZ57" i="11"/>
  <c r="BP57" i="11"/>
  <c r="BX57" i="11"/>
  <c r="CF57" i="11"/>
  <c r="G63" i="11"/>
  <c r="G65" i="11" s="1"/>
  <c r="G66" i="11" s="1"/>
  <c r="R63" i="11"/>
  <c r="R65" i="11" s="1"/>
  <c r="R66" i="11" s="1"/>
  <c r="CJ53" i="11"/>
  <c r="AD63" i="11"/>
  <c r="AD65" i="11" s="1"/>
  <c r="AD66" i="11" s="1"/>
  <c r="AX63" i="11"/>
  <c r="AX65" i="11" s="1"/>
  <c r="AX66" i="11" s="1"/>
  <c r="BU53" i="11"/>
  <c r="AL57" i="11"/>
  <c r="AT57" i="11"/>
  <c r="BB57" i="11"/>
  <c r="BJ57" i="11"/>
  <c r="BR57" i="11"/>
  <c r="BZ57" i="11"/>
  <c r="CH57" i="11"/>
  <c r="F12" i="12"/>
  <c r="F13" i="12" s="1"/>
  <c r="N12" i="12"/>
  <c r="N13" i="12" s="1"/>
  <c r="V12" i="12"/>
  <c r="V13" i="12" s="1"/>
  <c r="AD12" i="12"/>
  <c r="AD13" i="12" s="1"/>
  <c r="AL12" i="12"/>
  <c r="AL13" i="12" s="1"/>
  <c r="AT12" i="12"/>
  <c r="AT13" i="12" s="1"/>
  <c r="BB12" i="12"/>
  <c r="BB13" i="12" s="1"/>
  <c r="BJ12" i="12"/>
  <c r="BJ13" i="12" s="1"/>
  <c r="BR12" i="12"/>
  <c r="BR13" i="12" s="1"/>
  <c r="BZ12" i="12"/>
  <c r="BZ13" i="12" s="1"/>
  <c r="CH12" i="12"/>
  <c r="CH13" i="12" s="1"/>
  <c r="I27" i="9"/>
  <c r="BM27" i="9"/>
  <c r="J27" i="9"/>
  <c r="R27" i="9"/>
  <c r="Z27" i="9"/>
  <c r="AH27" i="9"/>
  <c r="AP27" i="9"/>
  <c r="AX27" i="9"/>
  <c r="BF27" i="9"/>
  <c r="BN27" i="9"/>
  <c r="BV27" i="9"/>
  <c r="CD27" i="9"/>
  <c r="K34" i="9"/>
  <c r="S34" i="9"/>
  <c r="AA34" i="9"/>
  <c r="AI34" i="9"/>
  <c r="AQ34" i="9"/>
  <c r="AY34" i="9"/>
  <c r="BG34" i="9"/>
  <c r="BO34" i="9"/>
  <c r="BW34" i="9"/>
  <c r="CE34" i="9"/>
  <c r="AG27" i="9"/>
  <c r="CC27" i="9"/>
  <c r="Y27" i="9"/>
  <c r="BU27" i="9"/>
  <c r="CH34" i="9"/>
  <c r="Q27" i="9"/>
  <c r="BE27" i="9"/>
  <c r="CH27" i="9"/>
  <c r="CI34" i="9"/>
  <c r="AW27" i="9"/>
  <c r="AX34" i="9"/>
  <c r="CI27" i="9"/>
  <c r="CJ34" i="9"/>
  <c r="AO27" i="9"/>
  <c r="CK27" i="9"/>
  <c r="CJ27" i="9"/>
  <c r="CK34" i="9"/>
  <c r="AT34" i="9"/>
  <c r="F27" i="9"/>
  <c r="N27" i="9"/>
  <c r="V27" i="9"/>
  <c r="L30" i="9"/>
  <c r="T30" i="9"/>
  <c r="AB30" i="9"/>
  <c r="AJ30" i="9"/>
  <c r="AR30" i="9"/>
  <c r="AZ30" i="9"/>
  <c r="BH30" i="9"/>
  <c r="BP30" i="9"/>
  <c r="BX30" i="9"/>
  <c r="CF30" i="9"/>
  <c r="F31" i="9"/>
  <c r="N31" i="9"/>
  <c r="V31" i="9"/>
  <c r="AD31" i="9"/>
  <c r="AL31" i="9"/>
  <c r="AT31" i="9"/>
  <c r="BB31" i="9"/>
  <c r="BJ31" i="9"/>
  <c r="BR31" i="9"/>
  <c r="BZ31" i="9"/>
  <c r="CH31" i="9"/>
  <c r="G34" i="9"/>
  <c r="O34" i="9"/>
  <c r="W34" i="9"/>
  <c r="AE34" i="9"/>
  <c r="AM34" i="9"/>
  <c r="AU34" i="9"/>
  <c r="BC34" i="9"/>
  <c r="BK34" i="9"/>
  <c r="BS34" i="9"/>
  <c r="CA34" i="9"/>
  <c r="AD30" i="9"/>
  <c r="AL30" i="9"/>
  <c r="AT30" i="9"/>
  <c r="BB30" i="9"/>
  <c r="BJ30" i="9"/>
  <c r="BR30" i="9"/>
  <c r="BZ30" i="9"/>
  <c r="CH30" i="9"/>
  <c r="H31" i="9"/>
  <c r="P31" i="9"/>
  <c r="X31" i="9"/>
  <c r="AF31" i="9"/>
  <c r="AN31" i="9"/>
  <c r="AV31" i="9"/>
  <c r="BD31" i="9"/>
  <c r="BL31" i="9"/>
  <c r="BT31" i="9"/>
  <c r="CB31" i="9"/>
  <c r="Q34" i="9"/>
  <c r="Y34" i="9"/>
  <c r="AG34" i="9"/>
  <c r="AO34" i="9"/>
  <c r="AW34" i="9"/>
  <c r="BE34" i="9"/>
  <c r="BM34" i="9"/>
  <c r="BU34" i="9"/>
  <c r="CC34" i="9"/>
  <c r="AN30" i="9"/>
  <c r="AV30" i="9"/>
  <c r="BD30" i="9"/>
  <c r="BL30" i="9"/>
  <c r="BT30" i="9"/>
  <c r="CB30" i="9"/>
  <c r="K27" i="9"/>
  <c r="S27" i="9"/>
  <c r="AA27" i="9"/>
  <c r="AI27" i="9"/>
  <c r="AQ27" i="9"/>
  <c r="AY27" i="9"/>
  <c r="BG27" i="9"/>
  <c r="BO27" i="9"/>
  <c r="BW27" i="9"/>
  <c r="CE27" i="9"/>
  <c r="I30" i="9"/>
  <c r="Q30" i="9"/>
  <c r="Y30" i="9"/>
  <c r="AG30" i="9"/>
  <c r="AO30" i="9"/>
  <c r="AW30" i="9"/>
  <c r="BE30" i="9"/>
  <c r="BM30" i="9"/>
  <c r="BU30" i="9"/>
  <c r="CC30" i="9"/>
  <c r="K31" i="9"/>
  <c r="S31" i="9"/>
  <c r="AA31" i="9"/>
  <c r="AI31" i="9"/>
  <c r="AQ31" i="9"/>
  <c r="AY31" i="9"/>
  <c r="BG31" i="9"/>
  <c r="BO31" i="9"/>
  <c r="BW31" i="9"/>
  <c r="CE31" i="9"/>
  <c r="L27" i="9"/>
  <c r="T27" i="9"/>
  <c r="AB27" i="9"/>
  <c r="AJ27" i="9"/>
  <c r="AR27" i="9"/>
  <c r="AZ27" i="9"/>
  <c r="BH27" i="9"/>
  <c r="BP27" i="9"/>
  <c r="BX27" i="9"/>
  <c r="CF27" i="9"/>
  <c r="J30" i="9"/>
  <c r="R30" i="9"/>
  <c r="Z30" i="9"/>
  <c r="E27" i="9"/>
  <c r="M27" i="9"/>
  <c r="AC27" i="9"/>
  <c r="AK27" i="9"/>
  <c r="CG27" i="9"/>
  <c r="K30" i="9"/>
  <c r="S30" i="9"/>
  <c r="AA30" i="9"/>
  <c r="AI30" i="9"/>
  <c r="AQ30" i="9"/>
  <c r="AY30" i="9"/>
  <c r="BG30" i="9"/>
  <c r="BO30" i="9"/>
  <c r="BW30" i="9"/>
  <c r="CE30" i="9"/>
  <c r="E31" i="9"/>
  <c r="M31" i="9"/>
  <c r="U31" i="9"/>
  <c r="AC31" i="9"/>
  <c r="AK31" i="9"/>
  <c r="AS31" i="9"/>
  <c r="BA31" i="9"/>
  <c r="BI31" i="9"/>
  <c r="BQ31" i="9"/>
  <c r="BY31" i="9"/>
  <c r="CG31" i="9"/>
  <c r="AU32" i="9"/>
  <c r="AD27" i="9"/>
  <c r="AL27" i="9"/>
  <c r="AT27" i="9"/>
  <c r="BB27" i="9"/>
  <c r="BJ27" i="9"/>
  <c r="BR27" i="9"/>
  <c r="BZ27" i="9"/>
  <c r="U27" i="9"/>
  <c r="AS27" i="9"/>
  <c r="BA27" i="9"/>
  <c r="BI27" i="9"/>
  <c r="BQ27" i="9"/>
  <c r="BY27" i="9"/>
  <c r="G27" i="9"/>
  <c r="O27" i="9"/>
  <c r="W27" i="9"/>
  <c r="AE27" i="9"/>
  <c r="AM27" i="9"/>
  <c r="AU27" i="9"/>
  <c r="BC27" i="9"/>
  <c r="BK27" i="9"/>
  <c r="BS27" i="9"/>
  <c r="CA27" i="9"/>
  <c r="E30" i="9"/>
  <c r="M30" i="9"/>
  <c r="U30" i="9"/>
  <c r="H27" i="9"/>
  <c r="P27" i="9"/>
  <c r="X27" i="9"/>
  <c r="AF27" i="9"/>
  <c r="AN27" i="9"/>
  <c r="AV27" i="9"/>
  <c r="BD27" i="9"/>
  <c r="BL27" i="9"/>
  <c r="BT27" i="9"/>
  <c r="CB27" i="9"/>
  <c r="F30" i="9"/>
  <c r="N30" i="9"/>
  <c r="V30" i="9"/>
  <c r="CL14" i="9"/>
  <c r="CL13" i="9"/>
  <c r="L34" i="9"/>
  <c r="T34" i="9"/>
  <c r="AB34" i="9"/>
  <c r="AJ34" i="9"/>
  <c r="AR34" i="9"/>
  <c r="AZ34" i="9"/>
  <c r="BH34" i="9"/>
  <c r="BP34" i="9"/>
  <c r="BX34" i="9"/>
  <c r="CF34" i="9"/>
  <c r="CF16" i="9"/>
  <c r="G36" i="9"/>
  <c r="O36" i="9"/>
  <c r="W36" i="9"/>
  <c r="AE36" i="9"/>
  <c r="AM36" i="9"/>
  <c r="AU36" i="9"/>
  <c r="BC36" i="9"/>
  <c r="BK36" i="9"/>
  <c r="BS36" i="9"/>
  <c r="CA36" i="9"/>
  <c r="CI36" i="9"/>
  <c r="E36" i="9"/>
  <c r="M36" i="9"/>
  <c r="U36" i="9"/>
  <c r="AC36" i="9"/>
  <c r="AK36" i="9"/>
  <c r="AS36" i="9"/>
  <c r="BA36" i="9"/>
  <c r="BI36" i="9"/>
  <c r="BQ36" i="9"/>
  <c r="BY36" i="9"/>
  <c r="CG36" i="9"/>
  <c r="J31" i="9"/>
  <c r="R31" i="9"/>
  <c r="Z31" i="9"/>
  <c r="AH31" i="9"/>
  <c r="AP31" i="9"/>
  <c r="AX31" i="9"/>
  <c r="BF31" i="9"/>
  <c r="BN31" i="9"/>
  <c r="BV31" i="9"/>
  <c r="CD31" i="9"/>
  <c r="BX32" i="9"/>
  <c r="F36" i="9"/>
  <c r="N36" i="9"/>
  <c r="V36" i="9"/>
  <c r="AD36" i="9"/>
  <c r="AL36" i="9"/>
  <c r="AT36" i="9"/>
  <c r="BB36" i="9"/>
  <c r="BJ36" i="9"/>
  <c r="BR36" i="9"/>
  <c r="BZ36" i="9"/>
  <c r="CH36" i="9"/>
  <c r="AH30" i="9"/>
  <c r="AP30" i="9"/>
  <c r="AX30" i="9"/>
  <c r="BF30" i="9"/>
  <c r="BN30" i="9"/>
  <c r="BV30" i="9"/>
  <c r="CD30" i="9"/>
  <c r="L31" i="9"/>
  <c r="T31" i="9"/>
  <c r="AB31" i="9"/>
  <c r="AJ31" i="9"/>
  <c r="AR31" i="9"/>
  <c r="AZ31" i="9"/>
  <c r="BH31" i="9"/>
  <c r="BP31" i="9"/>
  <c r="BX31" i="9"/>
  <c r="CF31" i="9"/>
  <c r="BZ32" i="9"/>
  <c r="U34" i="9"/>
  <c r="AC34" i="9"/>
  <c r="AK34" i="9"/>
  <c r="AS34" i="9"/>
  <c r="BA34" i="9"/>
  <c r="BI34" i="9"/>
  <c r="BQ34" i="9"/>
  <c r="BY34" i="9"/>
  <c r="CG34" i="9"/>
  <c r="H36" i="9"/>
  <c r="P36" i="9"/>
  <c r="X36" i="9"/>
  <c r="AF36" i="9"/>
  <c r="AN36" i="9"/>
  <c r="AV36" i="9"/>
  <c r="BD36" i="9"/>
  <c r="BL36" i="9"/>
  <c r="BT36" i="9"/>
  <c r="CB36" i="9"/>
  <c r="CJ36" i="9"/>
  <c r="AQ16" i="9"/>
  <c r="I36" i="9"/>
  <c r="Q36" i="9"/>
  <c r="Y36" i="9"/>
  <c r="AG36" i="9"/>
  <c r="AO36" i="9"/>
  <c r="AW36" i="9"/>
  <c r="BE36" i="9"/>
  <c r="BM36" i="9"/>
  <c r="BU36" i="9"/>
  <c r="CC36" i="9"/>
  <c r="CK36" i="9"/>
  <c r="J36" i="9"/>
  <c r="R36" i="9"/>
  <c r="Z36" i="9"/>
  <c r="AH36" i="9"/>
  <c r="AP36" i="9"/>
  <c r="AX36" i="9"/>
  <c r="BF36" i="9"/>
  <c r="BN36" i="9"/>
  <c r="BV36" i="9"/>
  <c r="CD36" i="9"/>
  <c r="AC30" i="9"/>
  <c r="AK30" i="9"/>
  <c r="AS30" i="9"/>
  <c r="BA30" i="9"/>
  <c r="BI30" i="9"/>
  <c r="BQ30" i="9"/>
  <c r="BY30" i="9"/>
  <c r="CG30" i="9"/>
  <c r="G31" i="9"/>
  <c r="O31" i="9"/>
  <c r="W31" i="9"/>
  <c r="AE31" i="9"/>
  <c r="AM31" i="9"/>
  <c r="AU31" i="9"/>
  <c r="BC31" i="9"/>
  <c r="BK31" i="9"/>
  <c r="BS31" i="9"/>
  <c r="CA31" i="9"/>
  <c r="H34" i="9"/>
  <c r="P34" i="9"/>
  <c r="X34" i="9"/>
  <c r="AF34" i="9"/>
  <c r="AN34" i="9"/>
  <c r="AV34" i="9"/>
  <c r="BD34" i="9"/>
  <c r="BL34" i="9"/>
  <c r="BT34" i="9"/>
  <c r="CB34" i="9"/>
  <c r="K36" i="9"/>
  <c r="S36" i="9"/>
  <c r="AA36" i="9"/>
  <c r="AI36" i="9"/>
  <c r="AQ36" i="9"/>
  <c r="AY36" i="9"/>
  <c r="BG36" i="9"/>
  <c r="BO36" i="9"/>
  <c r="BW36" i="9"/>
  <c r="CE36" i="9"/>
  <c r="L36" i="9"/>
  <c r="T36" i="9"/>
  <c r="AB36" i="9"/>
  <c r="AJ36" i="9"/>
  <c r="AR36" i="9"/>
  <c r="AZ36" i="9"/>
  <c r="BH36" i="9"/>
  <c r="BP36" i="9"/>
  <c r="BX36" i="9"/>
  <c r="CF36" i="9"/>
  <c r="CC9" i="10" l="1"/>
  <c r="D11" i="13"/>
  <c r="D12" i="13" s="1"/>
  <c r="CA8" i="10"/>
  <c r="BV9" i="10"/>
  <c r="BM8" i="10"/>
  <c r="BH9" i="10"/>
  <c r="CG8" i="10"/>
  <c r="BJ9" i="10"/>
  <c r="BN74" i="11"/>
  <c r="BN75" i="11" s="1"/>
  <c r="CG74" i="11"/>
  <c r="CG75" i="11" s="1"/>
  <c r="BA9" i="10"/>
  <c r="BL9" i="10"/>
  <c r="AC8" i="10"/>
  <c r="AN9" i="10"/>
  <c r="BP9" i="10"/>
  <c r="BY25" i="9"/>
  <c r="V23" i="7"/>
  <c r="CH28" i="10"/>
  <c r="BS9" i="10"/>
  <c r="BQ9" i="10"/>
  <c r="AY9" i="10"/>
  <c r="BK32" i="9"/>
  <c r="BV32" i="9"/>
  <c r="BR32" i="9"/>
  <c r="BP32" i="9"/>
  <c r="CA32" i="9"/>
  <c r="BV25" i="9"/>
  <c r="BR25" i="9"/>
  <c r="CK16" i="9"/>
  <c r="AB32" i="9"/>
  <c r="B2" i="13"/>
  <c r="BL74" i="11"/>
  <c r="BL75" i="11" s="1"/>
  <c r="CC74" i="11"/>
  <c r="CC75" i="11" s="1"/>
  <c r="CE74" i="11"/>
  <c r="CE75" i="11" s="1"/>
  <c r="AZ74" i="11"/>
  <c r="AZ75" i="11" s="1"/>
  <c r="M13" i="7"/>
  <c r="AC74" i="11"/>
  <c r="AC75" i="11" s="1"/>
  <c r="BW9" i="10"/>
  <c r="BN8" i="10"/>
  <c r="AM9" i="10"/>
  <c r="BN9" i="10"/>
  <c r="F74" i="11"/>
  <c r="F75" i="11" s="1"/>
  <c r="BE9" i="10"/>
  <c r="BU9" i="10"/>
  <c r="AQ74" i="11"/>
  <c r="AQ75" i="11" s="1"/>
  <c r="AY8" i="10"/>
  <c r="BD9" i="10"/>
  <c r="AV9" i="10"/>
  <c r="AL9" i="10"/>
  <c r="BQ8" i="10"/>
  <c r="AQ9" i="10"/>
  <c r="M67" i="9"/>
  <c r="M78" i="9"/>
  <c r="M79" i="9" s="1"/>
  <c r="B47" i="13"/>
  <c r="E108" i="5"/>
  <c r="J67" i="9"/>
  <c r="J78" i="9"/>
  <c r="J79" i="9" s="1"/>
  <c r="I67" i="9"/>
  <c r="I78" i="9"/>
  <c r="I79" i="9" s="1"/>
  <c r="BU32" i="9"/>
  <c r="AX25" i="9"/>
  <c r="BU74" i="11"/>
  <c r="BU75" i="11" s="1"/>
  <c r="BS74" i="11"/>
  <c r="BS75" i="11" s="1"/>
  <c r="BM74" i="11"/>
  <c r="BM75" i="11" s="1"/>
  <c r="BO74" i="11"/>
  <c r="BO75" i="11" s="1"/>
  <c r="BX74" i="11"/>
  <c r="BX75" i="11" s="1"/>
  <c r="AS74" i="11"/>
  <c r="AS75" i="11" s="1"/>
  <c r="BQ74" i="11"/>
  <c r="BQ75" i="11" s="1"/>
  <c r="BH74" i="11"/>
  <c r="BH75" i="11" s="1"/>
  <c r="AV74" i="11"/>
  <c r="AV75" i="11" s="1"/>
  <c r="CI74" i="11"/>
  <c r="CI75" i="11" s="1"/>
  <c r="BF74" i="11"/>
  <c r="BF75" i="11" s="1"/>
  <c r="AH74" i="11"/>
  <c r="AH75" i="11" s="1"/>
  <c r="R74" i="11"/>
  <c r="R75" i="11" s="1"/>
  <c r="BA74" i="11"/>
  <c r="BA75" i="11" s="1"/>
  <c r="CJ74" i="11"/>
  <c r="CJ75" i="11" s="1"/>
  <c r="CF74" i="11"/>
  <c r="CF75" i="11" s="1"/>
  <c r="AO32" i="9"/>
  <c r="Q16" i="9"/>
  <c r="AV32" i="9"/>
  <c r="BS25" i="9"/>
  <c r="N34" i="9"/>
  <c r="R67" i="9"/>
  <c r="BN34" i="9"/>
  <c r="CJ16" i="9"/>
  <c r="E78" i="9"/>
  <c r="E79" i="9" s="1"/>
  <c r="E67" i="9"/>
  <c r="P16" i="9"/>
  <c r="S16" i="9"/>
  <c r="U16" i="9"/>
  <c r="CF25" i="9"/>
  <c r="BY32" i="9"/>
  <c r="BN16" i="9"/>
  <c r="BW25" i="9"/>
  <c r="T16" i="9"/>
  <c r="K16" i="9"/>
  <c r="AT28" i="10"/>
  <c r="BM9" i="10"/>
  <c r="AU9" i="10"/>
  <c r="AZ9" i="10"/>
  <c r="AG9" i="10"/>
  <c r="BN32" i="9"/>
  <c r="AH32" i="9"/>
  <c r="BH32" i="9"/>
  <c r="AW32" i="9"/>
  <c r="AL32" i="9"/>
  <c r="BA32" i="9"/>
  <c r="BJ32" i="9"/>
  <c r="BP74" i="11"/>
  <c r="BP75" i="11" s="1"/>
  <c r="AN74" i="11"/>
  <c r="AN75" i="11" s="1"/>
  <c r="BO25" i="9"/>
  <c r="BH25" i="9"/>
  <c r="BQ25" i="9"/>
  <c r="BM25" i="9"/>
  <c r="BD25" i="9"/>
  <c r="BR16" i="9"/>
  <c r="AP32" i="9"/>
  <c r="W74" i="11"/>
  <c r="W75" i="11" s="1"/>
  <c r="AT74" i="11"/>
  <c r="AT75" i="11" s="1"/>
  <c r="BD74" i="11"/>
  <c r="BD75" i="11" s="1"/>
  <c r="Y32" i="9"/>
  <c r="BK74" i="11"/>
  <c r="BK75" i="11" s="1"/>
  <c r="BJ74" i="11"/>
  <c r="BJ75" i="11" s="1"/>
  <c r="BC74" i="11"/>
  <c r="BC75" i="11" s="1"/>
  <c r="BB74" i="11"/>
  <c r="BB75" i="11" s="1"/>
  <c r="AW74" i="11"/>
  <c r="AW75" i="11" s="1"/>
  <c r="BT74" i="11"/>
  <c r="BT75" i="11" s="1"/>
  <c r="BW74" i="11"/>
  <c r="BW75" i="11" s="1"/>
  <c r="AR74" i="11"/>
  <c r="AR75" i="11" s="1"/>
  <c r="BT9" i="10"/>
  <c r="CG25" i="9"/>
  <c r="BE25" i="9"/>
  <c r="CG9" i="10"/>
  <c r="BZ74" i="11"/>
  <c r="BZ75" i="11" s="1"/>
  <c r="CF9" i="10"/>
  <c r="BY9" i="10"/>
  <c r="K9" i="10"/>
  <c r="AX16" i="9"/>
  <c r="Y23" i="7"/>
  <c r="R23" i="7"/>
  <c r="T23" i="7"/>
  <c r="M23" i="7"/>
  <c r="W23" i="7"/>
  <c r="F23" i="7"/>
  <c r="BB31" i="6"/>
  <c r="BB32" i="6" s="1"/>
  <c r="BJ31" i="6"/>
  <c r="BJ32" i="6" s="1"/>
  <c r="AR9" i="10"/>
  <c r="AP74" i="11"/>
  <c r="AP75" i="11" s="1"/>
  <c r="BF9" i="10"/>
  <c r="R9" i="10"/>
  <c r="AA9" i="10"/>
  <c r="AW9" i="10"/>
  <c r="AZ8" i="10"/>
  <c r="AK8" i="10"/>
  <c r="AK9" i="10"/>
  <c r="AT9" i="10"/>
  <c r="Z9" i="10"/>
  <c r="BC9" i="10"/>
  <c r="AP9" i="10"/>
  <c r="T9" i="10"/>
  <c r="Q9" i="10"/>
  <c r="AS9" i="10"/>
  <c r="T8" i="10"/>
  <c r="V9" i="10"/>
  <c r="U8" i="10"/>
  <c r="P9" i="10"/>
  <c r="M8" i="10"/>
  <c r="R8" i="10"/>
  <c r="Q8" i="10"/>
  <c r="Z74" i="11"/>
  <c r="Z75" i="11" s="1"/>
  <c r="O9" i="10"/>
  <c r="N9" i="10"/>
  <c r="X9" i="10"/>
  <c r="AR32" i="9"/>
  <c r="AT32" i="9"/>
  <c r="R32" i="9"/>
  <c r="AN32" i="9"/>
  <c r="AX32" i="9"/>
  <c r="AY74" i="11"/>
  <c r="AY75" i="11" s="1"/>
  <c r="BG74" i="11"/>
  <c r="BG75" i="11" s="1"/>
  <c r="AK25" i="9"/>
  <c r="AU25" i="9"/>
  <c r="AY25" i="9"/>
  <c r="K25" i="9"/>
  <c r="AK16" i="9"/>
  <c r="Y28" i="12"/>
  <c r="AU74" i="11"/>
  <c r="AU75" i="11" s="1"/>
  <c r="AL74" i="11"/>
  <c r="AL75" i="11" s="1"/>
  <c r="BA16" i="9"/>
  <c r="BE16" i="9"/>
  <c r="BL32" i="9"/>
  <c r="BJ25" i="9"/>
  <c r="AC25" i="9"/>
  <c r="AA74" i="11"/>
  <c r="AA75" i="11" s="1"/>
  <c r="AB74" i="11"/>
  <c r="AB75" i="11" s="1"/>
  <c r="AO9" i="10"/>
  <c r="BR31" i="6"/>
  <c r="BR32" i="6" s="1"/>
  <c r="AT31" i="6"/>
  <c r="AT32" i="6" s="1"/>
  <c r="G9" i="10"/>
  <c r="J9" i="10"/>
  <c r="BC16" i="9"/>
  <c r="BE32" i="9"/>
  <c r="BZ25" i="9"/>
  <c r="BY74" i="11"/>
  <c r="BY75" i="11" s="1"/>
  <c r="BI74" i="11"/>
  <c r="BI75" i="11" s="1"/>
  <c r="AF74" i="11"/>
  <c r="AF75" i="11" s="1"/>
  <c r="BD32" i="9"/>
  <c r="AQ25" i="9"/>
  <c r="AT25" i="9"/>
  <c r="BG9" i="10"/>
  <c r="BX9" i="10"/>
  <c r="CJ8" i="10"/>
  <c r="AE9" i="10"/>
  <c r="AH9" i="10"/>
  <c r="AB9" i="10"/>
  <c r="AS32" i="9"/>
  <c r="CB25" i="9"/>
  <c r="BP25" i="9"/>
  <c r="BB32" i="9"/>
  <c r="BS32" i="9"/>
  <c r="CA74" i="11"/>
  <c r="CA75" i="11" s="1"/>
  <c r="CD9" i="10"/>
  <c r="AX9" i="10"/>
  <c r="AV25" i="9"/>
  <c r="CG16" i="9"/>
  <c r="BF32" i="9"/>
  <c r="CD75" i="11"/>
  <c r="BV74" i="11"/>
  <c r="BV75" i="11" s="1"/>
  <c r="BM32" i="9"/>
  <c r="AC32" i="9"/>
  <c r="AM74" i="11"/>
  <c r="AM75" i="11" s="1"/>
  <c r="CH31" i="6"/>
  <c r="CH32" i="6" s="1"/>
  <c r="CH9" i="10"/>
  <c r="BB9" i="10"/>
  <c r="AX74" i="11"/>
  <c r="AX75" i="11" s="1"/>
  <c r="BN25" i="9"/>
  <c r="BX28" i="12"/>
  <c r="L28" i="12"/>
  <c r="AI8" i="10"/>
  <c r="AF9" i="10"/>
  <c r="AD9" i="10"/>
  <c r="L74" i="11"/>
  <c r="L75" i="11" s="1"/>
  <c r="U74" i="11"/>
  <c r="U75" i="11" s="1"/>
  <c r="AJ8" i="10"/>
  <c r="Y9" i="10"/>
  <c r="AH8" i="10"/>
  <c r="S9" i="10"/>
  <c r="W9" i="10"/>
  <c r="AI74" i="11"/>
  <c r="AI75" i="11" s="1"/>
  <c r="O74" i="11"/>
  <c r="O75" i="11" s="1"/>
  <c r="AD32" i="9"/>
  <c r="X32" i="9"/>
  <c r="I28" i="12"/>
  <c r="BU28" i="12"/>
  <c r="E23" i="7"/>
  <c r="N23" i="7"/>
  <c r="S74" i="11"/>
  <c r="S75" i="11" s="1"/>
  <c r="L9" i="10"/>
  <c r="M74" i="11"/>
  <c r="M75" i="11" s="1"/>
  <c r="H9" i="10"/>
  <c r="K8" i="10"/>
  <c r="F9" i="10"/>
  <c r="E74" i="11"/>
  <c r="E75" i="11" s="1"/>
  <c r="K74" i="11"/>
  <c r="K75" i="11" s="1"/>
  <c r="J8" i="10"/>
  <c r="I9" i="10"/>
  <c r="E8" i="10"/>
  <c r="O16" i="9"/>
  <c r="M34" i="9"/>
  <c r="N16" i="9"/>
  <c r="H16" i="9"/>
  <c r="L16" i="9"/>
  <c r="F16" i="9"/>
  <c r="I74" i="11"/>
  <c r="I75" i="11" s="1"/>
  <c r="BE28" i="12"/>
  <c r="J74" i="11"/>
  <c r="J75" i="11" s="1"/>
  <c r="AO74" i="11"/>
  <c r="AO75" i="11" s="1"/>
  <c r="N31" i="6"/>
  <c r="N32" i="6" s="1"/>
  <c r="I16" i="9"/>
  <c r="AD74" i="11"/>
  <c r="AD75" i="11" s="1"/>
  <c r="R34" i="9"/>
  <c r="X74" i="11"/>
  <c r="X75" i="11" s="1"/>
  <c r="U23" i="7"/>
  <c r="H23" i="7"/>
  <c r="P23" i="7"/>
  <c r="E13" i="7"/>
  <c r="F13" i="7"/>
  <c r="N13" i="7"/>
  <c r="F31" i="6"/>
  <c r="F32" i="6" s="1"/>
  <c r="F28" i="10"/>
  <c r="AJ75" i="11"/>
  <c r="AL31" i="6"/>
  <c r="AL32" i="6" s="1"/>
  <c r="N28" i="10"/>
  <c r="AL28" i="10"/>
  <c r="V28" i="10"/>
  <c r="V20" i="11"/>
  <c r="V21" i="11" s="1"/>
  <c r="H74" i="11"/>
  <c r="H75" i="11" s="1"/>
  <c r="AH25" i="9"/>
  <c r="AO25" i="9"/>
  <c r="G25" i="9"/>
  <c r="I24" i="9"/>
  <c r="M24" i="9"/>
  <c r="AW28" i="12"/>
  <c r="AO28" i="12"/>
  <c r="BM28" i="12"/>
  <c r="AZ28" i="12"/>
  <c r="O28" i="12"/>
  <c r="G28" i="12"/>
  <c r="I31" i="12"/>
  <c r="M31" i="12"/>
  <c r="T74" i="11"/>
  <c r="T75" i="11" s="1"/>
  <c r="X23" i="7"/>
  <c r="G23" i="7"/>
  <c r="S23" i="7"/>
  <c r="I32" i="9"/>
  <c r="M32" i="9"/>
  <c r="H32" i="9"/>
  <c r="N32" i="9"/>
  <c r="L32" i="9"/>
  <c r="V74" i="11"/>
  <c r="V75" i="11" s="1"/>
  <c r="G74" i="11"/>
  <c r="G75" i="11" s="1"/>
  <c r="P74" i="11"/>
  <c r="P75" i="11" s="1"/>
  <c r="F32" i="9"/>
  <c r="F25" i="9"/>
  <c r="J16" i="9"/>
  <c r="N74" i="11"/>
  <c r="N75" i="11" s="1"/>
  <c r="AK74" i="11"/>
  <c r="AK75" i="11" s="1"/>
  <c r="AF32" i="9"/>
  <c r="E32" i="9"/>
  <c r="J32" i="9"/>
  <c r="V25" i="9"/>
  <c r="P25" i="9"/>
  <c r="Z16" i="9"/>
  <c r="E25" i="9"/>
  <c r="I25" i="9"/>
  <c r="W25" i="9"/>
  <c r="E24" i="9"/>
  <c r="AG25" i="9"/>
  <c r="CC28" i="12"/>
  <c r="Q28" i="12"/>
  <c r="BH28" i="12"/>
  <c r="BP28" i="12"/>
  <c r="BS28" i="12"/>
  <c r="BC28" i="12"/>
  <c r="V28" i="12"/>
  <c r="AR28" i="12"/>
  <c r="AU28" i="12"/>
  <c r="AN28" i="12"/>
  <c r="BK28" i="12"/>
  <c r="AM28" i="12"/>
  <c r="AF28" i="12"/>
  <c r="AE28" i="12"/>
  <c r="W28" i="12"/>
  <c r="CA28" i="12"/>
  <c r="AN25" i="9"/>
  <c r="CH25" i="9"/>
  <c r="AK32" i="9"/>
  <c r="CC25" i="9"/>
  <c r="BZ34" i="9"/>
  <c r="J25" i="9"/>
  <c r="BL25" i="9"/>
  <c r="AM25" i="9"/>
  <c r="BU25" i="9"/>
  <c r="CI16" i="9"/>
  <c r="BY16" i="9"/>
  <c r="AA16" i="9"/>
  <c r="BU16" i="9"/>
  <c r="BB34" i="9"/>
  <c r="Z34" i="9"/>
  <c r="BC32" i="9"/>
  <c r="W32" i="9"/>
  <c r="CE25" i="9"/>
  <c r="BC25" i="9"/>
  <c r="R25" i="9"/>
  <c r="M25" i="9"/>
  <c r="AW25" i="9"/>
  <c r="BT32" i="9"/>
  <c r="BK25" i="9"/>
  <c r="BW32" i="9"/>
  <c r="V34" i="9"/>
  <c r="AE32" i="9"/>
  <c r="AR25" i="9"/>
  <c r="Q25" i="9"/>
  <c r="BT25" i="9"/>
  <c r="CG32" i="9"/>
  <c r="Q32" i="9"/>
  <c r="CF32" i="9"/>
  <c r="T32" i="9"/>
  <c r="I34" i="9"/>
  <c r="AI25" i="9"/>
  <c r="Z32" i="9"/>
  <c r="CD25" i="9"/>
  <c r="BB25" i="9"/>
  <c r="T25" i="9"/>
  <c r="BV34" i="9"/>
  <c r="BI32" i="9"/>
  <c r="F34" i="9"/>
  <c r="H25" i="9"/>
  <c r="AG32" i="9"/>
  <c r="BG16" i="9"/>
  <c r="BG25" i="9"/>
  <c r="BF25" i="9"/>
  <c r="J34" i="9"/>
  <c r="U32" i="9"/>
  <c r="E34" i="9"/>
  <c r="AZ32" i="9"/>
  <c r="BV16" i="9"/>
  <c r="G16" i="9"/>
  <c r="BM16" i="9"/>
  <c r="BF16" i="9"/>
  <c r="BI25" i="9"/>
  <c r="M16" i="9"/>
  <c r="BS16" i="9"/>
  <c r="CC32" i="9"/>
  <c r="V32" i="9"/>
  <c r="BD16" i="9"/>
  <c r="CD16" i="9"/>
  <c r="AZ25" i="9"/>
  <c r="CB32" i="9"/>
  <c r="BX25" i="9"/>
  <c r="AP34" i="9"/>
  <c r="CA25" i="9"/>
  <c r="AS16" i="9"/>
  <c r="AI16" i="9"/>
  <c r="AS25" i="9"/>
  <c r="AB25" i="9"/>
  <c r="Z25" i="9"/>
  <c r="X25" i="9"/>
  <c r="AD25" i="9"/>
  <c r="AA25" i="9"/>
  <c r="AE25" i="9"/>
  <c r="CE16" i="9"/>
  <c r="L25" i="9"/>
  <c r="U25" i="9"/>
  <c r="Q23" i="7"/>
  <c r="L23" i="7"/>
  <c r="K23" i="7"/>
  <c r="J23" i="7"/>
  <c r="AB22" i="10"/>
  <c r="AD31" i="6"/>
  <c r="AD32" i="6" s="1"/>
  <c r="AD28" i="10"/>
  <c r="AG74" i="11"/>
  <c r="AG75" i="11" s="1"/>
  <c r="AE74" i="11"/>
  <c r="AE75" i="11" s="1"/>
  <c r="V31" i="6"/>
  <c r="AJ22" i="10"/>
  <c r="CE22" i="10"/>
  <c r="S22" i="10"/>
  <c r="BQ22" i="10"/>
  <c r="CD22" i="10"/>
  <c r="R22" i="10"/>
  <c r="Y22" i="10"/>
  <c r="BL22" i="10"/>
  <c r="BS22" i="10"/>
  <c r="BC22" i="10"/>
  <c r="W22" i="10"/>
  <c r="BY28" i="10"/>
  <c r="BY31" i="6"/>
  <c r="BY32" i="6" s="1"/>
  <c r="M28" i="10"/>
  <c r="M31" i="6"/>
  <c r="M32" i="6" s="1"/>
  <c r="BP28" i="10"/>
  <c r="BP31" i="6"/>
  <c r="BP32" i="6" s="1"/>
  <c r="D31" i="6"/>
  <c r="BW28" i="10"/>
  <c r="BW31" i="6"/>
  <c r="BW32" i="6" s="1"/>
  <c r="K28" i="10"/>
  <c r="K31" i="6"/>
  <c r="K32" i="6" s="1"/>
  <c r="Z28" i="10"/>
  <c r="Z31" i="6"/>
  <c r="Z32" i="6" s="1"/>
  <c r="BE28" i="10"/>
  <c r="BE31" i="6"/>
  <c r="BE32" i="6" s="1"/>
  <c r="CJ28" i="10"/>
  <c r="CJ31" i="6"/>
  <c r="CJ32" i="6" s="1"/>
  <c r="X28" i="10"/>
  <c r="X31" i="6"/>
  <c r="X32" i="6" s="1"/>
  <c r="BK28" i="10"/>
  <c r="BK31" i="6"/>
  <c r="BK32" i="6" s="1"/>
  <c r="BE75" i="11"/>
  <c r="CB75" i="11"/>
  <c r="BZ22" i="10"/>
  <c r="BW22" i="10"/>
  <c r="K22" i="10"/>
  <c r="AK22" i="10"/>
  <c r="BV22" i="10"/>
  <c r="J22" i="10"/>
  <c r="CC22" i="10"/>
  <c r="Q22" i="10"/>
  <c r="BD22" i="10"/>
  <c r="BQ28" i="10"/>
  <c r="BQ31" i="6"/>
  <c r="BQ32" i="6" s="1"/>
  <c r="E28" i="10"/>
  <c r="E31" i="6"/>
  <c r="E32" i="6" s="1"/>
  <c r="BH28" i="10"/>
  <c r="BH31" i="6"/>
  <c r="BH32" i="6" s="1"/>
  <c r="BO28" i="10"/>
  <c r="BO31" i="6"/>
  <c r="BO32" i="6" s="1"/>
  <c r="C31" i="6"/>
  <c r="CD28" i="10"/>
  <c r="CD31" i="6"/>
  <c r="CD32" i="6" s="1"/>
  <c r="R28" i="10"/>
  <c r="R31" i="6"/>
  <c r="R32" i="6" s="1"/>
  <c r="AW28" i="10"/>
  <c r="AW31" i="6"/>
  <c r="AW32" i="6" s="1"/>
  <c r="CB28" i="10"/>
  <c r="CB31" i="6"/>
  <c r="CB32" i="6" s="1"/>
  <c r="P28" i="10"/>
  <c r="P31" i="6"/>
  <c r="P32" i="6" s="1"/>
  <c r="BC28" i="10"/>
  <c r="BC31" i="6"/>
  <c r="BC32" i="6" s="1"/>
  <c r="CH75" i="11"/>
  <c r="CF22" i="10"/>
  <c r="T22" i="10"/>
  <c r="AL22" i="10"/>
  <c r="F22" i="10"/>
  <c r="BO22" i="10"/>
  <c r="BI22" i="10"/>
  <c r="M22" i="10"/>
  <c r="BN22" i="10"/>
  <c r="BU22" i="10"/>
  <c r="I22" i="10"/>
  <c r="AV22" i="10"/>
  <c r="CI22" i="10"/>
  <c r="BI28" i="10"/>
  <c r="BI31" i="6"/>
  <c r="BI32" i="6" s="1"/>
  <c r="AZ28" i="10"/>
  <c r="AZ31" i="6"/>
  <c r="AZ32" i="6" s="1"/>
  <c r="BG28" i="10"/>
  <c r="BG31" i="6"/>
  <c r="BG32" i="6" s="1"/>
  <c r="BV28" i="10"/>
  <c r="BV31" i="6"/>
  <c r="BV32" i="6" s="1"/>
  <c r="J28" i="10"/>
  <c r="J31" i="6"/>
  <c r="J32" i="6" s="1"/>
  <c r="AO28" i="10"/>
  <c r="AO31" i="6"/>
  <c r="AO32" i="6" s="1"/>
  <c r="BT28" i="10"/>
  <c r="BT31" i="6"/>
  <c r="BT32" i="6" s="1"/>
  <c r="H28" i="10"/>
  <c r="H31" i="6"/>
  <c r="H32" i="6" s="1"/>
  <c r="AU28" i="10"/>
  <c r="AU31" i="6"/>
  <c r="AU32" i="6" s="1"/>
  <c r="BX22" i="10"/>
  <c r="L22" i="10"/>
  <c r="BB22" i="10"/>
  <c r="V22" i="10"/>
  <c r="BG22" i="10"/>
  <c r="BF22" i="10"/>
  <c r="BM22" i="10"/>
  <c r="AN22" i="10"/>
  <c r="AU22" i="10"/>
  <c r="O22" i="10"/>
  <c r="BA28" i="10"/>
  <c r="BA31" i="6"/>
  <c r="BA32" i="6" s="1"/>
  <c r="AR28" i="10"/>
  <c r="AR31" i="6"/>
  <c r="AR32" i="6" s="1"/>
  <c r="AY28" i="10"/>
  <c r="AY31" i="6"/>
  <c r="AY32" i="6" s="1"/>
  <c r="BN28" i="10"/>
  <c r="BN31" i="6"/>
  <c r="BN32" i="6" s="1"/>
  <c r="B31" i="6"/>
  <c r="AG28" i="10"/>
  <c r="AG31" i="6"/>
  <c r="AG32" i="6" s="1"/>
  <c r="BL28" i="10"/>
  <c r="BL31" i="6"/>
  <c r="BL32" i="6" s="1"/>
  <c r="AM28" i="10"/>
  <c r="AM31" i="6"/>
  <c r="AM32" i="6" s="1"/>
  <c r="BR75" i="11"/>
  <c r="BP22" i="10"/>
  <c r="BR22" i="10"/>
  <c r="AY22" i="10"/>
  <c r="CG22" i="10"/>
  <c r="BA22" i="10"/>
  <c r="AC22" i="10"/>
  <c r="AX22" i="10"/>
  <c r="BE22" i="10"/>
  <c r="AF22" i="10"/>
  <c r="BK22" i="10"/>
  <c r="AE22" i="10"/>
  <c r="AS28" i="10"/>
  <c r="AS31" i="6"/>
  <c r="AS32" i="6" s="1"/>
  <c r="AJ28" i="10"/>
  <c r="AJ31" i="6"/>
  <c r="AJ32" i="6" s="1"/>
  <c r="AQ28" i="10"/>
  <c r="AQ31" i="6"/>
  <c r="AQ32" i="6" s="1"/>
  <c r="BF28" i="10"/>
  <c r="BF31" i="6"/>
  <c r="BF32" i="6" s="1"/>
  <c r="Y28" i="10"/>
  <c r="Y31" i="6"/>
  <c r="Y32" i="6" s="1"/>
  <c r="BD28" i="10"/>
  <c r="BD31" i="6"/>
  <c r="BD32" i="6" s="1"/>
  <c r="AE28" i="10"/>
  <c r="AE31" i="6"/>
  <c r="AE32" i="6" s="1"/>
  <c r="Y74" i="11"/>
  <c r="Y75" i="11" s="1"/>
  <c r="BH22" i="10"/>
  <c r="AQ22" i="10"/>
  <c r="E22" i="10"/>
  <c r="AP22" i="10"/>
  <c r="AW22" i="10"/>
  <c r="CJ22" i="10"/>
  <c r="X22" i="10"/>
  <c r="CA22" i="10"/>
  <c r="AK28" i="10"/>
  <c r="AK31" i="6"/>
  <c r="AK32" i="6" s="1"/>
  <c r="AB28" i="10"/>
  <c r="AB31" i="6"/>
  <c r="AB32" i="6" s="1"/>
  <c r="AI28" i="10"/>
  <c r="AI31" i="6"/>
  <c r="AI32" i="6" s="1"/>
  <c r="AX28" i="10"/>
  <c r="AX31" i="6"/>
  <c r="AX32" i="6" s="1"/>
  <c r="CC28" i="10"/>
  <c r="CC31" i="6"/>
  <c r="CC32" i="6" s="1"/>
  <c r="Q28" i="10"/>
  <c r="Q31" i="6"/>
  <c r="Q32" i="6" s="1"/>
  <c r="AV28" i="10"/>
  <c r="AV31" i="6"/>
  <c r="AV32" i="6" s="1"/>
  <c r="CI28" i="10"/>
  <c r="CI31" i="6"/>
  <c r="CI32" i="6" s="1"/>
  <c r="W28" i="10"/>
  <c r="W31" i="6"/>
  <c r="W32" i="6" s="1"/>
  <c r="Q74" i="11"/>
  <c r="Q75" i="11" s="1"/>
  <c r="AZ22" i="10"/>
  <c r="AT22" i="10"/>
  <c r="AD22" i="10"/>
  <c r="N22" i="10"/>
  <c r="AI22" i="10"/>
  <c r="BY22" i="10"/>
  <c r="AS22" i="10"/>
  <c r="AH22" i="10"/>
  <c r="AO22" i="10"/>
  <c r="CB22" i="10"/>
  <c r="P22" i="10"/>
  <c r="AC28" i="10"/>
  <c r="AC31" i="6"/>
  <c r="AC32" i="6" s="1"/>
  <c r="CF28" i="10"/>
  <c r="CF31" i="6"/>
  <c r="CF32" i="6" s="1"/>
  <c r="T28" i="10"/>
  <c r="T31" i="6"/>
  <c r="T32" i="6" s="1"/>
  <c r="AA28" i="10"/>
  <c r="AA31" i="6"/>
  <c r="AA32" i="6" s="1"/>
  <c r="AP28" i="10"/>
  <c r="AP31" i="6"/>
  <c r="AP32" i="6" s="1"/>
  <c r="BU28" i="10"/>
  <c r="BU31" i="6"/>
  <c r="BU32" i="6" s="1"/>
  <c r="I28" i="10"/>
  <c r="I31" i="6"/>
  <c r="I32" i="6" s="1"/>
  <c r="AN28" i="10"/>
  <c r="AN31" i="6"/>
  <c r="AN32" i="6" s="1"/>
  <c r="CA28" i="10"/>
  <c r="CA31" i="6"/>
  <c r="CA32" i="6" s="1"/>
  <c r="O28" i="10"/>
  <c r="O31" i="6"/>
  <c r="O32" i="6" s="1"/>
  <c r="AR22" i="10"/>
  <c r="CH22" i="10"/>
  <c r="BJ22" i="10"/>
  <c r="AA22" i="10"/>
  <c r="U22" i="10"/>
  <c r="Z22" i="10"/>
  <c r="AG22" i="10"/>
  <c r="BT22" i="10"/>
  <c r="H22" i="10"/>
  <c r="AM22" i="10"/>
  <c r="G22" i="10"/>
  <c r="CG28" i="10"/>
  <c r="CG31" i="6"/>
  <c r="CG32" i="6" s="1"/>
  <c r="U28" i="10"/>
  <c r="U31" i="6"/>
  <c r="U32" i="6" s="1"/>
  <c r="BX28" i="10"/>
  <c r="BX31" i="6"/>
  <c r="BX32" i="6" s="1"/>
  <c r="L28" i="10"/>
  <c r="L31" i="6"/>
  <c r="L32" i="6" s="1"/>
  <c r="CE28" i="10"/>
  <c r="CE31" i="6"/>
  <c r="CE32" i="6" s="1"/>
  <c r="S28" i="10"/>
  <c r="S31" i="6"/>
  <c r="S32" i="6" s="1"/>
  <c r="AH28" i="10"/>
  <c r="AH31" i="6"/>
  <c r="AH32" i="6" s="1"/>
  <c r="BM28" i="10"/>
  <c r="BM31" i="6"/>
  <c r="BM32" i="6" s="1"/>
  <c r="BZ6" i="11"/>
  <c r="BZ39" i="10"/>
  <c r="BZ34" i="10"/>
  <c r="BZ38" i="6"/>
  <c r="BZ39" i="6" s="1"/>
  <c r="AF28" i="10"/>
  <c r="AF31" i="6"/>
  <c r="AF32" i="6" s="1"/>
  <c r="BS28" i="10"/>
  <c r="BS31" i="6"/>
  <c r="BS32" i="6" s="1"/>
  <c r="G28" i="10"/>
  <c r="G31" i="6"/>
  <c r="G32" i="6" s="1"/>
  <c r="AD34" i="9"/>
  <c r="E16" i="9"/>
  <c r="AH16" i="9"/>
  <c r="R16" i="9"/>
  <c r="AM32" i="9"/>
  <c r="G32" i="9"/>
  <c r="O32" i="9"/>
  <c r="AJ32" i="9"/>
  <c r="P32" i="9"/>
  <c r="AF25" i="9"/>
  <c r="AL25" i="9"/>
  <c r="Y25" i="9"/>
  <c r="AJ16" i="9"/>
  <c r="Y16" i="9"/>
  <c r="N25" i="9"/>
  <c r="AP16" i="9"/>
  <c r="AJ25" i="9"/>
  <c r="O25" i="9"/>
  <c r="AP25" i="9"/>
  <c r="S25" i="9"/>
  <c r="AE12" i="9"/>
  <c r="AE4" i="8"/>
  <c r="AE108" i="5"/>
  <c r="BZ12" i="9"/>
  <c r="BZ108" i="5"/>
  <c r="N12" i="9"/>
  <c r="N4" i="8"/>
  <c r="N108" i="5"/>
  <c r="BI12" i="9"/>
  <c r="BI4" i="8"/>
  <c r="BI108" i="5"/>
  <c r="AA12" i="9"/>
  <c r="AA4" i="8"/>
  <c r="AA108" i="5"/>
  <c r="CC12" i="9"/>
  <c r="CC108" i="5"/>
  <c r="Q12" i="9"/>
  <c r="Q4" i="8"/>
  <c r="Q108" i="5"/>
  <c r="BT12" i="9"/>
  <c r="BT4" i="8"/>
  <c r="BT5" i="8" s="1"/>
  <c r="BT108" i="5"/>
  <c r="H12" i="9"/>
  <c r="H69" i="9" s="1"/>
  <c r="H4" i="8"/>
  <c r="H108" i="5"/>
  <c r="CK50" i="11"/>
  <c r="CK4" i="9"/>
  <c r="CK29" i="9" s="1"/>
  <c r="CK69" i="5"/>
  <c r="CK22" i="11" s="1"/>
  <c r="CK23" i="11" s="1"/>
  <c r="CK24" i="11" s="1"/>
  <c r="Y50" i="11"/>
  <c r="Y51" i="11" s="1"/>
  <c r="Y4" i="9"/>
  <c r="Y69" i="5"/>
  <c r="Y22" i="11" s="1"/>
  <c r="Y23" i="11" s="1"/>
  <c r="Y24" i="11" s="1"/>
  <c r="AN50" i="11"/>
  <c r="AN51" i="11" s="1"/>
  <c r="AN4" i="9"/>
  <c r="AN69" i="5"/>
  <c r="AN22" i="11" s="1"/>
  <c r="AN23" i="11" s="1"/>
  <c r="AN24" i="11" s="1"/>
  <c r="BC50" i="11"/>
  <c r="BC51" i="11" s="1"/>
  <c r="BC4" i="9"/>
  <c r="BC69" i="5"/>
  <c r="BC22" i="11" s="1"/>
  <c r="BC23" i="11" s="1"/>
  <c r="BC24" i="11" s="1"/>
  <c r="BB50" i="11"/>
  <c r="BB51" i="11" s="1"/>
  <c r="BB4" i="9"/>
  <c r="BB69" i="5"/>
  <c r="BB22" i="11" s="1"/>
  <c r="BB23" i="11" s="1"/>
  <c r="BB24" i="11" s="1"/>
  <c r="L12" i="9"/>
  <c r="L69" i="9" s="1"/>
  <c r="L4" i="8"/>
  <c r="L108" i="5"/>
  <c r="CG50" i="11"/>
  <c r="CG51" i="11" s="1"/>
  <c r="CG4" i="9"/>
  <c r="CG69" i="5"/>
  <c r="CG22" i="11" s="1"/>
  <c r="CG23" i="11" s="1"/>
  <c r="CG24" i="11" s="1"/>
  <c r="U50" i="11"/>
  <c r="U51" i="11" s="1"/>
  <c r="U4" i="9"/>
  <c r="U69" i="5"/>
  <c r="U22" i="11" s="1"/>
  <c r="U23" i="11" s="1"/>
  <c r="U24" i="11" s="1"/>
  <c r="CD12" i="9"/>
  <c r="CD108" i="5"/>
  <c r="AX12" i="9"/>
  <c r="AX108" i="5"/>
  <c r="AX4" i="8"/>
  <c r="R12" i="9"/>
  <c r="R4" i="8"/>
  <c r="R108" i="5"/>
  <c r="AB50" i="11"/>
  <c r="AB51" i="11" s="1"/>
  <c r="AB4" i="9"/>
  <c r="AB69" i="5"/>
  <c r="AB22" i="11" s="1"/>
  <c r="AB23" i="11" s="1"/>
  <c r="AB24" i="11" s="1"/>
  <c r="I12" i="9"/>
  <c r="I69" i="9" s="1"/>
  <c r="I4" i="8"/>
  <c r="I108" i="5"/>
  <c r="AQ50" i="11"/>
  <c r="AQ51" i="11" s="1"/>
  <c r="AQ4" i="9"/>
  <c r="AQ69" i="5"/>
  <c r="AQ22" i="11" s="1"/>
  <c r="AQ23" i="11" s="1"/>
  <c r="AQ24" i="11" s="1"/>
  <c r="BF50" i="11"/>
  <c r="BF51" i="11" s="1"/>
  <c r="BF4" i="9"/>
  <c r="BF69" i="5"/>
  <c r="BF22" i="11" s="1"/>
  <c r="BF23" i="11" s="1"/>
  <c r="BF24" i="11" s="1"/>
  <c r="CI12" i="9"/>
  <c r="CI108" i="5"/>
  <c r="W12" i="9"/>
  <c r="W4" i="8"/>
  <c r="W108" i="5"/>
  <c r="BR12" i="9"/>
  <c r="BR108" i="5"/>
  <c r="BR4" i="8"/>
  <c r="F12" i="9"/>
  <c r="F69" i="9" s="1"/>
  <c r="F4" i="8"/>
  <c r="F108" i="5"/>
  <c r="BA12" i="9"/>
  <c r="BA4" i="8"/>
  <c r="BA108" i="5"/>
  <c r="CE12" i="9"/>
  <c r="CE108" i="5"/>
  <c r="S12" i="9"/>
  <c r="S4" i="8"/>
  <c r="S108" i="5"/>
  <c r="BU12" i="9"/>
  <c r="BU4" i="8"/>
  <c r="BU5" i="8" s="1"/>
  <c r="BU108" i="5"/>
  <c r="BL12" i="9"/>
  <c r="BL4" i="8"/>
  <c r="BL108" i="5"/>
  <c r="CC50" i="11"/>
  <c r="CC51" i="11" s="1"/>
  <c r="CC4" i="9"/>
  <c r="CC69" i="5"/>
  <c r="CC22" i="11" s="1"/>
  <c r="CC23" i="11" s="1"/>
  <c r="CC24" i="11" s="1"/>
  <c r="Q50" i="11"/>
  <c r="Q51" i="11" s="1"/>
  <c r="Q4" i="9"/>
  <c r="Q69" i="5"/>
  <c r="Q22" i="11" s="1"/>
  <c r="Q23" i="11" s="1"/>
  <c r="Q24" i="11" s="1"/>
  <c r="AF50" i="11"/>
  <c r="AF51" i="11" s="1"/>
  <c r="AF4" i="9"/>
  <c r="AF69" i="5"/>
  <c r="AF22" i="11" s="1"/>
  <c r="AF23" i="11" s="1"/>
  <c r="AF24" i="11" s="1"/>
  <c r="AU50" i="11"/>
  <c r="AU51" i="11" s="1"/>
  <c r="AU4" i="9"/>
  <c r="AU69" i="5"/>
  <c r="AU22" i="11" s="1"/>
  <c r="AU23" i="11" s="1"/>
  <c r="AU24" i="11" s="1"/>
  <c r="AT50" i="11"/>
  <c r="AT51" i="11" s="1"/>
  <c r="AT4" i="9"/>
  <c r="AT69" i="5"/>
  <c r="AT22" i="11" s="1"/>
  <c r="AT23" i="11" s="1"/>
  <c r="AT24" i="11" s="1"/>
  <c r="BY50" i="11"/>
  <c r="BY51" i="11" s="1"/>
  <c r="BY4" i="9"/>
  <c r="BY69" i="5"/>
  <c r="BY22" i="11" s="1"/>
  <c r="BY23" i="11" s="1"/>
  <c r="BY24" i="11" s="1"/>
  <c r="M50" i="11"/>
  <c r="M51" i="11" s="1"/>
  <c r="M4" i="9"/>
  <c r="M69" i="5"/>
  <c r="M22" i="11" s="1"/>
  <c r="M23" i="11" s="1"/>
  <c r="M24" i="11" s="1"/>
  <c r="CF50" i="11"/>
  <c r="CF51" i="11" s="1"/>
  <c r="CF4" i="9"/>
  <c r="CF69" i="5"/>
  <c r="CF22" i="11" s="1"/>
  <c r="CF23" i="11" s="1"/>
  <c r="CF24" i="11" s="1"/>
  <c r="T50" i="11"/>
  <c r="T51" i="11" s="1"/>
  <c r="T4" i="9"/>
  <c r="T69" i="5"/>
  <c r="T22" i="11" s="1"/>
  <c r="T23" i="11" s="1"/>
  <c r="T24" i="11" s="1"/>
  <c r="AQ32" i="9"/>
  <c r="K32" i="9"/>
  <c r="AI50" i="11"/>
  <c r="AI51" i="11" s="1"/>
  <c r="AI4" i="9"/>
  <c r="AI69" i="5"/>
  <c r="AI22" i="11" s="1"/>
  <c r="AI23" i="11" s="1"/>
  <c r="AI24" i="11" s="1"/>
  <c r="AX50" i="11"/>
  <c r="AX51" i="11" s="1"/>
  <c r="AX4" i="9"/>
  <c r="AX69" i="5"/>
  <c r="AX22" i="11" s="1"/>
  <c r="AX23" i="11" s="1"/>
  <c r="AX24" i="11" s="1"/>
  <c r="CA12" i="9"/>
  <c r="CA108" i="5"/>
  <c r="O12" i="9"/>
  <c r="O4" i="8"/>
  <c r="O108" i="5"/>
  <c r="BJ12" i="9"/>
  <c r="BJ108" i="5"/>
  <c r="BJ4" i="8"/>
  <c r="AS12" i="9"/>
  <c r="AS4" i="8"/>
  <c r="AS108" i="5"/>
  <c r="BW12" i="9"/>
  <c r="BW108" i="5"/>
  <c r="K12" i="9"/>
  <c r="K69" i="9" s="1"/>
  <c r="K4" i="8"/>
  <c r="K108" i="5"/>
  <c r="BM12" i="9"/>
  <c r="BM4" i="8"/>
  <c r="BM108" i="5"/>
  <c r="BD12" i="9"/>
  <c r="BD4" i="8"/>
  <c r="BD108" i="5"/>
  <c r="CK32" i="9"/>
  <c r="BU50" i="11"/>
  <c r="BU51" i="11" s="1"/>
  <c r="BU4" i="9"/>
  <c r="BU69" i="5"/>
  <c r="BU22" i="11" s="1"/>
  <c r="BU23" i="11" s="1"/>
  <c r="BU24" i="11" s="1"/>
  <c r="I50" i="11"/>
  <c r="I51" i="11" s="1"/>
  <c r="I4" i="9"/>
  <c r="I69" i="5"/>
  <c r="I22" i="11" s="1"/>
  <c r="I23" i="11" s="1"/>
  <c r="I24" i="11" s="1"/>
  <c r="CJ50" i="11"/>
  <c r="CJ51" i="11" s="1"/>
  <c r="CJ4" i="9"/>
  <c r="CJ29" i="9" s="1"/>
  <c r="CJ69" i="5"/>
  <c r="CJ22" i="11" s="1"/>
  <c r="CJ23" i="11" s="1"/>
  <c r="CJ24" i="11" s="1"/>
  <c r="X50" i="11"/>
  <c r="X51" i="11" s="1"/>
  <c r="X4" i="9"/>
  <c r="X29" i="9" s="1"/>
  <c r="X69" i="5"/>
  <c r="X22" i="11" s="1"/>
  <c r="X23" i="11" s="1"/>
  <c r="X24" i="11" s="1"/>
  <c r="AB12" i="9"/>
  <c r="AB4" i="8"/>
  <c r="AB108" i="5"/>
  <c r="AM50" i="11"/>
  <c r="AM51" i="11" s="1"/>
  <c r="AM4" i="9"/>
  <c r="AM29" i="9" s="1"/>
  <c r="AM69" i="5"/>
  <c r="AM22" i="11" s="1"/>
  <c r="AM23" i="11" s="1"/>
  <c r="AM24" i="11" s="1"/>
  <c r="AL50" i="11"/>
  <c r="AL51" i="11" s="1"/>
  <c r="AL4" i="9"/>
  <c r="AL69" i="5"/>
  <c r="AL22" i="11" s="1"/>
  <c r="AL23" i="11" s="1"/>
  <c r="AL24" i="11" s="1"/>
  <c r="BQ50" i="11"/>
  <c r="BQ51" i="11" s="1"/>
  <c r="BQ4" i="9"/>
  <c r="BQ69" i="5"/>
  <c r="BQ22" i="11" s="1"/>
  <c r="BQ23" i="11" s="1"/>
  <c r="BQ24" i="11" s="1"/>
  <c r="E50" i="11"/>
  <c r="E51" i="11" s="1"/>
  <c r="E4" i="9"/>
  <c r="E69" i="5"/>
  <c r="E22" i="11" s="1"/>
  <c r="E23" i="11" s="1"/>
  <c r="E24" i="11" s="1"/>
  <c r="BV12" i="9"/>
  <c r="BV4" i="8"/>
  <c r="BV5" i="8" s="1"/>
  <c r="BV108" i="5"/>
  <c r="AP12" i="9"/>
  <c r="AP4" i="8"/>
  <c r="AP108" i="5"/>
  <c r="J12" i="9"/>
  <c r="J69" i="9" s="1"/>
  <c r="J4" i="8"/>
  <c r="J108" i="5"/>
  <c r="BX50" i="11"/>
  <c r="BX51" i="11" s="1"/>
  <c r="BX4" i="9"/>
  <c r="BX69" i="5"/>
  <c r="BX22" i="11" s="1"/>
  <c r="BX23" i="11" s="1"/>
  <c r="BX24" i="11" s="1"/>
  <c r="L50" i="11"/>
  <c r="L51" i="11" s="1"/>
  <c r="L4" i="9"/>
  <c r="L69" i="5"/>
  <c r="L22" i="11" s="1"/>
  <c r="L23" i="11" s="1"/>
  <c r="L24" i="11" s="1"/>
  <c r="AA50" i="11"/>
  <c r="AA51" i="11" s="1"/>
  <c r="AA4" i="9"/>
  <c r="AA69" i="5"/>
  <c r="AA22" i="11" s="1"/>
  <c r="AA23" i="11" s="1"/>
  <c r="AA24" i="11" s="1"/>
  <c r="AP50" i="11"/>
  <c r="AP51" i="11" s="1"/>
  <c r="AP4" i="9"/>
  <c r="AP69" i="5"/>
  <c r="AP22" i="11" s="1"/>
  <c r="AP23" i="11" s="1"/>
  <c r="AP24" i="11" s="1"/>
  <c r="BS12" i="9"/>
  <c r="BS4" i="8"/>
  <c r="BS5" i="8" s="1"/>
  <c r="BS108" i="5"/>
  <c r="G12" i="9"/>
  <c r="G69" i="9" s="1"/>
  <c r="G4" i="8"/>
  <c r="G108" i="5"/>
  <c r="BB12" i="9"/>
  <c r="BB108" i="5"/>
  <c r="BB4" i="8"/>
  <c r="AK12" i="9"/>
  <c r="AK4" i="8"/>
  <c r="AK108" i="5"/>
  <c r="BO12" i="9"/>
  <c r="BO4" i="8"/>
  <c r="BO108" i="5"/>
  <c r="BE12" i="9"/>
  <c r="BE4" i="8"/>
  <c r="BE5" i="8" s="1"/>
  <c r="BE108" i="5"/>
  <c r="AV12" i="9"/>
  <c r="AV4" i="8"/>
  <c r="AV108" i="5"/>
  <c r="AR12" i="9"/>
  <c r="AR4" i="8"/>
  <c r="AR108" i="5"/>
  <c r="BM50" i="11"/>
  <c r="BM51" i="11" s="1"/>
  <c r="BM4" i="9"/>
  <c r="BM69" i="5"/>
  <c r="BM22" i="11" s="1"/>
  <c r="BM23" i="11" s="1"/>
  <c r="BM24" i="11" s="1"/>
  <c r="CB50" i="11"/>
  <c r="CB51" i="11" s="1"/>
  <c r="CB4" i="9"/>
  <c r="CB29" i="9" s="1"/>
  <c r="CB69" i="5"/>
  <c r="CB22" i="11" s="1"/>
  <c r="CB23" i="11" s="1"/>
  <c r="CB24" i="11" s="1"/>
  <c r="P50" i="11"/>
  <c r="P51" i="11" s="1"/>
  <c r="P4" i="9"/>
  <c r="P69" i="5"/>
  <c r="P22" i="11" s="1"/>
  <c r="P23" i="11" s="1"/>
  <c r="P24" i="11" s="1"/>
  <c r="AE50" i="11"/>
  <c r="AE51" i="11" s="1"/>
  <c r="AE4" i="9"/>
  <c r="AE69" i="5"/>
  <c r="AE22" i="11" s="1"/>
  <c r="AE23" i="11" s="1"/>
  <c r="AE24" i="11" s="1"/>
  <c r="AD50" i="11"/>
  <c r="AD51" i="11" s="1"/>
  <c r="AD4" i="9"/>
  <c r="AD69" i="5"/>
  <c r="AD22" i="11" s="1"/>
  <c r="AD23" i="11" s="1"/>
  <c r="AD24" i="11" s="1"/>
  <c r="BI50" i="11"/>
  <c r="BI51" i="11" s="1"/>
  <c r="BI4" i="9"/>
  <c r="BI69" i="5"/>
  <c r="BI22" i="11" s="1"/>
  <c r="BI23" i="11" s="1"/>
  <c r="BI24" i="11" s="1"/>
  <c r="BP50" i="11"/>
  <c r="BP51" i="11" s="1"/>
  <c r="BP4" i="9"/>
  <c r="BP69" i="5"/>
  <c r="BP22" i="11" s="1"/>
  <c r="BP23" i="11" s="1"/>
  <c r="BP24" i="11" s="1"/>
  <c r="BO32" i="9"/>
  <c r="AI32" i="9"/>
  <c r="CE50" i="11"/>
  <c r="CE51" i="11" s="1"/>
  <c r="CE4" i="9"/>
  <c r="CE69" i="5"/>
  <c r="CE22" i="11" s="1"/>
  <c r="CE23" i="11" s="1"/>
  <c r="CE24" i="11" s="1"/>
  <c r="S50" i="11"/>
  <c r="S51" i="11" s="1"/>
  <c r="S4" i="9"/>
  <c r="S69" i="5"/>
  <c r="S22" i="11" s="1"/>
  <c r="S23" i="11" s="1"/>
  <c r="S24" i="11" s="1"/>
  <c r="AH50" i="11"/>
  <c r="AH51" i="11" s="1"/>
  <c r="AH4" i="9"/>
  <c r="AH69" i="5"/>
  <c r="AH22" i="11" s="1"/>
  <c r="AH23" i="11" s="1"/>
  <c r="AH24" i="11" s="1"/>
  <c r="BK12" i="9"/>
  <c r="BK4" i="8"/>
  <c r="BK108" i="5"/>
  <c r="AT12" i="9"/>
  <c r="AT4" i="8"/>
  <c r="AT108" i="5"/>
  <c r="AC12" i="9"/>
  <c r="AC4" i="8"/>
  <c r="AC108" i="5"/>
  <c r="BG12" i="9"/>
  <c r="BG4" i="8"/>
  <c r="BG108" i="5"/>
  <c r="AW12" i="9"/>
  <c r="AW4" i="8"/>
  <c r="AW108" i="5"/>
  <c r="AN12" i="9"/>
  <c r="AN4" i="8"/>
  <c r="AN108" i="5"/>
  <c r="BE50" i="11"/>
  <c r="BE51" i="11" s="1"/>
  <c r="BE4" i="9"/>
  <c r="BE69" i="5"/>
  <c r="BE22" i="11" s="1"/>
  <c r="BE23" i="11" s="1"/>
  <c r="BE24" i="11" s="1"/>
  <c r="CJ32" i="9"/>
  <c r="BT50" i="11"/>
  <c r="BT51" i="11" s="1"/>
  <c r="BT4" i="9"/>
  <c r="BT69" i="5"/>
  <c r="BT22" i="11" s="1"/>
  <c r="BT23" i="11" s="1"/>
  <c r="BT24" i="11" s="1"/>
  <c r="H50" i="11"/>
  <c r="H51" i="11" s="1"/>
  <c r="H4" i="9"/>
  <c r="H69" i="5"/>
  <c r="H22" i="11" s="1"/>
  <c r="H23" i="11" s="1"/>
  <c r="H24" i="11" s="1"/>
  <c r="M12" i="9"/>
  <c r="M69" i="9" s="1"/>
  <c r="M4" i="8"/>
  <c r="M108" i="5"/>
  <c r="CI50" i="11"/>
  <c r="CI51" i="11" s="1"/>
  <c r="CI4" i="9"/>
  <c r="CI29" i="9" s="1"/>
  <c r="CI69" i="5"/>
  <c r="CI22" i="11" s="1"/>
  <c r="CI23" i="11" s="1"/>
  <c r="CI24" i="11" s="1"/>
  <c r="W50" i="11"/>
  <c r="W51" i="11" s="1"/>
  <c r="W4" i="9"/>
  <c r="W69" i="5"/>
  <c r="W22" i="11" s="1"/>
  <c r="W23" i="11" s="1"/>
  <c r="W24" i="11" s="1"/>
  <c r="CH50" i="11"/>
  <c r="CH51" i="11" s="1"/>
  <c r="CH4" i="9"/>
  <c r="CH29" i="9" s="1"/>
  <c r="CH69" i="5"/>
  <c r="CH22" i="11" s="1"/>
  <c r="CH23" i="11" s="1"/>
  <c r="CH24" i="11" s="1"/>
  <c r="V50" i="11"/>
  <c r="V51" i="11" s="1"/>
  <c r="V4" i="9"/>
  <c r="V69" i="5"/>
  <c r="V22" i="11" s="1"/>
  <c r="V23" i="11" s="1"/>
  <c r="BA50" i="11"/>
  <c r="BA51" i="11" s="1"/>
  <c r="BA4" i="9"/>
  <c r="BA69" i="5"/>
  <c r="BA22" i="11" s="1"/>
  <c r="BA23" i="11" s="1"/>
  <c r="BA24" i="11" s="1"/>
  <c r="BN12" i="9"/>
  <c r="BN4" i="8"/>
  <c r="BN108" i="5"/>
  <c r="AH12" i="9"/>
  <c r="AH4" i="8"/>
  <c r="AH108" i="5"/>
  <c r="BH50" i="11"/>
  <c r="BH51" i="11" s="1"/>
  <c r="BH4" i="9"/>
  <c r="BH69" i="5"/>
  <c r="BH22" i="11" s="1"/>
  <c r="BH23" i="11" s="1"/>
  <c r="BH24" i="11" s="1"/>
  <c r="BW50" i="11"/>
  <c r="BW51" i="11" s="1"/>
  <c r="BW4" i="9"/>
  <c r="BW69" i="5"/>
  <c r="BW22" i="11" s="1"/>
  <c r="BW23" i="11" s="1"/>
  <c r="BW24" i="11" s="1"/>
  <c r="K50" i="11"/>
  <c r="K51" i="11" s="1"/>
  <c r="K4" i="9"/>
  <c r="K69" i="5"/>
  <c r="K22" i="11" s="1"/>
  <c r="K23" i="11" s="1"/>
  <c r="K24" i="11" s="1"/>
  <c r="AZ12" i="9"/>
  <c r="AZ108" i="5"/>
  <c r="AZ4" i="8"/>
  <c r="Z50" i="11"/>
  <c r="Z51" i="11" s="1"/>
  <c r="Z4" i="9"/>
  <c r="Z69" i="5"/>
  <c r="Z22" i="11" s="1"/>
  <c r="Z23" i="11" s="1"/>
  <c r="Z24" i="11" s="1"/>
  <c r="BC12" i="9"/>
  <c r="BC4" i="8"/>
  <c r="BC108" i="5"/>
  <c r="AL12" i="9"/>
  <c r="AL4" i="8"/>
  <c r="AL5" i="8" s="1"/>
  <c r="AL108" i="5"/>
  <c r="CG12" i="9"/>
  <c r="CG108" i="5"/>
  <c r="U12" i="9"/>
  <c r="U4" i="8"/>
  <c r="U108" i="5"/>
  <c r="AY12" i="9"/>
  <c r="AY4" i="8"/>
  <c r="AY108" i="5"/>
  <c r="AO12" i="9"/>
  <c r="AO4" i="8"/>
  <c r="AO5" i="8" s="1"/>
  <c r="AO108" i="5"/>
  <c r="AF12" i="9"/>
  <c r="AF4" i="8"/>
  <c r="AF108" i="5"/>
  <c r="AW50" i="11"/>
  <c r="AW51" i="11" s="1"/>
  <c r="AW4" i="9"/>
  <c r="AW69" i="5"/>
  <c r="AW22" i="11" s="1"/>
  <c r="AW23" i="11" s="1"/>
  <c r="AW24" i="11" s="1"/>
  <c r="AJ12" i="9"/>
  <c r="AJ4" i="8"/>
  <c r="AJ108" i="5"/>
  <c r="BL50" i="11"/>
  <c r="BL51" i="11" s="1"/>
  <c r="BL4" i="9"/>
  <c r="BL69" i="5"/>
  <c r="BL22" i="11" s="1"/>
  <c r="BL23" i="11" s="1"/>
  <c r="BL24" i="11" s="1"/>
  <c r="CA50" i="11"/>
  <c r="CA51" i="11" s="1"/>
  <c r="CA4" i="9"/>
  <c r="CA29" i="9" s="1"/>
  <c r="CA69" i="5"/>
  <c r="CA22" i="11" s="1"/>
  <c r="CA23" i="11" s="1"/>
  <c r="CA24" i="11" s="1"/>
  <c r="O50" i="11"/>
  <c r="O51" i="11" s="1"/>
  <c r="O4" i="9"/>
  <c r="O69" i="5"/>
  <c r="O22" i="11" s="1"/>
  <c r="O23" i="11" s="1"/>
  <c r="O24" i="11" s="1"/>
  <c r="BZ50" i="11"/>
  <c r="BZ51" i="11" s="1"/>
  <c r="BZ4" i="9"/>
  <c r="BZ69" i="5"/>
  <c r="BZ22" i="11" s="1"/>
  <c r="BZ23" i="11" s="1"/>
  <c r="BZ24" i="11" s="1"/>
  <c r="N50" i="11"/>
  <c r="N51" i="11" s="1"/>
  <c r="N4" i="9"/>
  <c r="N69" i="5"/>
  <c r="N22" i="11" s="1"/>
  <c r="N23" i="11" s="1"/>
  <c r="N24" i="11" s="1"/>
  <c r="AS50" i="11"/>
  <c r="AS51" i="11" s="1"/>
  <c r="AS4" i="9"/>
  <c r="AS69" i="5"/>
  <c r="AS22" i="11" s="1"/>
  <c r="AS23" i="11" s="1"/>
  <c r="AS24" i="11" s="1"/>
  <c r="BP12" i="9"/>
  <c r="BP4" i="8"/>
  <c r="BP108" i="5"/>
  <c r="AZ50" i="11"/>
  <c r="AZ51" i="11" s="1"/>
  <c r="AZ4" i="9"/>
  <c r="AZ69" i="5"/>
  <c r="AZ22" i="11" s="1"/>
  <c r="AZ23" i="11" s="1"/>
  <c r="AZ24" i="11" s="1"/>
  <c r="BG32" i="9"/>
  <c r="AA32" i="9"/>
  <c r="BO50" i="11"/>
  <c r="BO51" i="11" s="1"/>
  <c r="BO4" i="9"/>
  <c r="BO69" i="5"/>
  <c r="BO22" i="11" s="1"/>
  <c r="BO23" i="11" s="1"/>
  <c r="BO24" i="11" s="1"/>
  <c r="CD50" i="11"/>
  <c r="CD51" i="11" s="1"/>
  <c r="CD4" i="9"/>
  <c r="CD69" i="5"/>
  <c r="CD22" i="11" s="1"/>
  <c r="CD23" i="11" s="1"/>
  <c r="CD24" i="11" s="1"/>
  <c r="R50" i="11"/>
  <c r="R51" i="11" s="1"/>
  <c r="R4" i="9"/>
  <c r="R69" i="5"/>
  <c r="R22" i="11" s="1"/>
  <c r="R23" i="11" s="1"/>
  <c r="R24" i="11" s="1"/>
  <c r="AU12" i="9"/>
  <c r="AU4" i="8"/>
  <c r="AU108" i="5"/>
  <c r="AD12" i="9"/>
  <c r="AD4" i="8"/>
  <c r="AD108" i="5"/>
  <c r="BY12" i="9"/>
  <c r="BY108" i="5"/>
  <c r="AQ12" i="9"/>
  <c r="AQ4" i="8"/>
  <c r="AQ108" i="5"/>
  <c r="AG12" i="9"/>
  <c r="AG4" i="8"/>
  <c r="AG108" i="5"/>
  <c r="CJ12" i="9"/>
  <c r="CJ108" i="5"/>
  <c r="X12" i="9"/>
  <c r="X4" i="8"/>
  <c r="X108" i="5"/>
  <c r="AO50" i="11"/>
  <c r="AO51" i="11" s="1"/>
  <c r="AO4" i="9"/>
  <c r="AO69" i="5"/>
  <c r="AO22" i="11" s="1"/>
  <c r="AO23" i="11" s="1"/>
  <c r="AO24" i="11" s="1"/>
  <c r="BD50" i="11"/>
  <c r="BD51" i="11" s="1"/>
  <c r="BD4" i="9"/>
  <c r="BD69" i="5"/>
  <c r="BD22" i="11" s="1"/>
  <c r="BD23" i="11" s="1"/>
  <c r="BD24" i="11" s="1"/>
  <c r="B27" i="13"/>
  <c r="B8" i="13"/>
  <c r="E12" i="9"/>
  <c r="E69" i="9" s="1"/>
  <c r="E4" i="8"/>
  <c r="CI32" i="9"/>
  <c r="BS50" i="11"/>
  <c r="BS51" i="11" s="1"/>
  <c r="BS4" i="9"/>
  <c r="BS69" i="5"/>
  <c r="BS22" i="11" s="1"/>
  <c r="BS23" i="11" s="1"/>
  <c r="BS24" i="11" s="1"/>
  <c r="G50" i="11"/>
  <c r="G51" i="11" s="1"/>
  <c r="G4" i="9"/>
  <c r="G69" i="5"/>
  <c r="G22" i="11" s="1"/>
  <c r="G23" i="11" s="1"/>
  <c r="G24" i="11" s="1"/>
  <c r="CF12" i="9"/>
  <c r="CF108" i="5"/>
  <c r="CH32" i="9"/>
  <c r="BR50" i="11"/>
  <c r="BR51" i="11" s="1"/>
  <c r="BR4" i="9"/>
  <c r="BR69" i="5"/>
  <c r="BR22" i="11" s="1"/>
  <c r="BR23" i="11" s="1"/>
  <c r="BR24" i="11" s="1"/>
  <c r="F50" i="11"/>
  <c r="F51" i="11" s="1"/>
  <c r="F4" i="9"/>
  <c r="F69" i="5"/>
  <c r="F22" i="11" s="1"/>
  <c r="F23" i="11" s="1"/>
  <c r="F24" i="11" s="1"/>
  <c r="AK50" i="11"/>
  <c r="AK51" i="11" s="1"/>
  <c r="AK4" i="9"/>
  <c r="AK69" i="5"/>
  <c r="AK22" i="11" s="1"/>
  <c r="AK23" i="11" s="1"/>
  <c r="AK24" i="11" s="1"/>
  <c r="BF12" i="9"/>
  <c r="BF108" i="5"/>
  <c r="BF4" i="8"/>
  <c r="Z12" i="9"/>
  <c r="Z4" i="8"/>
  <c r="Z108" i="5"/>
  <c r="AR50" i="11"/>
  <c r="AR51" i="11" s="1"/>
  <c r="AR4" i="9"/>
  <c r="AR69" i="5"/>
  <c r="AR22" i="11" s="1"/>
  <c r="AR23" i="11" s="1"/>
  <c r="AR24" i="11" s="1"/>
  <c r="BH12" i="9"/>
  <c r="BH4" i="8"/>
  <c r="BH5" i="8" s="1"/>
  <c r="BH108" i="5"/>
  <c r="BG50" i="11"/>
  <c r="BG51" i="11" s="1"/>
  <c r="BG4" i="9"/>
  <c r="BG69" i="5"/>
  <c r="BG22" i="11" s="1"/>
  <c r="BG23" i="11" s="1"/>
  <c r="BG24" i="11" s="1"/>
  <c r="BV50" i="11"/>
  <c r="BV51" i="11" s="1"/>
  <c r="BV4" i="9"/>
  <c r="BV69" i="5"/>
  <c r="BV22" i="11" s="1"/>
  <c r="BV23" i="11" s="1"/>
  <c r="BV24" i="11" s="1"/>
  <c r="J50" i="11"/>
  <c r="J51" i="11" s="1"/>
  <c r="J4" i="9"/>
  <c r="J69" i="5"/>
  <c r="J22" i="11" s="1"/>
  <c r="J23" i="11" s="1"/>
  <c r="J24" i="11" s="1"/>
  <c r="AM12" i="9"/>
  <c r="AM4" i="8"/>
  <c r="AM108" i="5"/>
  <c r="CH12" i="9"/>
  <c r="CH108" i="5"/>
  <c r="V12" i="9"/>
  <c r="V4" i="8"/>
  <c r="V108" i="5"/>
  <c r="BQ12" i="9"/>
  <c r="BQ4" i="8"/>
  <c r="BQ5" i="8" s="1"/>
  <c r="BQ108" i="5"/>
  <c r="AI12" i="9"/>
  <c r="AI4" i="8"/>
  <c r="AI108" i="5"/>
  <c r="CK12" i="9"/>
  <c r="CK108" i="5"/>
  <c r="Y12" i="9"/>
  <c r="Y4" i="8"/>
  <c r="Y108" i="5"/>
  <c r="CB12" i="9"/>
  <c r="CB108" i="5"/>
  <c r="P12" i="9"/>
  <c r="P4" i="8"/>
  <c r="P108" i="5"/>
  <c r="AG50" i="11"/>
  <c r="AG51" i="11" s="1"/>
  <c r="AG4" i="9"/>
  <c r="AG29" i="9" s="1"/>
  <c r="AG69" i="5"/>
  <c r="AG22" i="11" s="1"/>
  <c r="AG23" i="11" s="1"/>
  <c r="AG24" i="11" s="1"/>
  <c r="AV50" i="11"/>
  <c r="AV51" i="11" s="1"/>
  <c r="AV4" i="9"/>
  <c r="AV69" i="5"/>
  <c r="AV22" i="11" s="1"/>
  <c r="AV23" i="11" s="1"/>
  <c r="AV24" i="11" s="1"/>
  <c r="BK50" i="11"/>
  <c r="BK51" i="11" s="1"/>
  <c r="BK4" i="9"/>
  <c r="BK69" i="5"/>
  <c r="BK22" i="11" s="1"/>
  <c r="BK23" i="11" s="1"/>
  <c r="BK24" i="11" s="1"/>
  <c r="T12" i="9"/>
  <c r="T4" i="8"/>
  <c r="T108" i="5"/>
  <c r="BJ50" i="11"/>
  <c r="BJ51" i="11" s="1"/>
  <c r="BJ4" i="9"/>
  <c r="BJ69" i="5"/>
  <c r="BJ22" i="11" s="1"/>
  <c r="BJ23" i="11" s="1"/>
  <c r="BJ24" i="11" s="1"/>
  <c r="BX12" i="9"/>
  <c r="BX108" i="5"/>
  <c r="AC50" i="11"/>
  <c r="AC51" i="11" s="1"/>
  <c r="AC4" i="9"/>
  <c r="AC69" i="5"/>
  <c r="AC22" i="11" s="1"/>
  <c r="AC23" i="11" s="1"/>
  <c r="AC24" i="11" s="1"/>
  <c r="AJ50" i="11"/>
  <c r="AJ51" i="11" s="1"/>
  <c r="AJ4" i="9"/>
  <c r="AJ69" i="5"/>
  <c r="AJ22" i="11" s="1"/>
  <c r="AJ23" i="11" s="1"/>
  <c r="AJ24" i="11" s="1"/>
  <c r="CE32" i="9"/>
  <c r="AY32" i="9"/>
  <c r="S32" i="9"/>
  <c r="AY50" i="11"/>
  <c r="AY51" i="11" s="1"/>
  <c r="AY4" i="9"/>
  <c r="AY69" i="5"/>
  <c r="AY22" i="11" s="1"/>
  <c r="AY23" i="11" s="1"/>
  <c r="AY24" i="11" s="1"/>
  <c r="BN50" i="11"/>
  <c r="BN51" i="11" s="1"/>
  <c r="BN4" i="9"/>
  <c r="BN69" i="5"/>
  <c r="BN22" i="11" s="1"/>
  <c r="BN23" i="11" s="1"/>
  <c r="BN24" i="11" s="1"/>
  <c r="AJ28" i="12"/>
  <c r="BR28" i="12"/>
  <c r="F28" i="12"/>
  <c r="AB28" i="12"/>
  <c r="AG28" i="12"/>
  <c r="BJ28" i="12"/>
  <c r="CF28" i="12"/>
  <c r="T28" i="12"/>
  <c r="BB28" i="12"/>
  <c r="AT28" i="12"/>
  <c r="BZ28" i="12"/>
  <c r="AL28" i="12"/>
  <c r="AD28" i="12"/>
  <c r="N28" i="12"/>
  <c r="AC28" i="12"/>
  <c r="AA28" i="12"/>
  <c r="AP28" i="12"/>
  <c r="CG28" i="12"/>
  <c r="U28" i="12"/>
  <c r="CE28" i="12"/>
  <c r="S28" i="12"/>
  <c r="AH28" i="12"/>
  <c r="BY28" i="12"/>
  <c r="M28" i="12"/>
  <c r="X28" i="12"/>
  <c r="BW28" i="12"/>
  <c r="K28" i="12"/>
  <c r="Z28" i="12"/>
  <c r="BQ28" i="12"/>
  <c r="E31" i="12"/>
  <c r="E28" i="12"/>
  <c r="C39" i="13"/>
  <c r="CB28" i="12"/>
  <c r="P28" i="12"/>
  <c r="BO28" i="12"/>
  <c r="CD28" i="12"/>
  <c r="R28" i="12"/>
  <c r="BI28" i="12"/>
  <c r="BT28" i="12"/>
  <c r="H28" i="12"/>
  <c r="BG28" i="12"/>
  <c r="BV28" i="12"/>
  <c r="J28" i="12"/>
  <c r="BA28" i="12"/>
  <c r="BL28" i="12"/>
  <c r="AY28" i="12"/>
  <c r="BN28" i="12"/>
  <c r="AS28" i="12"/>
  <c r="BD28" i="12"/>
  <c r="AQ28" i="12"/>
  <c r="BF28" i="12"/>
  <c r="AK28" i="12"/>
  <c r="AV28" i="12"/>
  <c r="AI28" i="12"/>
  <c r="AX28" i="12"/>
  <c r="CL17" i="9"/>
  <c r="CL15" i="9"/>
  <c r="BP5" i="8" l="1"/>
  <c r="CH34" i="10"/>
  <c r="CH29" i="10" s="1"/>
  <c r="BJ34" i="10"/>
  <c r="BJ29" i="10" s="1"/>
  <c r="AT5" i="8"/>
  <c r="BF5" i="8"/>
  <c r="CG29" i="9"/>
  <c r="CD29" i="9"/>
  <c r="BR39" i="10"/>
  <c r="Y5" i="8"/>
  <c r="AQ5" i="8"/>
  <c r="V24" i="11"/>
  <c r="BN5" i="8"/>
  <c r="S69" i="9"/>
  <c r="N69" i="9"/>
  <c r="U69" i="9"/>
  <c r="O69" i="9"/>
  <c r="AJ29" i="9"/>
  <c r="P69" i="9"/>
  <c r="BS29" i="9"/>
  <c r="Q69" i="9"/>
  <c r="T69" i="9"/>
  <c r="R69" i="9"/>
  <c r="N38" i="6"/>
  <c r="AT38" i="6"/>
  <c r="AT39" i="6" s="1"/>
  <c r="BJ38" i="6"/>
  <c r="BJ39" i="6" s="1"/>
  <c r="BJ39" i="10"/>
  <c r="BJ6" i="11"/>
  <c r="BR34" i="10"/>
  <c r="BR29" i="10" s="1"/>
  <c r="BR6" i="11"/>
  <c r="BR38" i="6"/>
  <c r="BR39" i="6" s="1"/>
  <c r="BB38" i="6"/>
  <c r="BB39" i="6" s="1"/>
  <c r="BB34" i="10"/>
  <c r="BB29" i="10" s="1"/>
  <c r="BB39" i="10"/>
  <c r="BB6" i="11"/>
  <c r="BK5" i="8"/>
  <c r="BN29" i="9"/>
  <c r="BT29" i="9"/>
  <c r="BD29" i="9"/>
  <c r="BM29" i="9"/>
  <c r="BE29" i="9"/>
  <c r="BU29" i="9"/>
  <c r="AG5" i="8"/>
  <c r="BC5" i="8"/>
  <c r="AY5" i="8"/>
  <c r="CC29" i="9"/>
  <c r="BQ29" i="9"/>
  <c r="BK29" i="9"/>
  <c r="AD34" i="10"/>
  <c r="AD29" i="10" s="1"/>
  <c r="AL6" i="11"/>
  <c r="AM5" i="8"/>
  <c r="AW5" i="8"/>
  <c r="AZ5" i="8"/>
  <c r="AJ5" i="8"/>
  <c r="AV5" i="8"/>
  <c r="AX29" i="9"/>
  <c r="W29" i="9"/>
  <c r="AK29" i="9"/>
  <c r="K5" i="8"/>
  <c r="S5" i="8"/>
  <c r="BA29" i="9"/>
  <c r="BL5" i="8"/>
  <c r="BR5" i="8"/>
  <c r="CH38" i="6"/>
  <c r="CH39" i="6" s="1"/>
  <c r="AV29" i="9"/>
  <c r="AI5" i="8"/>
  <c r="AH5" i="8"/>
  <c r="BG5" i="8"/>
  <c r="AE29" i="9"/>
  <c r="AK5" i="8"/>
  <c r="BM5" i="8"/>
  <c r="AS5" i="8"/>
  <c r="AT34" i="10"/>
  <c r="AT29" i="10" s="1"/>
  <c r="CH39" i="10"/>
  <c r="AY29" i="9"/>
  <c r="BV29" i="9"/>
  <c r="AU5" i="8"/>
  <c r="BA5" i="8"/>
  <c r="BI5" i="8"/>
  <c r="AT39" i="10"/>
  <c r="CH6" i="11"/>
  <c r="AW29" i="9"/>
  <c r="AN5" i="8"/>
  <c r="BI29" i="9"/>
  <c r="BB5" i="8"/>
  <c r="BJ5" i="8"/>
  <c r="AT6" i="11"/>
  <c r="AP5" i="8"/>
  <c r="BL29" i="9"/>
  <c r="AR5" i="8"/>
  <c r="AP29" i="9"/>
  <c r="BY29" i="9"/>
  <c r="Z5" i="8"/>
  <c r="AS29" i="9"/>
  <c r="AF5" i="8"/>
  <c r="BO5" i="8"/>
  <c r="BD5" i="8"/>
  <c r="AX5" i="8"/>
  <c r="AD5" i="8"/>
  <c r="AA5" i="8"/>
  <c r="T5" i="8"/>
  <c r="W5" i="8"/>
  <c r="V5" i="8"/>
  <c r="X5" i="8"/>
  <c r="AC5" i="8"/>
  <c r="R5" i="8"/>
  <c r="AB5" i="8"/>
  <c r="U5" i="8"/>
  <c r="AE5" i="8"/>
  <c r="N34" i="10"/>
  <c r="N29" i="10" s="1"/>
  <c r="N39" i="10"/>
  <c r="N54" i="10" s="1"/>
  <c r="N55" i="10" s="1"/>
  <c r="N6" i="11"/>
  <c r="F6" i="11"/>
  <c r="P5" i="8"/>
  <c r="E5" i="8"/>
  <c r="J5" i="8"/>
  <c r="O5" i="8"/>
  <c r="G5" i="8"/>
  <c r="Q5" i="8"/>
  <c r="N5" i="8"/>
  <c r="M5" i="8"/>
  <c r="M37" i="9"/>
  <c r="I37" i="9"/>
  <c r="E37" i="9"/>
  <c r="L5" i="8"/>
  <c r="H5" i="8"/>
  <c r="F5" i="8"/>
  <c r="I5" i="8"/>
  <c r="D39" i="13"/>
  <c r="E39" i="13"/>
  <c r="G39" i="13"/>
  <c r="H39" i="13"/>
  <c r="F39" i="13"/>
  <c r="E35" i="9"/>
  <c r="F38" i="6"/>
  <c r="F34" i="10"/>
  <c r="F33" i="10" s="1"/>
  <c r="F39" i="10"/>
  <c r="F54" i="10" s="1"/>
  <c r="F55" i="10" s="1"/>
  <c r="AD39" i="10"/>
  <c r="AD6" i="11"/>
  <c r="AL38" i="6"/>
  <c r="AL39" i="6" s="1"/>
  <c r="AL34" i="10"/>
  <c r="AL29" i="10" s="1"/>
  <c r="AD38" i="6"/>
  <c r="AD39" i="6" s="1"/>
  <c r="AL39" i="10"/>
  <c r="H29" i="9"/>
  <c r="AH29" i="9"/>
  <c r="V6" i="11"/>
  <c r="V32" i="6"/>
  <c r="I29" i="9"/>
  <c r="M21" i="9"/>
  <c r="I21" i="9"/>
  <c r="M35" i="9"/>
  <c r="M29" i="9"/>
  <c r="I35" i="9"/>
  <c r="AC29" i="9"/>
  <c r="R29" i="9"/>
  <c r="Z29" i="9"/>
  <c r="P29" i="9"/>
  <c r="Q29" i="9"/>
  <c r="U29" i="9"/>
  <c r="J29" i="9"/>
  <c r="G29" i="9"/>
  <c r="O29" i="9"/>
  <c r="E21" i="9"/>
  <c r="N29" i="9"/>
  <c r="AO29" i="9"/>
  <c r="AZ29" i="9"/>
  <c r="T29" i="9"/>
  <c r="BR29" i="9"/>
  <c r="K29" i="9"/>
  <c r="S29" i="9"/>
  <c r="BP29" i="9"/>
  <c r="AA29" i="9"/>
  <c r="AL29" i="9"/>
  <c r="BB29" i="9"/>
  <c r="AR29" i="9"/>
  <c r="AI29" i="9"/>
  <c r="AF29" i="9"/>
  <c r="Y29" i="9"/>
  <c r="BO29" i="9"/>
  <c r="V29" i="9"/>
  <c r="E29" i="9"/>
  <c r="CF29" i="9"/>
  <c r="BJ29" i="9"/>
  <c r="BG29" i="9"/>
  <c r="BZ29" i="9"/>
  <c r="BW29" i="9"/>
  <c r="CE29" i="9"/>
  <c r="L29" i="9"/>
  <c r="AT29" i="9"/>
  <c r="BF29" i="9"/>
  <c r="BC29" i="9"/>
  <c r="AB29" i="9"/>
  <c r="F29" i="9"/>
  <c r="BH29" i="9"/>
  <c r="AD29" i="9"/>
  <c r="BX29" i="9"/>
  <c r="AU29" i="9"/>
  <c r="AQ29" i="9"/>
  <c r="AN29" i="9"/>
  <c r="V38" i="6"/>
  <c r="V34" i="10"/>
  <c r="V29" i="10" s="1"/>
  <c r="V39" i="10"/>
  <c r="V54" i="10" s="1"/>
  <c r="V55" i="10" s="1"/>
  <c r="S6" i="11"/>
  <c r="S39" i="10"/>
  <c r="S54" i="10" s="1"/>
  <c r="S55" i="10" s="1"/>
  <c r="S34" i="10"/>
  <c r="S29" i="10" s="1"/>
  <c r="S38" i="6"/>
  <c r="W6" i="11"/>
  <c r="W39" i="10"/>
  <c r="W54" i="10" s="1"/>
  <c r="W55" i="10" s="1"/>
  <c r="W34" i="10"/>
  <c r="W38" i="6"/>
  <c r="AE6" i="11"/>
  <c r="AE39" i="10"/>
  <c r="AE34" i="10"/>
  <c r="AE29" i="10" s="1"/>
  <c r="AE38" i="6"/>
  <c r="AE39" i="6" s="1"/>
  <c r="AR6" i="11"/>
  <c r="AR39" i="10"/>
  <c r="AR34" i="10"/>
  <c r="AR29" i="10" s="1"/>
  <c r="AR38" i="6"/>
  <c r="AR39" i="6" s="1"/>
  <c r="AU6" i="11"/>
  <c r="AU39" i="10"/>
  <c r="AU34" i="10"/>
  <c r="AU29" i="10" s="1"/>
  <c r="AU38" i="6"/>
  <c r="AU39" i="6" s="1"/>
  <c r="BH6" i="11"/>
  <c r="BH39" i="10"/>
  <c r="BH34" i="10"/>
  <c r="BH29" i="10" s="1"/>
  <c r="BH38" i="6"/>
  <c r="BH39" i="6" s="1"/>
  <c r="CJ6" i="11"/>
  <c r="CJ34" i="10"/>
  <c r="CJ29" i="10" s="1"/>
  <c r="CJ39" i="10"/>
  <c r="CJ38" i="6"/>
  <c r="CJ39" i="6" s="1"/>
  <c r="BZ9" i="11"/>
  <c r="BZ40" i="10"/>
  <c r="BZ41" i="10" s="1"/>
  <c r="BZ42" i="6"/>
  <c r="BZ43" i="6" s="1"/>
  <c r="BZ41" i="6"/>
  <c r="BZ33" i="10"/>
  <c r="BZ31" i="10"/>
  <c r="AN6" i="11"/>
  <c r="AN34" i="10"/>
  <c r="AN29" i="10" s="1"/>
  <c r="AN39" i="10"/>
  <c r="AN38" i="6"/>
  <c r="AN39" i="6" s="1"/>
  <c r="AD31" i="10"/>
  <c r="CF6" i="11"/>
  <c r="CF34" i="10"/>
  <c r="CF29" i="10" s="1"/>
  <c r="CF39" i="10"/>
  <c r="CF38" i="6"/>
  <c r="CF39" i="6" s="1"/>
  <c r="CC6" i="11"/>
  <c r="CC34" i="10"/>
  <c r="CC29" i="10" s="1"/>
  <c r="CC39" i="10"/>
  <c r="CC38" i="6"/>
  <c r="CC39" i="6" s="1"/>
  <c r="AO6" i="11"/>
  <c r="AO39" i="10"/>
  <c r="AO34" i="10"/>
  <c r="AO29" i="10" s="1"/>
  <c r="AO38" i="6"/>
  <c r="AO39" i="6" s="1"/>
  <c r="AW6" i="11"/>
  <c r="AW39" i="10"/>
  <c r="AW34" i="10"/>
  <c r="AW29" i="10" s="1"/>
  <c r="AW38" i="6"/>
  <c r="AW39" i="6" s="1"/>
  <c r="C38" i="6"/>
  <c r="C32" i="6"/>
  <c r="D38" i="6"/>
  <c r="D32" i="6"/>
  <c r="M6" i="11"/>
  <c r="M39" i="10"/>
  <c r="M54" i="10" s="1"/>
  <c r="M55" i="10" s="1"/>
  <c r="M34" i="10"/>
  <c r="M29" i="10" s="1"/>
  <c r="M38" i="6"/>
  <c r="G6" i="11"/>
  <c r="G39" i="10"/>
  <c r="G54" i="10" s="1"/>
  <c r="G55" i="10" s="1"/>
  <c r="G34" i="10"/>
  <c r="G29" i="10" s="1"/>
  <c r="G38" i="6"/>
  <c r="CG6" i="11"/>
  <c r="CG39" i="10"/>
  <c r="CG34" i="10"/>
  <c r="CG29" i="10" s="1"/>
  <c r="CG38" i="6"/>
  <c r="CG39" i="6" s="1"/>
  <c r="AK6" i="11"/>
  <c r="AK39" i="10"/>
  <c r="AK34" i="10"/>
  <c r="AK29" i="10" s="1"/>
  <c r="AK38" i="6"/>
  <c r="AK39" i="6" s="1"/>
  <c r="Y6" i="11"/>
  <c r="Y39" i="10"/>
  <c r="Y54" i="10" s="1"/>
  <c r="Y55" i="10" s="1"/>
  <c r="Y34" i="10"/>
  <c r="Y38" i="6"/>
  <c r="AG6" i="11"/>
  <c r="AG39" i="10"/>
  <c r="AG34" i="10"/>
  <c r="AG29" i="10" s="1"/>
  <c r="AG38" i="6"/>
  <c r="AG39" i="6" s="1"/>
  <c r="H6" i="11"/>
  <c r="H34" i="10"/>
  <c r="H29" i="10" s="1"/>
  <c r="H39" i="10"/>
  <c r="H54" i="10" s="1"/>
  <c r="H55" i="10" s="1"/>
  <c r="H38" i="6"/>
  <c r="BG6" i="11"/>
  <c r="BG39" i="10"/>
  <c r="BG34" i="10"/>
  <c r="BG29" i="10" s="1"/>
  <c r="BG38" i="6"/>
  <c r="BG39" i="6" s="1"/>
  <c r="BI6" i="11"/>
  <c r="BI39" i="10"/>
  <c r="BI34" i="10"/>
  <c r="BI29" i="10" s="1"/>
  <c r="BI38" i="6"/>
  <c r="BI39" i="6" s="1"/>
  <c r="BC6" i="11"/>
  <c r="BC39" i="10"/>
  <c r="BC34" i="10"/>
  <c r="BC29" i="10" s="1"/>
  <c r="BC38" i="6"/>
  <c r="BC39" i="6" s="1"/>
  <c r="CD6" i="11"/>
  <c r="CD34" i="10"/>
  <c r="CD29" i="10" s="1"/>
  <c r="CD39" i="10"/>
  <c r="CD38" i="6"/>
  <c r="CD39" i="6" s="1"/>
  <c r="Z6" i="11"/>
  <c r="Z39" i="10"/>
  <c r="Z54" i="10" s="1"/>
  <c r="Z55" i="10" s="1"/>
  <c r="Z34" i="10"/>
  <c r="Z29" i="10" s="1"/>
  <c r="Z38" i="6"/>
  <c r="L6" i="11"/>
  <c r="L39" i="10"/>
  <c r="L54" i="10" s="1"/>
  <c r="L55" i="10" s="1"/>
  <c r="L34" i="10"/>
  <c r="L29" i="10" s="1"/>
  <c r="L38" i="6"/>
  <c r="CA6" i="11"/>
  <c r="CA39" i="10"/>
  <c r="CA34" i="10"/>
  <c r="CA29" i="10" s="1"/>
  <c r="CA38" i="6"/>
  <c r="CA39" i="6" s="1"/>
  <c r="AS6" i="11"/>
  <c r="AS39" i="10"/>
  <c r="AS34" i="10"/>
  <c r="AS29" i="10" s="1"/>
  <c r="AS38" i="6"/>
  <c r="AS39" i="6" s="1"/>
  <c r="AY6" i="11"/>
  <c r="AY39" i="10"/>
  <c r="AY34" i="10"/>
  <c r="AY29" i="10" s="1"/>
  <c r="AY38" i="6"/>
  <c r="AY39" i="6" s="1"/>
  <c r="BV6" i="11"/>
  <c r="BV39" i="10"/>
  <c r="BV34" i="10"/>
  <c r="BV38" i="6"/>
  <c r="BV39" i="6" s="1"/>
  <c r="BO6" i="11"/>
  <c r="BO39" i="10"/>
  <c r="BO34" i="10"/>
  <c r="BO29" i="10" s="1"/>
  <c r="BO38" i="6"/>
  <c r="BO39" i="6" s="1"/>
  <c r="BQ6" i="11"/>
  <c r="BQ39" i="10"/>
  <c r="BQ34" i="10"/>
  <c r="BQ29" i="10" s="1"/>
  <c r="BQ38" i="6"/>
  <c r="BQ39" i="6" s="1"/>
  <c r="X6" i="11"/>
  <c r="X34" i="10"/>
  <c r="X39" i="10"/>
  <c r="X54" i="10" s="1"/>
  <c r="X55" i="10" s="1"/>
  <c r="X38" i="6"/>
  <c r="BZ29" i="10"/>
  <c r="BW6" i="11"/>
  <c r="BW39" i="10"/>
  <c r="BW34" i="10"/>
  <c r="BW38" i="6"/>
  <c r="BW39" i="6" s="1"/>
  <c r="BP6" i="11"/>
  <c r="BP39" i="10"/>
  <c r="BP34" i="10"/>
  <c r="BP29" i="10" s="1"/>
  <c r="BP38" i="6"/>
  <c r="BP39" i="6" s="1"/>
  <c r="AF6" i="11"/>
  <c r="AF34" i="10"/>
  <c r="AF29" i="10" s="1"/>
  <c r="AF39" i="10"/>
  <c r="AF38" i="6"/>
  <c r="AF39" i="6" s="1"/>
  <c r="AH6" i="11"/>
  <c r="AH39" i="10"/>
  <c r="AH34" i="10"/>
  <c r="AH29" i="10" s="1"/>
  <c r="AH38" i="6"/>
  <c r="AH39" i="6" s="1"/>
  <c r="BU6" i="11"/>
  <c r="BU39" i="10"/>
  <c r="BU34" i="10"/>
  <c r="BU29" i="10" s="1"/>
  <c r="BU38" i="6"/>
  <c r="BU39" i="6" s="1"/>
  <c r="T6" i="11"/>
  <c r="T39" i="10"/>
  <c r="T54" i="10" s="1"/>
  <c r="T55" i="10" s="1"/>
  <c r="T34" i="10"/>
  <c r="T38" i="6"/>
  <c r="Q6" i="11"/>
  <c r="Q39" i="10"/>
  <c r="Q54" i="10" s="1"/>
  <c r="Q55" i="10" s="1"/>
  <c r="Q34" i="10"/>
  <c r="Q29" i="10" s="1"/>
  <c r="Q38" i="6"/>
  <c r="AX6" i="11"/>
  <c r="AX39" i="10"/>
  <c r="AX34" i="10"/>
  <c r="AX29" i="10" s="1"/>
  <c r="AX38" i="6"/>
  <c r="AX39" i="6" s="1"/>
  <c r="AB6" i="11"/>
  <c r="AB39" i="10"/>
  <c r="AB54" i="10" s="1"/>
  <c r="AB55" i="10" s="1"/>
  <c r="AB34" i="10"/>
  <c r="AB38" i="6"/>
  <c r="BL6" i="11"/>
  <c r="BL34" i="10"/>
  <c r="BL29" i="10" s="1"/>
  <c r="BL39" i="10"/>
  <c r="BL38" i="6"/>
  <c r="BL39" i="6" s="1"/>
  <c r="B32" i="6"/>
  <c r="B38" i="6"/>
  <c r="CB6" i="11"/>
  <c r="CB34" i="10"/>
  <c r="CB29" i="10" s="1"/>
  <c r="CB39" i="10"/>
  <c r="CB38" i="6"/>
  <c r="CB39" i="6" s="1"/>
  <c r="CE6" i="11"/>
  <c r="CE39" i="10"/>
  <c r="CE34" i="10"/>
  <c r="CE29" i="10" s="1"/>
  <c r="CE38" i="6"/>
  <c r="CE39" i="6" s="1"/>
  <c r="U6" i="11"/>
  <c r="U39" i="10"/>
  <c r="U54" i="10" s="1"/>
  <c r="U55" i="10" s="1"/>
  <c r="U34" i="10"/>
  <c r="U29" i="10" s="1"/>
  <c r="U38" i="6"/>
  <c r="CI6" i="11"/>
  <c r="CI39" i="10"/>
  <c r="CI34" i="10"/>
  <c r="CI29" i="10" s="1"/>
  <c r="CI38" i="6"/>
  <c r="CI39" i="6" s="1"/>
  <c r="BD6" i="11"/>
  <c r="BD34" i="10"/>
  <c r="BD29" i="10" s="1"/>
  <c r="BD39" i="10"/>
  <c r="BD38" i="6"/>
  <c r="BD39" i="6" s="1"/>
  <c r="AJ6" i="11"/>
  <c r="AJ39" i="10"/>
  <c r="AJ34" i="10"/>
  <c r="AJ29" i="10" s="1"/>
  <c r="AJ38" i="6"/>
  <c r="AJ39" i="6" s="1"/>
  <c r="BM6" i="11"/>
  <c r="BM39" i="10"/>
  <c r="BM34" i="10"/>
  <c r="BM38" i="6"/>
  <c r="BM39" i="6" s="1"/>
  <c r="O6" i="11"/>
  <c r="O39" i="10"/>
  <c r="O54" i="10" s="1"/>
  <c r="O55" i="10" s="1"/>
  <c r="O34" i="10"/>
  <c r="O29" i="10" s="1"/>
  <c r="O38" i="6"/>
  <c r="AP6" i="11"/>
  <c r="AP39" i="10"/>
  <c r="AP34" i="10"/>
  <c r="AP29" i="10" s="1"/>
  <c r="AP38" i="6"/>
  <c r="AP39" i="6" s="1"/>
  <c r="AA39" i="10"/>
  <c r="AA54" i="10" s="1"/>
  <c r="AA55" i="10" s="1"/>
  <c r="AA6" i="11"/>
  <c r="AA34" i="10"/>
  <c r="AA38" i="6"/>
  <c r="AM6" i="11"/>
  <c r="AM39" i="10"/>
  <c r="AM34" i="10"/>
  <c r="AM29" i="10" s="1"/>
  <c r="AM38" i="6"/>
  <c r="AM39" i="6" s="1"/>
  <c r="BN6" i="11"/>
  <c r="BN39" i="10"/>
  <c r="BN34" i="10"/>
  <c r="BN38" i="6"/>
  <c r="BN39" i="6" s="1"/>
  <c r="J6" i="11"/>
  <c r="J39" i="10"/>
  <c r="J54" i="10" s="1"/>
  <c r="J55" i="10" s="1"/>
  <c r="J34" i="10"/>
  <c r="J29" i="10" s="1"/>
  <c r="J38" i="6"/>
  <c r="R6" i="11"/>
  <c r="R39" i="10"/>
  <c r="R54" i="10" s="1"/>
  <c r="R55" i="10" s="1"/>
  <c r="R34" i="10"/>
  <c r="R29" i="10" s="1"/>
  <c r="R38" i="6"/>
  <c r="E6" i="11"/>
  <c r="E39" i="10"/>
  <c r="E54" i="10" s="1"/>
  <c r="E55" i="10" s="1"/>
  <c r="E34" i="10"/>
  <c r="E29" i="10" s="1"/>
  <c r="E38" i="6"/>
  <c r="BK6" i="11"/>
  <c r="BK39" i="10"/>
  <c r="BK34" i="10"/>
  <c r="BK29" i="10" s="1"/>
  <c r="BK38" i="6"/>
  <c r="BK39" i="6" s="1"/>
  <c r="BE6" i="11"/>
  <c r="BE39" i="10"/>
  <c r="BE34" i="10"/>
  <c r="BE38" i="6"/>
  <c r="BE39" i="6" s="1"/>
  <c r="BY6" i="11"/>
  <c r="BY39" i="10"/>
  <c r="BY34" i="10"/>
  <c r="BY29" i="10" s="1"/>
  <c r="BY38" i="6"/>
  <c r="BY39" i="6" s="1"/>
  <c r="BS6" i="11"/>
  <c r="BS39" i="10"/>
  <c r="BS34" i="10"/>
  <c r="BS38" i="6"/>
  <c r="BS39" i="6" s="1"/>
  <c r="BX6" i="11"/>
  <c r="BX34" i="10"/>
  <c r="BX39" i="10"/>
  <c r="BX38" i="6"/>
  <c r="BX39" i="6" s="1"/>
  <c r="I6" i="11"/>
  <c r="I39" i="10"/>
  <c r="I54" i="10" s="1"/>
  <c r="I55" i="10" s="1"/>
  <c r="I34" i="10"/>
  <c r="I29" i="10" s="1"/>
  <c r="I38" i="6"/>
  <c r="AC6" i="11"/>
  <c r="AC39" i="10"/>
  <c r="AC54" i="10" s="1"/>
  <c r="AC55" i="10" s="1"/>
  <c r="AC34" i="10"/>
  <c r="AC29" i="10" s="1"/>
  <c r="AC38" i="6"/>
  <c r="AV6" i="11"/>
  <c r="AV34" i="10"/>
  <c r="AV39" i="10"/>
  <c r="AV38" i="6"/>
  <c r="AV39" i="6" s="1"/>
  <c r="AI39" i="10"/>
  <c r="AI6" i="11"/>
  <c r="AI34" i="10"/>
  <c r="AI38" i="6"/>
  <c r="AI39" i="6" s="1"/>
  <c r="BF6" i="11"/>
  <c r="BF39" i="10"/>
  <c r="BF34" i="10"/>
  <c r="BF29" i="10" s="1"/>
  <c r="BF38" i="6"/>
  <c r="BF39" i="6" s="1"/>
  <c r="AQ39" i="10"/>
  <c r="AQ6" i="11"/>
  <c r="AQ34" i="10"/>
  <c r="AQ29" i="10" s="1"/>
  <c r="AQ38" i="6"/>
  <c r="AQ39" i="6" s="1"/>
  <c r="CH31" i="10"/>
  <c r="CH33" i="10"/>
  <c r="BA6" i="11"/>
  <c r="BA39" i="10"/>
  <c r="BA34" i="10"/>
  <c r="BA29" i="10" s="1"/>
  <c r="BA38" i="6"/>
  <c r="BA39" i="6" s="1"/>
  <c r="BT6" i="11"/>
  <c r="BT34" i="10"/>
  <c r="BT29" i="10" s="1"/>
  <c r="BT39" i="10"/>
  <c r="BT38" i="6"/>
  <c r="BT39" i="6" s="1"/>
  <c r="AZ6" i="11"/>
  <c r="AZ39" i="10"/>
  <c r="AZ34" i="10"/>
  <c r="AZ38" i="6"/>
  <c r="AZ39" i="6" s="1"/>
  <c r="P6" i="11"/>
  <c r="P34" i="10"/>
  <c r="P39" i="10"/>
  <c r="P54" i="10" s="1"/>
  <c r="P55" i="10" s="1"/>
  <c r="P38" i="6"/>
  <c r="BE29" i="10"/>
  <c r="K6" i="11"/>
  <c r="K39" i="10"/>
  <c r="K54" i="10" s="1"/>
  <c r="K55" i="10" s="1"/>
  <c r="K34" i="10"/>
  <c r="K38" i="6"/>
  <c r="AY8" i="9"/>
  <c r="AY70" i="5"/>
  <c r="AY46" i="11" s="1"/>
  <c r="CK37" i="9"/>
  <c r="CK35" i="9"/>
  <c r="BG8" i="9"/>
  <c r="BG70" i="5"/>
  <c r="BG46" i="11" s="1"/>
  <c r="BR8" i="9"/>
  <c r="BR70" i="5"/>
  <c r="BR46" i="11" s="1"/>
  <c r="CF37" i="9"/>
  <c r="CF35" i="9"/>
  <c r="CA8" i="9"/>
  <c r="CA70" i="5"/>
  <c r="CA46" i="11" s="1"/>
  <c r="U37" i="9"/>
  <c r="U35" i="9"/>
  <c r="BC35" i="9"/>
  <c r="BC37" i="9"/>
  <c r="K8" i="9"/>
  <c r="K70" i="5"/>
  <c r="K46" i="11" s="1"/>
  <c r="BH8" i="9"/>
  <c r="BH70" i="5"/>
  <c r="BH46" i="11" s="1"/>
  <c r="BN37" i="9"/>
  <c r="BN35" i="9"/>
  <c r="BT8" i="9"/>
  <c r="BT70" i="5"/>
  <c r="BT46" i="11" s="1"/>
  <c r="BK37" i="9"/>
  <c r="BK35" i="9"/>
  <c r="S8" i="9"/>
  <c r="S70" i="5"/>
  <c r="S46" i="11" s="1"/>
  <c r="AK35" i="9"/>
  <c r="AK37" i="9"/>
  <c r="CJ8" i="9"/>
  <c r="CJ70" i="5"/>
  <c r="CJ46" i="11" s="1"/>
  <c r="BU8" i="9"/>
  <c r="BU70" i="5"/>
  <c r="BU46" i="11" s="1"/>
  <c r="AU8" i="9"/>
  <c r="AU70" i="5"/>
  <c r="AU46" i="11" s="1"/>
  <c r="AB8" i="9"/>
  <c r="AB70" i="5"/>
  <c r="AB46" i="11" s="1"/>
  <c r="AX37" i="9"/>
  <c r="AX35" i="9"/>
  <c r="BC8" i="9"/>
  <c r="BC70" i="5"/>
  <c r="BC46" i="11" s="1"/>
  <c r="AJ8" i="9"/>
  <c r="AJ70" i="5"/>
  <c r="AJ46" i="11" s="1"/>
  <c r="AV8" i="9"/>
  <c r="AV70" i="5"/>
  <c r="AV46" i="11" s="1"/>
  <c r="P37" i="9"/>
  <c r="P35" i="9"/>
  <c r="V37" i="9"/>
  <c r="V35" i="9"/>
  <c r="G8" i="9"/>
  <c r="G70" i="5"/>
  <c r="G46" i="11" s="1"/>
  <c r="BD8" i="9"/>
  <c r="BD70" i="5"/>
  <c r="BD46" i="11" s="1"/>
  <c r="CJ37" i="9"/>
  <c r="CJ35" i="9"/>
  <c r="BY37" i="9"/>
  <c r="BY35" i="9"/>
  <c r="R8" i="9"/>
  <c r="R70" i="5"/>
  <c r="R46" i="11" s="1"/>
  <c r="AJ37" i="9"/>
  <c r="AJ35" i="9"/>
  <c r="Z8" i="9"/>
  <c r="Z70" i="5"/>
  <c r="Z46" i="11" s="1"/>
  <c r="V8" i="9"/>
  <c r="V70" i="5"/>
  <c r="V46" i="11" s="1"/>
  <c r="BE8" i="9"/>
  <c r="BE70" i="5"/>
  <c r="BE46" i="11" s="1"/>
  <c r="AN37" i="9"/>
  <c r="AN35" i="9"/>
  <c r="AH8" i="9"/>
  <c r="AH70" i="5"/>
  <c r="AH46" i="11" s="1"/>
  <c r="P8" i="9"/>
  <c r="P70" i="5"/>
  <c r="P46" i="11" s="1"/>
  <c r="BS37" i="9"/>
  <c r="BS35" i="9"/>
  <c r="AA8" i="9"/>
  <c r="AA70" i="5"/>
  <c r="AA46" i="11" s="1"/>
  <c r="BV11" i="8"/>
  <c r="BV7" i="8"/>
  <c r="BD37" i="9"/>
  <c r="BD35" i="9"/>
  <c r="BW37" i="9"/>
  <c r="BW35" i="9"/>
  <c r="CC8" i="9"/>
  <c r="CC70" i="5"/>
  <c r="CC46" i="11" s="1"/>
  <c r="BU35" i="9"/>
  <c r="BU37" i="9"/>
  <c r="BA35" i="9"/>
  <c r="BA37" i="9"/>
  <c r="AQ8" i="9"/>
  <c r="AQ70" i="5"/>
  <c r="AQ46" i="11" s="1"/>
  <c r="BB8" i="9"/>
  <c r="BB70" i="5"/>
  <c r="BB46" i="11" s="1"/>
  <c r="H35" i="9"/>
  <c r="H37" i="9"/>
  <c r="CC35" i="9"/>
  <c r="CC37" i="9"/>
  <c r="BN8" i="9"/>
  <c r="BN70" i="5"/>
  <c r="BN46" i="11" s="1"/>
  <c r="T37" i="9"/>
  <c r="T35" i="9"/>
  <c r="BV8" i="9"/>
  <c r="BV70" i="5"/>
  <c r="BV46" i="11" s="1"/>
  <c r="AZ8" i="9"/>
  <c r="AZ70" i="5"/>
  <c r="AZ46" i="11" s="1"/>
  <c r="BP35" i="9"/>
  <c r="BP37" i="9"/>
  <c r="BZ8" i="9"/>
  <c r="BZ70" i="5"/>
  <c r="BZ46" i="11" s="1"/>
  <c r="AW8" i="9"/>
  <c r="AW70" i="5"/>
  <c r="AW46" i="11" s="1"/>
  <c r="AO37" i="9"/>
  <c r="AO35" i="9"/>
  <c r="CG35" i="9"/>
  <c r="CG37" i="9"/>
  <c r="BA8" i="9"/>
  <c r="BA70" i="5"/>
  <c r="BA46" i="11" s="1"/>
  <c r="W8" i="9"/>
  <c r="W70" i="5"/>
  <c r="W46" i="11" s="1"/>
  <c r="AC35" i="9"/>
  <c r="AC37" i="9"/>
  <c r="BP8" i="9"/>
  <c r="BP70" i="5"/>
  <c r="BP46" i="11" s="1"/>
  <c r="BE37" i="9"/>
  <c r="BE35" i="9"/>
  <c r="AP8" i="9"/>
  <c r="AP70" i="5"/>
  <c r="AP46" i="11" s="1"/>
  <c r="BV37" i="9"/>
  <c r="BV35" i="9"/>
  <c r="O37" i="9"/>
  <c r="O35" i="9"/>
  <c r="CF8" i="9"/>
  <c r="CF70" i="5"/>
  <c r="CF46" i="11" s="1"/>
  <c r="BY8" i="9"/>
  <c r="BY70" i="5"/>
  <c r="BY46" i="11" s="1"/>
  <c r="W37" i="9"/>
  <c r="W35" i="9"/>
  <c r="CD37" i="9"/>
  <c r="CD35" i="9"/>
  <c r="CK8" i="9"/>
  <c r="CK70" i="5"/>
  <c r="N37" i="9"/>
  <c r="N35" i="9"/>
  <c r="AC8" i="9"/>
  <c r="AC70" i="5"/>
  <c r="AC46" i="11" s="1"/>
  <c r="CB37" i="9"/>
  <c r="CB35" i="9"/>
  <c r="AI35" i="9"/>
  <c r="AI37" i="9"/>
  <c r="CH37" i="9"/>
  <c r="CH35" i="9"/>
  <c r="Z37" i="9"/>
  <c r="Z35" i="9"/>
  <c r="BO8" i="9"/>
  <c r="BO70" i="5"/>
  <c r="BO46" i="11" s="1"/>
  <c r="BW8" i="9"/>
  <c r="BW70" i="5"/>
  <c r="BW46" i="11" s="1"/>
  <c r="CE8" i="9"/>
  <c r="CE70" i="5"/>
  <c r="CE46" i="11" s="1"/>
  <c r="BI8" i="9"/>
  <c r="BI70" i="5"/>
  <c r="BI46" i="11" s="1"/>
  <c r="AD8" i="9"/>
  <c r="AD70" i="5"/>
  <c r="AD46" i="11" s="1"/>
  <c r="BB37" i="9"/>
  <c r="BB35" i="9"/>
  <c r="AF8" i="9"/>
  <c r="AF70" i="5"/>
  <c r="AF46" i="11" s="1"/>
  <c r="AG8" i="9"/>
  <c r="AG70" i="5"/>
  <c r="AG46" i="11" s="1"/>
  <c r="BS8" i="9"/>
  <c r="BS70" i="5"/>
  <c r="BS46" i="11" s="1"/>
  <c r="AG35" i="9"/>
  <c r="AG37" i="9"/>
  <c r="AD35" i="9"/>
  <c r="AD37" i="9"/>
  <c r="CD8" i="9"/>
  <c r="CD70" i="5"/>
  <c r="CD46" i="11" s="1"/>
  <c r="AS8" i="9"/>
  <c r="AS70" i="5"/>
  <c r="AS46" i="11" s="1"/>
  <c r="BL8" i="9"/>
  <c r="BL70" i="5"/>
  <c r="BL46" i="11" s="1"/>
  <c r="CH8" i="9"/>
  <c r="CH70" i="5"/>
  <c r="CH46" i="11" s="1"/>
  <c r="AW37" i="9"/>
  <c r="AW35" i="9"/>
  <c r="CB8" i="9"/>
  <c r="CB70" i="5"/>
  <c r="CB46" i="11" s="1"/>
  <c r="AR37" i="9"/>
  <c r="AR35" i="9"/>
  <c r="L8" i="9"/>
  <c r="L70" i="5"/>
  <c r="L46" i="11" s="1"/>
  <c r="J37" i="9"/>
  <c r="J35" i="9"/>
  <c r="E8" i="9"/>
  <c r="E70" i="5"/>
  <c r="E46" i="11" s="1"/>
  <c r="AM8" i="9"/>
  <c r="AM70" i="5"/>
  <c r="AM46" i="11" s="1"/>
  <c r="AB37" i="9"/>
  <c r="AB35" i="9"/>
  <c r="BM35" i="9"/>
  <c r="BM37" i="9"/>
  <c r="AS35" i="9"/>
  <c r="AS37" i="9"/>
  <c r="CA37" i="9"/>
  <c r="CA35" i="9"/>
  <c r="S37" i="9"/>
  <c r="S35" i="9"/>
  <c r="F37" i="9"/>
  <c r="F35" i="9"/>
  <c r="CI37" i="9"/>
  <c r="CI35" i="9"/>
  <c r="U8" i="9"/>
  <c r="U70" i="5"/>
  <c r="U46" i="11" s="1"/>
  <c r="BT37" i="9"/>
  <c r="BT35" i="9"/>
  <c r="AA37" i="9"/>
  <c r="AA35" i="9"/>
  <c r="BZ37" i="9"/>
  <c r="BZ35" i="9"/>
  <c r="BJ8" i="9"/>
  <c r="BJ70" i="5"/>
  <c r="BJ46" i="11" s="1"/>
  <c r="BK8" i="9"/>
  <c r="BK70" i="5"/>
  <c r="BK46" i="11" s="1"/>
  <c r="BH37" i="9"/>
  <c r="BH35" i="9"/>
  <c r="F8" i="9"/>
  <c r="F70" i="5"/>
  <c r="F46" i="11" s="1"/>
  <c r="O8" i="9"/>
  <c r="O70" i="5"/>
  <c r="O46" i="11" s="1"/>
  <c r="AY37" i="9"/>
  <c r="AY35" i="9"/>
  <c r="AL35" i="9"/>
  <c r="AL37" i="9"/>
  <c r="AH37" i="9"/>
  <c r="AH35" i="9"/>
  <c r="CI8" i="9"/>
  <c r="CI70" i="5"/>
  <c r="CI46" i="11" s="1"/>
  <c r="H8" i="9"/>
  <c r="H70" i="5"/>
  <c r="H46" i="11" s="1"/>
  <c r="AT37" i="9"/>
  <c r="AT35" i="9"/>
  <c r="BO35" i="9"/>
  <c r="BO37" i="9"/>
  <c r="X8" i="9"/>
  <c r="X70" i="5"/>
  <c r="X46" i="11" s="1"/>
  <c r="I8" i="9"/>
  <c r="I70" i="5"/>
  <c r="I46" i="11" s="1"/>
  <c r="AX8" i="9"/>
  <c r="AX70" i="5"/>
  <c r="AX46" i="11" s="1"/>
  <c r="AT8" i="9"/>
  <c r="AT70" i="5"/>
  <c r="AT46" i="11" s="1"/>
  <c r="BF8" i="9"/>
  <c r="BF70" i="5"/>
  <c r="BF46" i="11" s="1"/>
  <c r="R37" i="9"/>
  <c r="R35" i="9"/>
  <c r="Y35" i="9"/>
  <c r="Y37" i="9"/>
  <c r="BQ35" i="9"/>
  <c r="BQ37" i="9"/>
  <c r="AM37" i="9"/>
  <c r="AM35" i="9"/>
  <c r="AR8" i="9"/>
  <c r="AR70" i="5"/>
  <c r="AR46" i="11" s="1"/>
  <c r="BF37" i="9"/>
  <c r="BF35" i="9"/>
  <c r="AZ37" i="9"/>
  <c r="AZ35" i="9"/>
  <c r="AE8" i="9"/>
  <c r="AE70" i="5"/>
  <c r="AE46" i="11" s="1"/>
  <c r="G37" i="9"/>
  <c r="G35" i="9"/>
  <c r="AL8" i="9"/>
  <c r="AL70" i="5"/>
  <c r="AL46" i="11" s="1"/>
  <c r="AI8" i="9"/>
  <c r="AI70" i="5"/>
  <c r="AI46" i="11" s="1"/>
  <c r="Q8" i="9"/>
  <c r="Q70" i="5"/>
  <c r="Q46" i="11" s="1"/>
  <c r="BL37" i="9"/>
  <c r="BL35" i="9"/>
  <c r="CE37" i="9"/>
  <c r="CE35" i="9"/>
  <c r="L37" i="9"/>
  <c r="L35" i="9"/>
  <c r="AN8" i="9"/>
  <c r="AN70" i="5"/>
  <c r="AN46" i="11" s="1"/>
  <c r="BX37" i="9"/>
  <c r="BX35" i="9"/>
  <c r="J8" i="9"/>
  <c r="J70" i="5"/>
  <c r="J46" i="11" s="1"/>
  <c r="AK8" i="9"/>
  <c r="AK70" i="5"/>
  <c r="AK46" i="11" s="1"/>
  <c r="AO8" i="9"/>
  <c r="AO70" i="5"/>
  <c r="AO46" i="11" s="1"/>
  <c r="X35" i="9"/>
  <c r="X37" i="9"/>
  <c r="AQ35" i="9"/>
  <c r="AQ37" i="9"/>
  <c r="AU37" i="9"/>
  <c r="AU35" i="9"/>
  <c r="N8" i="9"/>
  <c r="N70" i="5"/>
  <c r="N46" i="11" s="1"/>
  <c r="AF37" i="9"/>
  <c r="AF35" i="9"/>
  <c r="BG37" i="9"/>
  <c r="BG35" i="9"/>
  <c r="BM8" i="9"/>
  <c r="BM70" i="5"/>
  <c r="BM46" i="11" s="1"/>
  <c r="AV37" i="9"/>
  <c r="AV35" i="9"/>
  <c r="BX8" i="9"/>
  <c r="BX70" i="5"/>
  <c r="BX46" i="11" s="1"/>
  <c r="AP37" i="9"/>
  <c r="AP35" i="9"/>
  <c r="BQ8" i="9"/>
  <c r="BQ70" i="5"/>
  <c r="BQ46" i="11" s="1"/>
  <c r="K37" i="9"/>
  <c r="K35" i="9"/>
  <c r="BJ37" i="9"/>
  <c r="BJ35" i="9"/>
  <c r="T8" i="9"/>
  <c r="T70" i="5"/>
  <c r="T46" i="11" s="1"/>
  <c r="M8" i="9"/>
  <c r="M70" i="5"/>
  <c r="M46" i="11" s="1"/>
  <c r="BR37" i="9"/>
  <c r="BR35" i="9"/>
  <c r="CG8" i="9"/>
  <c r="CG70" i="5"/>
  <c r="CG46" i="11" s="1"/>
  <c r="Y8" i="9"/>
  <c r="Y70" i="5"/>
  <c r="Y46" i="11" s="1"/>
  <c r="Q35" i="9"/>
  <c r="Q37" i="9"/>
  <c r="BI35" i="9"/>
  <c r="BI37" i="9"/>
  <c r="AE37" i="9"/>
  <c r="AE35" i="9"/>
  <c r="C19" i="13"/>
  <c r="D19" i="13" s="1"/>
  <c r="BJ31" i="10" l="1"/>
  <c r="CH42" i="6"/>
  <c r="CH43" i="6" s="1"/>
  <c r="CH48" i="10" s="1"/>
  <c r="BJ33" i="10"/>
  <c r="CH9" i="11"/>
  <c r="CH41" i="6"/>
  <c r="CH28" i="6" s="1"/>
  <c r="CH29" i="6" s="1"/>
  <c r="CH32" i="11" s="1"/>
  <c r="CH44" i="11" s="1"/>
  <c r="CH40" i="10"/>
  <c r="CH41" i="10" s="1"/>
  <c r="BZ42" i="10"/>
  <c r="CK9" i="9"/>
  <c r="CK13" i="9" s="1"/>
  <c r="CK46" i="11"/>
  <c r="AA39" i="6"/>
  <c r="AA61" i="10"/>
  <c r="O39" i="6"/>
  <c r="O61" i="10"/>
  <c r="X39" i="6"/>
  <c r="X61" i="10"/>
  <c r="V39" i="6"/>
  <c r="V61" i="10"/>
  <c r="N39" i="6"/>
  <c r="N61" i="10"/>
  <c r="P39" i="6"/>
  <c r="P61" i="10"/>
  <c r="F39" i="6"/>
  <c r="F61" i="10"/>
  <c r="AB39" i="6"/>
  <c r="AB61" i="10"/>
  <c r="Q39" i="6"/>
  <c r="Q61" i="10"/>
  <c r="Z39" i="6"/>
  <c r="Z61" i="10"/>
  <c r="S39" i="6"/>
  <c r="S61" i="10"/>
  <c r="AC39" i="6"/>
  <c r="AC61" i="10"/>
  <c r="R39" i="6"/>
  <c r="R61" i="10"/>
  <c r="G39" i="6"/>
  <c r="G61" i="10"/>
  <c r="K39" i="6"/>
  <c r="K61" i="10"/>
  <c r="T39" i="6"/>
  <c r="T61" i="10"/>
  <c r="L39" i="6"/>
  <c r="L61" i="10"/>
  <c r="H39" i="6"/>
  <c r="H61" i="10"/>
  <c r="Y39" i="6"/>
  <c r="Y61" i="10"/>
  <c r="W39" i="6"/>
  <c r="W61" i="10"/>
  <c r="I39" i="6"/>
  <c r="I61" i="10"/>
  <c r="E39" i="6"/>
  <c r="E61" i="10"/>
  <c r="J39" i="6"/>
  <c r="J61" i="10"/>
  <c r="U39" i="6"/>
  <c r="U61" i="10"/>
  <c r="M39" i="6"/>
  <c r="M61" i="10"/>
  <c r="BJ41" i="6"/>
  <c r="BJ6" i="8" s="1"/>
  <c r="BJ7" i="8" s="1"/>
  <c r="BJ9" i="11"/>
  <c r="N42" i="6"/>
  <c r="AT40" i="10"/>
  <c r="AT41" i="10" s="1"/>
  <c r="N41" i="6"/>
  <c r="N6" i="8" s="1"/>
  <c r="N7" i="8" s="1"/>
  <c r="AT41" i="6"/>
  <c r="AT28" i="6" s="1"/>
  <c r="AT29" i="6" s="1"/>
  <c r="AT32" i="11" s="1"/>
  <c r="AT44" i="11" s="1"/>
  <c r="AT9" i="11"/>
  <c r="BB40" i="10"/>
  <c r="BB42" i="10" s="1"/>
  <c r="N40" i="10"/>
  <c r="N42" i="10" s="1"/>
  <c r="AL31" i="10"/>
  <c r="N9" i="11"/>
  <c r="AT42" i="6"/>
  <c r="AT43" i="6" s="1"/>
  <c r="AT48" i="10" s="1"/>
  <c r="BJ42" i="6"/>
  <c r="BJ43" i="6" s="1"/>
  <c r="BJ48" i="10" s="1"/>
  <c r="BJ40" i="10"/>
  <c r="BJ41" i="10" s="1"/>
  <c r="BB9" i="11"/>
  <c r="BB41" i="6"/>
  <c r="BB36" i="6" s="1"/>
  <c r="BB37" i="6" s="1"/>
  <c r="BR42" i="6"/>
  <c r="BR43" i="6" s="1"/>
  <c r="BR48" i="10" s="1"/>
  <c r="BB42" i="6"/>
  <c r="BB43" i="6" s="1"/>
  <c r="BB48" i="10" s="1"/>
  <c r="BR41" i="6"/>
  <c r="BR36" i="6" s="1"/>
  <c r="BR37" i="6" s="1"/>
  <c r="BR40" i="10"/>
  <c r="BR9" i="11"/>
  <c r="BR31" i="10"/>
  <c r="BR33" i="10"/>
  <c r="AL33" i="10"/>
  <c r="BB33" i="10"/>
  <c r="BB31" i="10"/>
  <c r="N31" i="10"/>
  <c r="AD33" i="10"/>
  <c r="F29" i="10"/>
  <c r="F31" i="10"/>
  <c r="AL42" i="6"/>
  <c r="AL43" i="6" s="1"/>
  <c r="AL48" i="10" s="1"/>
  <c r="AT33" i="10"/>
  <c r="AT31" i="10"/>
  <c r="AD9" i="11"/>
  <c r="AL40" i="10"/>
  <c r="AL41" i="10" s="1"/>
  <c r="AL41" i="6"/>
  <c r="AL36" i="6" s="1"/>
  <c r="AL37" i="6" s="1"/>
  <c r="AL9" i="11"/>
  <c r="N33" i="10"/>
  <c r="AD41" i="6"/>
  <c r="AD28" i="6" s="1"/>
  <c r="AD29" i="6" s="1"/>
  <c r="AD32" i="11" s="1"/>
  <c r="AD44" i="11" s="1"/>
  <c r="AD40" i="10"/>
  <c r="AD41" i="10" s="1"/>
  <c r="V40" i="10"/>
  <c r="V41" i="10" s="1"/>
  <c r="V41" i="6"/>
  <c r="V16" i="6" s="1"/>
  <c r="V17" i="6" s="1"/>
  <c r="V18" i="6" s="1"/>
  <c r="V33" i="10"/>
  <c r="V31" i="10"/>
  <c r="F42" i="6"/>
  <c r="F41" i="6"/>
  <c r="F6" i="8" s="1"/>
  <c r="F7" i="8" s="1"/>
  <c r="F40" i="10"/>
  <c r="F41" i="10" s="1"/>
  <c r="F9" i="11"/>
  <c r="I39" i="13"/>
  <c r="V9" i="11"/>
  <c r="V42" i="6"/>
  <c r="AD42" i="6"/>
  <c r="AD43" i="6" s="1"/>
  <c r="AD48" i="10" s="1"/>
  <c r="P31" i="10"/>
  <c r="P33" i="10"/>
  <c r="BX9" i="11"/>
  <c r="BX40" i="10"/>
  <c r="BX41" i="10" s="1"/>
  <c r="BX42" i="6"/>
  <c r="BX43" i="6" s="1"/>
  <c r="BX41" i="6"/>
  <c r="BS31" i="10"/>
  <c r="BS33" i="10"/>
  <c r="AA33" i="10"/>
  <c r="AA31" i="10"/>
  <c r="BM31" i="10"/>
  <c r="BM33" i="10"/>
  <c r="AJ9" i="11"/>
  <c r="AJ40" i="10"/>
  <c r="AJ41" i="10" s="1"/>
  <c r="AJ41" i="6"/>
  <c r="AJ42" i="6"/>
  <c r="AJ43" i="6" s="1"/>
  <c r="BL9" i="11"/>
  <c r="BL40" i="10"/>
  <c r="BL41" i="10" s="1"/>
  <c r="BL42" i="6"/>
  <c r="BL43" i="6" s="1"/>
  <c r="BL41" i="6"/>
  <c r="AB31" i="10"/>
  <c r="AB33" i="10"/>
  <c r="T31" i="10"/>
  <c r="T33" i="10"/>
  <c r="BW33" i="10"/>
  <c r="BW31" i="10"/>
  <c r="X31" i="10"/>
  <c r="X33" i="10"/>
  <c r="BO9" i="11"/>
  <c r="BO40" i="10"/>
  <c r="BO41" i="10" s="1"/>
  <c r="BO42" i="6"/>
  <c r="BO43" i="6" s="1"/>
  <c r="BO41" i="6"/>
  <c r="BV33" i="10"/>
  <c r="BV31" i="10"/>
  <c r="BS29" i="10"/>
  <c r="H9" i="11"/>
  <c r="H40" i="10"/>
  <c r="H41" i="10" s="1"/>
  <c r="H41" i="6"/>
  <c r="H42" i="6"/>
  <c r="Y9" i="11"/>
  <c r="Y40" i="10"/>
  <c r="Y41" i="10" s="1"/>
  <c r="Y41" i="6"/>
  <c r="Y42" i="6"/>
  <c r="W31" i="10"/>
  <c r="W33" i="10"/>
  <c r="AI9" i="11"/>
  <c r="AI40" i="10"/>
  <c r="AI41" i="10" s="1"/>
  <c r="AI42" i="6"/>
  <c r="AI43" i="6" s="1"/>
  <c r="AI41" i="6"/>
  <c r="AV31" i="10"/>
  <c r="AV33" i="10"/>
  <c r="I9" i="11"/>
  <c r="I40" i="10"/>
  <c r="I41" i="10" s="1"/>
  <c r="I41" i="6"/>
  <c r="I42" i="6"/>
  <c r="I63" i="10" s="1"/>
  <c r="R33" i="10"/>
  <c r="R31" i="10"/>
  <c r="O40" i="10"/>
  <c r="O41" i="10" s="1"/>
  <c r="O9" i="11"/>
  <c r="O41" i="6"/>
  <c r="O42" i="6"/>
  <c r="AJ31" i="10"/>
  <c r="AJ33" i="10"/>
  <c r="U9" i="11"/>
  <c r="U40" i="10"/>
  <c r="U41" i="10" s="1"/>
  <c r="U41" i="6"/>
  <c r="U42" i="6"/>
  <c r="Q9" i="11"/>
  <c r="Q40" i="10"/>
  <c r="Q41" i="10" s="1"/>
  <c r="Q41" i="6"/>
  <c r="Q42" i="6"/>
  <c r="BO33" i="10"/>
  <c r="BO31" i="10"/>
  <c r="BC9" i="11"/>
  <c r="BC40" i="10"/>
  <c r="BC41" i="10" s="1"/>
  <c r="BC42" i="6"/>
  <c r="BC43" i="6" s="1"/>
  <c r="BC41" i="6"/>
  <c r="M9" i="11"/>
  <c r="M40" i="10"/>
  <c r="M41" i="10" s="1"/>
  <c r="M41" i="6"/>
  <c r="M42" i="6"/>
  <c r="M63" i="10" s="1"/>
  <c r="AW31" i="10"/>
  <c r="AW33" i="10"/>
  <c r="W29" i="10"/>
  <c r="AN9" i="11"/>
  <c r="AN40" i="10"/>
  <c r="AN41" i="10" s="1"/>
  <c r="AN41" i="6"/>
  <c r="AN42" i="6"/>
  <c r="AN43" i="6" s="1"/>
  <c r="BZ28" i="6"/>
  <c r="BZ29" i="6" s="1"/>
  <c r="BZ32" i="11" s="1"/>
  <c r="BZ44" i="11" s="1"/>
  <c r="BZ36" i="6"/>
  <c r="BZ37" i="6" s="1"/>
  <c r="BZ16" i="6"/>
  <c r="BZ17" i="6" s="1"/>
  <c r="BZ18" i="6" s="1"/>
  <c r="P29" i="10"/>
  <c r="AE9" i="11"/>
  <c r="AE40" i="10"/>
  <c r="AE41" i="10" s="1"/>
  <c r="AE41" i="6"/>
  <c r="AE42" i="6"/>
  <c r="AE43" i="6" s="1"/>
  <c r="BE9" i="11"/>
  <c r="BE40" i="10"/>
  <c r="BE41" i="10" s="1"/>
  <c r="BE42" i="6"/>
  <c r="BE43" i="6" s="1"/>
  <c r="BE41" i="6"/>
  <c r="AI33" i="10"/>
  <c r="AI31" i="10"/>
  <c r="BX31" i="10"/>
  <c r="BX33" i="10"/>
  <c r="BE31" i="10"/>
  <c r="BE33" i="10"/>
  <c r="CH17" i="12"/>
  <c r="CH18" i="12" s="1"/>
  <c r="O31" i="10"/>
  <c r="O33" i="10"/>
  <c r="U33" i="10"/>
  <c r="U31" i="10"/>
  <c r="CB9" i="11"/>
  <c r="CB40" i="10"/>
  <c r="CB41" i="10" s="1"/>
  <c r="CB42" i="6"/>
  <c r="CB43" i="6" s="1"/>
  <c r="CB41" i="6"/>
  <c r="AH9" i="11"/>
  <c r="AH40" i="10"/>
  <c r="AH41" i="10" s="1"/>
  <c r="AH41" i="6"/>
  <c r="AH42" i="6"/>
  <c r="AH43" i="6" s="1"/>
  <c r="AF31" i="10"/>
  <c r="AF33" i="10"/>
  <c r="BP9" i="11"/>
  <c r="BP40" i="10"/>
  <c r="BP41" i="10" s="1"/>
  <c r="BP42" i="6"/>
  <c r="BP43" i="6" s="1"/>
  <c r="BP41" i="6"/>
  <c r="AS9" i="11"/>
  <c r="AS40" i="10"/>
  <c r="AS41" i="10" s="1"/>
  <c r="AS41" i="6"/>
  <c r="AS42" i="6"/>
  <c r="AS43" i="6" s="1"/>
  <c r="CD9" i="11"/>
  <c r="CD40" i="10"/>
  <c r="CD41" i="10" s="1"/>
  <c r="CD42" i="6"/>
  <c r="CD43" i="6" s="1"/>
  <c r="CD41" i="6"/>
  <c r="BC31" i="10"/>
  <c r="BC33" i="10"/>
  <c r="Y31" i="10"/>
  <c r="Y33" i="10"/>
  <c r="M33" i="10"/>
  <c r="M31" i="10"/>
  <c r="CC31" i="10"/>
  <c r="CC33" i="10"/>
  <c r="CJ31" i="10"/>
  <c r="CJ33" i="10"/>
  <c r="AR9" i="11"/>
  <c r="AR40" i="10"/>
  <c r="AR41" i="10" s="1"/>
  <c r="AR42" i="6"/>
  <c r="AR43" i="6" s="1"/>
  <c r="AR41" i="6"/>
  <c r="AE31" i="10"/>
  <c r="AE33" i="10"/>
  <c r="AZ9" i="11"/>
  <c r="AZ40" i="10"/>
  <c r="AZ41" i="10" s="1"/>
  <c r="AZ42" i="6"/>
  <c r="AZ43" i="6" s="1"/>
  <c r="AZ41" i="6"/>
  <c r="BT31" i="10"/>
  <c r="BT33" i="10"/>
  <c r="BF9" i="11"/>
  <c r="BF40" i="10"/>
  <c r="BF41" i="10" s="1"/>
  <c r="BF42" i="6"/>
  <c r="BF43" i="6" s="1"/>
  <c r="BF41" i="6"/>
  <c r="I31" i="10"/>
  <c r="I33" i="10"/>
  <c r="E9" i="11"/>
  <c r="E40" i="10"/>
  <c r="E41" i="10" s="1"/>
  <c r="E41" i="6"/>
  <c r="E6" i="8" s="1"/>
  <c r="E42" i="6"/>
  <c r="E63" i="10" s="1"/>
  <c r="BN9" i="11"/>
  <c r="BN40" i="10"/>
  <c r="BN41" i="10" s="1"/>
  <c r="BN42" i="6"/>
  <c r="BN43" i="6" s="1"/>
  <c r="BN41" i="6"/>
  <c r="AB29" i="10"/>
  <c r="AP9" i="11"/>
  <c r="AP40" i="10"/>
  <c r="AP41" i="10" s="1"/>
  <c r="AP41" i="6"/>
  <c r="AP42" i="6"/>
  <c r="AP43" i="6" s="1"/>
  <c r="CI40" i="10"/>
  <c r="CI41" i="10" s="1"/>
  <c r="CI9" i="11"/>
  <c r="CI42" i="6"/>
  <c r="CI43" i="6" s="1"/>
  <c r="CI41" i="6"/>
  <c r="BL31" i="10"/>
  <c r="BL33" i="10"/>
  <c r="Q31" i="10"/>
  <c r="Q33" i="10"/>
  <c r="BU9" i="11"/>
  <c r="BU40" i="10"/>
  <c r="BU41" i="10" s="1"/>
  <c r="BU41" i="6"/>
  <c r="BU42" i="6"/>
  <c r="BU43" i="6" s="1"/>
  <c r="BP31" i="10"/>
  <c r="BP33" i="10"/>
  <c r="BQ9" i="11"/>
  <c r="BQ40" i="10"/>
  <c r="BQ41" i="10" s="1"/>
  <c r="BQ42" i="6"/>
  <c r="BQ43" i="6" s="1"/>
  <c r="BQ41" i="6"/>
  <c r="AS31" i="10"/>
  <c r="AS33" i="10"/>
  <c r="L9" i="11"/>
  <c r="L40" i="10"/>
  <c r="L41" i="10" s="1"/>
  <c r="L41" i="6"/>
  <c r="L42" i="6"/>
  <c r="BG9" i="11"/>
  <c r="BG40" i="10"/>
  <c r="BG41" i="10" s="1"/>
  <c r="BG42" i="6"/>
  <c r="BG43" i="6" s="1"/>
  <c r="BG41" i="6"/>
  <c r="H31" i="10"/>
  <c r="H33" i="10"/>
  <c r="AG9" i="11"/>
  <c r="AG40" i="10"/>
  <c r="AG41" i="10" s="1"/>
  <c r="AG41" i="6"/>
  <c r="AG42" i="6"/>
  <c r="AG43" i="6" s="1"/>
  <c r="CF9" i="11"/>
  <c r="CF40" i="10"/>
  <c r="CF41" i="10" s="1"/>
  <c r="CF42" i="6"/>
  <c r="CF43" i="6" s="1"/>
  <c r="CF41" i="6"/>
  <c r="BZ17" i="12"/>
  <c r="BZ18" i="12" s="1"/>
  <c r="BZ2" i="11"/>
  <c r="BZ47" i="10"/>
  <c r="BZ48" i="10"/>
  <c r="BZ47" i="6"/>
  <c r="AR31" i="10"/>
  <c r="AR33" i="10"/>
  <c r="AQ33" i="10"/>
  <c r="AQ31" i="10"/>
  <c r="AZ31" i="10"/>
  <c r="AZ33" i="10"/>
  <c r="AC9" i="11"/>
  <c r="AC40" i="10"/>
  <c r="AC41" i="10" s="1"/>
  <c r="AC41" i="6"/>
  <c r="AC42" i="6"/>
  <c r="BY9" i="11"/>
  <c r="BY40" i="10"/>
  <c r="BY41" i="10" s="1"/>
  <c r="BY42" i="6"/>
  <c r="BY43" i="6" s="1"/>
  <c r="BY41" i="6"/>
  <c r="E33" i="10"/>
  <c r="E31" i="10"/>
  <c r="BD9" i="11"/>
  <c r="BD40" i="10"/>
  <c r="BD41" i="10" s="1"/>
  <c r="BD42" i="6"/>
  <c r="BD43" i="6" s="1"/>
  <c r="BD41" i="6"/>
  <c r="CI31" i="10"/>
  <c r="CI33" i="10"/>
  <c r="AX9" i="11"/>
  <c r="AX40" i="10"/>
  <c r="AX41" i="10" s="1"/>
  <c r="AX41" i="6"/>
  <c r="AX42" i="6"/>
  <c r="AX43" i="6" s="1"/>
  <c r="AH31" i="10"/>
  <c r="AH33" i="10"/>
  <c r="BQ33" i="10"/>
  <c r="BQ31" i="10"/>
  <c r="AY9" i="11"/>
  <c r="AY40" i="10"/>
  <c r="AY41" i="10" s="1"/>
  <c r="AY42" i="6"/>
  <c r="AY43" i="6" s="1"/>
  <c r="AY41" i="6"/>
  <c r="L31" i="10"/>
  <c r="L33" i="10"/>
  <c r="Z9" i="11"/>
  <c r="Z40" i="10"/>
  <c r="Z41" i="10" s="1"/>
  <c r="Z41" i="6"/>
  <c r="Z42" i="6"/>
  <c r="BG33" i="10"/>
  <c r="BG31" i="10"/>
  <c r="G40" i="10"/>
  <c r="G41" i="10" s="1"/>
  <c r="G9" i="11"/>
  <c r="G41" i="6"/>
  <c r="G42" i="6"/>
  <c r="AZ29" i="10"/>
  <c r="AN31" i="10"/>
  <c r="AN33" i="10"/>
  <c r="AU9" i="11"/>
  <c r="AU40" i="10"/>
  <c r="AU41" i="10" s="1"/>
  <c r="AU42" i="6"/>
  <c r="AU43" i="6" s="1"/>
  <c r="AU41" i="6"/>
  <c r="AA29" i="10"/>
  <c r="S9" i="11"/>
  <c r="S40" i="10"/>
  <c r="S41" i="10" s="1"/>
  <c r="S42" i="6"/>
  <c r="S41" i="6"/>
  <c r="BT9" i="11"/>
  <c r="BT40" i="10"/>
  <c r="BT41" i="10" s="1"/>
  <c r="BT42" i="6"/>
  <c r="BT43" i="6" s="1"/>
  <c r="BT41" i="6"/>
  <c r="K9" i="11"/>
  <c r="K40" i="10"/>
  <c r="K41" i="10" s="1"/>
  <c r="K42" i="6"/>
  <c r="K41" i="6"/>
  <c r="P9" i="11"/>
  <c r="P40" i="10"/>
  <c r="P41" i="10" s="1"/>
  <c r="P41" i="6"/>
  <c r="P42" i="6"/>
  <c r="BF33" i="10"/>
  <c r="BF31" i="10"/>
  <c r="AC33" i="10"/>
  <c r="AC31" i="10"/>
  <c r="BM29" i="10"/>
  <c r="BY33" i="10"/>
  <c r="BY31" i="10"/>
  <c r="J9" i="11"/>
  <c r="J40" i="10"/>
  <c r="J41" i="10" s="1"/>
  <c r="J41" i="6"/>
  <c r="J42" i="6"/>
  <c r="BN33" i="10"/>
  <c r="BN31" i="10"/>
  <c r="T29" i="10"/>
  <c r="AP33" i="10"/>
  <c r="AP31" i="10"/>
  <c r="BW29" i="10"/>
  <c r="CB31" i="10"/>
  <c r="CB33" i="10"/>
  <c r="BV29" i="10"/>
  <c r="BU31" i="10"/>
  <c r="BU33" i="10"/>
  <c r="X9" i="11"/>
  <c r="X40" i="10"/>
  <c r="X41" i="10" s="1"/>
  <c r="X41" i="6"/>
  <c r="X42" i="6"/>
  <c r="AY33" i="10"/>
  <c r="AY31" i="10"/>
  <c r="CA40" i="10"/>
  <c r="CA41" i="10" s="1"/>
  <c r="CA9" i="11"/>
  <c r="CA42" i="6"/>
  <c r="CA43" i="6" s="1"/>
  <c r="CA41" i="6"/>
  <c r="CD33" i="10"/>
  <c r="CD31" i="10"/>
  <c r="AG31" i="10"/>
  <c r="AG33" i="10"/>
  <c r="CG9" i="11"/>
  <c r="CG40" i="10"/>
  <c r="CG41" i="10" s="1"/>
  <c r="CG42" i="6"/>
  <c r="CG43" i="6" s="1"/>
  <c r="CG41" i="6"/>
  <c r="G31" i="10"/>
  <c r="G33" i="10"/>
  <c r="AO9" i="11"/>
  <c r="AO40" i="10"/>
  <c r="AO41" i="10" s="1"/>
  <c r="AO41" i="6"/>
  <c r="AO42" i="6"/>
  <c r="AO43" i="6" s="1"/>
  <c r="CF31" i="10"/>
  <c r="CF33" i="10"/>
  <c r="BH9" i="11"/>
  <c r="BH40" i="10"/>
  <c r="BH41" i="10" s="1"/>
  <c r="BH42" i="6"/>
  <c r="BH43" i="6" s="1"/>
  <c r="BH41" i="6"/>
  <c r="AU31" i="10"/>
  <c r="AU33" i="10"/>
  <c r="AV29" i="10"/>
  <c r="S33" i="10"/>
  <c r="S31" i="10"/>
  <c r="K33" i="10"/>
  <c r="K31" i="10"/>
  <c r="BA9" i="11"/>
  <c r="BA40" i="10"/>
  <c r="BA41" i="10" s="1"/>
  <c r="BA42" i="6"/>
  <c r="BA43" i="6" s="1"/>
  <c r="BA41" i="6"/>
  <c r="AV9" i="11"/>
  <c r="AV40" i="10"/>
  <c r="AV41" i="10" s="1"/>
  <c r="AV41" i="6"/>
  <c r="AV42" i="6"/>
  <c r="AV43" i="6" s="1"/>
  <c r="BK9" i="11"/>
  <c r="BK40" i="10"/>
  <c r="BK41" i="10" s="1"/>
  <c r="BK42" i="6"/>
  <c r="BK43" i="6" s="1"/>
  <c r="BK41" i="6"/>
  <c r="BN42" i="10"/>
  <c r="AM9" i="11"/>
  <c r="AM40" i="10"/>
  <c r="AM41" i="10" s="1"/>
  <c r="AM41" i="6"/>
  <c r="AM42" i="6"/>
  <c r="AM43" i="6" s="1"/>
  <c r="BM9" i="11"/>
  <c r="BM40" i="10"/>
  <c r="BM41" i="10" s="1"/>
  <c r="BM41" i="6"/>
  <c r="BM42" i="6"/>
  <c r="BM43" i="6" s="1"/>
  <c r="CE9" i="11"/>
  <c r="CE40" i="10"/>
  <c r="CE41" i="10" s="1"/>
  <c r="CE42" i="6"/>
  <c r="CE43" i="6" s="1"/>
  <c r="CE41" i="6"/>
  <c r="B41" i="6"/>
  <c r="B42" i="6"/>
  <c r="B39" i="6"/>
  <c r="AX33" i="10"/>
  <c r="AX31" i="10"/>
  <c r="BV9" i="11"/>
  <c r="BV40" i="10"/>
  <c r="BV41" i="10" s="1"/>
  <c r="BV42" i="6"/>
  <c r="BV43" i="6" s="1"/>
  <c r="BV41" i="6"/>
  <c r="Y29" i="10"/>
  <c r="CA31" i="10"/>
  <c r="CA33" i="10"/>
  <c r="Z33" i="10"/>
  <c r="Z31" i="10"/>
  <c r="BI9" i="11"/>
  <c r="BI40" i="10"/>
  <c r="BI41" i="10" s="1"/>
  <c r="BI42" i="6"/>
  <c r="BI43" i="6" s="1"/>
  <c r="BI41" i="6"/>
  <c r="AK9" i="11"/>
  <c r="AK40" i="10"/>
  <c r="AK41" i="10" s="1"/>
  <c r="AK41" i="6"/>
  <c r="AK42" i="6"/>
  <c r="AK43" i="6" s="1"/>
  <c r="CG33" i="10"/>
  <c r="CG31" i="10"/>
  <c r="D39" i="6"/>
  <c r="D41" i="6"/>
  <c r="D42" i="6"/>
  <c r="C42" i="6"/>
  <c r="C39" i="6"/>
  <c r="C41" i="6"/>
  <c r="AI29" i="10"/>
  <c r="BX29" i="10"/>
  <c r="K29" i="10"/>
  <c r="BH33" i="10"/>
  <c r="BH31" i="10"/>
  <c r="BN29" i="10"/>
  <c r="BA31" i="10"/>
  <c r="BA33" i="10"/>
  <c r="AQ9" i="11"/>
  <c r="AQ40" i="10"/>
  <c r="AQ41" i="10" s="1"/>
  <c r="AQ42" i="6"/>
  <c r="AQ43" i="6" s="1"/>
  <c r="AQ41" i="6"/>
  <c r="BS40" i="10"/>
  <c r="BS41" i="10" s="1"/>
  <c r="BS9" i="11"/>
  <c r="BS42" i="6"/>
  <c r="BS43" i="6" s="1"/>
  <c r="BS41" i="6"/>
  <c r="BK31" i="10"/>
  <c r="BK33" i="10"/>
  <c r="R9" i="11"/>
  <c r="R40" i="10"/>
  <c r="R41" i="10" s="1"/>
  <c r="R41" i="6"/>
  <c r="R42" i="6"/>
  <c r="J33" i="10"/>
  <c r="J31" i="10"/>
  <c r="AM31" i="10"/>
  <c r="AM33" i="10"/>
  <c r="AA9" i="11"/>
  <c r="AA40" i="10"/>
  <c r="AA41" i="10" s="1"/>
  <c r="AA42" i="6"/>
  <c r="AA41" i="6"/>
  <c r="BD31" i="10"/>
  <c r="BD33" i="10"/>
  <c r="CE33" i="10"/>
  <c r="CE31" i="10"/>
  <c r="X29" i="10"/>
  <c r="AB9" i="11"/>
  <c r="AB40" i="10"/>
  <c r="AB41" i="10" s="1"/>
  <c r="AB41" i="6"/>
  <c r="AB42" i="6"/>
  <c r="T9" i="11"/>
  <c r="T40" i="10"/>
  <c r="T41" i="10" s="1"/>
  <c r="T41" i="6"/>
  <c r="T42" i="6"/>
  <c r="AF9" i="11"/>
  <c r="AF40" i="10"/>
  <c r="AF41" i="10" s="1"/>
  <c r="AF41" i="6"/>
  <c r="AF42" i="6"/>
  <c r="AF43" i="6" s="1"/>
  <c r="BW9" i="11"/>
  <c r="BW40" i="10"/>
  <c r="BW41" i="10" s="1"/>
  <c r="BW42" i="6"/>
  <c r="BW43" i="6" s="1"/>
  <c r="BW41" i="6"/>
  <c r="BI31" i="10"/>
  <c r="BI33" i="10"/>
  <c r="AK33" i="10"/>
  <c r="AK31" i="10"/>
  <c r="AW9" i="11"/>
  <c r="AW40" i="10"/>
  <c r="AW41" i="10" s="1"/>
  <c r="AW41" i="6"/>
  <c r="AW42" i="6"/>
  <c r="AW43" i="6" s="1"/>
  <c r="AO31" i="10"/>
  <c r="AO33" i="10"/>
  <c r="CC9" i="11"/>
  <c r="CC40" i="10"/>
  <c r="CC41" i="10" s="1"/>
  <c r="CC41" i="6"/>
  <c r="CC42" i="6"/>
  <c r="CC43" i="6" s="1"/>
  <c r="CJ9" i="11"/>
  <c r="CJ40" i="10"/>
  <c r="CJ41" i="10" s="1"/>
  <c r="CJ42" i="6"/>
  <c r="CJ43" i="6" s="1"/>
  <c r="CJ41" i="6"/>
  <c r="W40" i="10"/>
  <c r="W41" i="10" s="1"/>
  <c r="W9" i="11"/>
  <c r="W41" i="6"/>
  <c r="W42" i="6"/>
  <c r="BJ7" i="11"/>
  <c r="BJ10" i="11"/>
  <c r="BJ8" i="11"/>
  <c r="BJ9" i="9"/>
  <c r="BJ10" i="8"/>
  <c r="U7" i="11"/>
  <c r="U10" i="11"/>
  <c r="U8" i="11"/>
  <c r="U9" i="9"/>
  <c r="U45" i="9" s="1"/>
  <c r="U10" i="8"/>
  <c r="CB10" i="11"/>
  <c r="CB8" i="11"/>
  <c r="CB7" i="11"/>
  <c r="CB9" i="9"/>
  <c r="AF10" i="11"/>
  <c r="AF8" i="11"/>
  <c r="AF7" i="11"/>
  <c r="AF9" i="9"/>
  <c r="AF10" i="8"/>
  <c r="AQ10" i="11"/>
  <c r="AQ8" i="11"/>
  <c r="AQ7" i="11"/>
  <c r="AQ9" i="9"/>
  <c r="AQ10" i="8"/>
  <c r="BE10" i="11"/>
  <c r="BE8" i="11"/>
  <c r="BE7" i="11"/>
  <c r="BE9" i="9"/>
  <c r="BE10" i="8"/>
  <c r="S10" i="11"/>
  <c r="S8" i="11"/>
  <c r="S9" i="9"/>
  <c r="S45" i="9" s="1"/>
  <c r="S7" i="11"/>
  <c r="S10" i="8"/>
  <c r="M7" i="11"/>
  <c r="M10" i="11"/>
  <c r="M9" i="9"/>
  <c r="M8" i="11"/>
  <c r="M10" i="8"/>
  <c r="CG7" i="11"/>
  <c r="CG10" i="11"/>
  <c r="CG8" i="11"/>
  <c r="CG9" i="9"/>
  <c r="BX7" i="11"/>
  <c r="BX10" i="11"/>
  <c r="BX8" i="11"/>
  <c r="BX9" i="9"/>
  <c r="N10" i="11"/>
  <c r="N8" i="11"/>
  <c r="N7" i="11"/>
  <c r="N9" i="9"/>
  <c r="N10" i="8"/>
  <c r="AO10" i="11"/>
  <c r="AO8" i="11"/>
  <c r="AO7" i="11"/>
  <c r="AO9" i="9"/>
  <c r="AO10" i="8"/>
  <c r="F10" i="11"/>
  <c r="F8" i="11"/>
  <c r="F9" i="9"/>
  <c r="F7" i="11"/>
  <c r="F10" i="8"/>
  <c r="L7" i="11"/>
  <c r="L10" i="11"/>
  <c r="L8" i="11"/>
  <c r="L9" i="9"/>
  <c r="L10" i="8"/>
  <c r="CD10" i="11"/>
  <c r="CD8" i="11"/>
  <c r="CD7" i="11"/>
  <c r="CD9" i="9"/>
  <c r="BO10" i="11"/>
  <c r="BO8" i="11"/>
  <c r="BO7" i="11"/>
  <c r="BO9" i="9"/>
  <c r="BO10" i="8"/>
  <c r="AC7" i="11"/>
  <c r="AC10" i="11"/>
  <c r="AC8" i="11"/>
  <c r="AC9" i="9"/>
  <c r="AC10" i="8"/>
  <c r="AZ7" i="11"/>
  <c r="AZ10" i="11"/>
  <c r="AZ11" i="11" s="1"/>
  <c r="AZ8" i="11"/>
  <c r="AZ9" i="9"/>
  <c r="AZ10" i="8"/>
  <c r="CC10" i="11"/>
  <c r="CC8" i="11"/>
  <c r="CC7" i="11"/>
  <c r="CC9" i="9"/>
  <c r="AH10" i="11"/>
  <c r="AH8" i="11"/>
  <c r="AH7" i="11"/>
  <c r="AH9" i="9"/>
  <c r="AH10" i="8"/>
  <c r="AJ7" i="11"/>
  <c r="AJ10" i="11"/>
  <c r="AJ8" i="11"/>
  <c r="AJ9" i="9"/>
  <c r="AJ10" i="8"/>
  <c r="CJ10" i="11"/>
  <c r="CJ8" i="11"/>
  <c r="CJ7" i="11"/>
  <c r="CJ9" i="9"/>
  <c r="AN10" i="11"/>
  <c r="AN8" i="11"/>
  <c r="AN7" i="11"/>
  <c r="AN9" i="9"/>
  <c r="AN10" i="8"/>
  <c r="I10" i="11"/>
  <c r="I8" i="11"/>
  <c r="I7" i="11"/>
  <c r="I9" i="9"/>
  <c r="I10" i="8"/>
  <c r="BS10" i="11"/>
  <c r="BS7" i="11"/>
  <c r="BS9" i="9"/>
  <c r="BS8" i="11"/>
  <c r="BS10" i="8"/>
  <c r="AG10" i="11"/>
  <c r="AG8" i="11"/>
  <c r="AG7" i="11"/>
  <c r="AG9" i="9"/>
  <c r="AG10" i="8"/>
  <c r="V7" i="11"/>
  <c r="V10" i="11"/>
  <c r="V8" i="11"/>
  <c r="V9" i="9"/>
  <c r="V10" i="8"/>
  <c r="AB7" i="11"/>
  <c r="AB10" i="11"/>
  <c r="AB8" i="11"/>
  <c r="AB9" i="9"/>
  <c r="AB10" i="8"/>
  <c r="AU10" i="11"/>
  <c r="AU7" i="11"/>
  <c r="AU9" i="9"/>
  <c r="AU8" i="11"/>
  <c r="AU10" i="8"/>
  <c r="BR7" i="11"/>
  <c r="BR10" i="11"/>
  <c r="BR8" i="11"/>
  <c r="BR9" i="9"/>
  <c r="BR10" i="8"/>
  <c r="AK7" i="11"/>
  <c r="AK10" i="11"/>
  <c r="AK9" i="9"/>
  <c r="AK8" i="11"/>
  <c r="AK10" i="8"/>
  <c r="AR7" i="11"/>
  <c r="AR10" i="11"/>
  <c r="AR8" i="11"/>
  <c r="AR9" i="9"/>
  <c r="AR10" i="8"/>
  <c r="BF10" i="11"/>
  <c r="BF8" i="11"/>
  <c r="BF7" i="11"/>
  <c r="BF9" i="9"/>
  <c r="BF10" i="8"/>
  <c r="AT7" i="11"/>
  <c r="AT10" i="11"/>
  <c r="AT8" i="11"/>
  <c r="AT9" i="9"/>
  <c r="AT10" i="8"/>
  <c r="AM10" i="11"/>
  <c r="AM7" i="11"/>
  <c r="AM9" i="9"/>
  <c r="AM8" i="11"/>
  <c r="AM10" i="8"/>
  <c r="AD7" i="11"/>
  <c r="AD10" i="11"/>
  <c r="AD8" i="11"/>
  <c r="AD9" i="9"/>
  <c r="AD10" i="8"/>
  <c r="BY7" i="11"/>
  <c r="BY10" i="11"/>
  <c r="BY9" i="9"/>
  <c r="BY8" i="11"/>
  <c r="AP10" i="11"/>
  <c r="AP8" i="11"/>
  <c r="AP7" i="11"/>
  <c r="AP9" i="9"/>
  <c r="AP10" i="8"/>
  <c r="W7" i="11"/>
  <c r="W9" i="9"/>
  <c r="W8" i="11"/>
  <c r="W10" i="11"/>
  <c r="W10" i="8"/>
  <c r="AW10" i="11"/>
  <c r="AW8" i="11"/>
  <c r="AW7" i="11"/>
  <c r="AW9" i="9"/>
  <c r="AW10" i="8"/>
  <c r="BH7" i="11"/>
  <c r="BH10" i="11"/>
  <c r="BH8" i="11"/>
  <c r="BH9" i="9"/>
  <c r="BH10" i="8"/>
  <c r="AL7" i="11"/>
  <c r="AL10" i="11"/>
  <c r="AL8" i="11"/>
  <c r="AL9" i="9"/>
  <c r="AL10" i="8"/>
  <c r="X10" i="11"/>
  <c r="X8" i="11"/>
  <c r="X7" i="11"/>
  <c r="X9" i="9"/>
  <c r="X10" i="8"/>
  <c r="Z10" i="11"/>
  <c r="Z8" i="11"/>
  <c r="Z7" i="11"/>
  <c r="Z9" i="9"/>
  <c r="Z10" i="8"/>
  <c r="BD10" i="11"/>
  <c r="BD8" i="11"/>
  <c r="BD7" i="11"/>
  <c r="BD9" i="9"/>
  <c r="BD10" i="8"/>
  <c r="AV10" i="11"/>
  <c r="AV8" i="11"/>
  <c r="AV7" i="11"/>
  <c r="AV9" i="9"/>
  <c r="AV10" i="8"/>
  <c r="BG10" i="11"/>
  <c r="BG8" i="11"/>
  <c r="BG9" i="9"/>
  <c r="BG7" i="11"/>
  <c r="BG10" i="8"/>
  <c r="J10" i="11"/>
  <c r="J8" i="11"/>
  <c r="J7" i="11"/>
  <c r="J9" i="9"/>
  <c r="J10" i="8"/>
  <c r="Q10" i="11"/>
  <c r="Q8" i="11"/>
  <c r="Q7" i="11"/>
  <c r="Q9" i="9"/>
  <c r="Q10" i="8"/>
  <c r="AX10" i="11"/>
  <c r="AX8" i="11"/>
  <c r="AX7" i="11"/>
  <c r="AX9" i="9"/>
  <c r="AX10" i="8"/>
  <c r="H10" i="11"/>
  <c r="H8" i="11"/>
  <c r="H7" i="11"/>
  <c r="H9" i="9"/>
  <c r="H10" i="8"/>
  <c r="E7" i="11"/>
  <c r="E10" i="11"/>
  <c r="E9" i="9"/>
  <c r="E8" i="11"/>
  <c r="E10" i="8"/>
  <c r="BL10" i="11"/>
  <c r="BL8" i="11"/>
  <c r="BL7" i="11"/>
  <c r="BL9" i="9"/>
  <c r="BL10" i="8"/>
  <c r="BI7" i="11"/>
  <c r="BI10" i="11"/>
  <c r="BI8" i="11"/>
  <c r="BI9" i="9"/>
  <c r="BI10" i="8"/>
  <c r="CF7" i="11"/>
  <c r="CF10" i="11"/>
  <c r="CF8" i="11"/>
  <c r="CF9" i="9"/>
  <c r="BA7" i="11"/>
  <c r="BA10" i="11"/>
  <c r="BA8" i="11"/>
  <c r="BA9" i="9"/>
  <c r="BA10" i="8"/>
  <c r="BZ7" i="11"/>
  <c r="BZ10" i="11"/>
  <c r="BZ11" i="11" s="1"/>
  <c r="BZ8" i="11"/>
  <c r="BZ9" i="9"/>
  <c r="BN10" i="11"/>
  <c r="BN8" i="11"/>
  <c r="BN7" i="11"/>
  <c r="BN9" i="9"/>
  <c r="BN10" i="8"/>
  <c r="AA10" i="11"/>
  <c r="AA8" i="11"/>
  <c r="AA9" i="9"/>
  <c r="AA7" i="11"/>
  <c r="AA10" i="8"/>
  <c r="K10" i="11"/>
  <c r="K8" i="11"/>
  <c r="K7" i="11"/>
  <c r="K9" i="9"/>
  <c r="K10" i="8"/>
  <c r="BQ7" i="11"/>
  <c r="BQ10" i="11"/>
  <c r="BQ9" i="9"/>
  <c r="BQ8" i="11"/>
  <c r="BQ10" i="8"/>
  <c r="Y10" i="11"/>
  <c r="Y8" i="11"/>
  <c r="Y7" i="11"/>
  <c r="Y9" i="9"/>
  <c r="Y10" i="8"/>
  <c r="T7" i="11"/>
  <c r="T10" i="11"/>
  <c r="T8" i="11"/>
  <c r="T9" i="9"/>
  <c r="T45" i="9" s="1"/>
  <c r="T10" i="8"/>
  <c r="AE7" i="11"/>
  <c r="AE9" i="9"/>
  <c r="AE10" i="11"/>
  <c r="AE8" i="11"/>
  <c r="AE10" i="8"/>
  <c r="BK10" i="11"/>
  <c r="BK7" i="11"/>
  <c r="BK9" i="9"/>
  <c r="BK8" i="11"/>
  <c r="BK10" i="8"/>
  <c r="BV10" i="11"/>
  <c r="BV8" i="11"/>
  <c r="BV7" i="11"/>
  <c r="BV9" i="9"/>
  <c r="BB7" i="11"/>
  <c r="BB10" i="11"/>
  <c r="BB8" i="11"/>
  <c r="BB9" i="9"/>
  <c r="BB10" i="8"/>
  <c r="R10" i="11"/>
  <c r="R8" i="11"/>
  <c r="R7" i="11"/>
  <c r="R9" i="9"/>
  <c r="R45" i="9" s="1"/>
  <c r="R10" i="8"/>
  <c r="G9" i="9"/>
  <c r="G10" i="11"/>
  <c r="G7" i="11"/>
  <c r="G8" i="11"/>
  <c r="G10" i="8"/>
  <c r="BC10" i="11"/>
  <c r="BC7" i="11"/>
  <c r="BC9" i="9"/>
  <c r="BC8" i="11"/>
  <c r="BC10" i="8"/>
  <c r="CA10" i="11"/>
  <c r="CA7" i="11"/>
  <c r="CA9" i="9"/>
  <c r="CA8" i="11"/>
  <c r="AY10" i="11"/>
  <c r="AY8" i="11"/>
  <c r="AY9" i="9"/>
  <c r="AY7" i="11"/>
  <c r="AY10" i="8"/>
  <c r="BM10" i="11"/>
  <c r="BM8" i="11"/>
  <c r="BM7" i="11"/>
  <c r="BM9" i="9"/>
  <c r="BM10" i="8"/>
  <c r="AI10" i="11"/>
  <c r="AI8" i="11"/>
  <c r="AI7" i="11"/>
  <c r="AI9" i="9"/>
  <c r="AI10" i="8"/>
  <c r="CI10" i="11"/>
  <c r="CI7" i="11"/>
  <c r="CI9" i="9"/>
  <c r="CI8" i="11"/>
  <c r="O7" i="11"/>
  <c r="O9" i="9"/>
  <c r="O45" i="9" s="1"/>
  <c r="O10" i="11"/>
  <c r="O8" i="11"/>
  <c r="O10" i="8"/>
  <c r="CH7" i="11"/>
  <c r="CH10" i="11"/>
  <c r="CH11" i="11" s="1"/>
  <c r="CH8" i="11"/>
  <c r="CH9" i="9"/>
  <c r="AS7" i="11"/>
  <c r="AS10" i="11"/>
  <c r="AS9" i="9"/>
  <c r="AS8" i="11"/>
  <c r="AS10" i="8"/>
  <c r="CE10" i="11"/>
  <c r="CE8" i="11"/>
  <c r="CE9" i="9"/>
  <c r="CE7" i="11"/>
  <c r="BW10" i="11"/>
  <c r="BW8" i="11"/>
  <c r="BW7" i="11"/>
  <c r="BW9" i="9"/>
  <c r="BP7" i="11"/>
  <c r="BP10" i="11"/>
  <c r="BP8" i="11"/>
  <c r="BP9" i="9"/>
  <c r="BP10" i="8"/>
  <c r="P10" i="11"/>
  <c r="P8" i="11"/>
  <c r="P7" i="11"/>
  <c r="P9" i="9"/>
  <c r="P10" i="8"/>
  <c r="BU10" i="11"/>
  <c r="BU8" i="11"/>
  <c r="BU7" i="11"/>
  <c r="BU9" i="9"/>
  <c r="BU10" i="8"/>
  <c r="BT10" i="11"/>
  <c r="BT8" i="11"/>
  <c r="BT7" i="11"/>
  <c r="BT9" i="9"/>
  <c r="BT10" i="8"/>
  <c r="E19" i="13"/>
  <c r="BR17" i="12" l="1"/>
  <c r="BR18" i="12" s="1"/>
  <c r="BJ16" i="6"/>
  <c r="BJ17" i="6" s="1"/>
  <c r="BJ18" i="6" s="1"/>
  <c r="AT11" i="11"/>
  <c r="BJ36" i="6"/>
  <c r="BJ37" i="6" s="1"/>
  <c r="BU11" i="11"/>
  <c r="CH2" i="11"/>
  <c r="CH4" i="11" s="1"/>
  <c r="CH47" i="6"/>
  <c r="CH47" i="10"/>
  <c r="CH49" i="10" s="1"/>
  <c r="CA11" i="11"/>
  <c r="N36" i="6"/>
  <c r="N37" i="6" s="1"/>
  <c r="N28" i="6"/>
  <c r="N29" i="6" s="1"/>
  <c r="N32" i="11" s="1"/>
  <c r="N44" i="11" s="1"/>
  <c r="CH42" i="10"/>
  <c r="CB11" i="11"/>
  <c r="CE11" i="11"/>
  <c r="BJ11" i="11"/>
  <c r="CH36" i="6"/>
  <c r="CH37" i="6" s="1"/>
  <c r="BJ28" i="6"/>
  <c r="BJ29" i="6" s="1"/>
  <c r="BJ32" i="11" s="1"/>
  <c r="BJ44" i="11" s="1"/>
  <c r="CD42" i="10"/>
  <c r="N16" i="6"/>
  <c r="N17" i="6" s="1"/>
  <c r="N18" i="6" s="1"/>
  <c r="CF11" i="11"/>
  <c r="AT36" i="6"/>
  <c r="AT37" i="6" s="1"/>
  <c r="BJ2" i="11"/>
  <c r="BJ13" i="11" s="1"/>
  <c r="BJ17" i="12"/>
  <c r="BJ18" i="12" s="1"/>
  <c r="AT6" i="8"/>
  <c r="AT7" i="8" s="1"/>
  <c r="CH16" i="6"/>
  <c r="CH17" i="6" s="1"/>
  <c r="CH18" i="6" s="1"/>
  <c r="CG11" i="11"/>
  <c r="CA42" i="10"/>
  <c r="CI11" i="11"/>
  <c r="BB2" i="11"/>
  <c r="BB13" i="11" s="1"/>
  <c r="AT16" i="6"/>
  <c r="AT17" i="6" s="1"/>
  <c r="AT18" i="6" s="1"/>
  <c r="BB17" i="12"/>
  <c r="BB18" i="12" s="1"/>
  <c r="CJ11" i="11"/>
  <c r="V28" i="6"/>
  <c r="V29" i="6" s="1"/>
  <c r="V32" i="11" s="1"/>
  <c r="V44" i="11" s="1"/>
  <c r="AT47" i="6"/>
  <c r="AT5" i="11" s="1"/>
  <c r="BQ42" i="10"/>
  <c r="CK33" i="9"/>
  <c r="CK14" i="9"/>
  <c r="CK28" i="9"/>
  <c r="CK26" i="9"/>
  <c r="N41" i="10"/>
  <c r="AB43" i="6"/>
  <c r="AB63" i="10"/>
  <c r="AB64" i="10" s="1"/>
  <c r="AZ42" i="10"/>
  <c r="P43" i="6"/>
  <c r="P48" i="10" s="1"/>
  <c r="P63" i="10"/>
  <c r="P64" i="10" s="1"/>
  <c r="G43" i="6"/>
  <c r="G48" i="10" s="1"/>
  <c r="G63" i="10"/>
  <c r="G64" i="10" s="1"/>
  <c r="M64" i="10"/>
  <c r="U43" i="6"/>
  <c r="U48" i="10" s="1"/>
  <c r="U63" i="10"/>
  <c r="U64" i="10" s="1"/>
  <c r="Y43" i="6"/>
  <c r="Y48" i="10" s="1"/>
  <c r="Y63" i="10"/>
  <c r="Y64" i="10" s="1"/>
  <c r="V43" i="6"/>
  <c r="V48" i="10" s="1"/>
  <c r="V63" i="10"/>
  <c r="V64" i="10" s="1"/>
  <c r="X43" i="6"/>
  <c r="X48" i="10" s="1"/>
  <c r="X63" i="10"/>
  <c r="X64" i="10" s="1"/>
  <c r="AC43" i="6"/>
  <c r="AC48" i="10" s="1"/>
  <c r="AC63" i="10"/>
  <c r="AC64" i="10" s="1"/>
  <c r="Z43" i="6"/>
  <c r="Z48" i="10" s="1"/>
  <c r="Z63" i="10"/>
  <c r="Z64" i="10" s="1"/>
  <c r="Q43" i="6"/>
  <c r="Q48" i="10" s="1"/>
  <c r="Q63" i="10"/>
  <c r="Q64" i="10" s="1"/>
  <c r="N43" i="6"/>
  <c r="N48" i="10" s="1"/>
  <c r="N63" i="10"/>
  <c r="N64" i="10" s="1"/>
  <c r="W43" i="6"/>
  <c r="W48" i="10" s="1"/>
  <c r="W63" i="10"/>
  <c r="W64" i="10" s="1"/>
  <c r="T43" i="6"/>
  <c r="T48" i="10" s="1"/>
  <c r="T63" i="10"/>
  <c r="T64" i="10" s="1"/>
  <c r="E64" i="10"/>
  <c r="R43" i="6"/>
  <c r="R48" i="10" s="1"/>
  <c r="R63" i="10"/>
  <c r="R64" i="10" s="1"/>
  <c r="J43" i="6"/>
  <c r="J48" i="10" s="1"/>
  <c r="J63" i="10"/>
  <c r="J64" i="10" s="1"/>
  <c r="H43" i="6"/>
  <c r="H48" i="10" s="1"/>
  <c r="H63" i="10"/>
  <c r="H64" i="10" s="1"/>
  <c r="AA43" i="6"/>
  <c r="AA48" i="10" s="1"/>
  <c r="AA63" i="10"/>
  <c r="AA64" i="10" s="1"/>
  <c r="K43" i="6"/>
  <c r="K48" i="10" s="1"/>
  <c r="K63" i="10"/>
  <c r="K64" i="10" s="1"/>
  <c r="S43" i="6"/>
  <c r="S48" i="10" s="1"/>
  <c r="S63" i="10"/>
  <c r="S64" i="10" s="1"/>
  <c r="I64" i="10"/>
  <c r="L43" i="6"/>
  <c r="L48" i="10" s="1"/>
  <c r="L63" i="10"/>
  <c r="L64" i="10" s="1"/>
  <c r="O43" i="6"/>
  <c r="O48" i="10" s="1"/>
  <c r="O63" i="10"/>
  <c r="O64" i="10" s="1"/>
  <c r="F43" i="6"/>
  <c r="F48" i="10" s="1"/>
  <c r="F63" i="10"/>
  <c r="F64" i="10" s="1"/>
  <c r="Q46" i="9"/>
  <c r="Q43" i="9"/>
  <c r="Q58" i="9"/>
  <c r="Q60" i="9"/>
  <c r="Q57" i="9"/>
  <c r="Q40" i="9"/>
  <c r="Q42" i="9"/>
  <c r="Q61" i="9"/>
  <c r="Q44" i="9"/>
  <c r="Q39" i="9"/>
  <c r="Q55" i="9"/>
  <c r="Q56" i="9"/>
  <c r="Q41" i="9"/>
  <c r="M57" i="9"/>
  <c r="M60" i="9"/>
  <c r="M58" i="9"/>
  <c r="M55" i="9"/>
  <c r="M61" i="9"/>
  <c r="M56" i="9"/>
  <c r="F57" i="9"/>
  <c r="F60" i="9"/>
  <c r="F58" i="9"/>
  <c r="F61" i="9"/>
  <c r="F55" i="9"/>
  <c r="F56" i="9"/>
  <c r="E57" i="9"/>
  <c r="E60" i="9"/>
  <c r="E58" i="9"/>
  <c r="E55" i="9"/>
  <c r="E61" i="9"/>
  <c r="E56" i="9"/>
  <c r="N46" i="9"/>
  <c r="N42" i="9"/>
  <c r="N40" i="9"/>
  <c r="N57" i="9"/>
  <c r="N60" i="9"/>
  <c r="N43" i="9"/>
  <c r="N58" i="9"/>
  <c r="N39" i="9"/>
  <c r="N55" i="9"/>
  <c r="N44" i="9"/>
  <c r="N61" i="9"/>
  <c r="N41" i="9"/>
  <c r="N56" i="9"/>
  <c r="O46" i="9"/>
  <c r="O57" i="9"/>
  <c r="O58" i="9"/>
  <c r="O40" i="9"/>
  <c r="O43" i="9"/>
  <c r="O60" i="9"/>
  <c r="O42" i="9"/>
  <c r="O61" i="9"/>
  <c r="O44" i="9"/>
  <c r="O39" i="9"/>
  <c r="O55" i="9"/>
  <c r="O56" i="9"/>
  <c r="O41" i="9"/>
  <c r="L57" i="9"/>
  <c r="L60" i="9"/>
  <c r="L58" i="9"/>
  <c r="L61" i="9"/>
  <c r="L55" i="9"/>
  <c r="L56" i="9"/>
  <c r="Q45" i="9"/>
  <c r="I58" i="9"/>
  <c r="I60" i="9"/>
  <c r="I57" i="9"/>
  <c r="I61" i="9"/>
  <c r="I55" i="9"/>
  <c r="I56" i="9"/>
  <c r="U46" i="9"/>
  <c r="U58" i="9"/>
  <c r="U42" i="9"/>
  <c r="U57" i="9"/>
  <c r="U40" i="9"/>
  <c r="U60" i="9"/>
  <c r="U43" i="9"/>
  <c r="U61" i="9"/>
  <c r="U39" i="9"/>
  <c r="U55" i="9"/>
  <c r="U44" i="9"/>
  <c r="U41" i="9"/>
  <c r="U56" i="9"/>
  <c r="N45" i="9"/>
  <c r="G58" i="9"/>
  <c r="G60" i="9"/>
  <c r="G57" i="9"/>
  <c r="G55" i="9"/>
  <c r="G61" i="9"/>
  <c r="G56" i="9"/>
  <c r="J57" i="9"/>
  <c r="J60" i="9"/>
  <c r="J58" i="9"/>
  <c r="J61" i="9"/>
  <c r="J55" i="9"/>
  <c r="J56" i="9"/>
  <c r="S46" i="9"/>
  <c r="S57" i="9"/>
  <c r="S40" i="9"/>
  <c r="S42" i="9"/>
  <c r="S58" i="9"/>
  <c r="S43" i="9"/>
  <c r="S60" i="9"/>
  <c r="S55" i="9"/>
  <c r="S39" i="9"/>
  <c r="S44" i="9"/>
  <c r="S61" i="9"/>
  <c r="S41" i="9"/>
  <c r="S56" i="9"/>
  <c r="P46" i="9"/>
  <c r="P42" i="9"/>
  <c r="P57" i="9"/>
  <c r="P43" i="9"/>
  <c r="P58" i="9"/>
  <c r="P40" i="9"/>
  <c r="P60" i="9"/>
  <c r="P55" i="9"/>
  <c r="P61" i="9"/>
  <c r="P44" i="9"/>
  <c r="P39" i="9"/>
  <c r="P41" i="9"/>
  <c r="P56" i="9"/>
  <c r="K58" i="9"/>
  <c r="K60" i="9"/>
  <c r="K57" i="9"/>
  <c r="K61" i="9"/>
  <c r="K55" i="9"/>
  <c r="K56" i="9"/>
  <c r="H45" i="9"/>
  <c r="H57" i="9"/>
  <c r="H58" i="9"/>
  <c r="H60" i="9"/>
  <c r="H55" i="9"/>
  <c r="H61" i="9"/>
  <c r="H56" i="9"/>
  <c r="R46" i="9"/>
  <c r="R42" i="9"/>
  <c r="R57" i="9"/>
  <c r="R40" i="9"/>
  <c r="R60" i="9"/>
  <c r="R43" i="9"/>
  <c r="R58" i="9"/>
  <c r="R61" i="9"/>
  <c r="R39" i="9"/>
  <c r="R44" i="9"/>
  <c r="R55" i="9"/>
  <c r="R56" i="9"/>
  <c r="R41" i="9"/>
  <c r="T46" i="9"/>
  <c r="T43" i="9"/>
  <c r="T58" i="9"/>
  <c r="T42" i="9"/>
  <c r="T57" i="9"/>
  <c r="T40" i="9"/>
  <c r="T60" i="9"/>
  <c r="T39" i="9"/>
  <c r="T55" i="9"/>
  <c r="T44" i="9"/>
  <c r="T61" i="9"/>
  <c r="T56" i="9"/>
  <c r="T41" i="9"/>
  <c r="P45" i="9"/>
  <c r="AT42" i="10"/>
  <c r="AT47" i="10"/>
  <c r="AT2" i="11"/>
  <c r="AT12" i="11" s="1"/>
  <c r="AT14" i="11" s="1"/>
  <c r="BB41" i="10"/>
  <c r="BR16" i="6"/>
  <c r="BR17" i="6" s="1"/>
  <c r="BR18" i="6" s="1"/>
  <c r="N47" i="6"/>
  <c r="N5" i="11" s="1"/>
  <c r="BR28" i="6"/>
  <c r="BR29" i="6" s="1"/>
  <c r="BR32" i="11" s="1"/>
  <c r="BR44" i="11" s="1"/>
  <c r="BN11" i="11"/>
  <c r="N47" i="10"/>
  <c r="BB47" i="6"/>
  <c r="BB5" i="11" s="1"/>
  <c r="N2" i="11"/>
  <c r="N12" i="11" s="1"/>
  <c r="N14" i="11" s="1"/>
  <c r="BP11" i="11"/>
  <c r="AL11" i="11"/>
  <c r="N11" i="11"/>
  <c r="N17" i="12"/>
  <c r="N18" i="12" s="1"/>
  <c r="BB47" i="10"/>
  <c r="BL42" i="10"/>
  <c r="AL42" i="10"/>
  <c r="BO11" i="11"/>
  <c r="BR47" i="6"/>
  <c r="BB11" i="11"/>
  <c r="AD36" i="6"/>
  <c r="AD37" i="6" s="1"/>
  <c r="BJ47" i="6"/>
  <c r="BJ5" i="11" s="1"/>
  <c r="AD6" i="8"/>
  <c r="AD7" i="8" s="1"/>
  <c r="BY11" i="11"/>
  <c r="BB16" i="6"/>
  <c r="BB17" i="6" s="1"/>
  <c r="BB18" i="6" s="1"/>
  <c r="BJ42" i="10"/>
  <c r="BL11" i="11"/>
  <c r="AL16" i="6"/>
  <c r="AL17" i="6" s="1"/>
  <c r="AL18" i="6" s="1"/>
  <c r="AT17" i="12"/>
  <c r="AT18" i="12" s="1"/>
  <c r="BR47" i="10"/>
  <c r="BR11" i="11"/>
  <c r="BX11" i="11"/>
  <c r="AL28" i="6"/>
  <c r="AL29" i="6" s="1"/>
  <c r="AL32" i="11" s="1"/>
  <c r="AL44" i="11" s="1"/>
  <c r="BR2" i="11"/>
  <c r="BR13" i="11" s="1"/>
  <c r="BJ47" i="10"/>
  <c r="BR6" i="8"/>
  <c r="BR7" i="8" s="1"/>
  <c r="BB28" i="6"/>
  <c r="BB29" i="6" s="1"/>
  <c r="BB32" i="11" s="1"/>
  <c r="BB44" i="11" s="1"/>
  <c r="BB6" i="8"/>
  <c r="BB7" i="8" s="1"/>
  <c r="BU42" i="10"/>
  <c r="BT11" i="11"/>
  <c r="BW11" i="11"/>
  <c r="AN42" i="10"/>
  <c r="BR41" i="10"/>
  <c r="BR42" i="10"/>
  <c r="BM11" i="11"/>
  <c r="BS11" i="11"/>
  <c r="BD42" i="10"/>
  <c r="AL6" i="8"/>
  <c r="AL7" i="8" s="1"/>
  <c r="BC42" i="10"/>
  <c r="AW11" i="11"/>
  <c r="BE11" i="11"/>
  <c r="BO42" i="10"/>
  <c r="CG42" i="10"/>
  <c r="AI11" i="11"/>
  <c r="AU11" i="11"/>
  <c r="BG42" i="10"/>
  <c r="AL2" i="11"/>
  <c r="AL4" i="11" s="1"/>
  <c r="AY11" i="11"/>
  <c r="AD47" i="6"/>
  <c r="AD5" i="11" s="1"/>
  <c r="AL17" i="12"/>
  <c r="AL18" i="12" s="1"/>
  <c r="AP42" i="10"/>
  <c r="AD47" i="10"/>
  <c r="AD11" i="11"/>
  <c r="BF11" i="11"/>
  <c r="AX42" i="10"/>
  <c r="AD2" i="11"/>
  <c r="AD12" i="11" s="1"/>
  <c r="AD14" i="11" s="1"/>
  <c r="AD17" i="12"/>
  <c r="AD18" i="12" s="1"/>
  <c r="AL47" i="6"/>
  <c r="AL5" i="11" s="1"/>
  <c r="AL47" i="10"/>
  <c r="AM11" i="11"/>
  <c r="AD16" i="6"/>
  <c r="AD17" i="6" s="1"/>
  <c r="AD18" i="6" s="1"/>
  <c r="BC11" i="11"/>
  <c r="F47" i="6"/>
  <c r="F5" i="11" s="1"/>
  <c r="Z42" i="10"/>
  <c r="V42" i="10"/>
  <c r="AV11" i="11"/>
  <c r="AH11" i="11"/>
  <c r="F47" i="10"/>
  <c r="AX11" i="11"/>
  <c r="BA42" i="10"/>
  <c r="BD11" i="11"/>
  <c r="V11" i="11"/>
  <c r="AY42" i="10"/>
  <c r="BH42" i="10"/>
  <c r="AR42" i="10"/>
  <c r="V36" i="6"/>
  <c r="V37" i="6" s="1"/>
  <c r="V6" i="8"/>
  <c r="V7" i="8" s="1"/>
  <c r="BH11" i="11"/>
  <c r="BA11" i="11"/>
  <c r="L11" i="11"/>
  <c r="F2" i="11"/>
  <c r="F13" i="11" s="1"/>
  <c r="F17" i="12"/>
  <c r="F18" i="12" s="1"/>
  <c r="V47" i="10"/>
  <c r="V17" i="12"/>
  <c r="V18" i="12" s="1"/>
  <c r="BI11" i="11"/>
  <c r="CD11" i="11"/>
  <c r="BF42" i="10"/>
  <c r="V47" i="6"/>
  <c r="V50" i="10" s="1"/>
  <c r="CF42" i="10"/>
  <c r="AN11" i="11"/>
  <c r="BY42" i="10"/>
  <c r="V2" i="11"/>
  <c r="V13" i="11" s="1"/>
  <c r="BP42" i="10"/>
  <c r="BV11" i="11"/>
  <c r="BG11" i="11"/>
  <c r="X42" i="10"/>
  <c r="BX42" i="10"/>
  <c r="BQ11" i="11"/>
  <c r="CC11" i="11"/>
  <c r="CI42" i="10"/>
  <c r="AD42" i="10"/>
  <c r="BK11" i="11"/>
  <c r="AV42" i="10"/>
  <c r="CB42" i="10"/>
  <c r="AA11" i="11"/>
  <c r="F42" i="10"/>
  <c r="F11" i="11"/>
  <c r="F28" i="6"/>
  <c r="F29" i="6" s="1"/>
  <c r="F32" i="11" s="1"/>
  <c r="F44" i="11" s="1"/>
  <c r="G11" i="11"/>
  <c r="O11" i="11"/>
  <c r="F16" i="6"/>
  <c r="F17" i="6" s="1"/>
  <c r="F18" i="6" s="1"/>
  <c r="F36" i="6"/>
  <c r="F37" i="6" s="1"/>
  <c r="S42" i="10"/>
  <c r="J11" i="11"/>
  <c r="I46" i="9"/>
  <c r="I40" i="9"/>
  <c r="I42" i="9"/>
  <c r="I43" i="9"/>
  <c r="I39" i="9"/>
  <c r="I44" i="9"/>
  <c r="I41" i="9"/>
  <c r="G46" i="9"/>
  <c r="G42" i="9"/>
  <c r="G43" i="9"/>
  <c r="G40" i="9"/>
  <c r="G44" i="9"/>
  <c r="G39" i="9"/>
  <c r="G41" i="9"/>
  <c r="J46" i="9"/>
  <c r="J42" i="9"/>
  <c r="J43" i="9"/>
  <c r="J40" i="9"/>
  <c r="J39" i="9"/>
  <c r="J44" i="9"/>
  <c r="J41" i="9"/>
  <c r="I45" i="9"/>
  <c r="K46" i="9"/>
  <c r="K42" i="9"/>
  <c r="K43" i="9"/>
  <c r="K40" i="9"/>
  <c r="K39" i="9"/>
  <c r="K44" i="9"/>
  <c r="K41" i="9"/>
  <c r="H46" i="9"/>
  <c r="H42" i="9"/>
  <c r="H43" i="9"/>
  <c r="H40" i="9"/>
  <c r="H44" i="9"/>
  <c r="H39" i="9"/>
  <c r="H41" i="9"/>
  <c r="K45" i="9"/>
  <c r="J45" i="9"/>
  <c r="M46" i="9"/>
  <c r="M43" i="9"/>
  <c r="M40" i="9"/>
  <c r="M42" i="9"/>
  <c r="M44" i="9"/>
  <c r="M39" i="9"/>
  <c r="M41" i="9"/>
  <c r="M45" i="9"/>
  <c r="F46" i="9"/>
  <c r="F40" i="9"/>
  <c r="F42" i="9"/>
  <c r="F43" i="9"/>
  <c r="F44" i="9"/>
  <c r="F39" i="9"/>
  <c r="F41" i="9"/>
  <c r="G45" i="9"/>
  <c r="E46" i="9"/>
  <c r="E40" i="9"/>
  <c r="E42" i="9"/>
  <c r="E43" i="9"/>
  <c r="E44" i="9"/>
  <c r="E39" i="9"/>
  <c r="E41" i="9"/>
  <c r="E45" i="9"/>
  <c r="L46" i="9"/>
  <c r="L42" i="9"/>
  <c r="L40" i="9"/>
  <c r="L43" i="9"/>
  <c r="L39" i="9"/>
  <c r="L44" i="9"/>
  <c r="L41" i="9"/>
  <c r="L45" i="9"/>
  <c r="F45" i="9"/>
  <c r="J39" i="13"/>
  <c r="H11" i="11"/>
  <c r="M11" i="11"/>
  <c r="AJ11" i="11"/>
  <c r="AO11" i="11"/>
  <c r="AQ11" i="11"/>
  <c r="Q11" i="11"/>
  <c r="E64" i="13"/>
  <c r="M43" i="6"/>
  <c r="M48" i="10" s="1"/>
  <c r="E65" i="13"/>
  <c r="I43" i="6"/>
  <c r="I48" i="10" s="1"/>
  <c r="E66" i="13"/>
  <c r="E43" i="6"/>
  <c r="E48" i="10" s="1"/>
  <c r="I20" i="9"/>
  <c r="M20" i="9"/>
  <c r="K11" i="11"/>
  <c r="X11" i="11"/>
  <c r="Y11" i="11"/>
  <c r="T11" i="11"/>
  <c r="M42" i="10"/>
  <c r="AE11" i="11"/>
  <c r="R11" i="11"/>
  <c r="L42" i="10"/>
  <c r="AH42" i="10"/>
  <c r="AJ42" i="10"/>
  <c r="E11" i="11"/>
  <c r="U11" i="11"/>
  <c r="AC42" i="10"/>
  <c r="Y42" i="10"/>
  <c r="I11" i="11"/>
  <c r="AS11" i="11"/>
  <c r="E42" i="10"/>
  <c r="AE42" i="10"/>
  <c r="S11" i="11"/>
  <c r="P42" i="10"/>
  <c r="U42" i="10"/>
  <c r="P11" i="11"/>
  <c r="AK11" i="11"/>
  <c r="AG11" i="11"/>
  <c r="AR11" i="11"/>
  <c r="AF11" i="11"/>
  <c r="AS42" i="10"/>
  <c r="I42" i="10"/>
  <c r="AP11" i="11"/>
  <c r="Z11" i="11"/>
  <c r="AC11" i="11"/>
  <c r="AG42" i="10"/>
  <c r="AB11" i="11"/>
  <c r="G42" i="10"/>
  <c r="Q42" i="10"/>
  <c r="H42" i="10"/>
  <c r="K42" i="10"/>
  <c r="AI42" i="10"/>
  <c r="AF6" i="8"/>
  <c r="AF7" i="8" s="1"/>
  <c r="AF28" i="6"/>
  <c r="AF29" i="6" s="1"/>
  <c r="AF32" i="11" s="1"/>
  <c r="AF44" i="11" s="1"/>
  <c r="AF36" i="6"/>
  <c r="AF37" i="6" s="1"/>
  <c r="AF16" i="6"/>
  <c r="AF17" i="6" s="1"/>
  <c r="AF18" i="6" s="1"/>
  <c r="AA6" i="8"/>
  <c r="AA7" i="8" s="1"/>
  <c r="AA36" i="6"/>
  <c r="AA37" i="6" s="1"/>
  <c r="AA28" i="6"/>
  <c r="AA29" i="6" s="1"/>
  <c r="AA32" i="11" s="1"/>
  <c r="AA44" i="11" s="1"/>
  <c r="AA16" i="6"/>
  <c r="AA17" i="6" s="1"/>
  <c r="AA18" i="6" s="1"/>
  <c r="BS6" i="8"/>
  <c r="BS7" i="8" s="1"/>
  <c r="BS28" i="6"/>
  <c r="BS29" i="6" s="1"/>
  <c r="BS32" i="11" s="1"/>
  <c r="BS44" i="11" s="1"/>
  <c r="BS36" i="6"/>
  <c r="BS37" i="6" s="1"/>
  <c r="BS16" i="6"/>
  <c r="BS17" i="6" s="1"/>
  <c r="BS18" i="6" s="1"/>
  <c r="AK17" i="12"/>
  <c r="AK18" i="12" s="1"/>
  <c r="AK2" i="11"/>
  <c r="AK47" i="10"/>
  <c r="AK48" i="10"/>
  <c r="AK47" i="6"/>
  <c r="CE36" i="6"/>
  <c r="CE37" i="6" s="1"/>
  <c r="CE28" i="6"/>
  <c r="CE29" i="6" s="1"/>
  <c r="CE32" i="11" s="1"/>
  <c r="CE44" i="11" s="1"/>
  <c r="CE16" i="6"/>
  <c r="CE17" i="6" s="1"/>
  <c r="CE18" i="6" s="1"/>
  <c r="BM6" i="8"/>
  <c r="BM7" i="8" s="1"/>
  <c r="BM36" i="6"/>
  <c r="BM37" i="6" s="1"/>
  <c r="BM28" i="6"/>
  <c r="BM29" i="6" s="1"/>
  <c r="BM32" i="11" s="1"/>
  <c r="BM44" i="11" s="1"/>
  <c r="BM16" i="6"/>
  <c r="BM17" i="6" s="1"/>
  <c r="BM18" i="6" s="1"/>
  <c r="AO17" i="12"/>
  <c r="AO18" i="12" s="1"/>
  <c r="AO2" i="11"/>
  <c r="AO47" i="10"/>
  <c r="AO47" i="6"/>
  <c r="AO48" i="10"/>
  <c r="CG17" i="12"/>
  <c r="CG18" i="12" s="1"/>
  <c r="CG2" i="11"/>
  <c r="CG47" i="10"/>
  <c r="CG49" i="10" s="1"/>
  <c r="CG48" i="10"/>
  <c r="CG47" i="6"/>
  <c r="CA17" i="12"/>
  <c r="CA18" i="12" s="1"/>
  <c r="CA2" i="11"/>
  <c r="CA47" i="10"/>
  <c r="CA48" i="10"/>
  <c r="CA47" i="6"/>
  <c r="K36" i="6"/>
  <c r="K37" i="6" s="1"/>
  <c r="K6" i="8"/>
  <c r="K7" i="8" s="1"/>
  <c r="K28" i="6"/>
  <c r="K29" i="6" s="1"/>
  <c r="K32" i="11" s="1"/>
  <c r="K44" i="11" s="1"/>
  <c r="K16" i="6"/>
  <c r="K17" i="6" s="1"/>
  <c r="K18" i="6" s="1"/>
  <c r="S17" i="12"/>
  <c r="S18" i="12" s="1"/>
  <c r="S2" i="11"/>
  <c r="S47" i="10"/>
  <c r="S47" i="6"/>
  <c r="AY36" i="6"/>
  <c r="AY37" i="6" s="1"/>
  <c r="AY28" i="6"/>
  <c r="AY29" i="6" s="1"/>
  <c r="AY32" i="11" s="1"/>
  <c r="AY44" i="11" s="1"/>
  <c r="AY6" i="8"/>
  <c r="AY7" i="8" s="1"/>
  <c r="AY16" i="6"/>
  <c r="AY17" i="6" s="1"/>
  <c r="AY18" i="6" s="1"/>
  <c r="CF36" i="6"/>
  <c r="CF37" i="6" s="1"/>
  <c r="CF28" i="6"/>
  <c r="CF29" i="6" s="1"/>
  <c r="CF32" i="11" s="1"/>
  <c r="CF44" i="11" s="1"/>
  <c r="CF16" i="6"/>
  <c r="CF17" i="6" s="1"/>
  <c r="CF18" i="6" s="1"/>
  <c r="AG17" i="12"/>
  <c r="AG18" i="12" s="1"/>
  <c r="AG2" i="11"/>
  <c r="AG47" i="10"/>
  <c r="AG47" i="6"/>
  <c r="AG48" i="10"/>
  <c r="BG17" i="12"/>
  <c r="BG18" i="12" s="1"/>
  <c r="BG2" i="11"/>
  <c r="BG47" i="10"/>
  <c r="BG48" i="10"/>
  <c r="BG47" i="6"/>
  <c r="BQ6" i="8"/>
  <c r="BQ7" i="8" s="1"/>
  <c r="BQ36" i="6"/>
  <c r="BQ37" i="6" s="1"/>
  <c r="BQ28" i="6"/>
  <c r="BQ29" i="6" s="1"/>
  <c r="BQ32" i="11" s="1"/>
  <c r="BQ44" i="11" s="1"/>
  <c r="BQ16" i="6"/>
  <c r="BQ17" i="6" s="1"/>
  <c r="BQ18" i="6" s="1"/>
  <c r="BU17" i="12"/>
  <c r="BU18" i="12" s="1"/>
  <c r="BU2" i="11"/>
  <c r="BU47" i="10"/>
  <c r="BU47" i="6"/>
  <c r="BU48" i="10"/>
  <c r="AP17" i="12"/>
  <c r="AP18" i="12" s="1"/>
  <c r="AP2" i="11"/>
  <c r="AP47" i="10"/>
  <c r="AP47" i="6"/>
  <c r="AP48" i="10"/>
  <c r="CD36" i="6"/>
  <c r="CD37" i="6" s="1"/>
  <c r="CD28" i="6"/>
  <c r="CD29" i="6" s="1"/>
  <c r="CD32" i="11" s="1"/>
  <c r="CD44" i="11" s="1"/>
  <c r="CD16" i="6"/>
  <c r="CD17" i="6" s="1"/>
  <c r="CD18" i="6" s="1"/>
  <c r="BE17" i="12"/>
  <c r="BE18" i="12" s="1"/>
  <c r="BE2" i="11"/>
  <c r="BE47" i="10"/>
  <c r="BE47" i="6"/>
  <c r="BE48" i="10"/>
  <c r="AN17" i="12"/>
  <c r="AN18" i="12" s="1"/>
  <c r="AN2" i="11"/>
  <c r="AN47" i="10"/>
  <c r="AN48" i="10"/>
  <c r="AN47" i="6"/>
  <c r="BC17" i="12"/>
  <c r="BC18" i="12" s="1"/>
  <c r="BC2" i="11"/>
  <c r="BC47" i="10"/>
  <c r="BC48" i="10"/>
  <c r="BC47" i="6"/>
  <c r="T42" i="10"/>
  <c r="J42" i="10"/>
  <c r="H17" i="12"/>
  <c r="H18" i="12" s="1"/>
  <c r="H2" i="11"/>
  <c r="H47" i="10"/>
  <c r="H47" i="6"/>
  <c r="BL17" i="12"/>
  <c r="BL18" i="12" s="1"/>
  <c r="BL47" i="10"/>
  <c r="BL2" i="11"/>
  <c r="BL48" i="10"/>
  <c r="BL47" i="6"/>
  <c r="AJ17" i="12"/>
  <c r="AJ18" i="12" s="1"/>
  <c r="AJ2" i="11"/>
  <c r="AJ47" i="10"/>
  <c r="AJ48" i="10"/>
  <c r="AJ47" i="6"/>
  <c r="AW17" i="12"/>
  <c r="AW18" i="12" s="1"/>
  <c r="AW2" i="11"/>
  <c r="AW47" i="10"/>
  <c r="AW47" i="6"/>
  <c r="AW48" i="10"/>
  <c r="AU42" i="10"/>
  <c r="C43" i="6"/>
  <c r="C47" i="6"/>
  <c r="AK6" i="8"/>
  <c r="AK7" i="8" s="1"/>
  <c r="AK36" i="6"/>
  <c r="AK37" i="6" s="1"/>
  <c r="AK28" i="6"/>
  <c r="AK29" i="6" s="1"/>
  <c r="AK32" i="11" s="1"/>
  <c r="AK44" i="11" s="1"/>
  <c r="AK16" i="6"/>
  <c r="AK17" i="6" s="1"/>
  <c r="AK18" i="6" s="1"/>
  <c r="AV17" i="12"/>
  <c r="AV18" i="12" s="1"/>
  <c r="AV2" i="11"/>
  <c r="AV47" i="10"/>
  <c r="AV48" i="10"/>
  <c r="AV47" i="6"/>
  <c r="BA17" i="12"/>
  <c r="BA18" i="12" s="1"/>
  <c r="BA2" i="11"/>
  <c r="BA47" i="10"/>
  <c r="BA48" i="10"/>
  <c r="BA47" i="6"/>
  <c r="AO6" i="8"/>
  <c r="AO7" i="8" s="1"/>
  <c r="AO36" i="6"/>
  <c r="AO37" i="6" s="1"/>
  <c r="AO28" i="6"/>
  <c r="AO29" i="6" s="1"/>
  <c r="AO32" i="11" s="1"/>
  <c r="AO44" i="11" s="1"/>
  <c r="AO16" i="6"/>
  <c r="AO17" i="6" s="1"/>
  <c r="AO18" i="6" s="1"/>
  <c r="BT6" i="8"/>
  <c r="BT7" i="8" s="1"/>
  <c r="BT28" i="6"/>
  <c r="BT29" i="6" s="1"/>
  <c r="BT32" i="11" s="1"/>
  <c r="BT44" i="11" s="1"/>
  <c r="BT36" i="6"/>
  <c r="BT37" i="6" s="1"/>
  <c r="BT16" i="6"/>
  <c r="BT17" i="6" s="1"/>
  <c r="BT18" i="6" s="1"/>
  <c r="Z17" i="12"/>
  <c r="Z18" i="12" s="1"/>
  <c r="Z2" i="11"/>
  <c r="Z47" i="10"/>
  <c r="Z47" i="6"/>
  <c r="AC17" i="12"/>
  <c r="AC18" i="12" s="1"/>
  <c r="AC2" i="11"/>
  <c r="AC47" i="10"/>
  <c r="AC47" i="6"/>
  <c r="AG6" i="8"/>
  <c r="AG7" i="8" s="1"/>
  <c r="AG36" i="6"/>
  <c r="AG37" i="6" s="1"/>
  <c r="AG28" i="6"/>
  <c r="AG29" i="6" s="1"/>
  <c r="AG32" i="11" s="1"/>
  <c r="AG44" i="11" s="1"/>
  <c r="AG16" i="6"/>
  <c r="AG17" i="6" s="1"/>
  <c r="AG18" i="6" s="1"/>
  <c r="BU6" i="8"/>
  <c r="BU7" i="8" s="1"/>
  <c r="BU36" i="6"/>
  <c r="BU37" i="6" s="1"/>
  <c r="BU28" i="6"/>
  <c r="BU29" i="6" s="1"/>
  <c r="BU32" i="11" s="1"/>
  <c r="BU44" i="11" s="1"/>
  <c r="BU16" i="6"/>
  <c r="BU17" i="6" s="1"/>
  <c r="BU18" i="6" s="1"/>
  <c r="CI28" i="6"/>
  <c r="CI29" i="6" s="1"/>
  <c r="CI32" i="11" s="1"/>
  <c r="CI44" i="11" s="1"/>
  <c r="CI36" i="6"/>
  <c r="CI37" i="6" s="1"/>
  <c r="CI16" i="6"/>
  <c r="CI17" i="6" s="1"/>
  <c r="CI18" i="6" s="1"/>
  <c r="AP6" i="8"/>
  <c r="AP7" i="8" s="1"/>
  <c r="AP36" i="6"/>
  <c r="AP37" i="6" s="1"/>
  <c r="AP28" i="6"/>
  <c r="AP29" i="6" s="1"/>
  <c r="AP32" i="11" s="1"/>
  <c r="AP44" i="11" s="1"/>
  <c r="AP16" i="6"/>
  <c r="AP17" i="6" s="1"/>
  <c r="AP18" i="6" s="1"/>
  <c r="AZ6" i="8"/>
  <c r="AZ7" i="8" s="1"/>
  <c r="AZ36" i="6"/>
  <c r="AZ37" i="6" s="1"/>
  <c r="AZ28" i="6"/>
  <c r="AZ29" i="6" s="1"/>
  <c r="AZ32" i="11" s="1"/>
  <c r="AZ44" i="11" s="1"/>
  <c r="AZ16" i="6"/>
  <c r="AZ17" i="6" s="1"/>
  <c r="AZ18" i="6" s="1"/>
  <c r="AR6" i="8"/>
  <c r="AR7" i="8" s="1"/>
  <c r="AR36" i="6"/>
  <c r="AR37" i="6" s="1"/>
  <c r="AR28" i="6"/>
  <c r="AR29" i="6" s="1"/>
  <c r="AR32" i="11" s="1"/>
  <c r="AR44" i="11" s="1"/>
  <c r="AR16" i="6"/>
  <c r="AR17" i="6" s="1"/>
  <c r="AR18" i="6" s="1"/>
  <c r="CD17" i="12"/>
  <c r="CD18" i="12" s="1"/>
  <c r="CD2" i="11"/>
  <c r="CD47" i="10"/>
  <c r="CD49" i="10" s="1"/>
  <c r="CD47" i="6"/>
  <c r="CD48" i="10"/>
  <c r="AN6" i="8"/>
  <c r="AN7" i="8" s="1"/>
  <c r="AN28" i="6"/>
  <c r="AN29" i="6" s="1"/>
  <c r="AN32" i="11" s="1"/>
  <c r="AN44" i="11" s="1"/>
  <c r="AN36" i="6"/>
  <c r="AN37" i="6" s="1"/>
  <c r="AN16" i="6"/>
  <c r="AN17" i="6" s="1"/>
  <c r="AN18" i="6" s="1"/>
  <c r="M17" i="12"/>
  <c r="M18" i="12" s="1"/>
  <c r="M2" i="11"/>
  <c r="M47" i="10"/>
  <c r="M47" i="6"/>
  <c r="H6" i="8"/>
  <c r="H7" i="8" s="1"/>
  <c r="H28" i="6"/>
  <c r="H29" i="6" s="1"/>
  <c r="H32" i="11" s="1"/>
  <c r="H44" i="11" s="1"/>
  <c r="H36" i="6"/>
  <c r="H37" i="6" s="1"/>
  <c r="H16" i="6"/>
  <c r="H17" i="6" s="1"/>
  <c r="H18" i="6" s="1"/>
  <c r="BO36" i="6"/>
  <c r="BO37" i="6" s="1"/>
  <c r="BO6" i="8"/>
  <c r="BO7" i="8" s="1"/>
  <c r="BO28" i="6"/>
  <c r="BO29" i="6" s="1"/>
  <c r="BO32" i="11" s="1"/>
  <c r="BO44" i="11" s="1"/>
  <c r="BO16" i="6"/>
  <c r="BO17" i="6" s="1"/>
  <c r="BO18" i="6" s="1"/>
  <c r="AJ6" i="8"/>
  <c r="AJ7" i="8" s="1"/>
  <c r="AJ36" i="6"/>
  <c r="AJ37" i="6" s="1"/>
  <c r="AJ28" i="6"/>
  <c r="AJ29" i="6" s="1"/>
  <c r="AJ32" i="11" s="1"/>
  <c r="AJ44" i="11" s="1"/>
  <c r="AJ16" i="6"/>
  <c r="AJ17" i="6" s="1"/>
  <c r="AJ18" i="6" s="1"/>
  <c r="AM42" i="10"/>
  <c r="BX17" i="12"/>
  <c r="BX18" i="12" s="1"/>
  <c r="BX2" i="11"/>
  <c r="BX47" i="10"/>
  <c r="BX48" i="10"/>
  <c r="BX47" i="6"/>
  <c r="W11" i="11"/>
  <c r="CC17" i="12"/>
  <c r="CC18" i="12" s="1"/>
  <c r="CC2" i="11"/>
  <c r="CC47" i="10"/>
  <c r="CC47" i="6"/>
  <c r="CC48" i="10"/>
  <c r="AW6" i="8"/>
  <c r="AW7" i="8" s="1"/>
  <c r="AW36" i="6"/>
  <c r="AW37" i="6" s="1"/>
  <c r="AW28" i="6"/>
  <c r="AW29" i="6" s="1"/>
  <c r="AW32" i="11" s="1"/>
  <c r="AW44" i="11" s="1"/>
  <c r="AW16" i="6"/>
  <c r="AW17" i="6" s="1"/>
  <c r="AW18" i="6" s="1"/>
  <c r="BW36" i="6"/>
  <c r="BW37" i="6" s="1"/>
  <c r="BW28" i="6"/>
  <c r="BW29" i="6" s="1"/>
  <c r="BW32" i="11" s="1"/>
  <c r="BW44" i="11" s="1"/>
  <c r="BW16" i="6"/>
  <c r="BW17" i="6" s="1"/>
  <c r="BW18" i="6" s="1"/>
  <c r="AB17" i="12"/>
  <c r="AB18" i="12" s="1"/>
  <c r="AB2" i="11"/>
  <c r="AB47" i="10"/>
  <c r="AB48" i="10"/>
  <c r="AB47" i="6"/>
  <c r="AA17" i="12"/>
  <c r="AA18" i="12" s="1"/>
  <c r="AA2" i="11"/>
  <c r="AA47" i="10"/>
  <c r="AA47" i="6"/>
  <c r="R17" i="12"/>
  <c r="R18" i="12" s="1"/>
  <c r="R2" i="11"/>
  <c r="R47" i="10"/>
  <c r="R47" i="6"/>
  <c r="BS17" i="12"/>
  <c r="BS18" i="12" s="1"/>
  <c r="BS2" i="11"/>
  <c r="BS47" i="10"/>
  <c r="BS48" i="10"/>
  <c r="BS47" i="6"/>
  <c r="D43" i="6"/>
  <c r="D47" i="6"/>
  <c r="BI6" i="8"/>
  <c r="BI7" i="8" s="1"/>
  <c r="BI36" i="6"/>
  <c r="BI37" i="6" s="1"/>
  <c r="BI28" i="6"/>
  <c r="BI29" i="6" s="1"/>
  <c r="BI32" i="11" s="1"/>
  <c r="BI44" i="11" s="1"/>
  <c r="BI16" i="6"/>
  <c r="BI17" i="6" s="1"/>
  <c r="BI18" i="6" s="1"/>
  <c r="CE17" i="12"/>
  <c r="CE18" i="12" s="1"/>
  <c r="CE2" i="11"/>
  <c r="CE47" i="10"/>
  <c r="CE47" i="6"/>
  <c r="CE48" i="10"/>
  <c r="BK6" i="8"/>
  <c r="BK7" i="8" s="1"/>
  <c r="BK28" i="6"/>
  <c r="BK29" i="6" s="1"/>
  <c r="BK32" i="11" s="1"/>
  <c r="BK44" i="11" s="1"/>
  <c r="BK36" i="6"/>
  <c r="BK37" i="6" s="1"/>
  <c r="BK16" i="6"/>
  <c r="BK17" i="6" s="1"/>
  <c r="BK18" i="6" s="1"/>
  <c r="AV6" i="8"/>
  <c r="AV7" i="8" s="1"/>
  <c r="AV28" i="6"/>
  <c r="AV29" i="6" s="1"/>
  <c r="AV32" i="11" s="1"/>
  <c r="AV44" i="11" s="1"/>
  <c r="AV36" i="6"/>
  <c r="AV37" i="6" s="1"/>
  <c r="AV16" i="6"/>
  <c r="AV17" i="6" s="1"/>
  <c r="AV18" i="6" s="1"/>
  <c r="K17" i="12"/>
  <c r="K18" i="12" s="1"/>
  <c r="K2" i="11"/>
  <c r="K47" i="10"/>
  <c r="K47" i="6"/>
  <c r="Z6" i="8"/>
  <c r="Z7" i="8" s="1"/>
  <c r="Z36" i="6"/>
  <c r="Z37" i="6" s="1"/>
  <c r="Z28" i="6"/>
  <c r="Z29" i="6" s="1"/>
  <c r="Z32" i="11" s="1"/>
  <c r="Z44" i="11" s="1"/>
  <c r="Z16" i="6"/>
  <c r="Z17" i="6" s="1"/>
  <c r="Z18" i="6" s="1"/>
  <c r="AY17" i="12"/>
  <c r="AY18" i="12" s="1"/>
  <c r="AY2" i="11"/>
  <c r="AY47" i="10"/>
  <c r="AY47" i="6"/>
  <c r="AY48" i="10"/>
  <c r="AC6" i="8"/>
  <c r="AC7" i="8" s="1"/>
  <c r="AC36" i="6"/>
  <c r="AC37" i="6" s="1"/>
  <c r="AC28" i="6"/>
  <c r="AC29" i="6" s="1"/>
  <c r="AC32" i="11" s="1"/>
  <c r="AC44" i="11" s="1"/>
  <c r="AC16" i="6"/>
  <c r="AC17" i="6" s="1"/>
  <c r="AC18" i="6" s="1"/>
  <c r="BZ5" i="11"/>
  <c r="BZ50" i="10"/>
  <c r="CF17" i="12"/>
  <c r="CF18" i="12" s="1"/>
  <c r="CF2" i="11"/>
  <c r="CF47" i="10"/>
  <c r="CF48" i="10"/>
  <c r="CF47" i="6"/>
  <c r="BQ17" i="12"/>
  <c r="BQ18" i="12" s="1"/>
  <c r="BQ2" i="11"/>
  <c r="BQ47" i="10"/>
  <c r="BQ48" i="10"/>
  <c r="BQ47" i="6"/>
  <c r="E17" i="12"/>
  <c r="E18" i="12" s="1"/>
  <c r="E2" i="11"/>
  <c r="E47" i="10"/>
  <c r="E47" i="6"/>
  <c r="AW42" i="10"/>
  <c r="BP6" i="8"/>
  <c r="BP7" i="8" s="1"/>
  <c r="BP36" i="6"/>
  <c r="BP37" i="6" s="1"/>
  <c r="BP28" i="6"/>
  <c r="BP29" i="6" s="1"/>
  <c r="BP32" i="11" s="1"/>
  <c r="BP44" i="11" s="1"/>
  <c r="BP16" i="6"/>
  <c r="BP17" i="6" s="1"/>
  <c r="BP18" i="6" s="1"/>
  <c r="AH17" i="12"/>
  <c r="AH18" i="12" s="1"/>
  <c r="AH2" i="11"/>
  <c r="AH47" i="10"/>
  <c r="AH47" i="6"/>
  <c r="AH48" i="10"/>
  <c r="CH13" i="11"/>
  <c r="CH12" i="11"/>
  <c r="CH14" i="11" s="1"/>
  <c r="M6" i="8"/>
  <c r="M7" i="8" s="1"/>
  <c r="M36" i="6"/>
  <c r="M37" i="6" s="1"/>
  <c r="M28" i="6"/>
  <c r="M29" i="6" s="1"/>
  <c r="M32" i="11" s="1"/>
  <c r="M44" i="11" s="1"/>
  <c r="M16" i="6"/>
  <c r="M17" i="6" s="1"/>
  <c r="M18" i="6" s="1"/>
  <c r="Q17" i="12"/>
  <c r="Q18" i="12" s="1"/>
  <c r="Q2" i="11"/>
  <c r="Q47" i="10"/>
  <c r="Q47" i="6"/>
  <c r="AK42" i="10"/>
  <c r="BO17" i="12"/>
  <c r="BO18" i="12" s="1"/>
  <c r="BO2" i="11"/>
  <c r="BO47" i="10"/>
  <c r="BO48" i="10"/>
  <c r="BO47" i="6"/>
  <c r="CH33" i="6"/>
  <c r="CH34" i="6" s="1"/>
  <c r="CC36" i="6"/>
  <c r="CC37" i="6" s="1"/>
  <c r="CC28" i="6"/>
  <c r="CC29" i="6" s="1"/>
  <c r="CC32" i="11" s="1"/>
  <c r="CC44" i="11" s="1"/>
  <c r="CC16" i="6"/>
  <c r="CC17" i="6" s="1"/>
  <c r="CC18" i="6" s="1"/>
  <c r="AB6" i="8"/>
  <c r="AB7" i="8" s="1"/>
  <c r="AB36" i="6"/>
  <c r="AB37" i="6" s="1"/>
  <c r="AB28" i="6"/>
  <c r="AB29" i="6" s="1"/>
  <c r="AB32" i="11" s="1"/>
  <c r="AB44" i="11" s="1"/>
  <c r="AB16" i="6"/>
  <c r="AB17" i="6" s="1"/>
  <c r="AB18" i="6" s="1"/>
  <c r="R6" i="8"/>
  <c r="R7" i="8" s="1"/>
  <c r="R36" i="6"/>
  <c r="R37" i="6" s="1"/>
  <c r="R28" i="6"/>
  <c r="R29" i="6" s="1"/>
  <c r="R32" i="11" s="1"/>
  <c r="R44" i="11" s="1"/>
  <c r="R16" i="6"/>
  <c r="R17" i="6" s="1"/>
  <c r="R18" i="6" s="1"/>
  <c r="D36" i="6"/>
  <c r="D37" i="6" s="1"/>
  <c r="D28" i="6"/>
  <c r="D29" i="6" s="1"/>
  <c r="D16" i="6"/>
  <c r="D17" i="6" s="1"/>
  <c r="P17" i="12"/>
  <c r="P18" i="12" s="1"/>
  <c r="P2" i="11"/>
  <c r="P47" i="10"/>
  <c r="P47" i="6"/>
  <c r="BT17" i="12"/>
  <c r="BT18" i="12" s="1"/>
  <c r="BT2" i="11"/>
  <c r="BT47" i="10"/>
  <c r="BT48" i="10"/>
  <c r="BT47" i="6"/>
  <c r="G17" i="12"/>
  <c r="G18" i="12" s="1"/>
  <c r="G2" i="11"/>
  <c r="G47" i="10"/>
  <c r="G47" i="6"/>
  <c r="BY36" i="6"/>
  <c r="BY37" i="6" s="1"/>
  <c r="BY28" i="6"/>
  <c r="BY29" i="6" s="1"/>
  <c r="BY32" i="11" s="1"/>
  <c r="BY44" i="11" s="1"/>
  <c r="BY16" i="6"/>
  <c r="BY17" i="6" s="1"/>
  <c r="BY18" i="6" s="1"/>
  <c r="CI17" i="12"/>
  <c r="CI18" i="12" s="1"/>
  <c r="CI2" i="11"/>
  <c r="CI47" i="10"/>
  <c r="CI49" i="10" s="1"/>
  <c r="CI48" i="10"/>
  <c r="CI47" i="6"/>
  <c r="E7" i="8"/>
  <c r="E36" i="6"/>
  <c r="E37" i="6" s="1"/>
  <c r="E28" i="6"/>
  <c r="E29" i="6" s="1"/>
  <c r="E32" i="11" s="1"/>
  <c r="E44" i="11" s="1"/>
  <c r="E16" i="6"/>
  <c r="E17" i="6" s="1"/>
  <c r="E18" i="6" s="1"/>
  <c r="BF6" i="8"/>
  <c r="BF7" i="8" s="1"/>
  <c r="BF36" i="6"/>
  <c r="BF37" i="6" s="1"/>
  <c r="BF28" i="6"/>
  <c r="BF29" i="6" s="1"/>
  <c r="BF32" i="11" s="1"/>
  <c r="BF44" i="11" s="1"/>
  <c r="BF16" i="6"/>
  <c r="BF17" i="6" s="1"/>
  <c r="BF18" i="6" s="1"/>
  <c r="AZ17" i="12"/>
  <c r="AZ18" i="12" s="1"/>
  <c r="AZ2" i="11"/>
  <c r="AZ47" i="10"/>
  <c r="AZ48" i="10"/>
  <c r="AZ47" i="6"/>
  <c r="AR17" i="12"/>
  <c r="AR18" i="12" s="1"/>
  <c r="AR2" i="11"/>
  <c r="AR47" i="10"/>
  <c r="AR48" i="10"/>
  <c r="AR47" i="6"/>
  <c r="AH6" i="8"/>
  <c r="AH7" i="8" s="1"/>
  <c r="AH36" i="6"/>
  <c r="AH37" i="6" s="1"/>
  <c r="AH28" i="6"/>
  <c r="AH29" i="6" s="1"/>
  <c r="AH32" i="11" s="1"/>
  <c r="AH44" i="11" s="1"/>
  <c r="AH16" i="6"/>
  <c r="AH17" i="6" s="1"/>
  <c r="AH18" i="6" s="1"/>
  <c r="AQ42" i="10"/>
  <c r="BV42" i="10"/>
  <c r="Q6" i="8"/>
  <c r="Q7" i="8" s="1"/>
  <c r="Q36" i="6"/>
  <c r="Q37" i="6" s="1"/>
  <c r="Q28" i="6"/>
  <c r="Q29" i="6" s="1"/>
  <c r="Q32" i="11" s="1"/>
  <c r="Q44" i="11" s="1"/>
  <c r="Q16" i="6"/>
  <c r="Q17" i="6" s="1"/>
  <c r="Q18" i="6" s="1"/>
  <c r="BM42" i="10"/>
  <c r="BS42" i="10"/>
  <c r="CJ28" i="6"/>
  <c r="CJ29" i="6" s="1"/>
  <c r="CJ32" i="11" s="1"/>
  <c r="CJ44" i="11" s="1"/>
  <c r="CJ36" i="6"/>
  <c r="CJ37" i="6" s="1"/>
  <c r="CJ16" i="6"/>
  <c r="CJ17" i="6" s="1"/>
  <c r="CJ18" i="6" s="1"/>
  <c r="BW17" i="12"/>
  <c r="BW18" i="12" s="1"/>
  <c r="BW2" i="11"/>
  <c r="BW47" i="10"/>
  <c r="BW47" i="6"/>
  <c r="BW48" i="10"/>
  <c r="T17" i="12"/>
  <c r="T18" i="12" s="1"/>
  <c r="T2" i="11"/>
  <c r="T47" i="10"/>
  <c r="T47" i="6"/>
  <c r="BI17" i="12"/>
  <c r="BI18" i="12" s="1"/>
  <c r="BI2" i="11"/>
  <c r="BI47" i="10"/>
  <c r="BI48" i="10"/>
  <c r="BI47" i="6"/>
  <c r="AM17" i="12"/>
  <c r="AM18" i="12" s="1"/>
  <c r="AM2" i="11"/>
  <c r="AM47" i="10"/>
  <c r="AM48" i="10"/>
  <c r="AM47" i="6"/>
  <c r="BK17" i="12"/>
  <c r="BK18" i="12" s="1"/>
  <c r="BK2" i="11"/>
  <c r="BK47" i="10"/>
  <c r="BK48" i="10"/>
  <c r="BK47" i="6"/>
  <c r="BH6" i="8"/>
  <c r="BH7" i="8" s="1"/>
  <c r="BH36" i="6"/>
  <c r="BH37" i="6" s="1"/>
  <c r="BH28" i="6"/>
  <c r="BH29" i="6" s="1"/>
  <c r="BH32" i="11" s="1"/>
  <c r="BH44" i="11" s="1"/>
  <c r="BH16" i="6"/>
  <c r="BH17" i="6" s="1"/>
  <c r="BH18" i="6" s="1"/>
  <c r="P6" i="8"/>
  <c r="P7" i="8" s="1"/>
  <c r="P28" i="6"/>
  <c r="P29" i="6" s="1"/>
  <c r="P32" i="11" s="1"/>
  <c r="P44" i="11" s="1"/>
  <c r="P36" i="6"/>
  <c r="P37" i="6" s="1"/>
  <c r="P16" i="6"/>
  <c r="P17" i="6" s="1"/>
  <c r="P18" i="6" s="1"/>
  <c r="G6" i="8"/>
  <c r="G7" i="8" s="1"/>
  <c r="G28" i="6"/>
  <c r="G29" i="6" s="1"/>
  <c r="G32" i="11" s="1"/>
  <c r="G44" i="11" s="1"/>
  <c r="G36" i="6"/>
  <c r="G37" i="6" s="1"/>
  <c r="G16" i="6"/>
  <c r="G17" i="6" s="1"/>
  <c r="G18" i="6" s="1"/>
  <c r="BD6" i="8"/>
  <c r="BD7" i="8" s="1"/>
  <c r="BD28" i="6"/>
  <c r="BD29" i="6" s="1"/>
  <c r="BD32" i="11" s="1"/>
  <c r="BD44" i="11" s="1"/>
  <c r="BD36" i="6"/>
  <c r="BD37" i="6" s="1"/>
  <c r="BD16" i="6"/>
  <c r="BD17" i="6" s="1"/>
  <c r="BD18" i="6" s="1"/>
  <c r="BZ49" i="10"/>
  <c r="L17" i="12"/>
  <c r="L18" i="12" s="1"/>
  <c r="L2" i="11"/>
  <c r="L47" i="10"/>
  <c r="L47" i="6"/>
  <c r="BF17" i="12"/>
  <c r="BF18" i="12" s="1"/>
  <c r="BF2" i="11"/>
  <c r="BF47" i="10"/>
  <c r="BF47" i="6"/>
  <c r="BF48" i="10"/>
  <c r="AS17" i="12"/>
  <c r="AS18" i="12" s="1"/>
  <c r="AS2" i="11"/>
  <c r="AS47" i="10"/>
  <c r="AS48" i="10"/>
  <c r="AS47" i="6"/>
  <c r="BP17" i="12"/>
  <c r="BP18" i="12" s="1"/>
  <c r="BP2" i="11"/>
  <c r="BP47" i="10"/>
  <c r="BP48" i="10"/>
  <c r="BP47" i="6"/>
  <c r="CB28" i="6"/>
  <c r="CB29" i="6" s="1"/>
  <c r="CB32" i="11" s="1"/>
  <c r="CB44" i="11" s="1"/>
  <c r="CB36" i="6"/>
  <c r="CB37" i="6" s="1"/>
  <c r="CB16" i="6"/>
  <c r="CB17" i="6" s="1"/>
  <c r="CB18" i="6" s="1"/>
  <c r="R42" i="10"/>
  <c r="BT42" i="10"/>
  <c r="CJ42" i="10"/>
  <c r="U17" i="12"/>
  <c r="U18" i="12" s="1"/>
  <c r="U2" i="11"/>
  <c r="U47" i="10"/>
  <c r="U47" i="6"/>
  <c r="O17" i="12"/>
  <c r="O18" i="12" s="1"/>
  <c r="O2" i="11"/>
  <c r="O47" i="10"/>
  <c r="O47" i="6"/>
  <c r="AI6" i="8"/>
  <c r="AI7" i="8" s="1"/>
  <c r="AI36" i="6"/>
  <c r="AI37" i="6" s="1"/>
  <c r="AI28" i="6"/>
  <c r="AI29" i="6" s="1"/>
  <c r="AI32" i="11" s="1"/>
  <c r="AI44" i="11" s="1"/>
  <c r="AI16" i="6"/>
  <c r="AI17" i="6" s="1"/>
  <c r="AI18" i="6" s="1"/>
  <c r="Y17" i="12"/>
  <c r="Y18" i="12" s="1"/>
  <c r="Y2" i="11"/>
  <c r="Y47" i="10"/>
  <c r="Y47" i="6"/>
  <c r="W17" i="12"/>
  <c r="W18" i="12" s="1"/>
  <c r="W2" i="11"/>
  <c r="W47" i="10"/>
  <c r="W47" i="6"/>
  <c r="T6" i="8"/>
  <c r="T7" i="8" s="1"/>
  <c r="T36" i="6"/>
  <c r="T37" i="6" s="1"/>
  <c r="T28" i="6"/>
  <c r="T29" i="6" s="1"/>
  <c r="T32" i="11" s="1"/>
  <c r="T44" i="11" s="1"/>
  <c r="T16" i="6"/>
  <c r="T17" i="6" s="1"/>
  <c r="T18" i="6" s="1"/>
  <c r="AQ36" i="6"/>
  <c r="AQ37" i="6" s="1"/>
  <c r="AQ28" i="6"/>
  <c r="AQ29" i="6" s="1"/>
  <c r="AQ32" i="11" s="1"/>
  <c r="AQ44" i="11" s="1"/>
  <c r="AQ6" i="8"/>
  <c r="AQ7" i="8" s="1"/>
  <c r="AQ16" i="6"/>
  <c r="AQ17" i="6" s="1"/>
  <c r="AQ18" i="6" s="1"/>
  <c r="AM6" i="8"/>
  <c r="AM7" i="8" s="1"/>
  <c r="AM28" i="6"/>
  <c r="AM29" i="6" s="1"/>
  <c r="AM32" i="11" s="1"/>
  <c r="AM44" i="11" s="1"/>
  <c r="AM36" i="6"/>
  <c r="AM37" i="6" s="1"/>
  <c r="AM16" i="6"/>
  <c r="AM17" i="6" s="1"/>
  <c r="AM18" i="6" s="1"/>
  <c r="AU6" i="8"/>
  <c r="AU7" i="8" s="1"/>
  <c r="AU28" i="6"/>
  <c r="AU29" i="6" s="1"/>
  <c r="AU32" i="11" s="1"/>
  <c r="AU44" i="11" s="1"/>
  <c r="AU36" i="6"/>
  <c r="AU37" i="6" s="1"/>
  <c r="AU16" i="6"/>
  <c r="AU17" i="6" s="1"/>
  <c r="AU18" i="6" s="1"/>
  <c r="AX17" i="12"/>
  <c r="AX18" i="12" s="1"/>
  <c r="AX2" i="11"/>
  <c r="AX47" i="10"/>
  <c r="AX47" i="6"/>
  <c r="AX48" i="10"/>
  <c r="BY17" i="12"/>
  <c r="BY18" i="12" s="1"/>
  <c r="BY2" i="11"/>
  <c r="BY47" i="10"/>
  <c r="BY48" i="10"/>
  <c r="BY47" i="6"/>
  <c r="BZ13" i="11"/>
  <c r="BZ12" i="11"/>
  <c r="BZ14" i="11" s="1"/>
  <c r="BZ4" i="11"/>
  <c r="L6" i="8"/>
  <c r="L7" i="8" s="1"/>
  <c r="L36" i="6"/>
  <c r="L37" i="6" s="1"/>
  <c r="L28" i="6"/>
  <c r="L29" i="6" s="1"/>
  <c r="L32" i="11" s="1"/>
  <c r="L44" i="11" s="1"/>
  <c r="L16" i="6"/>
  <c r="L17" i="6" s="1"/>
  <c r="L18" i="6" s="1"/>
  <c r="BK42" i="10"/>
  <c r="AS6" i="8"/>
  <c r="AS7" i="8" s="1"/>
  <c r="AS36" i="6"/>
  <c r="AS37" i="6" s="1"/>
  <c r="AS28" i="6"/>
  <c r="AS29" i="6" s="1"/>
  <c r="AS32" i="11" s="1"/>
  <c r="AS44" i="11" s="1"/>
  <c r="AS16" i="6"/>
  <c r="AS17" i="6" s="1"/>
  <c r="AS18" i="6" s="1"/>
  <c r="W42" i="10"/>
  <c r="BZ15" i="12"/>
  <c r="BZ16" i="12" s="1"/>
  <c r="BZ23" i="10"/>
  <c r="BZ24" i="10" s="1"/>
  <c r="BZ33" i="6"/>
  <c r="BZ34" i="6" s="1"/>
  <c r="U6" i="8"/>
  <c r="U7" i="8" s="1"/>
  <c r="U36" i="6"/>
  <c r="U37" i="6" s="1"/>
  <c r="U28" i="6"/>
  <c r="U29" i="6" s="1"/>
  <c r="U32" i="11" s="1"/>
  <c r="U44" i="11" s="1"/>
  <c r="U16" i="6"/>
  <c r="U17" i="6" s="1"/>
  <c r="U18" i="6" s="1"/>
  <c r="O6" i="8"/>
  <c r="O7" i="8" s="1"/>
  <c r="O28" i="6"/>
  <c r="O29" i="6" s="1"/>
  <c r="O32" i="11" s="1"/>
  <c r="O44" i="11" s="1"/>
  <c r="O36" i="6"/>
  <c r="O37" i="6" s="1"/>
  <c r="O16" i="6"/>
  <c r="O17" i="6" s="1"/>
  <c r="O18" i="6" s="1"/>
  <c r="AO42" i="10"/>
  <c r="Y6" i="8"/>
  <c r="Y7" i="8" s="1"/>
  <c r="Y36" i="6"/>
  <c r="Y37" i="6" s="1"/>
  <c r="Y28" i="6"/>
  <c r="Y29" i="6" s="1"/>
  <c r="Y32" i="11" s="1"/>
  <c r="Y44" i="11" s="1"/>
  <c r="Y16" i="6"/>
  <c r="Y17" i="6" s="1"/>
  <c r="Y18" i="6" s="1"/>
  <c r="BI42" i="10"/>
  <c r="W6" i="8"/>
  <c r="W7" i="8" s="1"/>
  <c r="W28" i="6"/>
  <c r="W29" i="6" s="1"/>
  <c r="W32" i="11" s="1"/>
  <c r="W44" i="11" s="1"/>
  <c r="W36" i="6"/>
  <c r="W37" i="6" s="1"/>
  <c r="W16" i="6"/>
  <c r="W17" i="6" s="1"/>
  <c r="W18" i="6" s="1"/>
  <c r="CJ17" i="12"/>
  <c r="CJ18" i="12" s="1"/>
  <c r="CJ2" i="11"/>
  <c r="CJ47" i="10"/>
  <c r="CJ49" i="10" s="1"/>
  <c r="CJ48" i="10"/>
  <c r="CJ47" i="6"/>
  <c r="V15" i="12"/>
  <c r="V16" i="12" s="1"/>
  <c r="V23" i="10"/>
  <c r="V33" i="6"/>
  <c r="V34" i="6" s="1"/>
  <c r="BV36" i="6"/>
  <c r="BV37" i="6" s="1"/>
  <c r="BV28" i="6"/>
  <c r="BV29" i="6" s="1"/>
  <c r="BV32" i="11" s="1"/>
  <c r="BV44" i="11" s="1"/>
  <c r="BV16" i="6"/>
  <c r="BV17" i="6" s="1"/>
  <c r="BV18" i="6" s="1"/>
  <c r="B47" i="6"/>
  <c r="B43" i="6"/>
  <c r="BM17" i="12"/>
  <c r="BM18" i="12" s="1"/>
  <c r="BM2" i="11"/>
  <c r="BM47" i="10"/>
  <c r="BM47" i="6"/>
  <c r="BM48" i="10"/>
  <c r="BH17" i="12"/>
  <c r="BH18" i="12" s="1"/>
  <c r="BH2" i="11"/>
  <c r="BH47" i="10"/>
  <c r="BH48" i="10"/>
  <c r="BH47" i="6"/>
  <c r="CG36" i="6"/>
  <c r="CG37" i="6" s="1"/>
  <c r="CG28" i="6"/>
  <c r="CG29" i="6" s="1"/>
  <c r="CG32" i="11" s="1"/>
  <c r="CG44" i="11" s="1"/>
  <c r="CG16" i="6"/>
  <c r="CG17" i="6" s="1"/>
  <c r="CG18" i="6" s="1"/>
  <c r="CA28" i="6"/>
  <c r="CA29" i="6" s="1"/>
  <c r="CA32" i="11" s="1"/>
  <c r="CA44" i="11" s="1"/>
  <c r="CA36" i="6"/>
  <c r="CA37" i="6" s="1"/>
  <c r="CA16" i="6"/>
  <c r="CA17" i="6" s="1"/>
  <c r="CA18" i="6" s="1"/>
  <c r="X17" i="12"/>
  <c r="X18" i="12" s="1"/>
  <c r="X2" i="11"/>
  <c r="X47" i="10"/>
  <c r="X47" i="6"/>
  <c r="J17" i="12"/>
  <c r="J18" i="12" s="1"/>
  <c r="J2" i="11"/>
  <c r="J47" i="10"/>
  <c r="J47" i="6"/>
  <c r="S6" i="8"/>
  <c r="S7" i="8" s="1"/>
  <c r="S36" i="6"/>
  <c r="S37" i="6" s="1"/>
  <c r="S28" i="6"/>
  <c r="S29" i="6" s="1"/>
  <c r="S32" i="11" s="1"/>
  <c r="S44" i="11" s="1"/>
  <c r="S16" i="6"/>
  <c r="S17" i="6" s="1"/>
  <c r="S18" i="6" s="1"/>
  <c r="AX6" i="8"/>
  <c r="AX7" i="8" s="1"/>
  <c r="AX36" i="6"/>
  <c r="AX37" i="6" s="1"/>
  <c r="AX28" i="6"/>
  <c r="AX29" i="6" s="1"/>
  <c r="AX32" i="11" s="1"/>
  <c r="AX44" i="11" s="1"/>
  <c r="AX16" i="6"/>
  <c r="AX17" i="6" s="1"/>
  <c r="AX18" i="6" s="1"/>
  <c r="BD17" i="12"/>
  <c r="BD18" i="12" s="1"/>
  <c r="BD47" i="10"/>
  <c r="BD2" i="11"/>
  <c r="BD48" i="10"/>
  <c r="BD47" i="6"/>
  <c r="BG36" i="6"/>
  <c r="BG37" i="6" s="1"/>
  <c r="BG6" i="8"/>
  <c r="BG7" i="8" s="1"/>
  <c r="BG28" i="6"/>
  <c r="BG29" i="6" s="1"/>
  <c r="BG32" i="11" s="1"/>
  <c r="BG44" i="11" s="1"/>
  <c r="BG16" i="6"/>
  <c r="BG17" i="6" s="1"/>
  <c r="BG18" i="6" s="1"/>
  <c r="AL13" i="11"/>
  <c r="AL12" i="11"/>
  <c r="AL14" i="11" s="1"/>
  <c r="O42" i="10"/>
  <c r="BN6" i="8"/>
  <c r="BN7" i="8" s="1"/>
  <c r="BN36" i="6"/>
  <c r="BN37" i="6" s="1"/>
  <c r="BN28" i="6"/>
  <c r="BN29" i="6" s="1"/>
  <c r="BN32" i="11" s="1"/>
  <c r="BN44" i="11" s="1"/>
  <c r="BN16" i="6"/>
  <c r="BN17" i="6" s="1"/>
  <c r="BN18" i="6" s="1"/>
  <c r="CB17" i="12"/>
  <c r="CB18" i="12" s="1"/>
  <c r="CB2" i="11"/>
  <c r="CB47" i="10"/>
  <c r="CB48" i="10"/>
  <c r="CB47" i="6"/>
  <c r="AA42" i="10"/>
  <c r="AE17" i="12"/>
  <c r="AE18" i="12" s="1"/>
  <c r="AE2" i="11"/>
  <c r="AE47" i="10"/>
  <c r="AE48" i="10"/>
  <c r="AE47" i="6"/>
  <c r="CC42" i="10"/>
  <c r="BC6" i="8"/>
  <c r="BC7" i="8" s="1"/>
  <c r="BC28" i="6"/>
  <c r="BC29" i="6" s="1"/>
  <c r="BC32" i="11" s="1"/>
  <c r="BC44" i="11" s="1"/>
  <c r="BC36" i="6"/>
  <c r="BC37" i="6" s="1"/>
  <c r="BC16" i="6"/>
  <c r="BC17" i="6" s="1"/>
  <c r="BC18" i="6" s="1"/>
  <c r="BW42" i="10"/>
  <c r="AB42" i="10"/>
  <c r="I17" i="12"/>
  <c r="I18" i="12" s="1"/>
  <c r="I2" i="11"/>
  <c r="I47" i="10"/>
  <c r="I47" i="6"/>
  <c r="AI17" i="12"/>
  <c r="AI18" i="12" s="1"/>
  <c r="AI2" i="11"/>
  <c r="AI47" i="10"/>
  <c r="AI48" i="10"/>
  <c r="AI47" i="6"/>
  <c r="BL6" i="8"/>
  <c r="BL7" i="8" s="1"/>
  <c r="BL28" i="6"/>
  <c r="BL29" i="6" s="1"/>
  <c r="BL32" i="11" s="1"/>
  <c r="BL44" i="11" s="1"/>
  <c r="BL36" i="6"/>
  <c r="BL37" i="6" s="1"/>
  <c r="BL16" i="6"/>
  <c r="BL17" i="6" s="1"/>
  <c r="BL18" i="6" s="1"/>
  <c r="AF17" i="12"/>
  <c r="AF18" i="12" s="1"/>
  <c r="AF2" i="11"/>
  <c r="AF47" i="10"/>
  <c r="AF48" i="10"/>
  <c r="AF47" i="6"/>
  <c r="BJ15" i="12"/>
  <c r="BJ16" i="12" s="1"/>
  <c r="BJ23" i="10"/>
  <c r="BJ24" i="10" s="1"/>
  <c r="BJ33" i="6"/>
  <c r="BJ34" i="6" s="1"/>
  <c r="AQ17" i="12"/>
  <c r="AQ18" i="12" s="1"/>
  <c r="AQ2" i="11"/>
  <c r="AQ47" i="10"/>
  <c r="AQ47" i="6"/>
  <c r="AQ48" i="10"/>
  <c r="C36" i="6"/>
  <c r="C37" i="6" s="1"/>
  <c r="C28" i="6"/>
  <c r="C29" i="6" s="1"/>
  <c r="C16" i="6"/>
  <c r="C17" i="6" s="1"/>
  <c r="BV17" i="12"/>
  <c r="BV18" i="12" s="1"/>
  <c r="BV2" i="11"/>
  <c r="BV47" i="10"/>
  <c r="BV49" i="10" s="1"/>
  <c r="BV47" i="6"/>
  <c r="BV48" i="10"/>
  <c r="B36" i="6"/>
  <c r="B37" i="6" s="1"/>
  <c r="B28" i="6"/>
  <c r="B29" i="6" s="1"/>
  <c r="B16" i="6"/>
  <c r="B17" i="6" s="1"/>
  <c r="BA6" i="8"/>
  <c r="BA7" i="8" s="1"/>
  <c r="BA36" i="6"/>
  <c r="BA37" i="6" s="1"/>
  <c r="BA28" i="6"/>
  <c r="BA29" i="6" s="1"/>
  <c r="BA32" i="11" s="1"/>
  <c r="BA44" i="11" s="1"/>
  <c r="BA16" i="6"/>
  <c r="BA17" i="6" s="1"/>
  <c r="BA18" i="6" s="1"/>
  <c r="X6" i="8"/>
  <c r="X7" i="8" s="1"/>
  <c r="X28" i="6"/>
  <c r="X29" i="6" s="1"/>
  <c r="X32" i="11" s="1"/>
  <c r="X44" i="11" s="1"/>
  <c r="X36" i="6"/>
  <c r="X37" i="6" s="1"/>
  <c r="X16" i="6"/>
  <c r="X17" i="6" s="1"/>
  <c r="X18" i="6" s="1"/>
  <c r="J6" i="8"/>
  <c r="J7" i="8" s="1"/>
  <c r="J36" i="6"/>
  <c r="J37" i="6" s="1"/>
  <c r="J28" i="6"/>
  <c r="J29" i="6" s="1"/>
  <c r="J32" i="11" s="1"/>
  <c r="J44" i="11" s="1"/>
  <c r="J16" i="6"/>
  <c r="J17" i="6" s="1"/>
  <c r="J18" i="6" s="1"/>
  <c r="AU17" i="12"/>
  <c r="AU18" i="12" s="1"/>
  <c r="AU2" i="11"/>
  <c r="AU47" i="10"/>
  <c r="AU48" i="10"/>
  <c r="AU47" i="6"/>
  <c r="BN17" i="12"/>
  <c r="BN18" i="12" s="1"/>
  <c r="BN2" i="11"/>
  <c r="BN47" i="10"/>
  <c r="BN47" i="6"/>
  <c r="BN48" i="10"/>
  <c r="BE42" i="10"/>
  <c r="BR5" i="11"/>
  <c r="BR50" i="10"/>
  <c r="CH5" i="11"/>
  <c r="CH50" i="10"/>
  <c r="BE6" i="8"/>
  <c r="BE7" i="8" s="1"/>
  <c r="BE36" i="6"/>
  <c r="BE37" i="6" s="1"/>
  <c r="BE28" i="6"/>
  <c r="BE29" i="6" s="1"/>
  <c r="BE32" i="11" s="1"/>
  <c r="BE44" i="11" s="1"/>
  <c r="BE16" i="6"/>
  <c r="BE17" i="6" s="1"/>
  <c r="BE18" i="6" s="1"/>
  <c r="AE6" i="8"/>
  <c r="AE7" i="8" s="1"/>
  <c r="AE28" i="6"/>
  <c r="AE29" i="6" s="1"/>
  <c r="AE32" i="11" s="1"/>
  <c r="AE44" i="11" s="1"/>
  <c r="AE36" i="6"/>
  <c r="AE37" i="6" s="1"/>
  <c r="AE16" i="6"/>
  <c r="AE17" i="6" s="1"/>
  <c r="AE18" i="6" s="1"/>
  <c r="AF42" i="10"/>
  <c r="BJ50" i="10"/>
  <c r="I6" i="8"/>
  <c r="I7" i="8" s="1"/>
  <c r="I36" i="6"/>
  <c r="I37" i="6" s="1"/>
  <c r="I28" i="6"/>
  <c r="I29" i="6" s="1"/>
  <c r="I32" i="11" s="1"/>
  <c r="I44" i="11" s="1"/>
  <c r="I16" i="6"/>
  <c r="I17" i="6" s="1"/>
  <c r="I18" i="6" s="1"/>
  <c r="CE42" i="10"/>
  <c r="BX36" i="6"/>
  <c r="BX37" i="6" s="1"/>
  <c r="BX28" i="6"/>
  <c r="BX29" i="6" s="1"/>
  <c r="BX32" i="11" s="1"/>
  <c r="BX44" i="11" s="1"/>
  <c r="BX16" i="6"/>
  <c r="BX17" i="6" s="1"/>
  <c r="BX18" i="6" s="1"/>
  <c r="P12" i="8"/>
  <c r="P11" i="8"/>
  <c r="AY14" i="9"/>
  <c r="AY28" i="9"/>
  <c r="AY13" i="9"/>
  <c r="AY33" i="9"/>
  <c r="AY26" i="9"/>
  <c r="G13" i="9"/>
  <c r="G28" i="9"/>
  <c r="G26" i="9"/>
  <c r="G14" i="9"/>
  <c r="G33" i="9"/>
  <c r="K12" i="8"/>
  <c r="K11" i="8"/>
  <c r="CF14" i="9"/>
  <c r="CF28" i="9"/>
  <c r="CF13" i="9"/>
  <c r="CF26" i="9"/>
  <c r="CF33" i="9"/>
  <c r="CK15" i="9"/>
  <c r="CK17" i="9"/>
  <c r="H12" i="8"/>
  <c r="H11" i="8"/>
  <c r="J26" i="9"/>
  <c r="J28" i="9"/>
  <c r="J14" i="9"/>
  <c r="J13" i="9"/>
  <c r="J33" i="9"/>
  <c r="X12" i="8"/>
  <c r="X11" i="8"/>
  <c r="AW13" i="9"/>
  <c r="AW14" i="9"/>
  <c r="AW28" i="9"/>
  <c r="AW26" i="9"/>
  <c r="AW33" i="9"/>
  <c r="BR12" i="8"/>
  <c r="BR11" i="8"/>
  <c r="V13" i="9"/>
  <c r="V28" i="9"/>
  <c r="V14" i="9"/>
  <c r="V33" i="9"/>
  <c r="V26" i="9"/>
  <c r="CJ13" i="9"/>
  <c r="CJ26" i="9"/>
  <c r="CJ28" i="9"/>
  <c r="CJ14" i="9"/>
  <c r="CJ33" i="9"/>
  <c r="AC13" i="9"/>
  <c r="AC28" i="9"/>
  <c r="AC14" i="9"/>
  <c r="AC26" i="9"/>
  <c r="AC33" i="9"/>
  <c r="AO13" i="9"/>
  <c r="AO14" i="9"/>
  <c r="AO28" i="9"/>
  <c r="AO26" i="9"/>
  <c r="AO33" i="9"/>
  <c r="S14" i="9"/>
  <c r="S85" i="9" s="1"/>
  <c r="S80" i="9" s="1"/>
  <c r="S28" i="9"/>
  <c r="S13" i="9"/>
  <c r="S82" i="9" s="1"/>
  <c r="S83" i="9" s="1"/>
  <c r="S26" i="9"/>
  <c r="S33" i="9"/>
  <c r="AQ12" i="8"/>
  <c r="AQ11" i="8"/>
  <c r="CI13" i="9"/>
  <c r="CI28" i="9"/>
  <c r="CI26" i="9"/>
  <c r="CI14" i="9"/>
  <c r="CI33" i="9"/>
  <c r="BM12" i="8"/>
  <c r="BM11" i="8"/>
  <c r="BC13" i="9"/>
  <c r="BC28" i="9"/>
  <c r="BC26" i="9"/>
  <c r="BC14" i="9"/>
  <c r="BC33" i="9"/>
  <c r="R12" i="8"/>
  <c r="R11" i="8"/>
  <c r="BK13" i="9"/>
  <c r="BK28" i="9"/>
  <c r="BK26" i="9"/>
  <c r="BK14" i="9"/>
  <c r="BK33" i="9"/>
  <c r="T12" i="8"/>
  <c r="T11" i="8"/>
  <c r="K14" i="9"/>
  <c r="K28" i="9"/>
  <c r="K13" i="9"/>
  <c r="K26" i="9"/>
  <c r="K33" i="9"/>
  <c r="BI12" i="8"/>
  <c r="BI11" i="8"/>
  <c r="H13" i="9"/>
  <c r="H26" i="9"/>
  <c r="H14" i="9"/>
  <c r="H28" i="9"/>
  <c r="H33" i="9"/>
  <c r="AV12" i="8"/>
  <c r="AV11" i="8"/>
  <c r="X13" i="9"/>
  <c r="X26" i="9"/>
  <c r="X14" i="9"/>
  <c r="X28" i="9"/>
  <c r="X33" i="9"/>
  <c r="AP12" i="8"/>
  <c r="AP11" i="8"/>
  <c r="AM13" i="9"/>
  <c r="AM28" i="9"/>
  <c r="AM14" i="9"/>
  <c r="AM26" i="9"/>
  <c r="AM33" i="9"/>
  <c r="BF12" i="8"/>
  <c r="BF11" i="8"/>
  <c r="BR13" i="9"/>
  <c r="BR28" i="9"/>
  <c r="BR14" i="9"/>
  <c r="BR26" i="9"/>
  <c r="BR33" i="9"/>
  <c r="BS12" i="8"/>
  <c r="BS11" i="8"/>
  <c r="AH12" i="8"/>
  <c r="AH11" i="8"/>
  <c r="CD28" i="9"/>
  <c r="CD26" i="9"/>
  <c r="CD14" i="9"/>
  <c r="CD13" i="9"/>
  <c r="CD33" i="9"/>
  <c r="BX14" i="9"/>
  <c r="BX28" i="9"/>
  <c r="BX13" i="9"/>
  <c r="BX26" i="9"/>
  <c r="BX33" i="9"/>
  <c r="M12" i="8"/>
  <c r="M11" i="8"/>
  <c r="AQ14" i="9"/>
  <c r="AQ28" i="9"/>
  <c r="AQ13" i="9"/>
  <c r="AQ26" i="9"/>
  <c r="AQ33" i="9"/>
  <c r="BM13" i="9"/>
  <c r="BM28" i="9"/>
  <c r="BM14" i="9"/>
  <c r="BM33" i="9"/>
  <c r="BM26" i="9"/>
  <c r="R28" i="9"/>
  <c r="R26" i="9"/>
  <c r="R14" i="9"/>
  <c r="R85" i="9" s="1"/>
  <c r="R80" i="9" s="1"/>
  <c r="R13" i="9"/>
  <c r="R82" i="9" s="1"/>
  <c r="R83" i="9" s="1"/>
  <c r="R33" i="9"/>
  <c r="T14" i="9"/>
  <c r="T85" i="9" s="1"/>
  <c r="T80" i="9" s="1"/>
  <c r="T28" i="9"/>
  <c r="T13" i="9"/>
  <c r="T82" i="9" s="1"/>
  <c r="T83" i="9" s="1"/>
  <c r="T26" i="9"/>
  <c r="T33" i="9"/>
  <c r="BN12" i="8"/>
  <c r="BN11" i="8"/>
  <c r="BI13" i="9"/>
  <c r="BI28" i="9"/>
  <c r="BI14" i="9"/>
  <c r="BI33" i="9"/>
  <c r="BI26" i="9"/>
  <c r="Q12" i="8"/>
  <c r="Q11" i="8"/>
  <c r="AV13" i="9"/>
  <c r="AV26" i="9"/>
  <c r="AV28" i="9"/>
  <c r="AV14" i="9"/>
  <c r="AV33" i="9"/>
  <c r="BH12" i="8"/>
  <c r="BH11" i="8"/>
  <c r="AP26" i="9"/>
  <c r="AP28" i="9"/>
  <c r="AP14" i="9"/>
  <c r="AP13" i="9"/>
  <c r="AP33" i="9"/>
  <c r="AD12" i="8"/>
  <c r="AD11" i="8"/>
  <c r="BF28" i="9"/>
  <c r="BF26" i="9"/>
  <c r="BF14" i="9"/>
  <c r="BF13" i="9"/>
  <c r="BF33" i="9"/>
  <c r="AB12" i="8"/>
  <c r="AB11" i="8"/>
  <c r="AH26" i="9"/>
  <c r="AH28" i="9"/>
  <c r="AH14" i="9"/>
  <c r="AH13" i="9"/>
  <c r="AH33" i="9"/>
  <c r="AZ12" i="8"/>
  <c r="AZ11" i="8"/>
  <c r="F12" i="8"/>
  <c r="F11" i="8"/>
  <c r="CB13" i="9"/>
  <c r="CB26" i="9"/>
  <c r="CB14" i="9"/>
  <c r="CB28" i="9"/>
  <c r="CB33" i="9"/>
  <c r="O12" i="8"/>
  <c r="O11" i="8"/>
  <c r="BV26" i="9"/>
  <c r="BV28" i="9"/>
  <c r="BV14" i="9"/>
  <c r="BV13" i="9"/>
  <c r="BV33" i="9"/>
  <c r="BQ12" i="8"/>
  <c r="BQ11" i="8"/>
  <c r="BN26" i="9"/>
  <c r="BN28" i="9"/>
  <c r="BN14" i="9"/>
  <c r="BN13" i="9"/>
  <c r="BN33" i="9"/>
  <c r="BA12" i="8"/>
  <c r="BA11" i="8"/>
  <c r="E12" i="8"/>
  <c r="E11" i="8"/>
  <c r="Q13" i="9"/>
  <c r="Q82" i="9" s="1"/>
  <c r="Q83" i="9" s="1"/>
  <c r="Q28" i="9"/>
  <c r="Q14" i="9"/>
  <c r="Q85" i="9" s="1"/>
  <c r="Q80" i="9" s="1"/>
  <c r="Q26" i="9"/>
  <c r="Q33" i="9"/>
  <c r="Z12" i="8"/>
  <c r="Z11" i="8"/>
  <c r="BH14" i="9"/>
  <c r="BH28" i="9"/>
  <c r="BH13" i="9"/>
  <c r="BH26" i="9"/>
  <c r="BH33" i="9"/>
  <c r="AD13" i="9"/>
  <c r="AD28" i="9"/>
  <c r="AD14" i="9"/>
  <c r="AD26" i="9"/>
  <c r="AD33" i="9"/>
  <c r="AK12" i="8"/>
  <c r="AK11" i="8"/>
  <c r="AB14" i="9"/>
  <c r="AB28" i="9"/>
  <c r="AB13" i="9"/>
  <c r="AB26" i="9"/>
  <c r="AB33" i="9"/>
  <c r="BS13" i="9"/>
  <c r="BS28" i="9"/>
  <c r="BS14" i="9"/>
  <c r="BS26" i="9"/>
  <c r="BS33" i="9"/>
  <c r="AN12" i="8"/>
  <c r="AN11" i="8"/>
  <c r="AZ14" i="9"/>
  <c r="AZ28" i="9"/>
  <c r="AZ13" i="9"/>
  <c r="AZ26" i="9"/>
  <c r="AZ33" i="9"/>
  <c r="M13" i="9"/>
  <c r="M28" i="9"/>
  <c r="M14" i="9"/>
  <c r="M33" i="9"/>
  <c r="M26" i="9"/>
  <c r="BE12" i="8"/>
  <c r="BE11" i="8"/>
  <c r="BJ12" i="8"/>
  <c r="BJ11" i="8"/>
  <c r="BU12" i="8"/>
  <c r="BU11" i="8"/>
  <c r="BU13" i="9"/>
  <c r="BU28" i="9"/>
  <c r="BU14" i="9"/>
  <c r="BU26" i="9"/>
  <c r="BU33" i="9"/>
  <c r="AS13" i="9"/>
  <c r="AS28" i="9"/>
  <c r="AS14" i="9"/>
  <c r="AS33" i="9"/>
  <c r="AS26" i="9"/>
  <c r="AI12" i="8"/>
  <c r="AI11" i="8"/>
  <c r="CA13" i="9"/>
  <c r="CA28" i="9"/>
  <c r="CA26" i="9"/>
  <c r="CA14" i="9"/>
  <c r="CA33" i="9"/>
  <c r="G12" i="8"/>
  <c r="G11" i="8"/>
  <c r="AE12" i="8"/>
  <c r="AE11" i="8"/>
  <c r="BA13" i="9"/>
  <c r="BA28" i="9"/>
  <c r="BA14" i="9"/>
  <c r="BA33" i="9"/>
  <c r="BA26" i="9"/>
  <c r="BG12" i="8"/>
  <c r="BG11" i="8"/>
  <c r="Z28" i="9"/>
  <c r="Z26" i="9"/>
  <c r="Z14" i="9"/>
  <c r="Z13" i="9"/>
  <c r="Z33" i="9"/>
  <c r="W12" i="8"/>
  <c r="W11" i="8"/>
  <c r="AT12" i="8"/>
  <c r="AT11" i="8"/>
  <c r="AG12" i="8"/>
  <c r="AG11" i="8"/>
  <c r="AN26" i="9"/>
  <c r="AN28" i="9"/>
  <c r="AN13" i="9"/>
  <c r="AN14" i="9"/>
  <c r="AN33" i="9"/>
  <c r="AJ12" i="8"/>
  <c r="AJ11" i="8"/>
  <c r="BO12" i="8"/>
  <c r="BO11" i="8"/>
  <c r="F13" i="9"/>
  <c r="F28" i="9"/>
  <c r="F14" i="9"/>
  <c r="F33" i="9"/>
  <c r="F26" i="9"/>
  <c r="N12" i="8"/>
  <c r="N11" i="8"/>
  <c r="BE13" i="9"/>
  <c r="BE28" i="9"/>
  <c r="BE14" i="9"/>
  <c r="BE26" i="9"/>
  <c r="BE33" i="9"/>
  <c r="BJ13" i="9"/>
  <c r="BJ28" i="9"/>
  <c r="BJ14" i="9"/>
  <c r="BJ26" i="9"/>
  <c r="BJ33" i="9"/>
  <c r="BP12" i="8"/>
  <c r="BP11" i="8"/>
  <c r="AI14" i="9"/>
  <c r="AI28" i="9"/>
  <c r="AI13" i="9"/>
  <c r="AI26" i="9"/>
  <c r="AI33" i="9"/>
  <c r="BQ13" i="9"/>
  <c r="BQ28" i="9"/>
  <c r="BQ14" i="9"/>
  <c r="BQ33" i="9"/>
  <c r="BQ26" i="9"/>
  <c r="AA12" i="8"/>
  <c r="AA11" i="8"/>
  <c r="E13" i="9"/>
  <c r="E20" i="9"/>
  <c r="E28" i="9"/>
  <c r="E14" i="9"/>
  <c r="E26" i="9"/>
  <c r="E33" i="9"/>
  <c r="AX12" i="8"/>
  <c r="AX11" i="8"/>
  <c r="AL12" i="8"/>
  <c r="AL11" i="8"/>
  <c r="AT13" i="9"/>
  <c r="AT28" i="9"/>
  <c r="AT14" i="9"/>
  <c r="AT33" i="9"/>
  <c r="AT26" i="9"/>
  <c r="AK13" i="9"/>
  <c r="AK28" i="9"/>
  <c r="AK14" i="9"/>
  <c r="AK26" i="9"/>
  <c r="AK33" i="9"/>
  <c r="AU12" i="8"/>
  <c r="AU11" i="8"/>
  <c r="AG13" i="9"/>
  <c r="AG28" i="9"/>
  <c r="AG14" i="9"/>
  <c r="AG33" i="9"/>
  <c r="AG26" i="9"/>
  <c r="AJ14" i="9"/>
  <c r="AJ28" i="9"/>
  <c r="AJ13" i="9"/>
  <c r="AJ33" i="9"/>
  <c r="AJ26" i="9"/>
  <c r="BO14" i="9"/>
  <c r="BO28" i="9"/>
  <c r="BO13" i="9"/>
  <c r="BO26" i="9"/>
  <c r="BO33" i="9"/>
  <c r="L12" i="8"/>
  <c r="L11" i="8"/>
  <c r="N13" i="9"/>
  <c r="N82" i="9" s="1"/>
  <c r="N83" i="9" s="1"/>
  <c r="N28" i="9"/>
  <c r="N14" i="9"/>
  <c r="N85" i="9" s="1"/>
  <c r="N80" i="9" s="1"/>
  <c r="N26" i="9"/>
  <c r="N33" i="9"/>
  <c r="CG13" i="9"/>
  <c r="CG28" i="9"/>
  <c r="CG14" i="9"/>
  <c r="CG33" i="9"/>
  <c r="CG26" i="9"/>
  <c r="AF12" i="8"/>
  <c r="AF11" i="8"/>
  <c r="P13" i="9"/>
  <c r="P82" i="9" s="1"/>
  <c r="P83" i="9" s="1"/>
  <c r="P26" i="9"/>
  <c r="P14" i="9"/>
  <c r="P85" i="9" s="1"/>
  <c r="P80" i="9" s="1"/>
  <c r="P28" i="9"/>
  <c r="P33" i="9"/>
  <c r="BW14" i="9"/>
  <c r="BW28" i="9"/>
  <c r="BW13" i="9"/>
  <c r="BW26" i="9"/>
  <c r="BW33" i="9"/>
  <c r="O13" i="9"/>
  <c r="O82" i="9" s="1"/>
  <c r="O83" i="9" s="1"/>
  <c r="O28" i="9"/>
  <c r="O26" i="9"/>
  <c r="O14" i="9"/>
  <c r="O85" i="9" s="1"/>
  <c r="O80" i="9" s="1"/>
  <c r="O33" i="9"/>
  <c r="AY12" i="8"/>
  <c r="AY11" i="8"/>
  <c r="BB12" i="8"/>
  <c r="BB11" i="8"/>
  <c r="Y12" i="8"/>
  <c r="Y11" i="8"/>
  <c r="BL12" i="8"/>
  <c r="BL11" i="8"/>
  <c r="AX28" i="9"/>
  <c r="AX26" i="9"/>
  <c r="AX14" i="9"/>
  <c r="AX13" i="9"/>
  <c r="AX33" i="9"/>
  <c r="BG14" i="9"/>
  <c r="BG28" i="9"/>
  <c r="BG13" i="9"/>
  <c r="BG26" i="9"/>
  <c r="BG33" i="9"/>
  <c r="BD12" i="8"/>
  <c r="BD11" i="8"/>
  <c r="AL13" i="9"/>
  <c r="AL28" i="9"/>
  <c r="AL14" i="9"/>
  <c r="AL33" i="9"/>
  <c r="AL26" i="9"/>
  <c r="AR12" i="8"/>
  <c r="AR11" i="8"/>
  <c r="I12" i="8"/>
  <c r="I11" i="8"/>
  <c r="CC13" i="9"/>
  <c r="CC28" i="9"/>
  <c r="CC14" i="9"/>
  <c r="CC26" i="9"/>
  <c r="CC33" i="9"/>
  <c r="L14" i="9"/>
  <c r="L28" i="9"/>
  <c r="L13" i="9"/>
  <c r="L26" i="9"/>
  <c r="L33" i="9"/>
  <c r="S12" i="8"/>
  <c r="S11" i="8"/>
  <c r="AF13" i="9"/>
  <c r="AF26" i="9"/>
  <c r="AF28" i="9"/>
  <c r="AF14" i="9"/>
  <c r="AF33" i="9"/>
  <c r="U12" i="8"/>
  <c r="U11" i="8"/>
  <c r="AS12" i="8"/>
  <c r="AS11" i="8"/>
  <c r="BT12" i="8"/>
  <c r="BT11" i="8"/>
  <c r="BP14" i="9"/>
  <c r="BP28" i="9"/>
  <c r="BP13" i="9"/>
  <c r="BP26" i="9"/>
  <c r="BP33" i="9"/>
  <c r="BT13" i="9"/>
  <c r="BT26" i="9"/>
  <c r="BT14" i="9"/>
  <c r="BT28" i="9"/>
  <c r="BT33" i="9"/>
  <c r="CE14" i="9"/>
  <c r="CE28" i="9"/>
  <c r="CE13" i="9"/>
  <c r="CE33" i="9"/>
  <c r="CE26" i="9"/>
  <c r="CH13" i="9"/>
  <c r="CH14" i="9"/>
  <c r="CH28" i="9"/>
  <c r="CH33" i="9"/>
  <c r="CH26" i="9"/>
  <c r="BC12" i="8"/>
  <c r="BC11" i="8"/>
  <c r="BB13" i="9"/>
  <c r="BB28" i="9"/>
  <c r="BB14" i="9"/>
  <c r="BB33" i="9"/>
  <c r="BB26" i="9"/>
  <c r="BK12" i="8"/>
  <c r="BK11" i="8"/>
  <c r="AE13" i="9"/>
  <c r="AE28" i="9"/>
  <c r="AE14" i="9"/>
  <c r="AE26" i="9"/>
  <c r="AE33" i="9"/>
  <c r="Y13" i="9"/>
  <c r="Y28" i="9"/>
  <c r="Y14" i="9"/>
  <c r="Y26" i="9"/>
  <c r="Y33" i="9"/>
  <c r="AA14" i="9"/>
  <c r="AA28" i="9"/>
  <c r="AA13" i="9"/>
  <c r="AA33" i="9"/>
  <c r="AA26" i="9"/>
  <c r="BZ13" i="9"/>
  <c r="BZ28" i="9"/>
  <c r="BZ14" i="9"/>
  <c r="BZ33" i="9"/>
  <c r="BZ26" i="9"/>
  <c r="BL13" i="9"/>
  <c r="BL26" i="9"/>
  <c r="BL28" i="9"/>
  <c r="BL14" i="9"/>
  <c r="BL33" i="9"/>
  <c r="J12" i="8"/>
  <c r="J11" i="8"/>
  <c r="BD13" i="9"/>
  <c r="BD26" i="9"/>
  <c r="BD28" i="9"/>
  <c r="BD14" i="9"/>
  <c r="BD33" i="9"/>
  <c r="AW12" i="8"/>
  <c r="AW11" i="8"/>
  <c r="W13" i="9"/>
  <c r="W28" i="9"/>
  <c r="W26" i="9"/>
  <c r="W14" i="9"/>
  <c r="W33" i="9"/>
  <c r="BY13" i="9"/>
  <c r="BY28" i="9"/>
  <c r="BY14" i="9"/>
  <c r="BY33" i="9"/>
  <c r="BY26" i="9"/>
  <c r="AM12" i="8"/>
  <c r="AM11" i="8"/>
  <c r="AR14" i="9"/>
  <c r="AR28" i="9"/>
  <c r="AR13" i="9"/>
  <c r="AR33" i="9"/>
  <c r="AR26" i="9"/>
  <c r="AU13" i="9"/>
  <c r="AU28" i="9"/>
  <c r="AU26" i="9"/>
  <c r="AU14" i="9"/>
  <c r="AU33" i="9"/>
  <c r="V12" i="8"/>
  <c r="V11" i="8"/>
  <c r="I13" i="9"/>
  <c r="I28" i="9"/>
  <c r="I14" i="9"/>
  <c r="I26" i="9"/>
  <c r="I33" i="9"/>
  <c r="AC12" i="8"/>
  <c r="AC11" i="8"/>
  <c r="AO12" i="8"/>
  <c r="AO11" i="8"/>
  <c r="U13" i="9"/>
  <c r="U82" i="9" s="1"/>
  <c r="U83" i="9" s="1"/>
  <c r="U28" i="9"/>
  <c r="U14" i="9"/>
  <c r="U85" i="9" s="1"/>
  <c r="U80" i="9" s="1"/>
  <c r="U26" i="9"/>
  <c r="U33" i="9"/>
  <c r="F19" i="13"/>
  <c r="BY49" i="10" l="1"/>
  <c r="AP49" i="10"/>
  <c r="J49" i="10"/>
  <c r="AT13" i="11"/>
  <c r="BB4" i="11"/>
  <c r="CH23" i="10"/>
  <c r="CH24" i="10" s="1"/>
  <c r="BB12" i="11"/>
  <c r="BB14" i="11" s="1"/>
  <c r="CH15" i="12"/>
  <c r="CH16" i="12" s="1"/>
  <c r="AL33" i="6"/>
  <c r="AL34" i="6" s="1"/>
  <c r="AT15" i="12"/>
  <c r="AT16" i="12" s="1"/>
  <c r="BJ4" i="11"/>
  <c r="AL23" i="10"/>
  <c r="AL24" i="10" s="1"/>
  <c r="BJ12" i="11"/>
  <c r="BJ14" i="11" s="1"/>
  <c r="BJ13" i="8" s="1"/>
  <c r="BF49" i="10"/>
  <c r="AT33" i="6"/>
  <c r="AT34" i="6" s="1"/>
  <c r="AT23" i="10"/>
  <c r="AT24" i="10" s="1"/>
  <c r="BC49" i="10"/>
  <c r="AT50" i="10"/>
  <c r="BW49" i="10"/>
  <c r="N33" i="6"/>
  <c r="N34" i="6" s="1"/>
  <c r="BQ49" i="10"/>
  <c r="AX49" i="10"/>
  <c r="N23" i="10"/>
  <c r="N24" i="10" s="1"/>
  <c r="N15" i="12"/>
  <c r="N16" i="12" s="1"/>
  <c r="AL13" i="8"/>
  <c r="F59" i="9"/>
  <c r="V24" i="10"/>
  <c r="V56" i="10"/>
  <c r="V57" i="10" s="1"/>
  <c r="G62" i="9"/>
  <c r="S62" i="9"/>
  <c r="P84" i="9"/>
  <c r="N13" i="8"/>
  <c r="S84" i="9"/>
  <c r="N84" i="9"/>
  <c r="K74" i="9"/>
  <c r="K85" i="9"/>
  <c r="K80" i="9" s="1"/>
  <c r="I71" i="9"/>
  <c r="I82" i="9"/>
  <c r="I83" i="9" s="1"/>
  <c r="BB13" i="8"/>
  <c r="O84" i="9"/>
  <c r="AT13" i="8"/>
  <c r="R84" i="9"/>
  <c r="S59" i="9"/>
  <c r="G59" i="9"/>
  <c r="U59" i="9"/>
  <c r="N59" i="9"/>
  <c r="L74" i="9"/>
  <c r="L70" i="9" s="1"/>
  <c r="L85" i="9"/>
  <c r="L80" i="9" s="1"/>
  <c r="J71" i="9"/>
  <c r="J82" i="9"/>
  <c r="J83" i="9" s="1"/>
  <c r="M62" i="9"/>
  <c r="G74" i="9"/>
  <c r="G85" i="9"/>
  <c r="G80" i="9" s="1"/>
  <c r="F74" i="9"/>
  <c r="F70" i="9" s="1"/>
  <c r="F85" i="9"/>
  <c r="J74" i="9"/>
  <c r="J70" i="9" s="1"/>
  <c r="J85" i="9"/>
  <c r="J80" i="9" s="1"/>
  <c r="Q84" i="9"/>
  <c r="AD13" i="8"/>
  <c r="P59" i="9"/>
  <c r="F71" i="9"/>
  <c r="F82" i="9"/>
  <c r="F83" i="9" s="1"/>
  <c r="T84" i="9"/>
  <c r="K71" i="9"/>
  <c r="K82" i="9"/>
  <c r="K83" i="9" s="1"/>
  <c r="G71" i="9"/>
  <c r="G82" i="9"/>
  <c r="G83" i="9" s="1"/>
  <c r="N62" i="9"/>
  <c r="I74" i="9"/>
  <c r="I85" i="9"/>
  <c r="I80" i="9" s="1"/>
  <c r="M74" i="9"/>
  <c r="M70" i="9" s="1"/>
  <c r="M85" i="9"/>
  <c r="M80" i="9" s="1"/>
  <c r="H74" i="9"/>
  <c r="H85" i="9"/>
  <c r="H80" i="9" s="1"/>
  <c r="U84" i="9"/>
  <c r="L71" i="9"/>
  <c r="L82" i="9"/>
  <c r="L83" i="9" s="1"/>
  <c r="M71" i="9"/>
  <c r="M82" i="9"/>
  <c r="M83" i="9" s="1"/>
  <c r="H71" i="9"/>
  <c r="H82" i="9"/>
  <c r="H83" i="9" s="1"/>
  <c r="AD13" i="11"/>
  <c r="N13" i="11"/>
  <c r="AT4" i="11"/>
  <c r="AD4" i="11"/>
  <c r="BR12" i="11"/>
  <c r="BR14" i="11" s="1"/>
  <c r="BR13" i="8" s="1"/>
  <c r="N74" i="9"/>
  <c r="N51" i="9"/>
  <c r="N47" i="9"/>
  <c r="N48" i="9"/>
  <c r="N49" i="9"/>
  <c r="U74" i="9"/>
  <c r="U51" i="9"/>
  <c r="U48" i="9"/>
  <c r="U47" i="9"/>
  <c r="U49" i="9"/>
  <c r="O74" i="9"/>
  <c r="O51" i="9"/>
  <c r="O48" i="9"/>
  <c r="O47" i="9"/>
  <c r="O49" i="9"/>
  <c r="E82" i="9"/>
  <c r="E83" i="9" s="1"/>
  <c r="E71" i="9"/>
  <c r="T50" i="9"/>
  <c r="T71" i="9"/>
  <c r="K59" i="9"/>
  <c r="J59" i="9"/>
  <c r="O59" i="9"/>
  <c r="N50" i="9"/>
  <c r="N71" i="9"/>
  <c r="L59" i="9"/>
  <c r="U50" i="9"/>
  <c r="U71" i="9"/>
  <c r="T74" i="9"/>
  <c r="T51" i="9"/>
  <c r="T48" i="9"/>
  <c r="T47" i="9"/>
  <c r="T49" i="9"/>
  <c r="T59" i="9"/>
  <c r="H59" i="9"/>
  <c r="I59" i="9"/>
  <c r="E59" i="9"/>
  <c r="F62" i="9"/>
  <c r="O71" i="9"/>
  <c r="O50" i="9"/>
  <c r="P74" i="9"/>
  <c r="P51" i="9"/>
  <c r="P48" i="9"/>
  <c r="P47" i="9"/>
  <c r="P49" i="9"/>
  <c r="R62" i="9"/>
  <c r="H62" i="9"/>
  <c r="K62" i="9"/>
  <c r="P62" i="9"/>
  <c r="J62" i="9"/>
  <c r="U62" i="9"/>
  <c r="Q62" i="9"/>
  <c r="Q74" i="9"/>
  <c r="Q51" i="9"/>
  <c r="Q48" i="9"/>
  <c r="Q47" i="9"/>
  <c r="Q49" i="9"/>
  <c r="R50" i="9"/>
  <c r="R71" i="9"/>
  <c r="S50" i="9"/>
  <c r="S71" i="9"/>
  <c r="T62" i="9"/>
  <c r="L62" i="9"/>
  <c r="E62" i="9"/>
  <c r="Q59" i="9"/>
  <c r="P71" i="9"/>
  <c r="P50" i="9"/>
  <c r="E74" i="9"/>
  <c r="E85" i="9"/>
  <c r="E80" i="9" s="1"/>
  <c r="R51" i="9"/>
  <c r="R74" i="9"/>
  <c r="R48" i="9"/>
  <c r="R47" i="9"/>
  <c r="R49" i="9"/>
  <c r="R59" i="9"/>
  <c r="I62" i="9"/>
  <c r="O62" i="9"/>
  <c r="Q71" i="9"/>
  <c r="Q50" i="9"/>
  <c r="S74" i="9"/>
  <c r="S51" i="9"/>
  <c r="S48" i="9"/>
  <c r="S47" i="9"/>
  <c r="S49" i="9"/>
  <c r="M59" i="9"/>
  <c r="N4" i="11"/>
  <c r="BR4" i="11"/>
  <c r="BN49" i="10"/>
  <c r="N50" i="10"/>
  <c r="BR23" i="10"/>
  <c r="BR24" i="10" s="1"/>
  <c r="BR15" i="12"/>
  <c r="BR16" i="12" s="1"/>
  <c r="AL15" i="12"/>
  <c r="AL16" i="12" s="1"/>
  <c r="BR33" i="6"/>
  <c r="BR34" i="6" s="1"/>
  <c r="BB50" i="10"/>
  <c r="AD50" i="10"/>
  <c r="BH49" i="10"/>
  <c r="V5" i="11"/>
  <c r="BB33" i="6"/>
  <c r="BB34" i="6" s="1"/>
  <c r="BB23" i="10"/>
  <c r="BB24" i="10" s="1"/>
  <c r="BB15" i="12"/>
  <c r="BB16" i="12" s="1"/>
  <c r="BM49" i="10"/>
  <c r="BO49" i="10"/>
  <c r="BP49" i="10"/>
  <c r="AS49" i="10"/>
  <c r="AD33" i="6"/>
  <c r="AD34" i="6" s="1"/>
  <c r="AD15" i="12"/>
  <c r="AD16" i="12" s="1"/>
  <c r="CB49" i="10"/>
  <c r="CC49" i="10"/>
  <c r="AL50" i="10"/>
  <c r="AH49" i="10"/>
  <c r="Z49" i="10"/>
  <c r="V12" i="11"/>
  <c r="V14" i="11" s="1"/>
  <c r="V13" i="8" s="1"/>
  <c r="F50" i="10"/>
  <c r="AD23" i="10"/>
  <c r="AD24" i="10" s="1"/>
  <c r="AU49" i="10"/>
  <c r="R49" i="10"/>
  <c r="V4" i="11"/>
  <c r="AY49" i="10"/>
  <c r="BA49" i="10"/>
  <c r="F23" i="10"/>
  <c r="F4" i="11"/>
  <c r="F15" i="12"/>
  <c r="F16" i="12" s="1"/>
  <c r="F12" i="11"/>
  <c r="F14" i="11" s="1"/>
  <c r="F13" i="8" s="1"/>
  <c r="F33" i="6"/>
  <c r="F34" i="6" s="1"/>
  <c r="BT49" i="10"/>
  <c r="AT49" i="10"/>
  <c r="AR49" i="10"/>
  <c r="BK49" i="10"/>
  <c r="J50" i="9"/>
  <c r="F50" i="9"/>
  <c r="I50" i="9"/>
  <c r="M50" i="9"/>
  <c r="L50" i="9"/>
  <c r="K50" i="9"/>
  <c r="G50" i="9"/>
  <c r="H51" i="9"/>
  <c r="H48" i="9"/>
  <c r="H47" i="9"/>
  <c r="H49" i="9"/>
  <c r="L51" i="9"/>
  <c r="L47" i="9"/>
  <c r="L48" i="9"/>
  <c r="L49" i="9"/>
  <c r="K51" i="9"/>
  <c r="K48" i="9"/>
  <c r="K47" i="9"/>
  <c r="K49" i="9"/>
  <c r="E51" i="9"/>
  <c r="E48" i="9"/>
  <c r="E47" i="9"/>
  <c r="E49" i="9"/>
  <c r="F51" i="9"/>
  <c r="F47" i="9"/>
  <c r="F48" i="9"/>
  <c r="F49" i="9"/>
  <c r="H50" i="9"/>
  <c r="G51" i="9"/>
  <c r="G47" i="9"/>
  <c r="G48" i="9"/>
  <c r="G49" i="9"/>
  <c r="E50" i="9"/>
  <c r="J51" i="9"/>
  <c r="J48" i="9"/>
  <c r="J47" i="9"/>
  <c r="J49" i="9"/>
  <c r="I51" i="9"/>
  <c r="I48" i="9"/>
  <c r="I47" i="9"/>
  <c r="I49" i="9"/>
  <c r="M51" i="9"/>
  <c r="M48" i="9"/>
  <c r="M47" i="9"/>
  <c r="M49" i="9"/>
  <c r="K39" i="13"/>
  <c r="N49" i="10"/>
  <c r="Y49" i="10"/>
  <c r="AF49" i="10"/>
  <c r="F69" i="13"/>
  <c r="L69" i="13" s="1"/>
  <c r="F66" i="13"/>
  <c r="F70" i="13"/>
  <c r="L70" i="13" s="1"/>
  <c r="K66" i="13"/>
  <c r="J66" i="13"/>
  <c r="K65" i="13"/>
  <c r="F65" i="13"/>
  <c r="J65" i="13"/>
  <c r="K64" i="13"/>
  <c r="J64" i="13"/>
  <c r="W49" i="10"/>
  <c r="V49" i="10"/>
  <c r="X49" i="10"/>
  <c r="O49" i="10"/>
  <c r="I49" i="10"/>
  <c r="AL49" i="10"/>
  <c r="AD49" i="10"/>
  <c r="L49" i="10"/>
  <c r="G49" i="10"/>
  <c r="AC49" i="10"/>
  <c r="AI49" i="10"/>
  <c r="F49" i="10"/>
  <c r="U49" i="10"/>
  <c r="AG49" i="10"/>
  <c r="I15" i="12"/>
  <c r="I16" i="12" s="1"/>
  <c r="I23" i="10"/>
  <c r="I33" i="6"/>
  <c r="I34" i="6" s="1"/>
  <c r="BV12" i="11"/>
  <c r="BV14" i="11" s="1"/>
  <c r="BV13" i="8" s="1"/>
  <c r="BV4" i="11"/>
  <c r="BV13" i="11"/>
  <c r="AE15" i="12"/>
  <c r="AE16" i="12" s="1"/>
  <c r="AE23" i="10"/>
  <c r="AE24" i="10" s="1"/>
  <c r="AE33" i="6"/>
  <c r="AE34" i="6" s="1"/>
  <c r="BN12" i="11"/>
  <c r="BN14" i="11" s="1"/>
  <c r="BN13" i="8" s="1"/>
  <c r="BN4" i="11"/>
  <c r="BN13" i="11"/>
  <c r="AQ49" i="10"/>
  <c r="BC15" i="12"/>
  <c r="BC16" i="12" s="1"/>
  <c r="BC23" i="10"/>
  <c r="BC24" i="10" s="1"/>
  <c r="BC33" i="6"/>
  <c r="BC34" i="6" s="1"/>
  <c r="AE12" i="11"/>
  <c r="AE14" i="11" s="1"/>
  <c r="AE13" i="8" s="1"/>
  <c r="AE13" i="11"/>
  <c r="AE4" i="11"/>
  <c r="BD50" i="10"/>
  <c r="BD5" i="11"/>
  <c r="CA15" i="12"/>
  <c r="CA16" i="12" s="1"/>
  <c r="CA23" i="10"/>
  <c r="CA24" i="10" s="1"/>
  <c r="CA33" i="6"/>
  <c r="CA34" i="6" s="1"/>
  <c r="W12" i="11"/>
  <c r="W14" i="11" s="1"/>
  <c r="W13" i="8" s="1"/>
  <c r="W13" i="11"/>
  <c r="W4" i="11"/>
  <c r="AM5" i="11"/>
  <c r="AM50" i="10"/>
  <c r="BI13" i="11"/>
  <c r="BI12" i="11"/>
  <c r="BI14" i="11" s="1"/>
  <c r="BI13" i="8" s="1"/>
  <c r="BI4" i="11"/>
  <c r="T49" i="10"/>
  <c r="CJ15" i="12"/>
  <c r="CJ16" i="12" s="1"/>
  <c r="CJ23" i="10"/>
  <c r="CJ24" i="10" s="1"/>
  <c r="CJ33" i="6"/>
  <c r="CJ34" i="6" s="1"/>
  <c r="AR13" i="11"/>
  <c r="AR12" i="11"/>
  <c r="AR14" i="11" s="1"/>
  <c r="AR13" i="8" s="1"/>
  <c r="AR4" i="11"/>
  <c r="P49" i="10"/>
  <c r="BO50" i="10"/>
  <c r="BO5" i="11"/>
  <c r="AY50" i="10"/>
  <c r="AY5" i="11"/>
  <c r="BB49" i="10"/>
  <c r="CE49" i="10"/>
  <c r="AB5" i="11"/>
  <c r="AB50" i="10"/>
  <c r="AW15" i="12"/>
  <c r="AW16" i="12" s="1"/>
  <c r="AW23" i="10"/>
  <c r="AW24" i="10" s="1"/>
  <c r="AW33" i="6"/>
  <c r="AW34" i="6" s="1"/>
  <c r="BX5" i="11"/>
  <c r="BX50" i="10"/>
  <c r="AN15" i="12"/>
  <c r="AN16" i="12" s="1"/>
  <c r="AN23" i="10"/>
  <c r="AN24" i="10" s="1"/>
  <c r="AN33" i="6"/>
  <c r="AN34" i="6" s="1"/>
  <c r="CD12" i="11"/>
  <c r="CD14" i="11" s="1"/>
  <c r="CD4" i="11"/>
  <c r="CD13" i="11"/>
  <c r="AV50" i="10"/>
  <c r="AV5" i="11"/>
  <c r="AN50" i="10"/>
  <c r="AN5" i="11"/>
  <c r="BE12" i="11"/>
  <c r="BE14" i="11" s="1"/>
  <c r="BE13" i="8" s="1"/>
  <c r="BE4" i="11"/>
  <c r="BE13" i="11"/>
  <c r="AP12" i="11"/>
  <c r="AP14" i="11" s="1"/>
  <c r="AP13" i="8" s="1"/>
  <c r="AP13" i="11"/>
  <c r="AP4" i="11"/>
  <c r="AY15" i="12"/>
  <c r="AY16" i="12" s="1"/>
  <c r="AY23" i="10"/>
  <c r="AY24" i="10" s="1"/>
  <c r="AY33" i="6"/>
  <c r="AY34" i="6" s="1"/>
  <c r="AO50" i="10"/>
  <c r="AO5" i="11"/>
  <c r="CE15" i="12"/>
  <c r="CE16" i="12" s="1"/>
  <c r="CE23" i="10"/>
  <c r="CE24" i="10" s="1"/>
  <c r="CE33" i="6"/>
  <c r="CE34" i="6" s="1"/>
  <c r="BS15" i="12"/>
  <c r="BS16" i="12" s="1"/>
  <c r="BS23" i="10"/>
  <c r="BS24" i="10" s="1"/>
  <c r="BS33" i="6"/>
  <c r="BS34" i="6" s="1"/>
  <c r="AF15" i="12"/>
  <c r="AF16" i="12" s="1"/>
  <c r="AF23" i="10"/>
  <c r="AF24" i="10" s="1"/>
  <c r="AF33" i="6"/>
  <c r="AF34" i="6" s="1"/>
  <c r="J12" i="11"/>
  <c r="J14" i="11" s="1"/>
  <c r="J13" i="8" s="1"/>
  <c r="J13" i="11"/>
  <c r="J4" i="11"/>
  <c r="BH13" i="11"/>
  <c r="BH12" i="11"/>
  <c r="BH14" i="11" s="1"/>
  <c r="BH13" i="8" s="1"/>
  <c r="BH4" i="11"/>
  <c r="BY5" i="11"/>
  <c r="BY50" i="10"/>
  <c r="AX12" i="11"/>
  <c r="AX14" i="11" s="1"/>
  <c r="AX13" i="8" s="1"/>
  <c r="AX4" i="11"/>
  <c r="AX13" i="11"/>
  <c r="AU15" i="12"/>
  <c r="AU16" i="12" s="1"/>
  <c r="AU23" i="10"/>
  <c r="AU24" i="10" s="1"/>
  <c r="AU33" i="6"/>
  <c r="AU34" i="6" s="1"/>
  <c r="L5" i="11"/>
  <c r="L50" i="10"/>
  <c r="P15" i="12"/>
  <c r="P16" i="12" s="1"/>
  <c r="P23" i="10"/>
  <c r="P33" i="6"/>
  <c r="P34" i="6" s="1"/>
  <c r="T13" i="11"/>
  <c r="T12" i="11"/>
  <c r="T14" i="11" s="1"/>
  <c r="T13" i="8" s="1"/>
  <c r="T4" i="11"/>
  <c r="AH15" i="12"/>
  <c r="AH16" i="12" s="1"/>
  <c r="AH23" i="10"/>
  <c r="AH24" i="10" s="1"/>
  <c r="AH33" i="6"/>
  <c r="AH34" i="6" s="1"/>
  <c r="BT50" i="10"/>
  <c r="BT5" i="11"/>
  <c r="P12" i="11"/>
  <c r="P14" i="11" s="1"/>
  <c r="P13" i="8" s="1"/>
  <c r="P13" i="11"/>
  <c r="P4" i="11"/>
  <c r="AH50" i="10"/>
  <c r="AH5" i="11"/>
  <c r="CE4" i="11"/>
  <c r="CE13" i="11"/>
  <c r="CE12" i="11"/>
  <c r="CE14" i="11" s="1"/>
  <c r="BS5" i="11"/>
  <c r="BS50" i="10"/>
  <c r="R12" i="11"/>
  <c r="R14" i="11" s="1"/>
  <c r="R13" i="8" s="1"/>
  <c r="R13" i="11"/>
  <c r="R4" i="11"/>
  <c r="BU15" i="12"/>
  <c r="BU16" i="12" s="1"/>
  <c r="BU23" i="10"/>
  <c r="BU24" i="10" s="1"/>
  <c r="BU33" i="6"/>
  <c r="BU34" i="6" s="1"/>
  <c r="AC5" i="11"/>
  <c r="AC50" i="10"/>
  <c r="Z12" i="11"/>
  <c r="Z14" i="11" s="1"/>
  <c r="Z13" i="8" s="1"/>
  <c r="Z13" i="11"/>
  <c r="Z4" i="11"/>
  <c r="BL12" i="11"/>
  <c r="BL14" i="11" s="1"/>
  <c r="BL13" i="8" s="1"/>
  <c r="BL4" i="11"/>
  <c r="BL13" i="11"/>
  <c r="AG50" i="10"/>
  <c r="AG5" i="11"/>
  <c r="AO49" i="10"/>
  <c r="AQ13" i="11"/>
  <c r="AQ12" i="11"/>
  <c r="AQ14" i="11" s="1"/>
  <c r="AQ13" i="8" s="1"/>
  <c r="AQ4" i="11"/>
  <c r="AF12" i="11"/>
  <c r="AF14" i="11" s="1"/>
  <c r="AF13" i="8" s="1"/>
  <c r="AF13" i="11"/>
  <c r="AF4" i="11"/>
  <c r="I50" i="10"/>
  <c r="I5" i="11"/>
  <c r="BD12" i="11"/>
  <c r="BD14" i="11" s="1"/>
  <c r="BD13" i="8" s="1"/>
  <c r="BD4" i="11"/>
  <c r="BD13" i="11"/>
  <c r="S15" i="12"/>
  <c r="S16" i="12" s="1"/>
  <c r="S23" i="10"/>
  <c r="S33" i="6"/>
  <c r="S34" i="6" s="1"/>
  <c r="CJ50" i="10"/>
  <c r="CJ5" i="11"/>
  <c r="Y15" i="12"/>
  <c r="Y16" i="12" s="1"/>
  <c r="Y23" i="10"/>
  <c r="Y33" i="6"/>
  <c r="Y34" i="6" s="1"/>
  <c r="L15" i="12"/>
  <c r="L16" i="12" s="1"/>
  <c r="L23" i="10"/>
  <c r="L33" i="6"/>
  <c r="L34" i="6" s="1"/>
  <c r="Y50" i="10"/>
  <c r="Y5" i="11"/>
  <c r="O5" i="11"/>
  <c r="O50" i="10"/>
  <c r="U13" i="11"/>
  <c r="U12" i="11"/>
  <c r="U14" i="11" s="1"/>
  <c r="U13" i="8" s="1"/>
  <c r="U4" i="11"/>
  <c r="BP5" i="11"/>
  <c r="BP50" i="10"/>
  <c r="AS13" i="11"/>
  <c r="AS12" i="11"/>
  <c r="AS14" i="11" s="1"/>
  <c r="AS13" i="8" s="1"/>
  <c r="AS4" i="11"/>
  <c r="AM49" i="10"/>
  <c r="AZ5" i="11"/>
  <c r="AZ50" i="10"/>
  <c r="CI12" i="11"/>
  <c r="CI14" i="11" s="1"/>
  <c r="CI4" i="11"/>
  <c r="CI13" i="11"/>
  <c r="AB15" i="12"/>
  <c r="AB16" i="12" s="1"/>
  <c r="AB23" i="10"/>
  <c r="AB33" i="6"/>
  <c r="AB34" i="6" s="1"/>
  <c r="Q50" i="10"/>
  <c r="Q5" i="11"/>
  <c r="E5" i="11"/>
  <c r="E50" i="10"/>
  <c r="BQ13" i="11"/>
  <c r="BQ12" i="11"/>
  <c r="BQ14" i="11" s="1"/>
  <c r="BQ13" i="8" s="1"/>
  <c r="BQ4" i="11"/>
  <c r="AY4" i="11"/>
  <c r="AY13" i="11"/>
  <c r="AY12" i="11"/>
  <c r="AY14" i="11" s="1"/>
  <c r="AY13" i="8" s="1"/>
  <c r="K50" i="10"/>
  <c r="K5" i="11"/>
  <c r="BK15" i="12"/>
  <c r="BK16" i="12" s="1"/>
  <c r="BK23" i="10"/>
  <c r="BK24" i="10" s="1"/>
  <c r="BK33" i="6"/>
  <c r="BK34" i="6" s="1"/>
  <c r="AB49" i="10"/>
  <c r="BX49" i="10"/>
  <c r="BO15" i="12"/>
  <c r="BO16" i="12" s="1"/>
  <c r="BO23" i="10"/>
  <c r="BO24" i="10" s="1"/>
  <c r="BO33" i="6"/>
  <c r="BO34" i="6" s="1"/>
  <c r="BJ49" i="10"/>
  <c r="AR15" i="12"/>
  <c r="AR16" i="12" s="1"/>
  <c r="AR23" i="10"/>
  <c r="AR24" i="10" s="1"/>
  <c r="AR33" i="6"/>
  <c r="AR34" i="6" s="1"/>
  <c r="AP15" i="12"/>
  <c r="AP16" i="12" s="1"/>
  <c r="AP23" i="10"/>
  <c r="AP24" i="10" s="1"/>
  <c r="AP33" i="6"/>
  <c r="AP34" i="6" s="1"/>
  <c r="AV49" i="10"/>
  <c r="AJ5" i="11"/>
  <c r="AJ50" i="10"/>
  <c r="BL49" i="10"/>
  <c r="AN49" i="10"/>
  <c r="CD15" i="12"/>
  <c r="CD16" i="12" s="1"/>
  <c r="CD23" i="10"/>
  <c r="CD24" i="10" s="1"/>
  <c r="CD33" i="6"/>
  <c r="CD34" i="6" s="1"/>
  <c r="S50" i="10"/>
  <c r="S5" i="11"/>
  <c r="CA5" i="11"/>
  <c r="CA50" i="10"/>
  <c r="CG5" i="11"/>
  <c r="CG50" i="10"/>
  <c r="AO12" i="11"/>
  <c r="AO14" i="11" s="1"/>
  <c r="AO13" i="8" s="1"/>
  <c r="AO13" i="11"/>
  <c r="AO4" i="11"/>
  <c r="J15" i="12"/>
  <c r="J16" i="12" s="1"/>
  <c r="J23" i="10"/>
  <c r="J33" i="6"/>
  <c r="J34" i="6" s="1"/>
  <c r="B33" i="6"/>
  <c r="B34" i="6" s="1"/>
  <c r="B18" i="6"/>
  <c r="C33" i="6"/>
  <c r="C34" i="6" s="1"/>
  <c r="C18" i="6"/>
  <c r="CB50" i="10"/>
  <c r="CB5" i="11"/>
  <c r="BD49" i="10"/>
  <c r="X50" i="10"/>
  <c r="X5" i="11"/>
  <c r="CG15" i="12"/>
  <c r="CG16" i="12" s="1"/>
  <c r="CG23" i="10"/>
  <c r="CG24" i="10" s="1"/>
  <c r="CG33" i="6"/>
  <c r="CG34" i="6" s="1"/>
  <c r="BV15" i="12"/>
  <c r="BV16" i="12" s="1"/>
  <c r="BV23" i="10"/>
  <c r="BV24" i="10" s="1"/>
  <c r="BV33" i="6"/>
  <c r="BV34" i="6" s="1"/>
  <c r="U15" i="12"/>
  <c r="U16" i="12" s="1"/>
  <c r="U23" i="10"/>
  <c r="U33" i="6"/>
  <c r="U34" i="6" s="1"/>
  <c r="AQ15" i="12"/>
  <c r="AQ16" i="12" s="1"/>
  <c r="AQ23" i="10"/>
  <c r="AQ24" i="10" s="1"/>
  <c r="AQ33" i="6"/>
  <c r="AQ34" i="6" s="1"/>
  <c r="BK5" i="11"/>
  <c r="BK50" i="10"/>
  <c r="AM12" i="11"/>
  <c r="AM14" i="11" s="1"/>
  <c r="AM13" i="8" s="1"/>
  <c r="AM13" i="11"/>
  <c r="AM4" i="11"/>
  <c r="Q15" i="12"/>
  <c r="Q16" i="12" s="1"/>
  <c r="Q23" i="10"/>
  <c r="Q33" i="6"/>
  <c r="Q34" i="6" s="1"/>
  <c r="E15" i="12"/>
  <c r="E16" i="12" s="1"/>
  <c r="E23" i="10"/>
  <c r="E33" i="6"/>
  <c r="E34" i="6" s="1"/>
  <c r="D18" i="6"/>
  <c r="D33" i="6"/>
  <c r="D34" i="6" s="1"/>
  <c r="BO4" i="11"/>
  <c r="BO13" i="11"/>
  <c r="BO12" i="11"/>
  <c r="BO14" i="11" s="1"/>
  <c r="BO13" i="8" s="1"/>
  <c r="Q49" i="10"/>
  <c r="AH12" i="11"/>
  <c r="AH14" i="11" s="1"/>
  <c r="AH13" i="8" s="1"/>
  <c r="AH13" i="11"/>
  <c r="AH4" i="11"/>
  <c r="AC15" i="12"/>
  <c r="AC16" i="12" s="1"/>
  <c r="AC23" i="10"/>
  <c r="AC33" i="6"/>
  <c r="AC34" i="6" s="1"/>
  <c r="K49" i="10"/>
  <c r="BI15" i="12"/>
  <c r="BI16" i="12" s="1"/>
  <c r="BI23" i="10"/>
  <c r="BI24" i="10" s="1"/>
  <c r="BI33" i="6"/>
  <c r="BI34" i="6" s="1"/>
  <c r="BS49" i="10"/>
  <c r="AA50" i="10"/>
  <c r="AA5" i="11"/>
  <c r="AB13" i="11"/>
  <c r="AB12" i="11"/>
  <c r="AB14" i="11" s="1"/>
  <c r="AB13" i="8" s="1"/>
  <c r="AB4" i="11"/>
  <c r="BX13" i="11"/>
  <c r="BX12" i="11"/>
  <c r="BX14" i="11" s="1"/>
  <c r="BX4" i="11"/>
  <c r="M5" i="11"/>
  <c r="M50" i="10"/>
  <c r="BT15" i="12"/>
  <c r="BT16" i="12" s="1"/>
  <c r="BT23" i="10"/>
  <c r="BT24" i="10" s="1"/>
  <c r="BT33" i="6"/>
  <c r="BT34" i="6" s="1"/>
  <c r="BA5" i="11"/>
  <c r="BA50" i="10"/>
  <c r="AV12" i="11"/>
  <c r="AV14" i="11" s="1"/>
  <c r="AV13" i="8" s="1"/>
  <c r="AV4" i="11"/>
  <c r="AV13" i="11"/>
  <c r="BC5" i="11"/>
  <c r="BC50" i="10"/>
  <c r="AN12" i="11"/>
  <c r="AN14" i="11" s="1"/>
  <c r="AN13" i="8" s="1"/>
  <c r="AN13" i="11"/>
  <c r="AN4" i="11"/>
  <c r="BU50" i="10"/>
  <c r="BU5" i="11"/>
  <c r="BG50" i="10"/>
  <c r="BG5" i="11"/>
  <c r="AG12" i="11"/>
  <c r="AG14" i="11" s="1"/>
  <c r="AG13" i="8" s="1"/>
  <c r="AG13" i="11"/>
  <c r="AG4" i="11"/>
  <c r="S49" i="10"/>
  <c r="AK5" i="11"/>
  <c r="AK50" i="10"/>
  <c r="BE15" i="12"/>
  <c r="BE16" i="12" s="1"/>
  <c r="BE23" i="10"/>
  <c r="BE24" i="10" s="1"/>
  <c r="BE33" i="6"/>
  <c r="BE34" i="6" s="1"/>
  <c r="BL15" i="12"/>
  <c r="BL16" i="12" s="1"/>
  <c r="BL23" i="10"/>
  <c r="BL24" i="10" s="1"/>
  <c r="BL33" i="6"/>
  <c r="BL34" i="6" s="1"/>
  <c r="AI50" i="10"/>
  <c r="AI5" i="11"/>
  <c r="I12" i="11"/>
  <c r="I14" i="11" s="1"/>
  <c r="I13" i="8" s="1"/>
  <c r="I13" i="11"/>
  <c r="I4" i="11"/>
  <c r="BN15" i="12"/>
  <c r="BN16" i="12" s="1"/>
  <c r="BN23" i="10"/>
  <c r="BN24" i="10" s="1"/>
  <c r="BN33" i="6"/>
  <c r="BN34" i="6" s="1"/>
  <c r="BG15" i="12"/>
  <c r="BG16" i="12" s="1"/>
  <c r="BG23" i="10"/>
  <c r="BG24" i="10" s="1"/>
  <c r="BG33" i="6"/>
  <c r="BG34" i="6" s="1"/>
  <c r="AS15" i="12"/>
  <c r="AS16" i="12" s="1"/>
  <c r="AS23" i="10"/>
  <c r="AS24" i="10" s="1"/>
  <c r="AS33" i="6"/>
  <c r="AS34" i="6" s="1"/>
  <c r="BY13" i="11"/>
  <c r="BY12" i="11"/>
  <c r="BY14" i="11" s="1"/>
  <c r="BY4" i="11"/>
  <c r="Y12" i="11"/>
  <c r="Y14" i="11" s="1"/>
  <c r="Y13" i="8" s="1"/>
  <c r="Y13" i="11"/>
  <c r="Y4" i="11"/>
  <c r="L13" i="11"/>
  <c r="L12" i="11"/>
  <c r="L14" i="11" s="1"/>
  <c r="L13" i="8" s="1"/>
  <c r="L4" i="11"/>
  <c r="BW50" i="10"/>
  <c r="BW5" i="11"/>
  <c r="AZ49" i="10"/>
  <c r="G5" i="11"/>
  <c r="G50" i="10"/>
  <c r="BT12" i="11"/>
  <c r="BT14" i="11" s="1"/>
  <c r="BT13" i="8" s="1"/>
  <c r="BT4" i="11"/>
  <c r="BT13" i="11"/>
  <c r="Q12" i="11"/>
  <c r="Q14" i="11" s="1"/>
  <c r="Q13" i="8" s="1"/>
  <c r="Q13" i="11"/>
  <c r="Q4" i="11"/>
  <c r="E49" i="10"/>
  <c r="CF5" i="11"/>
  <c r="CF50" i="10"/>
  <c r="Z15" i="12"/>
  <c r="Z16" i="12" s="1"/>
  <c r="Z23" i="10"/>
  <c r="Z33" i="6"/>
  <c r="Z34" i="6" s="1"/>
  <c r="K13" i="11"/>
  <c r="K12" i="11"/>
  <c r="K14" i="11" s="1"/>
  <c r="K13" i="8" s="1"/>
  <c r="K4" i="11"/>
  <c r="BS12" i="11"/>
  <c r="BS14" i="11" s="1"/>
  <c r="BS13" i="8" s="1"/>
  <c r="BS4" i="11"/>
  <c r="BS13" i="11"/>
  <c r="BR49" i="10"/>
  <c r="AC13" i="11"/>
  <c r="AC12" i="11"/>
  <c r="AC14" i="11" s="1"/>
  <c r="AC13" i="8" s="1"/>
  <c r="AC4" i="11"/>
  <c r="AJ49" i="10"/>
  <c r="H50" i="10"/>
  <c r="H5" i="11"/>
  <c r="BU49" i="10"/>
  <c r="S13" i="11"/>
  <c r="S12" i="11"/>
  <c r="S14" i="11" s="1"/>
  <c r="S13" i="8" s="1"/>
  <c r="S4" i="11"/>
  <c r="CA49" i="10"/>
  <c r="BM15" i="12"/>
  <c r="BM16" i="12" s="1"/>
  <c r="BM23" i="10"/>
  <c r="BM24" i="10" s="1"/>
  <c r="BM33" i="6"/>
  <c r="BM34" i="6" s="1"/>
  <c r="AA15" i="12"/>
  <c r="AA16" i="12" s="1"/>
  <c r="AA23" i="10"/>
  <c r="AA33" i="6"/>
  <c r="AA34" i="6" s="1"/>
  <c r="BX15" i="12"/>
  <c r="BX16" i="12" s="1"/>
  <c r="BX23" i="10"/>
  <c r="BX24" i="10" s="1"/>
  <c r="BX33" i="6"/>
  <c r="BX34" i="6" s="1"/>
  <c r="AE5" i="11"/>
  <c r="AE50" i="10"/>
  <c r="AX15" i="12"/>
  <c r="AX16" i="12" s="1"/>
  <c r="AX23" i="10"/>
  <c r="AX24" i="10" s="1"/>
  <c r="AX33" i="6"/>
  <c r="AX34" i="6" s="1"/>
  <c r="BM50" i="10"/>
  <c r="BM5" i="11"/>
  <c r="CJ12" i="11"/>
  <c r="CJ14" i="11" s="1"/>
  <c r="CJ4" i="11"/>
  <c r="CJ13" i="11"/>
  <c r="W5" i="11"/>
  <c r="W50" i="10"/>
  <c r="O12" i="11"/>
  <c r="O14" i="11" s="1"/>
  <c r="O13" i="8" s="1"/>
  <c r="O13" i="11"/>
  <c r="O4" i="11"/>
  <c r="BP13" i="11"/>
  <c r="BP12" i="11"/>
  <c r="BP14" i="11" s="1"/>
  <c r="BP13" i="8" s="1"/>
  <c r="BP4" i="11"/>
  <c r="BF50" i="10"/>
  <c r="BF5" i="11"/>
  <c r="G15" i="12"/>
  <c r="G16" i="12" s="1"/>
  <c r="G23" i="10"/>
  <c r="G33" i="6"/>
  <c r="G34" i="6" s="1"/>
  <c r="BH15" i="12"/>
  <c r="BH16" i="12" s="1"/>
  <c r="BH23" i="10"/>
  <c r="BH24" i="10" s="1"/>
  <c r="BH33" i="6"/>
  <c r="BH34" i="6" s="1"/>
  <c r="BI5" i="11"/>
  <c r="BI50" i="10"/>
  <c r="AR5" i="11"/>
  <c r="AR50" i="10"/>
  <c r="AZ13" i="11"/>
  <c r="AZ12" i="11"/>
  <c r="AZ14" i="11" s="1"/>
  <c r="AZ13" i="8" s="1"/>
  <c r="AZ4" i="11"/>
  <c r="BP15" i="12"/>
  <c r="BP16" i="12" s="1"/>
  <c r="BP23" i="10"/>
  <c r="BP24" i="10" s="1"/>
  <c r="BP33" i="6"/>
  <c r="BP34" i="6" s="1"/>
  <c r="E13" i="11"/>
  <c r="E12" i="11"/>
  <c r="E14" i="11" s="1"/>
  <c r="E4" i="11"/>
  <c r="AA49" i="10"/>
  <c r="BW15" i="12"/>
  <c r="BW16" i="12" s="1"/>
  <c r="BW23" i="10"/>
  <c r="BW24" i="10" s="1"/>
  <c r="BW33" i="6"/>
  <c r="BW34" i="6" s="1"/>
  <c r="CC50" i="10"/>
  <c r="CC5" i="11"/>
  <c r="M49" i="10"/>
  <c r="AG15" i="12"/>
  <c r="AG16" i="12" s="1"/>
  <c r="AG23" i="10"/>
  <c r="AG24" i="10" s="1"/>
  <c r="AG33" i="6"/>
  <c r="AG34" i="6" s="1"/>
  <c r="AK15" i="12"/>
  <c r="AK16" i="12" s="1"/>
  <c r="AK23" i="10"/>
  <c r="AK24" i="10" s="1"/>
  <c r="AK33" i="6"/>
  <c r="AK34" i="6" s="1"/>
  <c r="AW50" i="10"/>
  <c r="AW5" i="11"/>
  <c r="AJ13" i="11"/>
  <c r="AJ12" i="11"/>
  <c r="AJ14" i="11" s="1"/>
  <c r="AJ13" i="8" s="1"/>
  <c r="AJ4" i="11"/>
  <c r="BU12" i="11"/>
  <c r="BU14" i="11" s="1"/>
  <c r="BU13" i="8" s="1"/>
  <c r="BU4" i="11"/>
  <c r="BU13" i="11"/>
  <c r="BG49" i="10"/>
  <c r="CF15" i="12"/>
  <c r="CF16" i="12" s="1"/>
  <c r="CF23" i="10"/>
  <c r="CF24" i="10" s="1"/>
  <c r="CF33" i="6"/>
  <c r="CF34" i="6" s="1"/>
  <c r="CA12" i="11"/>
  <c r="CA14" i="11" s="1"/>
  <c r="CA4" i="11"/>
  <c r="CA13" i="11"/>
  <c r="CG13" i="11"/>
  <c r="CG12" i="11"/>
  <c r="CG14" i="11" s="1"/>
  <c r="CG4" i="11"/>
  <c r="AK49" i="10"/>
  <c r="AU12" i="11"/>
  <c r="AU14" i="11" s="1"/>
  <c r="AU13" i="8" s="1"/>
  <c r="AU4" i="11"/>
  <c r="AU13" i="11"/>
  <c r="BN50" i="10"/>
  <c r="BN5" i="11"/>
  <c r="AU5" i="11"/>
  <c r="AU50" i="10"/>
  <c r="CB12" i="11"/>
  <c r="CB14" i="11" s="1"/>
  <c r="CB4" i="11"/>
  <c r="CB13" i="11"/>
  <c r="X12" i="11"/>
  <c r="X14" i="11" s="1"/>
  <c r="X13" i="8" s="1"/>
  <c r="X13" i="11"/>
  <c r="X4" i="11"/>
  <c r="BH5" i="11"/>
  <c r="BH50" i="10"/>
  <c r="AI15" i="12"/>
  <c r="AI16" i="12" s="1"/>
  <c r="AI23" i="10"/>
  <c r="AI24" i="10" s="1"/>
  <c r="AI33" i="6"/>
  <c r="AI34" i="6" s="1"/>
  <c r="BK12" i="11"/>
  <c r="BK14" i="11" s="1"/>
  <c r="BK13" i="8" s="1"/>
  <c r="BK4" i="11"/>
  <c r="BK13" i="11"/>
  <c r="T5" i="11"/>
  <c r="T50" i="10"/>
  <c r="BW4" i="11"/>
  <c r="BW13" i="11"/>
  <c r="BW12" i="11"/>
  <c r="BW14" i="11" s="1"/>
  <c r="BY15" i="12"/>
  <c r="BY16" i="12" s="1"/>
  <c r="BY23" i="10"/>
  <c r="BY24" i="10" s="1"/>
  <c r="BY33" i="6"/>
  <c r="BY34" i="6" s="1"/>
  <c r="P50" i="10"/>
  <c r="P5" i="11"/>
  <c r="R15" i="12"/>
  <c r="R16" i="12" s="1"/>
  <c r="R23" i="10"/>
  <c r="R33" i="6"/>
  <c r="R34" i="6" s="1"/>
  <c r="CC15" i="12"/>
  <c r="CC16" i="12" s="1"/>
  <c r="CC23" i="10"/>
  <c r="CC24" i="10" s="1"/>
  <c r="CC33" i="6"/>
  <c r="CC34" i="6" s="1"/>
  <c r="M15" i="12"/>
  <c r="M16" i="12" s="1"/>
  <c r="M23" i="10"/>
  <c r="M33" i="6"/>
  <c r="M34" i="6" s="1"/>
  <c r="CF49" i="10"/>
  <c r="AV15" i="12"/>
  <c r="AV16" i="12" s="1"/>
  <c r="AV23" i="10"/>
  <c r="AV24" i="10" s="1"/>
  <c r="AV33" i="6"/>
  <c r="AV34" i="6" s="1"/>
  <c r="AA13" i="11"/>
  <c r="AA12" i="11"/>
  <c r="AA14" i="11" s="1"/>
  <c r="AA13" i="8" s="1"/>
  <c r="AA4" i="11"/>
  <c r="AJ15" i="12"/>
  <c r="AJ16" i="12" s="1"/>
  <c r="AJ23" i="10"/>
  <c r="AJ24" i="10" s="1"/>
  <c r="AJ33" i="6"/>
  <c r="AJ34" i="6" s="1"/>
  <c r="H15" i="12"/>
  <c r="H16" i="12" s="1"/>
  <c r="H23" i="10"/>
  <c r="H33" i="6"/>
  <c r="H34" i="6" s="1"/>
  <c r="M13" i="11"/>
  <c r="M12" i="11"/>
  <c r="M14" i="11" s="1"/>
  <c r="M13" i="8" s="1"/>
  <c r="M4" i="11"/>
  <c r="CD50" i="10"/>
  <c r="CD5" i="11"/>
  <c r="AZ15" i="12"/>
  <c r="AZ16" i="12" s="1"/>
  <c r="AZ23" i="10"/>
  <c r="AZ24" i="10" s="1"/>
  <c r="AZ33" i="6"/>
  <c r="AZ34" i="6" s="1"/>
  <c r="CI15" i="12"/>
  <c r="CI16" i="12" s="1"/>
  <c r="CI23" i="10"/>
  <c r="CI24" i="10" s="1"/>
  <c r="CI33" i="6"/>
  <c r="CI34" i="6" s="1"/>
  <c r="BA13" i="11"/>
  <c r="BA12" i="11"/>
  <c r="BA14" i="11" s="1"/>
  <c r="BA13" i="8" s="1"/>
  <c r="BA4" i="11"/>
  <c r="AW49" i="10"/>
  <c r="H49" i="10"/>
  <c r="BC12" i="11"/>
  <c r="BC14" i="11" s="1"/>
  <c r="BC13" i="8" s="1"/>
  <c r="BC4" i="11"/>
  <c r="BC13" i="11"/>
  <c r="BE50" i="10"/>
  <c r="BE5" i="11"/>
  <c r="AP50" i="10"/>
  <c r="AP5" i="11"/>
  <c r="BG4" i="11"/>
  <c r="BG13" i="11"/>
  <c r="BG12" i="11"/>
  <c r="BG14" i="11" s="1"/>
  <c r="BG13" i="8" s="1"/>
  <c r="K15" i="12"/>
  <c r="K16" i="12" s="1"/>
  <c r="K23" i="10"/>
  <c r="K33" i="6"/>
  <c r="K34" i="6" s="1"/>
  <c r="AK13" i="11"/>
  <c r="AK12" i="11"/>
  <c r="AK14" i="11" s="1"/>
  <c r="AK13" i="8" s="1"/>
  <c r="AK4" i="11"/>
  <c r="X15" i="12"/>
  <c r="X16" i="12" s="1"/>
  <c r="X23" i="10"/>
  <c r="X33" i="6"/>
  <c r="X34" i="6" s="1"/>
  <c r="BA15" i="12"/>
  <c r="BA16" i="12" s="1"/>
  <c r="BA23" i="10"/>
  <c r="BA24" i="10" s="1"/>
  <c r="BA33" i="6"/>
  <c r="BA34" i="6" s="1"/>
  <c r="BV50" i="10"/>
  <c r="BV5" i="11"/>
  <c r="AQ50" i="10"/>
  <c r="AQ5" i="11"/>
  <c r="AF50" i="10"/>
  <c r="AF5" i="11"/>
  <c r="AI13" i="11"/>
  <c r="AI12" i="11"/>
  <c r="AI14" i="11" s="1"/>
  <c r="AI13" i="8" s="1"/>
  <c r="AI4" i="11"/>
  <c r="AE49" i="10"/>
  <c r="J50" i="10"/>
  <c r="J5" i="11"/>
  <c r="BM12" i="11"/>
  <c r="BM14" i="11" s="1"/>
  <c r="BM13" i="8" s="1"/>
  <c r="BM4" i="11"/>
  <c r="BM13" i="11"/>
  <c r="W15" i="12"/>
  <c r="W16" i="12" s="1"/>
  <c r="W23" i="10"/>
  <c r="W33" i="6"/>
  <c r="W34" i="6" s="1"/>
  <c r="O15" i="12"/>
  <c r="O16" i="12" s="1"/>
  <c r="O23" i="10"/>
  <c r="O33" i="6"/>
  <c r="O34" i="6" s="1"/>
  <c r="AX50" i="10"/>
  <c r="AX5" i="11"/>
  <c r="AM15" i="12"/>
  <c r="AM16" i="12" s="1"/>
  <c r="AM23" i="10"/>
  <c r="AM24" i="10" s="1"/>
  <c r="AM33" i="6"/>
  <c r="AM34" i="6" s="1"/>
  <c r="T15" i="12"/>
  <c r="T16" i="12" s="1"/>
  <c r="T23" i="10"/>
  <c r="T33" i="6"/>
  <c r="T34" i="6" s="1"/>
  <c r="U5" i="11"/>
  <c r="U50" i="10"/>
  <c r="CB15" i="12"/>
  <c r="CB16" i="12" s="1"/>
  <c r="CB23" i="10"/>
  <c r="CB24" i="10" s="1"/>
  <c r="CB33" i="6"/>
  <c r="CB34" i="6" s="1"/>
  <c r="AS5" i="11"/>
  <c r="AS50" i="10"/>
  <c r="BF12" i="11"/>
  <c r="BF14" i="11" s="1"/>
  <c r="BF13" i="8" s="1"/>
  <c r="BF4" i="11"/>
  <c r="BF13" i="11"/>
  <c r="BD15" i="12"/>
  <c r="BD16" i="12" s="1"/>
  <c r="BD23" i="10"/>
  <c r="BD24" i="10" s="1"/>
  <c r="BD33" i="6"/>
  <c r="BD34" i="6" s="1"/>
  <c r="BI49" i="10"/>
  <c r="BF15" i="12"/>
  <c r="BF16" i="12" s="1"/>
  <c r="BF23" i="10"/>
  <c r="BF24" i="10" s="1"/>
  <c r="BF33" i="6"/>
  <c r="BF34" i="6" s="1"/>
  <c r="CI5" i="11"/>
  <c r="CI50" i="10"/>
  <c r="G12" i="11"/>
  <c r="G14" i="11" s="1"/>
  <c r="G13" i="8" s="1"/>
  <c r="G13" i="11"/>
  <c r="G4" i="11"/>
  <c r="BQ5" i="11"/>
  <c r="BQ50" i="10"/>
  <c r="CF13" i="11"/>
  <c r="CF12" i="11"/>
  <c r="CF14" i="11" s="1"/>
  <c r="CF4" i="11"/>
  <c r="CE50" i="10"/>
  <c r="CE5" i="11"/>
  <c r="R50" i="10"/>
  <c r="R5" i="11"/>
  <c r="CC12" i="11"/>
  <c r="CC14" i="11" s="1"/>
  <c r="CC4" i="11"/>
  <c r="CC13" i="11"/>
  <c r="Z50" i="10"/>
  <c r="Z5" i="11"/>
  <c r="AO15" i="12"/>
  <c r="AO16" i="12" s="1"/>
  <c r="AO23" i="10"/>
  <c r="AO24" i="10" s="1"/>
  <c r="AO33" i="6"/>
  <c r="AO34" i="6" s="1"/>
  <c r="AW12" i="11"/>
  <c r="AW14" i="11" s="1"/>
  <c r="AW13" i="8" s="1"/>
  <c r="AW4" i="11"/>
  <c r="AW13" i="11"/>
  <c r="BL50" i="10"/>
  <c r="BL5" i="11"/>
  <c r="H12" i="11"/>
  <c r="H14" i="11" s="1"/>
  <c r="H13" i="8" s="1"/>
  <c r="H13" i="11"/>
  <c r="H4" i="11"/>
  <c r="BE49" i="10"/>
  <c r="BQ15" i="12"/>
  <c r="BQ16" i="12" s="1"/>
  <c r="BQ23" i="10"/>
  <c r="BQ24" i="10" s="1"/>
  <c r="BQ33" i="6"/>
  <c r="BQ34" i="6" s="1"/>
  <c r="W17" i="9"/>
  <c r="W15" i="9"/>
  <c r="BD15" i="9"/>
  <c r="BD17" i="9"/>
  <c r="BZ15" i="9"/>
  <c r="BZ17" i="9"/>
  <c r="AE17" i="9"/>
  <c r="AE15" i="9"/>
  <c r="BB17" i="9"/>
  <c r="BB15" i="9"/>
  <c r="BP17" i="9"/>
  <c r="BP15" i="9"/>
  <c r="AF15" i="9"/>
  <c r="AF17" i="9"/>
  <c r="CC15" i="9"/>
  <c r="CC17" i="9"/>
  <c r="AN17" i="9"/>
  <c r="AN15" i="9"/>
  <c r="CA17" i="9"/>
  <c r="CA15" i="9"/>
  <c r="AS17" i="9"/>
  <c r="AS15" i="9"/>
  <c r="BF15" i="9"/>
  <c r="BF17" i="9"/>
  <c r="AX15" i="9"/>
  <c r="AX17" i="9"/>
  <c r="AG17" i="9"/>
  <c r="AG15" i="9"/>
  <c r="AK17" i="9"/>
  <c r="AK15" i="9"/>
  <c r="BJ17" i="9"/>
  <c r="BJ15" i="9"/>
  <c r="BS15" i="9"/>
  <c r="BS17" i="9"/>
  <c r="BH17" i="9"/>
  <c r="BH15" i="9"/>
  <c r="AP15" i="9"/>
  <c r="AP17" i="9"/>
  <c r="R15" i="9"/>
  <c r="R17" i="9"/>
  <c r="CD15" i="9"/>
  <c r="CD17" i="9"/>
  <c r="AC15" i="9"/>
  <c r="AC17" i="9"/>
  <c r="J15" i="9"/>
  <c r="J17" i="9"/>
  <c r="BL15" i="9"/>
  <c r="BL17" i="9"/>
  <c r="CH17" i="9"/>
  <c r="CH15" i="9"/>
  <c r="P17" i="9"/>
  <c r="P15" i="9"/>
  <c r="CG15" i="9"/>
  <c r="CG17" i="9"/>
  <c r="AJ15" i="9"/>
  <c r="AJ17" i="9"/>
  <c r="BM17" i="9"/>
  <c r="BM15" i="9"/>
  <c r="AY15" i="9"/>
  <c r="AY17" i="9"/>
  <c r="BY15" i="9"/>
  <c r="BY17" i="9"/>
  <c r="AA15" i="9"/>
  <c r="AA17" i="9"/>
  <c r="Y15" i="9"/>
  <c r="Y17" i="9"/>
  <c r="BW15" i="9"/>
  <c r="BW17" i="9"/>
  <c r="BA17" i="9"/>
  <c r="BA15" i="9"/>
  <c r="M15" i="9"/>
  <c r="M17" i="9"/>
  <c r="Q15" i="9"/>
  <c r="Q17" i="9"/>
  <c r="BN15" i="9"/>
  <c r="BN17" i="9"/>
  <c r="BV15" i="9"/>
  <c r="BV17" i="9"/>
  <c r="T17" i="9"/>
  <c r="T15" i="9"/>
  <c r="V17" i="9"/>
  <c r="V15" i="9"/>
  <c r="AR15" i="9"/>
  <c r="AR17" i="9"/>
  <c r="BT17" i="9"/>
  <c r="BT15" i="9"/>
  <c r="E15" i="9"/>
  <c r="E17" i="9"/>
  <c r="BQ17" i="9"/>
  <c r="BQ15" i="9"/>
  <c r="AB15" i="9"/>
  <c r="AB17" i="9"/>
  <c r="AV15" i="9"/>
  <c r="AV17" i="9"/>
  <c r="BI17" i="9"/>
  <c r="BI15" i="9"/>
  <c r="AO15" i="9"/>
  <c r="AO17" i="9"/>
  <c r="AW15" i="9"/>
  <c r="AW17" i="9"/>
  <c r="CF15" i="9"/>
  <c r="CF17" i="9"/>
  <c r="I17" i="9"/>
  <c r="I15" i="9"/>
  <c r="AU17" i="9"/>
  <c r="AU15" i="9"/>
  <c r="CE15" i="9"/>
  <c r="CE17" i="9"/>
  <c r="BG15" i="9"/>
  <c r="BG17" i="9"/>
  <c r="BO15" i="9"/>
  <c r="BO17" i="9"/>
  <c r="BU17" i="9"/>
  <c r="BU15" i="9"/>
  <c r="AQ15" i="9"/>
  <c r="AQ17" i="9"/>
  <c r="BX15" i="9"/>
  <c r="BX17" i="9"/>
  <c r="K15" i="9"/>
  <c r="K17" i="9"/>
  <c r="S15" i="9"/>
  <c r="S17" i="9"/>
  <c r="AT15" i="9"/>
  <c r="AT17" i="9"/>
  <c r="BE15" i="9"/>
  <c r="BE17" i="9"/>
  <c r="AD17" i="9"/>
  <c r="AD15" i="9"/>
  <c r="CJ17" i="9"/>
  <c r="CJ15" i="9"/>
  <c r="U15" i="9"/>
  <c r="U17" i="9"/>
  <c r="L15" i="9"/>
  <c r="L17" i="9"/>
  <c r="AL15" i="9"/>
  <c r="AL17" i="9"/>
  <c r="O17" i="9"/>
  <c r="O15" i="9"/>
  <c r="N15" i="9"/>
  <c r="N17" i="9"/>
  <c r="AI15" i="9"/>
  <c r="AI17" i="9"/>
  <c r="F15" i="9"/>
  <c r="F17" i="9"/>
  <c r="Z15" i="9"/>
  <c r="Z17" i="9"/>
  <c r="AZ15" i="9"/>
  <c r="AZ17" i="9"/>
  <c r="CB17" i="9"/>
  <c r="CB15" i="9"/>
  <c r="AH15" i="9"/>
  <c r="AH17" i="9"/>
  <c r="BR15" i="9"/>
  <c r="BR17" i="9"/>
  <c r="AM17" i="9"/>
  <c r="AM15" i="9"/>
  <c r="X17" i="9"/>
  <c r="X15" i="9"/>
  <c r="H17" i="9"/>
  <c r="H15" i="9"/>
  <c r="BK17" i="9"/>
  <c r="BK15" i="9"/>
  <c r="BC17" i="9"/>
  <c r="BC15" i="9"/>
  <c r="CI17" i="9"/>
  <c r="CI15" i="9"/>
  <c r="G15" i="9"/>
  <c r="G17" i="9"/>
  <c r="G19" i="13"/>
  <c r="N56" i="10" l="1"/>
  <c r="N57" i="10" s="1"/>
  <c r="E13" i="8"/>
  <c r="K24" i="10"/>
  <c r="K56" i="10"/>
  <c r="K57" i="10" s="1"/>
  <c r="R24" i="10"/>
  <c r="R56" i="10"/>
  <c r="R57" i="10" s="1"/>
  <c r="AC24" i="10"/>
  <c r="AC56" i="10"/>
  <c r="AC57" i="10" s="1"/>
  <c r="L24" i="10"/>
  <c r="L56" i="10"/>
  <c r="L57" i="10" s="1"/>
  <c r="S24" i="10"/>
  <c r="S56" i="10"/>
  <c r="S57" i="10" s="1"/>
  <c r="P24" i="10"/>
  <c r="P56" i="10"/>
  <c r="P57" i="10" s="1"/>
  <c r="T24" i="10"/>
  <c r="T56" i="10"/>
  <c r="T57" i="10" s="1"/>
  <c r="O24" i="10"/>
  <c r="O56" i="10"/>
  <c r="O57" i="10" s="1"/>
  <c r="X24" i="10"/>
  <c r="X56" i="10"/>
  <c r="X57" i="10" s="1"/>
  <c r="M24" i="10"/>
  <c r="M56" i="10"/>
  <c r="M57" i="10" s="1"/>
  <c r="G24" i="10"/>
  <c r="G56" i="10"/>
  <c r="G57" i="10" s="1"/>
  <c r="U24" i="10"/>
  <c r="U56" i="10"/>
  <c r="U57" i="10" s="1"/>
  <c r="AB24" i="10"/>
  <c r="AB56" i="10"/>
  <c r="AB57" i="10" s="1"/>
  <c r="Y24" i="10"/>
  <c r="Y56" i="10"/>
  <c r="Y57" i="10" s="1"/>
  <c r="AA24" i="10"/>
  <c r="AA56" i="10"/>
  <c r="AA57" i="10" s="1"/>
  <c r="Z24" i="10"/>
  <c r="Z56" i="10"/>
  <c r="Z57" i="10" s="1"/>
  <c r="E24" i="10"/>
  <c r="E56" i="10"/>
  <c r="E57" i="10" s="1"/>
  <c r="J24" i="10"/>
  <c r="J56" i="10"/>
  <c r="J57" i="10" s="1"/>
  <c r="I24" i="10"/>
  <c r="I56" i="10"/>
  <c r="I57" i="10" s="1"/>
  <c r="W24" i="10"/>
  <c r="W56" i="10"/>
  <c r="W57" i="10" s="1"/>
  <c r="H24" i="10"/>
  <c r="H56" i="10"/>
  <c r="H57" i="10" s="1"/>
  <c r="Q24" i="10"/>
  <c r="Q56" i="10"/>
  <c r="Q57" i="10" s="1"/>
  <c r="F24" i="10"/>
  <c r="F56" i="10"/>
  <c r="F57" i="10" s="1"/>
  <c r="K72" i="9"/>
  <c r="K84" i="9"/>
  <c r="H73" i="9"/>
  <c r="O72" i="9"/>
  <c r="G73" i="9"/>
  <c r="N72" i="9"/>
  <c r="G70" i="9"/>
  <c r="H70" i="9"/>
  <c r="G72" i="9"/>
  <c r="H72" i="9"/>
  <c r="M72" i="9"/>
  <c r="K73" i="9"/>
  <c r="R72" i="9"/>
  <c r="G84" i="9"/>
  <c r="L73" i="9"/>
  <c r="K70" i="9"/>
  <c r="F73" i="9"/>
  <c r="T72" i="9"/>
  <c r="S72" i="9"/>
  <c r="L84" i="9"/>
  <c r="J84" i="9"/>
  <c r="I73" i="9"/>
  <c r="L72" i="9"/>
  <c r="J72" i="9"/>
  <c r="I84" i="9"/>
  <c r="J73" i="9"/>
  <c r="H84" i="9"/>
  <c r="I72" i="9"/>
  <c r="I70" i="9"/>
  <c r="M73" i="9"/>
  <c r="F72" i="9"/>
  <c r="M84" i="9"/>
  <c r="F84" i="9"/>
  <c r="F80" i="9"/>
  <c r="P73" i="9"/>
  <c r="P70" i="9"/>
  <c r="E84" i="9"/>
  <c r="Q73" i="9"/>
  <c r="Q70" i="9"/>
  <c r="S73" i="9"/>
  <c r="S70" i="9"/>
  <c r="E73" i="9"/>
  <c r="E70" i="9"/>
  <c r="U73" i="9"/>
  <c r="U70" i="9"/>
  <c r="Q72" i="9"/>
  <c r="P72" i="9"/>
  <c r="R73" i="9"/>
  <c r="R70" i="9"/>
  <c r="O73" i="9"/>
  <c r="O70" i="9"/>
  <c r="T73" i="9"/>
  <c r="T70" i="9"/>
  <c r="U72" i="9"/>
  <c r="E72" i="9"/>
  <c r="N73" i="9"/>
  <c r="N70" i="9"/>
  <c r="L39" i="13"/>
  <c r="L66" i="13"/>
  <c r="L65" i="13"/>
  <c r="H19" i="13"/>
  <c r="D8" i="13" l="1"/>
  <c r="D9" i="13" s="1"/>
  <c r="F1" i="13"/>
  <c r="M39" i="13"/>
  <c r="I19" i="13"/>
  <c r="B5" i="13" l="1"/>
  <c r="B9" i="13" s="1"/>
  <c r="B11" i="13" s="1"/>
  <c r="B13" i="13" s="1"/>
  <c r="B20" i="13"/>
  <c r="B40" i="13"/>
  <c r="N39" i="13"/>
  <c r="Q40" i="13" l="1"/>
  <c r="R40" i="13"/>
  <c r="K40" i="13"/>
  <c r="K41" i="13" s="1"/>
  <c r="P40" i="13"/>
  <c r="S40" i="13"/>
  <c r="J40" i="13"/>
  <c r="J41" i="13" s="1"/>
  <c r="L40" i="13"/>
  <c r="L41" i="13" s="1"/>
  <c r="E40" i="13"/>
  <c r="E41" i="13" s="1"/>
  <c r="M40" i="13"/>
  <c r="M41" i="13" s="1"/>
  <c r="D40" i="13"/>
  <c r="D41" i="13" s="1"/>
  <c r="N40" i="13"/>
  <c r="N41" i="13" s="1"/>
  <c r="I40" i="13"/>
  <c r="I41" i="13" s="1"/>
  <c r="G40" i="13"/>
  <c r="G41" i="13" s="1"/>
  <c r="F40" i="13"/>
  <c r="F41" i="13" s="1"/>
  <c r="O40" i="13"/>
  <c r="H40" i="13"/>
  <c r="H41" i="13" s="1"/>
  <c r="I20" i="13"/>
  <c r="I21" i="13" s="1"/>
  <c r="I22" i="13" s="1"/>
  <c r="D20" i="13"/>
  <c r="D21" i="13" s="1"/>
  <c r="E20" i="13"/>
  <c r="E21" i="13" s="1"/>
  <c r="F20" i="13"/>
  <c r="F21" i="13" s="1"/>
  <c r="G20" i="13"/>
  <c r="G21" i="13" s="1"/>
  <c r="H20" i="13"/>
  <c r="H21" i="13" s="1"/>
  <c r="O39" i="13"/>
  <c r="D42" i="13" l="1"/>
  <c r="D22" i="13"/>
  <c r="B23" i="13" s="1"/>
  <c r="B24" i="13" s="1"/>
  <c r="B28" i="13" s="1"/>
  <c r="B30" i="13" s="1"/>
  <c r="B32" i="13" s="1"/>
  <c r="O41" i="13"/>
  <c r="P39" i="13"/>
  <c r="E31" i="13" l="1"/>
  <c r="D31" i="13"/>
  <c r="C31" i="13"/>
  <c r="P41" i="13"/>
  <c r="Q39" i="13"/>
  <c r="R39" i="13" l="1"/>
  <c r="Q41" i="13"/>
  <c r="S39" i="13" l="1"/>
  <c r="S41" i="13" s="1"/>
  <c r="S42" i="13" s="1"/>
  <c r="R41" i="13"/>
  <c r="I42" i="13" s="1"/>
  <c r="B43" i="13" l="1"/>
  <c r="B44" i="13" s="1"/>
  <c r="B48" i="13" s="1"/>
  <c r="B50" i="13" s="1"/>
  <c r="B52" i="13" s="1"/>
  <c r="E52" i="13" s="1"/>
  <c r="C52" i="13" l="1"/>
  <c r="D52" i="13"/>
</calcChain>
</file>

<file path=xl/sharedStrings.xml><?xml version="1.0" encoding="utf-8"?>
<sst xmlns="http://schemas.openxmlformats.org/spreadsheetml/2006/main" count="925" uniqueCount="752">
  <si>
    <t>资产结构</t>
    <phoneticPr fontId="1" type="noConversion"/>
  </si>
  <si>
    <t xml:space="preserve">  货币奖金</t>
    <phoneticPr fontId="1" type="noConversion"/>
  </si>
  <si>
    <t xml:space="preserve">  交易性金融资产</t>
    <phoneticPr fontId="1" type="noConversion"/>
  </si>
  <si>
    <t xml:space="preserve">  一年内到期的非流动资产</t>
    <phoneticPr fontId="1" type="noConversion"/>
  </si>
  <si>
    <t xml:space="preserve">  发放货款及垫款</t>
    <phoneticPr fontId="1" type="noConversion"/>
  </si>
  <si>
    <t xml:space="preserve">  可供出售金融资产</t>
    <phoneticPr fontId="1" type="noConversion"/>
  </si>
  <si>
    <t xml:space="preserve">  持有至到期投资</t>
    <phoneticPr fontId="1" type="noConversion"/>
  </si>
  <si>
    <t xml:space="preserve">  投资性房地产</t>
    <phoneticPr fontId="1" type="noConversion"/>
  </si>
  <si>
    <t xml:space="preserve">  应收股利</t>
    <phoneticPr fontId="1" type="noConversion"/>
  </si>
  <si>
    <t xml:space="preserve">  买入返售金融资产</t>
    <phoneticPr fontId="1" type="noConversion"/>
  </si>
  <si>
    <t xml:space="preserve">  应收利息</t>
    <phoneticPr fontId="1" type="noConversion"/>
  </si>
  <si>
    <t>金融资产合计</t>
    <phoneticPr fontId="1" type="noConversion"/>
  </si>
  <si>
    <t>经营资产：</t>
    <phoneticPr fontId="1" type="noConversion"/>
  </si>
  <si>
    <t xml:space="preserve">  划分为持有待售的资产</t>
    <phoneticPr fontId="1" type="noConversion"/>
  </si>
  <si>
    <t xml:space="preserve">  应收票据</t>
    <phoneticPr fontId="1" type="noConversion"/>
  </si>
  <si>
    <t xml:space="preserve">  应收账款</t>
    <phoneticPr fontId="1" type="noConversion"/>
  </si>
  <si>
    <t xml:space="preserve">  预付款项</t>
    <phoneticPr fontId="1" type="noConversion"/>
  </si>
  <si>
    <t xml:space="preserve">  其他应收款</t>
    <phoneticPr fontId="1" type="noConversion"/>
  </si>
  <si>
    <t xml:space="preserve">  存货</t>
    <phoneticPr fontId="1" type="noConversion"/>
  </si>
  <si>
    <t xml:space="preserve">  其他流动资产</t>
    <phoneticPr fontId="1" type="noConversion"/>
  </si>
  <si>
    <t xml:space="preserve">  营运资产小计</t>
    <phoneticPr fontId="1" type="noConversion"/>
  </si>
  <si>
    <t xml:space="preserve">  应付票据</t>
    <phoneticPr fontId="1" type="noConversion"/>
  </si>
  <si>
    <t xml:space="preserve">  应付账款</t>
    <phoneticPr fontId="1" type="noConversion"/>
  </si>
  <si>
    <t xml:space="preserve">  预收款项</t>
    <phoneticPr fontId="1" type="noConversion"/>
  </si>
  <si>
    <t xml:space="preserve">  应付手续费及佣金</t>
    <phoneticPr fontId="1" type="noConversion"/>
  </si>
  <si>
    <t xml:space="preserve">  应付职工薪酬</t>
    <phoneticPr fontId="1" type="noConversion"/>
  </si>
  <si>
    <t xml:space="preserve">  应交税费</t>
    <phoneticPr fontId="1" type="noConversion"/>
  </si>
  <si>
    <t xml:space="preserve">  其他应付款</t>
    <phoneticPr fontId="1" type="noConversion"/>
  </si>
  <si>
    <t xml:space="preserve">  长期应付职工薪酬</t>
    <phoneticPr fontId="1" type="noConversion"/>
  </si>
  <si>
    <t xml:space="preserve">  递延收益--非流动负债</t>
    <phoneticPr fontId="1" type="noConversion"/>
  </si>
  <si>
    <t xml:space="preserve">  专项应付款</t>
    <phoneticPr fontId="1" type="noConversion"/>
  </si>
  <si>
    <t xml:space="preserve">  其他流动负债</t>
    <phoneticPr fontId="1" type="noConversion"/>
  </si>
  <si>
    <t xml:space="preserve">  营运负债小计</t>
    <phoneticPr fontId="1" type="noConversion"/>
  </si>
  <si>
    <t>长期经营资产：</t>
    <phoneticPr fontId="1" type="noConversion"/>
  </si>
  <si>
    <t xml:space="preserve">  固定资产</t>
    <phoneticPr fontId="1" type="noConversion"/>
  </si>
  <si>
    <t xml:space="preserve">  在建工程</t>
    <phoneticPr fontId="1" type="noConversion"/>
  </si>
  <si>
    <t xml:space="preserve">  工程物资</t>
    <phoneticPr fontId="1" type="noConversion"/>
  </si>
  <si>
    <t xml:space="preserve">  固定资产清理</t>
    <phoneticPr fontId="1" type="noConversion"/>
  </si>
  <si>
    <t xml:space="preserve">  生产性生物资产</t>
    <phoneticPr fontId="1" type="noConversion"/>
  </si>
  <si>
    <t xml:space="preserve">  油气资产</t>
    <phoneticPr fontId="1" type="noConversion"/>
  </si>
  <si>
    <t xml:space="preserve">  无形资产</t>
    <phoneticPr fontId="1" type="noConversion"/>
  </si>
  <si>
    <t xml:space="preserve">  开发支出</t>
    <phoneticPr fontId="1" type="noConversion"/>
  </si>
  <si>
    <t xml:space="preserve">  商誉</t>
    <phoneticPr fontId="1" type="noConversion"/>
  </si>
  <si>
    <t xml:space="preserve">  长期待摊费用</t>
    <phoneticPr fontId="1" type="noConversion"/>
  </si>
  <si>
    <t xml:space="preserve">  递延所得税资产（营运类）</t>
    <phoneticPr fontId="1" type="noConversion"/>
  </si>
  <si>
    <t xml:space="preserve">  减：递延所得税负债（营运类）</t>
    <phoneticPr fontId="1" type="noConversion"/>
  </si>
  <si>
    <t xml:space="preserve">  其他非流动资产</t>
    <phoneticPr fontId="1" type="noConversion"/>
  </si>
  <si>
    <t>长期经营资产合计</t>
    <phoneticPr fontId="1" type="noConversion"/>
  </si>
  <si>
    <t>经营资产合计</t>
    <phoneticPr fontId="1" type="noConversion"/>
  </si>
  <si>
    <t>资产总额</t>
    <phoneticPr fontId="1" type="noConversion"/>
  </si>
  <si>
    <t>资本结构</t>
    <phoneticPr fontId="1" type="noConversion"/>
  </si>
  <si>
    <t>短期债务：</t>
    <phoneticPr fontId="1" type="noConversion"/>
  </si>
  <si>
    <t xml:space="preserve">  短期借款</t>
    <phoneticPr fontId="1" type="noConversion"/>
  </si>
  <si>
    <t xml:space="preserve">  交易性金融负债</t>
    <phoneticPr fontId="1" type="noConversion"/>
  </si>
  <si>
    <t xml:space="preserve">  一年内到期的非流动负债</t>
    <phoneticPr fontId="1" type="noConversion"/>
  </si>
  <si>
    <t xml:space="preserve">  应付短期债券</t>
    <phoneticPr fontId="1" type="noConversion"/>
  </si>
  <si>
    <t>长期债务：</t>
    <phoneticPr fontId="1" type="noConversion"/>
  </si>
  <si>
    <t xml:space="preserve">  长期借款</t>
    <phoneticPr fontId="1" type="noConversion"/>
  </si>
  <si>
    <t xml:space="preserve">  应付债券</t>
    <phoneticPr fontId="1" type="noConversion"/>
  </si>
  <si>
    <t xml:space="preserve">  长期应付款</t>
    <phoneticPr fontId="1" type="noConversion"/>
  </si>
  <si>
    <t>有息债务合计</t>
    <phoneticPr fontId="1" type="noConversion"/>
  </si>
  <si>
    <t>所有者权益（或股东权益）：</t>
    <phoneticPr fontId="1" type="noConversion"/>
  </si>
  <si>
    <t xml:space="preserve">  实收资本（或股本）</t>
    <phoneticPr fontId="1" type="noConversion"/>
  </si>
  <si>
    <t xml:space="preserve">  资本公积金</t>
    <phoneticPr fontId="1" type="noConversion"/>
  </si>
  <si>
    <t xml:space="preserve">  减：库存股</t>
    <phoneticPr fontId="1" type="noConversion"/>
  </si>
  <si>
    <t xml:space="preserve">  其他综合收益</t>
    <phoneticPr fontId="1" type="noConversion"/>
  </si>
  <si>
    <t xml:space="preserve">  专项储备</t>
    <phoneticPr fontId="1" type="noConversion"/>
  </si>
  <si>
    <t xml:space="preserve">  盈余公积金</t>
    <phoneticPr fontId="1" type="noConversion"/>
  </si>
  <si>
    <t xml:space="preserve">  一般风险准备</t>
    <phoneticPr fontId="1" type="noConversion"/>
  </si>
  <si>
    <t xml:space="preserve">  未分配利润</t>
    <phoneticPr fontId="1" type="noConversion"/>
  </si>
  <si>
    <t xml:space="preserve">  应付股利</t>
    <phoneticPr fontId="1" type="noConversion"/>
  </si>
  <si>
    <t xml:space="preserve">  未确认的投资损失</t>
    <phoneticPr fontId="1" type="noConversion"/>
  </si>
  <si>
    <t xml:space="preserve">  归属母公司所有者权益合计</t>
    <phoneticPr fontId="1" type="noConversion"/>
  </si>
  <si>
    <t xml:space="preserve">  少数股东权益</t>
    <phoneticPr fontId="1" type="noConversion"/>
  </si>
  <si>
    <t>所有者权益合计</t>
    <phoneticPr fontId="1" type="noConversion"/>
  </si>
  <si>
    <t>资本总额</t>
    <phoneticPr fontId="1" type="noConversion"/>
  </si>
  <si>
    <t xml:space="preserve">  长期应收款</t>
    <phoneticPr fontId="1" type="noConversion"/>
  </si>
  <si>
    <t xml:space="preserve">  应付利息</t>
    <phoneticPr fontId="1" type="noConversion"/>
  </si>
  <si>
    <t>长期股权投资</t>
    <phoneticPr fontId="1" type="noConversion"/>
  </si>
  <si>
    <t>长期股权投资:</t>
    <phoneticPr fontId="1" type="noConversion"/>
  </si>
  <si>
    <t>营运资产：</t>
    <phoneticPr fontId="1" type="noConversion"/>
  </si>
  <si>
    <t>营运资产合计</t>
    <phoneticPr fontId="1" type="noConversion"/>
  </si>
  <si>
    <t>营运负债：</t>
    <phoneticPr fontId="1" type="noConversion"/>
  </si>
  <si>
    <t xml:space="preserve">  其它非流动负债</t>
    <phoneticPr fontId="1" type="noConversion"/>
  </si>
  <si>
    <t>项目（单位：万元）</t>
    <phoneticPr fontId="1" type="noConversion"/>
  </si>
  <si>
    <t>经营活动收益</t>
    <phoneticPr fontId="1" type="noConversion"/>
  </si>
  <si>
    <t>股权投资活动收益</t>
    <phoneticPr fontId="1" type="noConversion"/>
  </si>
  <si>
    <t>金融资产收益</t>
    <phoneticPr fontId="1" type="noConversion"/>
  </si>
  <si>
    <t>总资产收益</t>
    <phoneticPr fontId="1" type="noConversion"/>
  </si>
  <si>
    <t>股权价值损益</t>
    <phoneticPr fontId="1" type="noConversion"/>
  </si>
  <si>
    <t>减：利息支出</t>
    <phoneticPr fontId="1" type="noConversion"/>
  </si>
  <si>
    <t>汇总损益-净额</t>
    <phoneticPr fontId="1" type="noConversion"/>
  </si>
  <si>
    <t>其他</t>
    <phoneticPr fontId="1" type="noConversion"/>
  </si>
  <si>
    <t>合计</t>
    <phoneticPr fontId="1" type="noConversion"/>
  </si>
  <si>
    <t>利润总额(万元)</t>
    <phoneticPr fontId="1" type="noConversion"/>
  </si>
  <si>
    <t>所得税费用(万元)</t>
    <phoneticPr fontId="1" type="noConversion"/>
  </si>
  <si>
    <t>净利润(万元)</t>
    <phoneticPr fontId="1" type="noConversion"/>
  </si>
  <si>
    <t>实际企业所得税税率 = 1- 净利润/ 税前利润 × 100%
净利润 = 税前利润- 企业所得税费用</t>
    <phoneticPr fontId="1" type="noConversion"/>
  </si>
  <si>
    <t>投资收益</t>
    <phoneticPr fontId="1" type="noConversion"/>
  </si>
  <si>
    <t>股权投资收益</t>
    <phoneticPr fontId="1" type="noConversion"/>
  </si>
  <si>
    <t>短期投资净收益</t>
    <phoneticPr fontId="1" type="noConversion"/>
  </si>
  <si>
    <t>财务费用(万元)</t>
    <phoneticPr fontId="1" type="noConversion"/>
  </si>
  <si>
    <t>股权资本成本率</t>
    <phoneticPr fontId="1" type="noConversion"/>
  </si>
  <si>
    <t>所有者权益</t>
    <phoneticPr fontId="1" type="noConversion"/>
  </si>
  <si>
    <t>财务费用：需要从财报中查找</t>
    <phoneticPr fontId="1" type="noConversion"/>
  </si>
  <si>
    <t>单位</t>
  </si>
  <si>
    <t>元</t>
  </si>
  <si>
    <t>流动资产</t>
  </si>
  <si>
    <t>货币资金</t>
  </si>
  <si>
    <t>交易性金融资产</t>
  </si>
  <si>
    <t>衍生金融资产</t>
  </si>
  <si>
    <t>应收票据</t>
  </si>
  <si>
    <t>应收账款</t>
  </si>
  <si>
    <t>预付款项</t>
  </si>
  <si>
    <t>应收利息</t>
  </si>
  <si>
    <t>应收股利</t>
  </si>
  <si>
    <t>其他应收款</t>
  </si>
  <si>
    <t>买入返售金融资产</t>
  </si>
  <si>
    <t>存货</t>
  </si>
  <si>
    <t>划分为持有待售的资产</t>
  </si>
  <si>
    <t>一年内到期的非流动资产</t>
  </si>
  <si>
    <t>待摊费用</t>
  </si>
  <si>
    <t>待处理流动资产损益</t>
  </si>
  <si>
    <t>其他流动资产</t>
  </si>
  <si>
    <t>流动资产合计</t>
  </si>
  <si>
    <t>非流动资产</t>
  </si>
  <si>
    <t>发放贷款及垫款</t>
  </si>
  <si>
    <t>可供出售金融资产</t>
  </si>
  <si>
    <t>持有至到期投资</t>
  </si>
  <si>
    <t>长期应收款</t>
  </si>
  <si>
    <t>长期股权投资</t>
  </si>
  <si>
    <t>投资性房地产</t>
  </si>
  <si>
    <t>固定资产净额</t>
  </si>
  <si>
    <t>在建工程</t>
  </si>
  <si>
    <t>工程物资</t>
  </si>
  <si>
    <t>固定资产清理</t>
  </si>
  <si>
    <t>生产性生物资产</t>
  </si>
  <si>
    <t>公益性生物资产</t>
  </si>
  <si>
    <t>油气资产</t>
  </si>
  <si>
    <t>无形资产</t>
  </si>
  <si>
    <t>开发支出</t>
  </si>
  <si>
    <t>商誉</t>
  </si>
  <si>
    <t>长期待摊费用</t>
  </si>
  <si>
    <t>递延所得税资产</t>
  </si>
  <si>
    <t>其他非流动资产</t>
  </si>
  <si>
    <t>非流动资产合计</t>
  </si>
  <si>
    <t>资产总计</t>
  </si>
  <si>
    <t>流动负债</t>
  </si>
  <si>
    <t>短期借款</t>
  </si>
  <si>
    <t>交易性金融负债</t>
  </si>
  <si>
    <t>应付票据</t>
  </si>
  <si>
    <t>应付账款</t>
  </si>
  <si>
    <t>预收款项</t>
  </si>
  <si>
    <t>应付手续费及佣金</t>
  </si>
  <si>
    <t>应付职工薪酬</t>
  </si>
  <si>
    <t>应交税费</t>
  </si>
  <si>
    <t>应付利息</t>
  </si>
  <si>
    <t>应付股利</t>
  </si>
  <si>
    <t>其他应付款</t>
  </si>
  <si>
    <t>预提费用</t>
  </si>
  <si>
    <t>一年内的递延收益</t>
  </si>
  <si>
    <t>应付短期债券</t>
  </si>
  <si>
    <t>一年内到期的非流动负债</t>
  </si>
  <si>
    <t>其他流动负债</t>
  </si>
  <si>
    <t>流动负债合计</t>
  </si>
  <si>
    <t>非流动负债</t>
  </si>
  <si>
    <t>长期借款</t>
  </si>
  <si>
    <t>应付债券</t>
  </si>
  <si>
    <t>长期应付款</t>
  </si>
  <si>
    <t>长期应付职工薪酬</t>
  </si>
  <si>
    <t>专项应付款</t>
  </si>
  <si>
    <t>预计非流动负债</t>
  </si>
  <si>
    <t>递延所得税负债</t>
  </si>
  <si>
    <t>长期递延收益</t>
  </si>
  <si>
    <t>其他非流动负债</t>
  </si>
  <si>
    <t>非流动负债合计</t>
  </si>
  <si>
    <t>负债合计</t>
  </si>
  <si>
    <t>所有者权益</t>
  </si>
  <si>
    <t>实收资本(或股本)</t>
  </si>
  <si>
    <t>资本公积</t>
  </si>
  <si>
    <t>减：库存股</t>
  </si>
  <si>
    <t>其他综合收益</t>
  </si>
  <si>
    <t>专项储备</t>
  </si>
  <si>
    <t>盈余公积</t>
  </si>
  <si>
    <t>一般风险准备</t>
  </si>
  <si>
    <t>未分配利润</t>
  </si>
  <si>
    <t>归属于母公司股东权益合计</t>
  </si>
  <si>
    <t>少数股东权益</t>
  </si>
  <si>
    <t>所有者权益(或股东权益)合计</t>
  </si>
  <si>
    <t>负债和所有者权益(或股东权益)总计</t>
  </si>
  <si>
    <t>一、营业总收入</t>
  </si>
  <si>
    <t>营业收入</t>
  </si>
  <si>
    <t>二、营业总成本</t>
  </si>
  <si>
    <t>营业成本</t>
  </si>
  <si>
    <t>营业税金及附加</t>
  </si>
  <si>
    <t>销售费用</t>
  </si>
  <si>
    <t>管理费用</t>
  </si>
  <si>
    <t>财务费用</t>
  </si>
  <si>
    <t>资产减值损失</t>
  </si>
  <si>
    <t>公允价值变动收益</t>
  </si>
  <si>
    <t>投资收益</t>
  </si>
  <si>
    <t>其中:对联营企业和合营企业的投资收益</t>
  </si>
  <si>
    <t>汇兑收益</t>
  </si>
  <si>
    <t>三、营业利润</t>
  </si>
  <si>
    <t>加:营业外收入</t>
  </si>
  <si>
    <t>减：营业外支出</t>
  </si>
  <si>
    <t>其中：非流动资产处置损失</t>
  </si>
  <si>
    <t>四、利润总额</t>
  </si>
  <si>
    <t>减：所得税费用</t>
  </si>
  <si>
    <t>五、净利润</t>
  </si>
  <si>
    <t>归属于母公司所有者的净利润</t>
  </si>
  <si>
    <t>少数股东损益</t>
  </si>
  <si>
    <t>六、每股收益</t>
  </si>
  <si>
    <t>基本每股收益(元/股)</t>
  </si>
  <si>
    <t>稀释每股收益(元/股)</t>
  </si>
  <si>
    <t>七、其他综合收益</t>
  </si>
  <si>
    <t>八、综合收益总额</t>
  </si>
  <si>
    <t>归属于母公司所有者的综合收益总额</t>
  </si>
  <si>
    <t>归属于少数股东的综合收益总额</t>
  </si>
  <si>
    <t>一、经营活动产生的现金流量</t>
  </si>
  <si>
    <t>销售商品、提供劳务收到的现金</t>
  </si>
  <si>
    <t>收到的税费返还</t>
  </si>
  <si>
    <t>收到的其他与经营活动有关的现金</t>
  </si>
  <si>
    <t>经营活动现金流入小计</t>
  </si>
  <si>
    <t>购买商品、接受劳务支付的现金</t>
  </si>
  <si>
    <t>支付给职工以及为职工支付的现金</t>
  </si>
  <si>
    <t>支付的各项税费</t>
  </si>
  <si>
    <t>支付的其他与经营活动有关的现金</t>
  </si>
  <si>
    <t>经营活动现金流出小计</t>
  </si>
  <si>
    <t>经营活动产生的现金流量净额</t>
  </si>
  <si>
    <t>二、投资活动产生的现金流量</t>
  </si>
  <si>
    <t>收回投资所收到的现金</t>
  </si>
  <si>
    <t>取得投资收益所收到的现金</t>
  </si>
  <si>
    <t>处置固定资产、无形资产和其他长期资产所收回的现金净额</t>
  </si>
  <si>
    <t>处置子公司及其他营业单位收到的现金净额</t>
  </si>
  <si>
    <t>收到的其他与投资活动有关的现金</t>
  </si>
  <si>
    <t>投资活动现金流入小计</t>
  </si>
  <si>
    <t>购建固定资产、无形资产和其他长期资产所支付的现金</t>
  </si>
  <si>
    <t>投资所支付的现金</t>
  </si>
  <si>
    <t>取得子公司及其他营业单位支付的现金净额</t>
  </si>
  <si>
    <t>支付的其他与投资活动有关的现金</t>
  </si>
  <si>
    <t>投资活动现金流出小计</t>
  </si>
  <si>
    <t>投资活动产生的现金流量净额</t>
  </si>
  <si>
    <t>三、筹资活动产生的现金流量</t>
  </si>
  <si>
    <t>吸收投资收到的现金</t>
  </si>
  <si>
    <t>其中：子公司吸收少数股东投资收到的现金</t>
  </si>
  <si>
    <t>取得借款收到的现金</t>
  </si>
  <si>
    <t>发行债券收到的现金</t>
  </si>
  <si>
    <t>收到其他与筹资活动有关的现金</t>
  </si>
  <si>
    <t>筹资活动现金流入小计</t>
  </si>
  <si>
    <t>偿还债务支付的现金</t>
  </si>
  <si>
    <t>其中：子公司支付给少数股东的股利、利润</t>
  </si>
  <si>
    <t>支付其他与筹资活动有关的现金</t>
  </si>
  <si>
    <t>筹资活动现金流出小计</t>
  </si>
  <si>
    <t>筹资活动产生的现金流量净额</t>
  </si>
  <si>
    <t>四、汇率变动对现金及现金等价物的影响</t>
  </si>
  <si>
    <t>五、现金及现金等价物净增加额</t>
  </si>
  <si>
    <t>加:期初现金及现金等价物余额</t>
  </si>
  <si>
    <t>六、期末现金及现金等价物余额</t>
  </si>
  <si>
    <t>附注</t>
  </si>
  <si>
    <t>净利润</t>
  </si>
  <si>
    <t>未确认的投资损失</t>
  </si>
  <si>
    <t>资产减值准备</t>
  </si>
  <si>
    <t>固定资产折旧、油气资产折耗、生产性物资折旧</t>
  </si>
  <si>
    <t>无形资产摊销</t>
  </si>
  <si>
    <t>长期待摊费用摊销</t>
  </si>
  <si>
    <t>待摊费用的减少</t>
  </si>
  <si>
    <t>预提费用的增加</t>
  </si>
  <si>
    <t>处置固定资产、无形资产和其他长期资产的损失</t>
  </si>
  <si>
    <t>固定资产报废损失</t>
  </si>
  <si>
    <t>公允价值变动损失</t>
  </si>
  <si>
    <t>递延收益增加（减：减少）</t>
  </si>
  <si>
    <t>预计负债</t>
  </si>
  <si>
    <t>投资损失</t>
  </si>
  <si>
    <t>递延所得税资产减少</t>
  </si>
  <si>
    <t>递延所得税负债增加</t>
  </si>
  <si>
    <t>存货的减少</t>
  </si>
  <si>
    <t>经营性应收项目的减少</t>
  </si>
  <si>
    <t>经营性应付项目的增加</t>
  </si>
  <si>
    <t>已完工尚未结算款的减少(减:增加)</t>
  </si>
  <si>
    <t>已结算尚未完工款的增加(减:减少)</t>
  </si>
  <si>
    <t>其他</t>
  </si>
  <si>
    <t>经营活动产生现金流量净额</t>
  </si>
  <si>
    <t>债务转为资本</t>
  </si>
  <si>
    <t>一年内到期的可转换公司债券</t>
  </si>
  <si>
    <t>融资租入固定资产</t>
  </si>
  <si>
    <t>现金的期末余额</t>
  </si>
  <si>
    <t>现金的期初余额</t>
  </si>
  <si>
    <t>现金等价物的期末余额</t>
  </si>
  <si>
    <t>现金等价物的期初余额</t>
  </si>
  <si>
    <t>现金及现金等价物的净增加额</t>
  </si>
  <si>
    <t xml:space="preserve">  外币报表折算差额</t>
    <phoneticPr fontId="1" type="noConversion"/>
  </si>
  <si>
    <t>自我构建长期资产</t>
    <phoneticPr fontId="1" type="noConversion"/>
  </si>
  <si>
    <t>兼收并购长期资产</t>
    <phoneticPr fontId="1" type="noConversion"/>
  </si>
  <si>
    <t>现金自给率分析</t>
    <phoneticPr fontId="1" type="noConversion"/>
  </si>
  <si>
    <t>(3)长期资产净投资额=2-1</t>
    <phoneticPr fontId="1" type="noConversion"/>
  </si>
  <si>
    <t>(9)长期资产新投资额=3-4-5-6-7-8</t>
    <phoneticPr fontId="1" type="noConversion"/>
  </si>
  <si>
    <t>(10)期初长期资产净值</t>
    <phoneticPr fontId="1" type="noConversion"/>
  </si>
  <si>
    <t>(14)净合并额=13-12</t>
    <phoneticPr fontId="1" type="noConversion"/>
  </si>
  <si>
    <t>(15)战略投资综合现金需求=3+14</t>
    <phoneticPr fontId="1" type="noConversion"/>
  </si>
  <si>
    <t>(16)经营活动产生的现金流量净额</t>
    <phoneticPr fontId="1" type="noConversion"/>
  </si>
  <si>
    <t>(18)期初金融资产金额</t>
    <phoneticPr fontId="1" type="noConversion"/>
  </si>
  <si>
    <t>(19)筹资需求=16+18-15</t>
    <phoneticPr fontId="1" type="noConversion"/>
  </si>
  <si>
    <t>(20)筹资活动产生的现金流量净额</t>
    <phoneticPr fontId="1" type="noConversion"/>
  </si>
  <si>
    <t>(2)购建固定资产、无形资产和其他长期资产支付的现金</t>
    <phoneticPr fontId="1" type="noConversion"/>
  </si>
  <si>
    <t>(4)固定资产折旧、油气资产折耗、生产性生物资产折旧</t>
    <phoneticPr fontId="1" type="noConversion"/>
  </si>
  <si>
    <t>(5)无形资产摊销</t>
    <phoneticPr fontId="1" type="noConversion"/>
  </si>
  <si>
    <t>(6)长期待摊费用摊销</t>
    <phoneticPr fontId="1" type="noConversion"/>
  </si>
  <si>
    <t>(7)处置固定资产、无形资产和其他长期资产的损失</t>
    <phoneticPr fontId="1" type="noConversion"/>
  </si>
  <si>
    <t>(8)固定资产报废损失</t>
    <phoneticPr fontId="1" type="noConversion"/>
  </si>
  <si>
    <t>非流动资产合计</t>
    <phoneticPr fontId="1" type="noConversion"/>
  </si>
  <si>
    <t>商誉</t>
    <phoneticPr fontId="1" type="noConversion"/>
  </si>
  <si>
    <t>可供出售金融资产</t>
    <phoneticPr fontId="1" type="noConversion"/>
  </si>
  <si>
    <t>(12)处置子公司及其他营业单位收到的现金净额</t>
    <phoneticPr fontId="1" type="noConversion"/>
  </si>
  <si>
    <t>(13)取得子公司及其他营业单位支付的现金净额</t>
    <phoneticPr fontId="1" type="noConversion"/>
  </si>
  <si>
    <t>长期资产</t>
    <phoneticPr fontId="1" type="noConversion"/>
  </si>
  <si>
    <t>金融资产：</t>
    <phoneticPr fontId="1" type="noConversion"/>
  </si>
  <si>
    <t>金融资产</t>
    <phoneticPr fontId="1" type="noConversion"/>
  </si>
  <si>
    <t>筹资来源</t>
    <phoneticPr fontId="1" type="noConversion"/>
  </si>
  <si>
    <t>股东之间的筹资活动</t>
    <phoneticPr fontId="1" type="noConversion"/>
  </si>
  <si>
    <t>(1)处置固定资产、无形资产和其他长期资产收回的现金净额</t>
    <phoneticPr fontId="1" type="noConversion"/>
  </si>
  <si>
    <t>债权人之间的筹资活动</t>
    <phoneticPr fontId="1" type="noConversion"/>
  </si>
  <si>
    <t>(3)股东筹资净额=1-2</t>
    <phoneticPr fontId="1" type="noConversion"/>
  </si>
  <si>
    <t>(5)财务费用中利息支出</t>
    <phoneticPr fontId="1" type="noConversion"/>
  </si>
  <si>
    <t>(4)取得借款收到的现金</t>
    <phoneticPr fontId="1" type="noConversion"/>
  </si>
  <si>
    <t>(6)应付利息</t>
    <phoneticPr fontId="1" type="noConversion"/>
  </si>
  <si>
    <t>(7)偿还债务支付的现金</t>
    <phoneticPr fontId="1" type="noConversion"/>
  </si>
  <si>
    <t>平均资本成本计算</t>
    <phoneticPr fontId="1" type="noConversion"/>
  </si>
  <si>
    <t>(1)利息支出</t>
    <phoneticPr fontId="1" type="noConversion"/>
  </si>
  <si>
    <t>(2)有息债务</t>
    <phoneticPr fontId="1" type="noConversion"/>
  </si>
  <si>
    <t>(4)税后债务资金成本=3*（100%-企业实际所得税税率)</t>
    <phoneticPr fontId="1" type="noConversion"/>
  </si>
  <si>
    <t>(5)股东权益</t>
    <phoneticPr fontId="1" type="noConversion"/>
  </si>
  <si>
    <t>(7)资本总额</t>
    <phoneticPr fontId="1" type="noConversion"/>
  </si>
  <si>
    <r>
      <t>(3)税前债务资本成本=1/期初期末平均2=</t>
    </r>
    <r>
      <rPr>
        <b/>
        <sz val="11"/>
        <color theme="1"/>
        <rFont val="宋体"/>
        <family val="3"/>
        <charset val="134"/>
        <scheme val="minor"/>
      </rPr>
      <t>(1)/平均有息债务余额</t>
    </r>
    <phoneticPr fontId="1" type="noConversion"/>
  </si>
  <si>
    <t>其中：营运资产</t>
    <phoneticPr fontId="1" type="noConversion"/>
  </si>
  <si>
    <t xml:space="preserve">      营运负债</t>
    <phoneticPr fontId="1" type="noConversion"/>
  </si>
  <si>
    <t>(4)长期经营资产</t>
    <phoneticPr fontId="1" type="noConversion"/>
  </si>
  <si>
    <t>(5)经营资产合计</t>
    <phoneticPr fontId="1" type="noConversion"/>
  </si>
  <si>
    <t>(6)资产总额合计</t>
    <phoneticPr fontId="1" type="noConversion"/>
  </si>
  <si>
    <t>(7)短期债务</t>
    <phoneticPr fontId="1" type="noConversion"/>
  </si>
  <si>
    <t>(8)长期债务</t>
    <phoneticPr fontId="1" type="noConversion"/>
  </si>
  <si>
    <t>(9)有息债务合计</t>
    <phoneticPr fontId="1" type="noConversion"/>
  </si>
  <si>
    <t>(11)资本合计</t>
    <phoneticPr fontId="1" type="noConversion"/>
  </si>
  <si>
    <t>长期融资净值=8+10-2-3-4</t>
    <phoneticPr fontId="1" type="noConversion"/>
  </si>
  <si>
    <t>短期融资净值=7-1</t>
    <phoneticPr fontId="1" type="noConversion"/>
  </si>
  <si>
    <t>(10)股东权益=6-9</t>
    <phoneticPr fontId="1" type="noConversion"/>
  </si>
  <si>
    <t>企业实际所得税税率%</t>
    <phoneticPr fontId="1" type="noConversion"/>
  </si>
  <si>
    <t>(8)债务资金比例%=2/7</t>
    <phoneticPr fontId="1" type="noConversion"/>
  </si>
  <si>
    <t>(9)股权资金比例%=5/7</t>
    <phoneticPr fontId="1" type="noConversion"/>
  </si>
  <si>
    <t>(10)加权平均资金成本(WACC)%</t>
    <phoneticPr fontId="1" type="noConversion"/>
  </si>
  <si>
    <t>(11)长期资产扩张性资本支出比例%=9/10*100%</t>
    <phoneticPr fontId="1" type="noConversion"/>
  </si>
  <si>
    <t>营业收入</t>
    <phoneticPr fontId="1" type="noConversion"/>
  </si>
  <si>
    <t>营业成本</t>
    <phoneticPr fontId="1" type="noConversion"/>
  </si>
  <si>
    <t>营业成本率</t>
    <phoneticPr fontId="1" type="noConversion"/>
  </si>
  <si>
    <t>营业成本增长率</t>
    <phoneticPr fontId="1" type="noConversion"/>
  </si>
  <si>
    <t>毛利</t>
    <phoneticPr fontId="1" type="noConversion"/>
  </si>
  <si>
    <t>毛利率</t>
    <phoneticPr fontId="1" type="noConversion"/>
  </si>
  <si>
    <t>毛利增长率</t>
    <phoneticPr fontId="1" type="noConversion"/>
  </si>
  <si>
    <t>税金及附加</t>
    <phoneticPr fontId="1" type="noConversion"/>
  </si>
  <si>
    <t>税金及附加率</t>
    <phoneticPr fontId="1" type="noConversion"/>
  </si>
  <si>
    <t>销售费用</t>
    <phoneticPr fontId="1" type="noConversion"/>
  </si>
  <si>
    <t>销售费用率</t>
    <phoneticPr fontId="1" type="noConversion"/>
  </si>
  <si>
    <t>管理费用</t>
    <phoneticPr fontId="1" type="noConversion"/>
  </si>
  <si>
    <t>管理费用率</t>
    <phoneticPr fontId="1" type="noConversion"/>
  </si>
  <si>
    <t>资产减值损失</t>
    <phoneticPr fontId="1" type="noConversion"/>
  </si>
  <si>
    <t>财务费用中其他（财务手续费)</t>
    <phoneticPr fontId="1" type="noConversion"/>
  </si>
  <si>
    <t>财务手续费率</t>
    <phoneticPr fontId="1" type="noConversion"/>
  </si>
  <si>
    <t>营业外收支净额</t>
    <phoneticPr fontId="1" type="noConversion"/>
  </si>
  <si>
    <t>营业外收支净额率</t>
    <phoneticPr fontId="1" type="noConversion"/>
  </si>
  <si>
    <t>总费用率</t>
    <phoneticPr fontId="1" type="noConversion"/>
  </si>
  <si>
    <t>息前税后经营利润</t>
    <phoneticPr fontId="1" type="noConversion"/>
  </si>
  <si>
    <t>息前税后经营利润率</t>
    <phoneticPr fontId="1" type="noConversion"/>
  </si>
  <si>
    <t>营业收入增长率%</t>
    <phoneticPr fontId="1" type="noConversion"/>
  </si>
  <si>
    <t>息税前经营利润</t>
    <phoneticPr fontId="1" type="noConversion"/>
  </si>
  <si>
    <t>对联营企业和合营企业的股权投资收益</t>
    <phoneticPr fontId="1" type="noConversion"/>
  </si>
  <si>
    <t>息税前金融资产收益</t>
    <phoneticPr fontId="1" type="noConversion"/>
  </si>
  <si>
    <t>息税前利润</t>
    <phoneticPr fontId="1" type="noConversion"/>
  </si>
  <si>
    <t>息税前利润结构分析</t>
    <phoneticPr fontId="1" type="noConversion"/>
  </si>
  <si>
    <t>息税前经营利润占比</t>
    <phoneticPr fontId="1" type="noConversion"/>
  </si>
  <si>
    <t>对联营企业和合营企业的股权投资收益占比</t>
    <phoneticPr fontId="1" type="noConversion"/>
  </si>
  <si>
    <t>息税前金融资产收益占比</t>
    <phoneticPr fontId="1" type="noConversion"/>
  </si>
  <si>
    <t>财务成本负担率</t>
    <phoneticPr fontId="1" type="noConversion"/>
  </si>
  <si>
    <t>税前利润</t>
    <phoneticPr fontId="1" type="noConversion"/>
  </si>
  <si>
    <t>财务成本负担率=1-税前利润/息税前利润</t>
    <phoneticPr fontId="1" type="noConversion"/>
  </si>
  <si>
    <t>(1) 营业收入</t>
    <phoneticPr fontId="1" type="noConversion"/>
  </si>
  <si>
    <t>(2) 减：营业成本</t>
    <phoneticPr fontId="1" type="noConversion"/>
  </si>
  <si>
    <t>(3)毛利额=1-2</t>
    <phoneticPr fontId="1" type="noConversion"/>
  </si>
  <si>
    <t xml:space="preserve">   毛利率</t>
    <phoneticPr fontId="1" type="noConversion"/>
  </si>
  <si>
    <t>(4) 减：（营业）税金及附加</t>
    <phoneticPr fontId="1" type="noConversion"/>
  </si>
  <si>
    <t>(5) 销售费用</t>
    <phoneticPr fontId="1" type="noConversion"/>
  </si>
  <si>
    <t>(6) 管理费用</t>
    <phoneticPr fontId="1" type="noConversion"/>
  </si>
  <si>
    <t>(7) 资产减值损失</t>
    <phoneticPr fontId="1" type="noConversion"/>
  </si>
  <si>
    <t>(8) 财务费用中其他（与经营活动有关的财务手续费）</t>
    <phoneticPr fontId="1" type="noConversion"/>
  </si>
  <si>
    <t>(9) 加：营业外收入</t>
    <phoneticPr fontId="1" type="noConversion"/>
  </si>
  <si>
    <t>(10) 减：营业外支出</t>
    <phoneticPr fontId="1" type="noConversion"/>
  </si>
  <si>
    <t>(12) 经营利润所得税=11*实际所得税税率</t>
    <phoneticPr fontId="1" type="noConversion"/>
  </si>
  <si>
    <t>(13)息前税后经营利润=11-12</t>
    <phoneticPr fontId="1" type="noConversion"/>
  </si>
  <si>
    <t>(11)息税前经营利润=3-（4+5+6+7+8）+9-10</t>
    <phoneticPr fontId="1" type="noConversion"/>
  </si>
  <si>
    <t xml:space="preserve">    息前税后经营利润率=13/1*100%</t>
    <phoneticPr fontId="1" type="noConversion"/>
  </si>
  <si>
    <t>(14) 对联营企业和合营企业的股权投资收益</t>
    <phoneticPr fontId="1" type="noConversion"/>
  </si>
  <si>
    <t>(15) 公允价值变动净收益</t>
    <phoneticPr fontId="1" type="noConversion"/>
  </si>
  <si>
    <t xml:space="preserve">(16) 财务费用中的利息收入 </t>
    <phoneticPr fontId="1" type="noConversion"/>
  </si>
  <si>
    <t>(17) 短期投资净收益=投资收益-股权投资收益</t>
    <phoneticPr fontId="1" type="noConversion"/>
  </si>
  <si>
    <t>(18) 财务费用中的汇兑净收益</t>
    <phoneticPr fontId="1" type="noConversion"/>
  </si>
  <si>
    <t>(19) 其他综合收益</t>
    <phoneticPr fontId="1" type="noConversion"/>
  </si>
  <si>
    <t>(20) 息税前金融资产收益=15+16+17+18+19</t>
    <phoneticPr fontId="1" type="noConversion"/>
  </si>
  <si>
    <t>(21) 金融资产收益所得税=（20-19）*实际所得税税率</t>
    <phoneticPr fontId="1" type="noConversion"/>
  </si>
  <si>
    <t>(22) 息前税后金融资产收益=20-21</t>
    <phoneticPr fontId="1" type="noConversion"/>
  </si>
  <si>
    <t>(23) 息税前利润=11+14+20</t>
    <phoneticPr fontId="1" type="noConversion"/>
  </si>
  <si>
    <t xml:space="preserve">    息税前利润率=23/1*100%</t>
    <phoneticPr fontId="1" type="noConversion"/>
  </si>
  <si>
    <t>(24) 息前税后利润=13+14+22</t>
    <phoneticPr fontId="1" type="noConversion"/>
  </si>
  <si>
    <t xml:space="preserve">    息前税后利润率=24/1*100%</t>
    <phoneticPr fontId="1" type="noConversion"/>
  </si>
  <si>
    <t>(25) 真实财务费用=利润表中财务费用+16</t>
    <phoneticPr fontId="1" type="noConversion"/>
  </si>
  <si>
    <t>(26) 减：利息支出税收抵扣=25*实际所得税税率</t>
    <phoneticPr fontId="1" type="noConversion"/>
  </si>
  <si>
    <t>(27) 税后财务费用=25-26</t>
    <phoneticPr fontId="1" type="noConversion"/>
  </si>
  <si>
    <t>(28)（息后）税前利润=（23-25）或 （24-27）</t>
    <phoneticPr fontId="1" type="noConversion"/>
  </si>
  <si>
    <t xml:space="preserve">    （息后）税前利润率=28/1*100%</t>
    <phoneticPr fontId="1" type="noConversion"/>
  </si>
  <si>
    <t>(29) 减：所得税费用</t>
    <phoneticPr fontId="1" type="noConversion"/>
  </si>
  <si>
    <t xml:space="preserve">    净利润率=30/1*100%</t>
    <phoneticPr fontId="1" type="noConversion"/>
  </si>
  <si>
    <t>(30)净利润=28-29</t>
    <phoneticPr fontId="1" type="noConversion"/>
  </si>
  <si>
    <t>(31) 减：股权资本成本=所有者权益*股权资本成本率</t>
    <phoneticPr fontId="1" type="noConversion"/>
  </si>
  <si>
    <t xml:space="preserve">     假设股权资本成本率为8%</t>
    <phoneticPr fontId="1" type="noConversion"/>
  </si>
  <si>
    <t>(32) 股权价值增加=30-31</t>
    <phoneticPr fontId="1" type="noConversion"/>
  </si>
  <si>
    <t>净利润、股权价值增加值</t>
    <phoneticPr fontId="1" type="noConversion"/>
  </si>
  <si>
    <t>净利润</t>
    <phoneticPr fontId="1" type="noConversion"/>
  </si>
  <si>
    <t>环比增长</t>
    <phoneticPr fontId="1" type="noConversion"/>
  </si>
  <si>
    <t>股权价值增加值</t>
    <phoneticPr fontId="1" type="noConversion"/>
  </si>
  <si>
    <t>净利润率%</t>
    <phoneticPr fontId="1" type="noConversion"/>
  </si>
  <si>
    <t>利息保障倍数=息税前利润/利息费用(利息费用?)</t>
    <phoneticPr fontId="1" type="noConversion"/>
  </si>
  <si>
    <t>股东权益</t>
    <phoneticPr fontId="1" type="noConversion"/>
  </si>
  <si>
    <t>股东权益回报率=净利润/股东权益</t>
    <phoneticPr fontId="1" type="noConversion"/>
  </si>
  <si>
    <t>(2)资产总额周转率=营业收入/资产总额</t>
    <phoneticPr fontId="1" type="noConversion"/>
  </si>
  <si>
    <t>(3)财务成本效应比率=税前利润/息税前利润</t>
    <phoneticPr fontId="1" type="noConversion"/>
  </si>
  <si>
    <t>(4)财务杠杆倍数=资产总额/股东权益</t>
    <phoneticPr fontId="1" type="noConversion"/>
  </si>
  <si>
    <t>(5)企业所得税效应比率=净利润/税前利润</t>
    <phoneticPr fontId="1" type="noConversion"/>
  </si>
  <si>
    <t>实际所得税税率=1-净利润/税前利润</t>
    <phoneticPr fontId="1" type="noConversion"/>
  </si>
  <si>
    <t>股东权益回报率=1*2*3*4*5</t>
    <phoneticPr fontId="1" type="noConversion"/>
  </si>
  <si>
    <t>(1)息税前利润率=息税前利润/营业收入%</t>
    <phoneticPr fontId="1" type="noConversion"/>
  </si>
  <si>
    <t>息税前资产回报率=息税前利润/资产总额</t>
    <phoneticPr fontId="1" type="noConversion"/>
  </si>
  <si>
    <t xml:space="preserve">财务杠杆效应=财务成本效应比率*财务杠杆倍数 </t>
    <phoneticPr fontId="1" type="noConversion"/>
  </si>
  <si>
    <t>营运资产回报率分析</t>
    <phoneticPr fontId="1" type="noConversion"/>
  </si>
  <si>
    <t>长期股权投资的回报率分析</t>
    <phoneticPr fontId="1" type="noConversion"/>
  </si>
  <si>
    <t>长期股权投资收益</t>
    <phoneticPr fontId="1" type="noConversion"/>
  </si>
  <si>
    <t>长期股权投资</t>
    <phoneticPr fontId="1" type="noConversion"/>
  </si>
  <si>
    <t>长期股权投资收益率</t>
    <phoneticPr fontId="1" type="noConversion"/>
  </si>
  <si>
    <t>金融资产回报率分析</t>
    <phoneticPr fontId="1" type="noConversion"/>
  </si>
  <si>
    <t>(1)营业收入</t>
    <phoneticPr fontId="1" type="noConversion"/>
  </si>
  <si>
    <t>(2)息税前经营利润</t>
    <phoneticPr fontId="1" type="noConversion"/>
  </si>
  <si>
    <t>(3)息税前经营利润率=2/1</t>
    <phoneticPr fontId="1" type="noConversion"/>
  </si>
  <si>
    <t>息前税后金融资产收益</t>
    <phoneticPr fontId="1" type="noConversion"/>
  </si>
  <si>
    <t>金融资产：</t>
    <phoneticPr fontId="1" type="noConversion"/>
  </si>
  <si>
    <t>货币资金</t>
    <phoneticPr fontId="1" type="noConversion"/>
  </si>
  <si>
    <t>以公允价值计量且其变动计入当期损益的金融资产</t>
    <phoneticPr fontId="1" type="noConversion"/>
  </si>
  <si>
    <t>应收利息</t>
    <phoneticPr fontId="1" type="noConversion"/>
  </si>
  <si>
    <t>应收股利</t>
    <phoneticPr fontId="1" type="noConversion"/>
  </si>
  <si>
    <t>可供出售金融资产</t>
    <phoneticPr fontId="1" type="noConversion"/>
  </si>
  <si>
    <t>持有至到期投资</t>
    <phoneticPr fontId="1" type="noConversion"/>
  </si>
  <si>
    <t>投资性房地产</t>
    <phoneticPr fontId="1" type="noConversion"/>
  </si>
  <si>
    <t>买入返售金融资产</t>
    <phoneticPr fontId="1" type="noConversion"/>
  </si>
  <si>
    <t>划分为持有待售的资产</t>
    <phoneticPr fontId="1" type="noConversion"/>
  </si>
  <si>
    <t>金融资产合计</t>
    <phoneticPr fontId="1" type="noConversion"/>
  </si>
  <si>
    <t>税后金融资产收益率</t>
    <phoneticPr fontId="1" type="noConversion"/>
  </si>
  <si>
    <t>息税前资产周转率分析</t>
    <phoneticPr fontId="1" type="noConversion"/>
  </si>
  <si>
    <t>营业收入</t>
    <phoneticPr fontId="1" type="noConversion"/>
  </si>
  <si>
    <t>营运资产总额</t>
    <phoneticPr fontId="1" type="noConversion"/>
  </si>
  <si>
    <t>营运资产周转率</t>
    <phoneticPr fontId="1" type="noConversion"/>
  </si>
  <si>
    <t>长期经营资产总额</t>
    <phoneticPr fontId="1" type="noConversion"/>
  </si>
  <si>
    <t>长期经营资产周转率</t>
    <phoneticPr fontId="1" type="noConversion"/>
  </si>
  <si>
    <t>金融资产总额</t>
    <phoneticPr fontId="1" type="noConversion"/>
  </si>
  <si>
    <t>金融资产周转率</t>
    <phoneticPr fontId="1" type="noConversion"/>
  </si>
  <si>
    <t>长期股权投资周转率</t>
    <phoneticPr fontId="1" type="noConversion"/>
  </si>
  <si>
    <t>营运资本管理效率分析</t>
    <phoneticPr fontId="1" type="noConversion"/>
  </si>
  <si>
    <t>计算周期(天)</t>
    <phoneticPr fontId="1" type="noConversion"/>
  </si>
  <si>
    <t>应收账款+应收票据-预收账款</t>
    <phoneticPr fontId="1" type="noConversion"/>
  </si>
  <si>
    <t>(2)应收账款周转天数</t>
    <phoneticPr fontId="1" type="noConversion"/>
  </si>
  <si>
    <t>营业成本</t>
    <phoneticPr fontId="1" type="noConversion"/>
  </si>
  <si>
    <t>存货</t>
    <phoneticPr fontId="1" type="noConversion"/>
  </si>
  <si>
    <t>(3)存货平均周转率=营业成本/平均存货额</t>
    <phoneticPr fontId="1" type="noConversion"/>
  </si>
  <si>
    <t>(4)存货周转天数</t>
    <phoneticPr fontId="1" type="noConversion"/>
  </si>
  <si>
    <t>应付账款+应付票据-预付账款</t>
    <phoneticPr fontId="1" type="noConversion"/>
  </si>
  <si>
    <t>(5)应付平均周转率=营业成本/平均应付成本</t>
    <phoneticPr fontId="1" type="noConversion"/>
  </si>
  <si>
    <t>(6)应付账款周转天数</t>
    <phoneticPr fontId="1" type="noConversion"/>
  </si>
  <si>
    <t>(7)营业周期(天) = 2+ 4</t>
    <phoneticPr fontId="1" type="noConversion"/>
  </si>
  <si>
    <t>(8)现金周期(天) = 2+4-6</t>
    <phoneticPr fontId="1" type="noConversion"/>
  </si>
  <si>
    <t>占用上下游资金</t>
    <phoneticPr fontId="1" type="noConversion"/>
  </si>
  <si>
    <t>(1)销售商品、提供劳务收到的现金</t>
    <phoneticPr fontId="1" type="noConversion"/>
  </si>
  <si>
    <t>(2)营业总收入</t>
    <phoneticPr fontId="1" type="noConversion"/>
  </si>
  <si>
    <t>营业收入现金含量= ((1)/(1+(3))/(2)</t>
    <phoneticPr fontId="1" type="noConversion"/>
  </si>
  <si>
    <t>(4)购买商品、接受劳务支出的现金</t>
    <phoneticPr fontId="1" type="noConversion"/>
  </si>
  <si>
    <t>(5)支付给职工以及为职工支付的现金</t>
    <phoneticPr fontId="1" type="noConversion"/>
  </si>
  <si>
    <t xml:space="preserve">(6)营业成本 </t>
    <phoneticPr fontId="1" type="noConversion"/>
  </si>
  <si>
    <t>(7)营业税金及附加</t>
    <phoneticPr fontId="1" type="noConversion"/>
  </si>
  <si>
    <t>(8)销售费用</t>
    <phoneticPr fontId="1" type="noConversion"/>
  </si>
  <si>
    <t>(9)管理费用</t>
    <phoneticPr fontId="1" type="noConversion"/>
  </si>
  <si>
    <t>(10)营业总成本=6+7+8+9</t>
    <phoneticPr fontId="1" type="noConversion"/>
  </si>
  <si>
    <t>成本费用付现率=((4)/(1+(3))+(5))/(10)</t>
    <phoneticPr fontId="1" type="noConversion"/>
  </si>
  <si>
    <t>(11)经营活动产生的现金流量净额</t>
    <phoneticPr fontId="1" type="noConversion"/>
  </si>
  <si>
    <t>(12)息前税后经营利润</t>
    <phoneticPr fontId="1" type="noConversion"/>
  </si>
  <si>
    <t>经营利润现金含量=11/12</t>
    <phoneticPr fontId="1" type="noConversion"/>
  </si>
  <si>
    <t>(13)净利润</t>
    <phoneticPr fontId="1" type="noConversion"/>
  </si>
  <si>
    <t>净利润现金含量=11/13</t>
    <phoneticPr fontId="1" type="noConversion"/>
  </si>
  <si>
    <t>(14)资产减值准备</t>
    <phoneticPr fontId="1" type="noConversion"/>
  </si>
  <si>
    <t>(15)固定资产折旧、油气资产折旧、生产性生物资产折旧</t>
    <phoneticPr fontId="1" type="noConversion"/>
  </si>
  <si>
    <t>(16)无形资产摊销</t>
    <phoneticPr fontId="1" type="noConversion"/>
  </si>
  <si>
    <t>(17)长期待摊费用摊销</t>
    <phoneticPr fontId="1" type="noConversion"/>
  </si>
  <si>
    <t>(18)处置固定资产、无形资产和其他长期资产的损失</t>
    <phoneticPr fontId="1" type="noConversion"/>
  </si>
  <si>
    <t>(19)固定资产报废损失</t>
    <phoneticPr fontId="1" type="noConversion"/>
  </si>
  <si>
    <t>非付现成本费用=14+15+16+17+18+19</t>
    <phoneticPr fontId="1" type="noConversion"/>
  </si>
  <si>
    <t>经营活动产生的现金流量净额-非付现成本费用</t>
    <phoneticPr fontId="1" type="noConversion"/>
  </si>
  <si>
    <t>经营资产自由现金流=经营活动现金流量净额-保全性资本支出</t>
    <phoneticPr fontId="1" type="noConversion"/>
  </si>
  <si>
    <t>自由现金流增长率</t>
    <phoneticPr fontId="1" type="noConversion"/>
  </si>
  <si>
    <t>(3)增值税销项税率</t>
    <phoneticPr fontId="1" type="noConversion"/>
  </si>
  <si>
    <t>增值税销项税率</t>
    <phoneticPr fontId="1" type="noConversion"/>
  </si>
  <si>
    <t xml:space="preserve">不同公司的自由现金流计算是有差异的。并非所有的公司都要 按照这个公式和口径来计算，要看不同的公司做不同的调整。
</t>
    <phoneticPr fontId="1" type="noConversion"/>
  </si>
  <si>
    <t>一阶段：缓慢增长DCF假设</t>
    <phoneticPr fontId="1" type="noConversion"/>
  </si>
  <si>
    <t>(1)最近一年自由现金流为基准</t>
    <phoneticPr fontId="1" type="noConversion"/>
  </si>
  <si>
    <t>(2)缓慢增长率g</t>
    <phoneticPr fontId="1" type="noConversion"/>
  </si>
  <si>
    <t>(3)贴现率(WACC)</t>
    <phoneticPr fontId="1" type="noConversion"/>
  </si>
  <si>
    <t>(4)经营类资产价值=(1) * (1+g)/(WACC-g)</t>
    <phoneticPr fontId="1" type="noConversion"/>
  </si>
  <si>
    <t>(5)加：金融资产</t>
    <phoneticPr fontId="1" type="noConversion"/>
  </si>
  <si>
    <t>(6)加：股权投资</t>
    <phoneticPr fontId="1" type="noConversion"/>
  </si>
  <si>
    <t>(7)减：公司债务</t>
    <phoneticPr fontId="1" type="noConversion"/>
  </si>
  <si>
    <t>(8)公司价值=（4）+（5）+（6）-（7）</t>
    <phoneticPr fontId="1" type="noConversion"/>
  </si>
  <si>
    <t>(9)少数股东比例</t>
    <phoneticPr fontId="1" type="noConversion"/>
  </si>
  <si>
    <t>(11)股本</t>
    <phoneticPr fontId="1" type="noConversion"/>
  </si>
  <si>
    <t>(12)每股内在价值（元）=（10）/（11）</t>
    <phoneticPr fontId="1" type="noConversion"/>
  </si>
  <si>
    <t>DCF两段</t>
    <phoneticPr fontId="1" type="noConversion"/>
  </si>
  <si>
    <t>n年之内增长率</t>
    <phoneticPr fontId="1" type="noConversion"/>
  </si>
  <si>
    <t>贴现率</t>
    <phoneticPr fontId="1" type="noConversion"/>
  </si>
  <si>
    <t>折现后价值</t>
    <phoneticPr fontId="1" type="noConversion"/>
  </si>
  <si>
    <t>两段合计</t>
    <phoneticPr fontId="1" type="noConversion"/>
  </si>
  <si>
    <t>经营性资产价值</t>
    <phoneticPr fontId="1" type="noConversion"/>
  </si>
  <si>
    <t>加：金融资产价值</t>
    <phoneticPr fontId="1" type="noConversion"/>
  </si>
  <si>
    <t>加：长期股权价值</t>
    <phoneticPr fontId="1" type="noConversion"/>
  </si>
  <si>
    <t>减：公司债务</t>
    <phoneticPr fontId="1" type="noConversion"/>
  </si>
  <si>
    <t>公司价值</t>
    <phoneticPr fontId="1" type="noConversion"/>
  </si>
  <si>
    <t>少数股东比例</t>
    <phoneticPr fontId="1" type="noConversion"/>
  </si>
  <si>
    <t>归属上市公司股东的价值</t>
    <phoneticPr fontId="1" type="noConversion"/>
  </si>
  <si>
    <t>每股内在价值（元）</t>
    <phoneticPr fontId="1" type="noConversion"/>
  </si>
  <si>
    <t>总股本（万股）</t>
    <phoneticPr fontId="1" type="noConversion"/>
  </si>
  <si>
    <t>最近一年自由现金流</t>
    <phoneticPr fontId="1" type="noConversion"/>
  </si>
  <si>
    <t>头5年增长率g1</t>
    <phoneticPr fontId="1" type="noConversion"/>
  </si>
  <si>
    <t>5年后增长率g2</t>
    <phoneticPr fontId="1" type="noConversion"/>
  </si>
  <si>
    <t>安全区间</t>
    <phoneticPr fontId="1" type="noConversion"/>
  </si>
  <si>
    <t>DCF三段</t>
    <phoneticPr fontId="1" type="noConversion"/>
  </si>
  <si>
    <t>三段合计</t>
    <phoneticPr fontId="1" type="noConversion"/>
  </si>
  <si>
    <t>此后增长率g3</t>
    <phoneticPr fontId="1" type="noConversion"/>
  </si>
  <si>
    <t>合计价值</t>
    <phoneticPr fontId="1" type="noConversion"/>
  </si>
  <si>
    <t>公司自由现金流：free cash flow,FCF</t>
    <phoneticPr fontId="1" type="noConversion"/>
  </si>
  <si>
    <t>(10)归属上市公司股东价值= (8) * (1-(9))</t>
    <phoneticPr fontId="1" type="noConversion"/>
  </si>
  <si>
    <t>股本</t>
    <phoneticPr fontId="1" type="noConversion"/>
  </si>
  <si>
    <t>分配股利、利润或偿付利息所支付的现金</t>
  </si>
  <si>
    <t>(1)金融资产</t>
    <phoneticPr fontId="1" type="noConversion"/>
  </si>
  <si>
    <t>(2)长期股权投资</t>
    <phoneticPr fontId="1" type="noConversion"/>
  </si>
  <si>
    <t>金融资产变化率</t>
    <phoneticPr fontId="1" type="noConversion"/>
  </si>
  <si>
    <t>长期股权投资变化率</t>
    <phoneticPr fontId="1" type="noConversion"/>
  </si>
  <si>
    <t>营运资产变化率</t>
    <phoneticPr fontId="1" type="noConversion"/>
  </si>
  <si>
    <t>营运负责变化率</t>
    <phoneticPr fontId="1" type="noConversion"/>
  </si>
  <si>
    <t>(3)营运资本(营运资产-营运负债)</t>
    <phoneticPr fontId="1" type="noConversion"/>
  </si>
  <si>
    <t>长期经营资产变化率</t>
    <phoneticPr fontId="1" type="noConversion"/>
  </si>
  <si>
    <t>短期债务变化率</t>
    <phoneticPr fontId="1" type="noConversion"/>
  </si>
  <si>
    <t>长期债务变化率</t>
    <phoneticPr fontId="1" type="noConversion"/>
  </si>
  <si>
    <t>金融资产占比</t>
    <phoneticPr fontId="1" type="noConversion"/>
  </si>
  <si>
    <t>长期股权投资占比</t>
    <phoneticPr fontId="1" type="noConversion"/>
  </si>
  <si>
    <t>短期债务占比</t>
    <phoneticPr fontId="1" type="noConversion"/>
  </si>
  <si>
    <t>长期债务占比</t>
    <phoneticPr fontId="1" type="noConversion"/>
  </si>
  <si>
    <t>长期经营资产占比</t>
    <phoneticPr fontId="1" type="noConversion"/>
  </si>
  <si>
    <t>5年</t>
    <phoneticPr fontId="1" type="noConversion"/>
  </si>
  <si>
    <t>自由现金流增长率</t>
    <phoneticPr fontId="1" type="noConversion"/>
  </si>
  <si>
    <t>7年</t>
    <phoneticPr fontId="1" type="noConversion"/>
  </si>
  <si>
    <t>复合增长率 = POWER(现有价值/基础价值， 1/年数） -1</t>
    <phoneticPr fontId="1" type="noConversion"/>
  </si>
  <si>
    <t>利息收入(此处填为负数）</t>
    <phoneticPr fontId="1" type="noConversion"/>
  </si>
  <si>
    <t>营运资本变化率</t>
    <phoneticPr fontId="1" type="noConversion"/>
  </si>
  <si>
    <t>营运资本</t>
    <phoneticPr fontId="1" type="noConversion"/>
  </si>
  <si>
    <t>复合增长</t>
  </si>
  <si>
    <t>资产总额</t>
    <phoneticPr fontId="1" type="noConversion"/>
  </si>
  <si>
    <t>营运资产</t>
    <phoneticPr fontId="1" type="noConversion"/>
  </si>
  <si>
    <t>营运负债</t>
    <phoneticPr fontId="1" type="noConversion"/>
  </si>
  <si>
    <t>长期经营资产</t>
    <phoneticPr fontId="1" type="noConversion"/>
  </si>
  <si>
    <t>长期经营资产周转率分析</t>
    <phoneticPr fontId="1" type="noConversion"/>
  </si>
  <si>
    <t>营业收入</t>
    <phoneticPr fontId="1" type="noConversion"/>
  </si>
  <si>
    <t>长期经营资产总额</t>
    <phoneticPr fontId="1" type="noConversion"/>
  </si>
  <si>
    <t>长期经营资产周转率</t>
    <phoneticPr fontId="1" type="noConversion"/>
  </si>
  <si>
    <t>固定资产</t>
    <phoneticPr fontId="1" type="noConversion"/>
  </si>
  <si>
    <t>固定资产周转率</t>
    <phoneticPr fontId="1" type="noConversion"/>
  </si>
  <si>
    <t>在建工程</t>
    <phoneticPr fontId="1" type="noConversion"/>
  </si>
  <si>
    <t>在建工程周转率</t>
    <phoneticPr fontId="1" type="noConversion"/>
  </si>
  <si>
    <t>工程物资</t>
    <phoneticPr fontId="1" type="noConversion"/>
  </si>
  <si>
    <t>固定资产清理</t>
    <phoneticPr fontId="1" type="noConversion"/>
  </si>
  <si>
    <t>生产性生物资产</t>
    <phoneticPr fontId="1" type="noConversion"/>
  </si>
  <si>
    <t>油气资产</t>
    <phoneticPr fontId="1" type="noConversion"/>
  </si>
  <si>
    <t>无形资产</t>
    <phoneticPr fontId="1" type="noConversion"/>
  </si>
  <si>
    <t>开发支出</t>
    <phoneticPr fontId="1" type="noConversion"/>
  </si>
  <si>
    <t>商誉</t>
    <phoneticPr fontId="1" type="noConversion"/>
  </si>
  <si>
    <t>长期待摊费用</t>
    <phoneticPr fontId="1" type="noConversion"/>
  </si>
  <si>
    <t>递延所得税资产</t>
    <phoneticPr fontId="1" type="noConversion"/>
  </si>
  <si>
    <t>减：递延所得税负债</t>
    <phoneticPr fontId="1" type="noConversion"/>
  </si>
  <si>
    <t>其他非流动资产</t>
    <phoneticPr fontId="1" type="noConversion"/>
  </si>
  <si>
    <t>(8)发行债券收到的现金</t>
    <phoneticPr fontId="1" type="noConversion"/>
  </si>
  <si>
    <t>(9)债务筹资净额=4+8-5-6-7</t>
    <phoneticPr fontId="1" type="noConversion"/>
  </si>
  <si>
    <t>近6年营业收入复合增长</t>
    <phoneticPr fontId="1" type="noConversion"/>
  </si>
  <si>
    <t>6年</t>
    <phoneticPr fontId="1" type="noConversion"/>
  </si>
  <si>
    <t>6年</t>
    <phoneticPr fontId="1" type="noConversion"/>
  </si>
  <si>
    <t>复合增长率</t>
    <phoneticPr fontId="1" type="noConversion"/>
  </si>
  <si>
    <t>5年</t>
    <phoneticPr fontId="1" type="noConversion"/>
  </si>
  <si>
    <t>6年</t>
    <phoneticPr fontId="1" type="noConversion"/>
  </si>
  <si>
    <t>7年</t>
    <phoneticPr fontId="1" type="noConversion"/>
  </si>
  <si>
    <t>经营性现金流</t>
    <phoneticPr fontId="1" type="noConversion"/>
  </si>
  <si>
    <t>维斯效应，就是有关市场预期与上市公司价格波动之间的双倍数效应。也就是说当一个公司利润持续增长使得每股收益提高，同时市场给予的估值也提高，股价得到了相乘倍数的上涨，这就叫戴维斯双击；相反，当一个公司业绩下滑时，每股收益减
少或下降，市场给予的估值也下降，股价得到相乘倍数的下跌，这就叫戴维斯双杀。</t>
    <phoneticPr fontId="1" type="noConversion"/>
  </si>
  <si>
    <t xml:space="preserve">    实际所得税税率=29/28</t>
    <phoneticPr fontId="1" type="noConversion"/>
  </si>
  <si>
    <t>PEG测算</t>
    <phoneticPr fontId="1" type="noConversion"/>
  </si>
  <si>
    <t>最高股份日期</t>
    <phoneticPr fontId="1" type="noConversion"/>
  </si>
  <si>
    <t>最高股价（复权）</t>
    <phoneticPr fontId="1" type="noConversion"/>
  </si>
  <si>
    <t>股本（亿股）</t>
    <phoneticPr fontId="1" type="noConversion"/>
  </si>
  <si>
    <t>净利润增长率%</t>
    <phoneticPr fontId="1" type="noConversion"/>
  </si>
  <si>
    <t>收盘价</t>
    <phoneticPr fontId="1" type="noConversion"/>
  </si>
  <si>
    <t>市值</t>
    <phoneticPr fontId="1" type="noConversion"/>
  </si>
  <si>
    <t>最高市值</t>
    <phoneticPr fontId="1" type="noConversion"/>
  </si>
  <si>
    <t>市盈率</t>
    <phoneticPr fontId="1" type="noConversion"/>
  </si>
  <si>
    <t>最高市盈率</t>
    <phoneticPr fontId="1" type="noConversion"/>
  </si>
  <si>
    <t>最高PEG</t>
    <phoneticPr fontId="1" type="noConversion"/>
  </si>
  <si>
    <t>净利润（预测）</t>
    <phoneticPr fontId="1" type="noConversion"/>
  </si>
  <si>
    <t>2018年预测</t>
    <phoneticPr fontId="1" type="noConversion"/>
  </si>
  <si>
    <t>市盈率P/E</t>
    <phoneticPr fontId="1" type="noConversion"/>
  </si>
  <si>
    <t>市值(亿）</t>
    <phoneticPr fontId="1" type="noConversion"/>
  </si>
  <si>
    <t>最高PEG=市盈率除以公司的盈利增长速度</t>
    <phoneticPr fontId="1" type="noConversion"/>
  </si>
  <si>
    <t>根据2018年中报预报,净利润为中报*2</t>
    <phoneticPr fontId="1" type="noConversion"/>
  </si>
  <si>
    <t>根据券商报告预测净利润</t>
    <phoneticPr fontId="1" type="noConversion"/>
  </si>
  <si>
    <t>净利润亿（财报）</t>
    <phoneticPr fontId="1" type="noConversion"/>
  </si>
  <si>
    <t>所谓PEG，是用公司的市盈率（PE）除以公司未来3或5年的（每股收益复合增长率*100）。（PE）仅仅反映了某股票当前价值，PEG则把股票当前的价值和该股未来的成长联系了起来 。比如一只股票当前的市盈率为20倍，其未来5年的预期每股收益复合增长率为20%，那么这只股票的PEG就是1。当PEG等于1时，表明市场赋予这只股票的估值可以充分反映其未来业绩的成长性。
如果PEG大于1，则这只股票的价值就可能被高估，或市场认为这家公司的业绩成长性会高于市场的预期。
通常，那些成长型股票的PEG都会高于1，甚至在2以上，投资者愿意给予其高估值，表明这家公司未来很有可能会保持业绩的快速增长，这样的股票就容易有超出想象的市盈率估值。
当PEG小于1时，要么是市场低估了这只股票的价值，要么是市场认为其业绩成长性可能比预期的要差。通常价值型股票的PEG都会低于1，以反映低业绩增长的预期。投资者需要注意的是，像其他财务指标一样，PEG也不能单独使用，必须要和其他指标结合起来，这里最关键的还是对公司业绩的预期。
由于PEG需要对未来至少3年的业绩增长情况作出判断，而不能只用未来12个月的盈利预测，因此大大提高了准确判断的难度。事实上，只有当投资者有把握对未来3年以上的业绩表现作出比较准确的预测时，PEG的使用效果才会体现出来，否则反而会起误导作用。此外，投资者不能仅看公司自身的PEG来确认它是高估还是低估，如果某公司股票的PEG为1.2,而其他成长性类似的同行业公司股票的PEG都在1.5以上，则该公司的PEG虽然已经高于1，但价值仍可能被低估</t>
    <phoneticPr fontId="1" type="noConversion"/>
  </si>
  <si>
    <t>(21)收回投资收到的现金</t>
    <phoneticPr fontId="1" type="noConversion"/>
  </si>
  <si>
    <t>(22)投资支付的现金</t>
    <phoneticPr fontId="1" type="noConversion"/>
  </si>
  <si>
    <t>(23)投资现金流出净额</t>
    <phoneticPr fontId="1" type="noConversion"/>
  </si>
  <si>
    <t>投资现金流出净额5年复合增长</t>
    <phoneticPr fontId="1" type="noConversion"/>
  </si>
  <si>
    <t>(2)分配股利、利润所支付的现金（当年所支付入现金：上一前的财报数据)</t>
    <phoneticPr fontId="1" type="noConversion"/>
  </si>
  <si>
    <t>百分比</t>
    <phoneticPr fontId="1" type="noConversion"/>
  </si>
  <si>
    <t>后10年增长率g2</t>
    <phoneticPr fontId="1" type="noConversion"/>
  </si>
  <si>
    <t>(5)经营资产合计=3+4</t>
    <phoneticPr fontId="1" type="noConversion"/>
  </si>
  <si>
    <t>(9)有息债务合计=7+8</t>
    <phoneticPr fontId="1" type="noConversion"/>
  </si>
  <si>
    <t>(6)资产总额合计=1+2+5</t>
    <phoneticPr fontId="1" type="noConversion"/>
  </si>
  <si>
    <t>(11)资本合计=9+10</t>
    <phoneticPr fontId="1" type="noConversion"/>
  </si>
  <si>
    <t>资产期限结构分析</t>
    <phoneticPr fontId="1" type="noConversion"/>
  </si>
  <si>
    <t>短期资产合计</t>
    <phoneticPr fontId="1" type="noConversion"/>
  </si>
  <si>
    <t>长期资产合计</t>
    <phoneticPr fontId="1" type="noConversion"/>
  </si>
  <si>
    <t>资产总计</t>
    <phoneticPr fontId="1" type="noConversion"/>
  </si>
  <si>
    <t xml:space="preserve">  金融资产</t>
    <phoneticPr fontId="1" type="noConversion"/>
  </si>
  <si>
    <t xml:space="preserve">  营运资本</t>
    <phoneticPr fontId="1" type="noConversion"/>
  </si>
  <si>
    <t xml:space="preserve">  其中：营运资产</t>
    <phoneticPr fontId="1" type="noConversion"/>
  </si>
  <si>
    <t xml:space="preserve">        营运负债</t>
    <phoneticPr fontId="1" type="noConversion"/>
  </si>
  <si>
    <t xml:space="preserve">  长期股权投资</t>
    <phoneticPr fontId="1" type="noConversion"/>
  </si>
  <si>
    <t xml:space="preserve">  长期经营资产</t>
    <phoneticPr fontId="1" type="noConversion"/>
  </si>
  <si>
    <t>资本来源结构分析</t>
    <phoneticPr fontId="1" type="noConversion"/>
  </si>
  <si>
    <t>短期债务</t>
    <phoneticPr fontId="1" type="noConversion"/>
  </si>
  <si>
    <t>长期债务</t>
    <phoneticPr fontId="1" type="noConversion"/>
  </si>
  <si>
    <t>有息债务合计</t>
    <phoneticPr fontId="1" type="noConversion"/>
  </si>
  <si>
    <t>股东权益</t>
    <phoneticPr fontId="1" type="noConversion"/>
  </si>
  <si>
    <t>资本总额</t>
    <phoneticPr fontId="1" type="noConversion"/>
  </si>
  <si>
    <t>有息债务率=69/74</t>
    <phoneticPr fontId="1" type="noConversion"/>
  </si>
  <si>
    <t>股权资本比率=71/74</t>
    <phoneticPr fontId="1" type="noConversion"/>
  </si>
  <si>
    <t>财务杠杆=74/71 最好在2倍以下</t>
    <phoneticPr fontId="1" type="noConversion"/>
  </si>
  <si>
    <t>资本期限结构分析</t>
    <phoneticPr fontId="1" type="noConversion"/>
  </si>
  <si>
    <t>短期资本合计</t>
    <phoneticPr fontId="1" type="noConversion"/>
  </si>
  <si>
    <t>短期资本比例</t>
    <phoneticPr fontId="1" type="noConversion"/>
  </si>
  <si>
    <t>长期资本合计</t>
    <phoneticPr fontId="1" type="noConversion"/>
  </si>
  <si>
    <t>长期资本比例</t>
    <phoneticPr fontId="1" type="noConversion"/>
  </si>
  <si>
    <t>运营资本长期化率=（8+10-4-2）/3</t>
    <phoneticPr fontId="1" type="noConversion"/>
  </si>
  <si>
    <t>(17)现金自给率=16/15</t>
    <phoneticPr fontId="1" type="noConversion"/>
  </si>
  <si>
    <t>优序筹资理论：
  首选内源筹资，基次为外源筹资，在外源筹资中又首选债务筹资，其次才是股权筹资
筹资时机：
  在股份较高时选择股权筹资，在股份较低时选择债务筹资，以利用较低的筹资成本优势。一家公司在股价被严重低估时选择股权筹资，将极大损害现有股东的利益，就是对现有股东利益的侵蚀。从这个意义上讲，
给现有股东配股筹资要比折扣价定向增发，对现有股东更加公平有利。
  我们可以通过筹资时机分析，判断一家公司的管理层是否认真对待股东的利益，是否是真正负责的管理层</t>
    <phoneticPr fontId="1" type="noConversion"/>
  </si>
  <si>
    <t>WACC增加，股票价值减小;WACC减小，股票价值增加;
基准利率和国债利率上升，则投资者预期回报上升，WACC上升;基准利率和国债利率下降，则投资者预期回报下降，WACC下降;
2016年我国5年期国债利率4.2%左右，换句话说，股东的预期收益率应该大于4.2%</t>
    <phoneticPr fontId="1" type="noConversion"/>
  </si>
  <si>
    <t>资产减值损失率（大比例变动可能操纵利润）</t>
    <phoneticPr fontId="1" type="noConversion"/>
  </si>
  <si>
    <r>
      <rPr>
        <b/>
        <sz val="11"/>
        <color rgb="FFFF0000"/>
        <rFont val="宋体"/>
        <family val="3"/>
        <charset val="134"/>
        <scheme val="minor"/>
      </rPr>
      <t>营业收入：</t>
    </r>
    <r>
      <rPr>
        <b/>
        <sz val="11"/>
        <color theme="1"/>
        <rFont val="宋体"/>
        <family val="3"/>
        <charset val="134"/>
        <scheme val="minor"/>
      </rPr>
      <t xml:space="preserve">
    1，营业收入逐年快速增长的公司，可以称之为成长型公司;营业收入逐年下降的公司，为衰退型公司;营业收入各年间保持稳定的公司，则称为成熟型公司。
    2，一家公司要提高营业收入有两个途径：一是扩大销量，二是提高价格。
    3，营业收入分析的特殊问题：收入的确认问题（虚构收入陷阱，结合现金流分析来规避）
</t>
    </r>
    <r>
      <rPr>
        <b/>
        <sz val="11"/>
        <color rgb="FFFF0000"/>
        <rFont val="宋体"/>
        <family val="3"/>
        <charset val="134"/>
        <scheme val="minor"/>
      </rPr>
      <t>营业成本：</t>
    </r>
    <r>
      <rPr>
        <b/>
        <sz val="11"/>
        <color theme="1"/>
        <rFont val="宋体"/>
        <family val="3"/>
        <charset val="134"/>
        <scheme val="minor"/>
      </rPr>
      <t xml:space="preserve">
    1，对于轻资产行业的固定成本比较低，一旦竞争对手进行恶性竞争，我们可以选择彻底退出，从而相对业说出现产能过剩的情况会少得多;对于进入重资产行业的公司来说，要通过差异化
竞争策略把自己跟其他公司区别开来，才能避免陷入价格战以及周期性产能过剩。
    2，一家公司要控制营业成本有两个途径：一是控制单位固定成本，二是控制单位变动成本 （营业成本=销量*（单位固定成本+单位变动成本）），
        从控制单位固定成本的角度来看，我们需要对公司业务规模做一个大致的预测和判断。在固定成本总额不变的情况下，业务规模越大，则单位固定成本越低。
        从控制单位变动成本的角度来看，我们需要分析公司内部管理的精细化程度，比如采购管理、精益生产方式等。
</t>
    </r>
    <r>
      <rPr>
        <b/>
        <sz val="11"/>
        <color rgb="FFFF0000"/>
        <rFont val="宋体"/>
        <family val="3"/>
        <charset val="134"/>
        <scheme val="minor"/>
      </rPr>
      <t>成本与收入匹配原则：</t>
    </r>
    <r>
      <rPr>
        <b/>
        <sz val="11"/>
        <color theme="1"/>
        <rFont val="宋体"/>
        <family val="3"/>
        <charset val="134"/>
        <scheme val="minor"/>
      </rPr>
      <t xml:space="preserve">
     一家公司某个会计期间或某个会计对象所取得的营业收入应与为取得该收入所发生的营业成本相匹配，以正确计算在该会计期间的营业利润，有些公司为了操纵利润，在某些年度少结转营业
成本，导致虚增公司利润的同时虚增公司存货。此时，我们要结合公司的毛利率以及存货周转率等指标，来进行分析为判断公司是否存在着财报舞弊。
</t>
    </r>
    <r>
      <rPr>
        <b/>
        <sz val="11"/>
        <color rgb="FFFF0000"/>
        <rFont val="宋体"/>
        <family val="3"/>
        <charset val="134"/>
        <scheme val="minor"/>
      </rPr>
      <t>毛利：</t>
    </r>
    <r>
      <rPr>
        <b/>
        <sz val="11"/>
        <color theme="1"/>
        <rFont val="宋体"/>
        <family val="3"/>
        <charset val="134"/>
        <scheme val="minor"/>
      </rPr>
      <t xml:space="preserve">
    在财报中，多数时候一家公司毛利率的高低就是反映其是否有护城河的指标 ：毛利率越高越稳定，护城河越深。
    1，一般而言，毛利率长期低于15%的行业属于过度竞争行业，
    2，毛利率长期在15%~25%的行业属于高度竞争行业，
    3，毛利率长期在25%以上的行业属于竞争格局比较好的行业。
    毛利率波动比较大的行业受外部因素如宏观经济形势，上下游供应链等影响比较大。
    1，对于有发展前景的公司，营业收入应该逐年增加，同时营业成本也会有所增长，但增长幅度应该低于营业收入。因此，毛利应该逐年与营业收入保持同幅度增长，或者更大幅度增长，
    2，反之，如果营业收入逐年增长，但营业成本增幅超过营业收入，则公司增收不增利;
    3，如果营业收入下降，营业成本下降，则公司陷入衰退境地。
费用分析：
    1，销售费用率  2，管理费用率  3，资产减值损失率  4，营业外收支净额率
</t>
    </r>
    <phoneticPr fontId="1" type="noConversion"/>
  </si>
  <si>
    <t>利润分析</t>
    <phoneticPr fontId="1" type="noConversion"/>
  </si>
  <si>
    <t>息税前经营利润</t>
    <phoneticPr fontId="1" type="noConversion"/>
  </si>
  <si>
    <t>息税前经营利润率</t>
    <phoneticPr fontId="1" type="noConversion"/>
  </si>
  <si>
    <t>息前税后经营利润</t>
    <phoneticPr fontId="1" type="noConversion"/>
  </si>
  <si>
    <t>营业收入利润率=息前税后经营利润/营业收入</t>
    <phoneticPr fontId="1" type="noConversion"/>
  </si>
  <si>
    <t>息税前经营利润和息前税后经营利润反映一家公司通过营业活动获取收益的绝对金额。营业收入利润率反映一家公司通过经营活动获取收益的相对能力。
对于一家有发展前景的公司，息前税后经营利润应该稳步上升，营业收入利润率保持稳定或者略有上升;反之，则表明公司发展前景堪忧。</t>
    <phoneticPr fontId="1" type="noConversion"/>
  </si>
  <si>
    <t>资产带来收入和利润。利润包括金融资产收益、长期股权投资收益和经营利润。经营利润是一般工商企业的利润来源，一般而言，经营利润的稳定性和持续性比金融资产
收益和长期股权投资收益要高，因此经营利润构成了一般工商企业的核心利润。</t>
    <phoneticPr fontId="1" type="noConversion"/>
  </si>
  <si>
    <t>实际企业所得税</t>
    <phoneticPr fontId="1" type="noConversion"/>
  </si>
  <si>
    <t>税前利润</t>
    <phoneticPr fontId="1" type="noConversion"/>
  </si>
  <si>
    <t>所得税</t>
    <phoneticPr fontId="1" type="noConversion"/>
  </si>
  <si>
    <t>净利润</t>
    <phoneticPr fontId="1" type="noConversion"/>
  </si>
  <si>
    <t>实际所得税率</t>
    <phoneticPr fontId="1" type="noConversion"/>
  </si>
  <si>
    <t>实际所得税率含义是，一家公司的税前利润中有多少比例用于缴纳企业所得税。该比例越低，则企业税前利润中用于缴纳企业所得税就越少。在15左右可能是享受高新技术企业的所得税优惠政策。</t>
    <phoneticPr fontId="1" type="noConversion"/>
  </si>
  <si>
    <t>如果股权价值增加值为负，则即使净利润为正数，公司也没有给股东创造价值，反而在损毁价值。
如果股权价值增加值接近于零，公司为股东创造了预期回报。
只有在股权价值增加值为正数的情况下，公司才为股东创造超预期回报。
如果一个公司股权价值增加值高，并不一定意味着公司具有广阔发展远景，原因：一：股权价值增加值是基于净利润调整而来，而净利润可以通过利润操纵进行调整;二：利润和现金流量之间具有差异性。</t>
    <phoneticPr fontId="1" type="noConversion"/>
  </si>
  <si>
    <t>(4)经营资产总额</t>
    <phoneticPr fontId="1" type="noConversion"/>
  </si>
  <si>
    <t>(5)经营资产周转率=1/4</t>
    <phoneticPr fontId="1" type="noConversion"/>
  </si>
  <si>
    <t>固定资产平均净值</t>
    <phoneticPr fontId="1" type="noConversion"/>
  </si>
  <si>
    <t>固定资产成新率</t>
    <phoneticPr fontId="1" type="noConversion"/>
  </si>
  <si>
    <t xml:space="preserve">长期经营资产周转率用来衡量长期经营资产的管理效率。长期经营资产包括固定资产、在建工程、无形资产、研发支出、商誉、长期待摊费用、递延所得税资产
长期经营资产除了固定资产和土地使用权外，其他不计算周转率，计算长期资产周转率的意义在于，通过长期经营资产周转率分析来判断一家公司的长期经营资产结构是否合理，管理效率是得到了提升还是下降。
    * 一般在建工程、研发支出属于前期投入阶段，无法带来营业收入，因此不计算这些资产的周转率。
    * 无形资产包括土地使用权、专利权、著作权、商标权等，土地使用权的含义代表了公司的营业规模和营业能力，与固定资产一般，因此对于土地使用权利等无形资产我们计算周转率。
    * 专利权、著作权、商标权，商誉等无形资产并不是通过直接带来营业收入创造价值，而是通过价格上的溢价来体现，因此不计算周转率
    * 长期待摊费用和递延所得税资产也多数与营业收入不存在直接的关系，因此不计算周转率
    1,固定资产一般通过生产各种商品带来收入，因此固定资产和营业收入之间存在非常密切的关系，从而我们会计算固定资产周转率。固定资产周转率主要用于分析对厂房、设备等固定资产的利用效率。比率越高，
      说明利用率越高，管理水平越好。如果固定资产周转率与同行业平均水平相比偏低，则说明公司对固定资产的利用率较低，可能会影响公司的获利能力。
    2,固定资产成新率对大多数公司来说应保持在50%以上，一般在70%以上，如果低于50%，说明公司的固定资产已经严重老化。
</t>
    <phoneticPr fontId="1" type="noConversion"/>
  </si>
  <si>
    <t>无形资产周转率（土地使用权）</t>
    <phoneticPr fontId="1" type="noConversion"/>
  </si>
  <si>
    <t>应收账款周转率：
   表示公司公司从获利应收账款的权利到收回款项、变成现金所需要的时间。一般来说，应收账款周转率越高越好，表明公司收账速度快、平均收账期短、坏账少、资产流动快、偿债能力强。
   影响应收账款周转率和周转天数正确性的因素：首先由于公司生产经营的季节性原因，使应收账款周转率不能正确反映公司销售的实际情况。其次，某些公司在产品销售中大量使用分期付款的方式 。再次，有些公司采取大量收取现金的方式进行销售。最后，有些公司年末销售量大量增加或年末销售大量下降。分析应收账款周转率和周转天数这两个指标应将公司本期指标和前期指标，行业平均水平或其他类似公司相比较，判断指标高低。
存货周转率：
   衡量和评价企业购入存货、投入生产、销售收回等环节管理状况的综合性指标。一般来说，存货周转速度越快（存货周转率或存货周转次数越大，存货周转天数越短），存货占用水平越低，流动性越强，存货转化为现金或应收账款的速度就越快，表明企业的销售能力越强，营运资本占用在存货上的金额也越少。存货周转速度分析利于找出存货管理中存在的问题，尽可能降低资金占用水平。
应付账款周转率：
   反映的是企业应付账款的流动程度。合理的应付账款周转率来自同行业对比和公司历史正常水平。如果应付账款周转率低于行业平均水平，说明公司较同行可以更多占用供应商赀款，显示其重要的市场地位，但同时也要承担较多的还款压力。如果公司应付账款周转率较以前出现快速提高，说明公司占用供应商货款降低，可能反映上游供应商谈判实力增强，要求快速回款的情况，也可能预示原材料供应紧俏甚至吃紧。
营业周期和现金周期：
   用来判断一家公司营运资本的管理效率
   1，营业周期可以帮助我们判断哪一家公司生产、销售产品的速度比较快
   2，现金周期帮助我们判断哪一家公司生产、销售并回收现金速度比较快。
一般来说，同一行业中营业周期和现金周期比较短的公司，其效率要高于其他公司，营运资本需求也比较少。</t>
    <phoneticPr fontId="1" type="noConversion"/>
  </si>
  <si>
    <t>(1)应收平均周转率=营业收入/平均应收额</t>
    <phoneticPr fontId="1" type="noConversion"/>
  </si>
  <si>
    <t>(6)息税前经营资产回报率=3*5</t>
    <phoneticPr fontId="1" type="noConversion"/>
  </si>
  <si>
    <t xml:space="preserve">经营资产 = 营运资产（经营活动...） + 长期经营资产(在建工程...) ，要分析经营资产回报率，从营业资产回报率和长期经营资产回报率来详细分析。
</t>
    <phoneticPr fontId="1" type="noConversion"/>
  </si>
  <si>
    <t>息税前营运资产回报率：
   公司投资和经营活动的效率越高，盈利能力越强，则公司的股东权益回报率越高。
   1、资产周转率反映公司投资和经营活动的管理效率; （提高方法：提高存货周转率，缩短应收账款回收期以及减少销售占用的长期资产数）
   2、息税前经营利润率反映公司资产的盈利能力; （提高方法：1、提高价格或以已快于营业支出增加的速度来提高销售量，从而使销售额上升。2、以快于销售额       减少的速度来压缩营业开支。）
长期股权投资：
   一般来说，长期股权投资收益要高于公司的加权平均资本成本率，则长期股权投资实现了保值增值的目标;反之，如果长期股权投资收益率低于公司的加权平均资本成本率，则长期股权投资的价值需要打折。另外，长期股权投资还需要结合公司的战略安排来分析。有时候长期股权投资是为了保证公司上游供应商和下游渠道的稳定，此时收益回报并非决定性因素。</t>
    <phoneticPr fontId="1" type="noConversion"/>
  </si>
  <si>
    <t>一般来说公司的金融资产是不了应付经营活动的现金需求以防范资金危机和投机性需求，但是对于非金融公司来说，不应该大量持有金融资产，一般占公司资产总额的
5%~10%为宜。</t>
    <phoneticPr fontId="1" type="noConversion"/>
  </si>
  <si>
    <t>金融资产占比</t>
    <phoneticPr fontId="1" type="noConversion"/>
  </si>
  <si>
    <t>股东权益回报率分析:  
   股东权益回报率受息税前经营利润率、资产周转率、财务成本效应比率、财务杠杆倍数、企业所得税效应五个因素影响。
   1、息税前经营利润和资产周转率     -----反映公司的投资和经营活动效率
   2、财务成本效应比率和财务杠杆倍数 -----反映公司的筹资活动效率
   3、企业所得税效应比率            ------反映政府的税收以及公司的税务管理活动
债务筹资对股东权益回报率的影响：
  财务杠杆倍数和财务成本效应比率反映公司的债务筹资活动对股东权益回报率的影响，
  1，财务成本效应比率：财务成本效应比率越高，则公司的财务成本 负担率越低，财务成本越少;财务成本效应比率越低，则公司财务成本负担率越高，财务成本越多
  2，财务杠杆倍数：对于固定规模的公司，当债务增加（减少）时会引起：a:股东权益减少（增加） b:财务杠杆倍数增加（减小） c:股东权益回报率提高（降低)
  3，财务杠杆效应：财务杠杆效应越高，越有助于提升股东权益回报率;财务杠杆效应越低，则越会降低股东权益回报率。因此，提高财务杠杆效应，可以提高股东权益回报率。
而要提高财务杠杆效应，必须综合考虑合理改善财务成本效应比率和财务杠杆倍数：提高财务杠杆倍数会增加财务成本负担率，从而降低财务成本效应比率;降低财务杠杆倍数则
会减少财务成本负担率，从而提高财务成本效应比率。</t>
    <phoneticPr fontId="1" type="noConversion"/>
  </si>
  <si>
    <t>财务成本负担率含义是，一家公司的息税前利润中有多少比例用于支付利息。这一比例越低，息税前利润用于支付利息就越少，公司的财务成本负担越轻;反之，则用于
支付利息的就越多，公司的财务成本负担就越重。有些公司财务成本负担率非常高。达到80%到90%，整个公司都在给银行打工。降低此财务成本负担率的方法：
1，改善资本结构，比如增加股权融资，降低财务成本负担
2，提高运营效率、加强成本控制，提升获利能力。
当然，从根源上讲，公司需要从竞争策略上做出改进--行业的选择以及竞争格局的改变。
利息保障倍数： 应高于1，如果低于1，则意味着公司无法保证债权人的利息支付。该比率越高，债权人的利息保障程度越高。</t>
    <phoneticPr fontId="1" type="noConversion"/>
  </si>
  <si>
    <t>按变现周期，资产分为长期资产和短期资产</t>
    <phoneticPr fontId="1" type="noConversion"/>
  </si>
  <si>
    <t>有息债务：指公司资本总额中债务资本所占比例，有息债务越少越好，预收款项、应付款项等经营负债在正常经营情况下越多越好。
股权资本比率：是指公司资本总额中股权资本所占比例。
财务杠杆：财务杠杆是一柄双刃剑。债务资本成本一般来说低于股权资本成本，举债可以降低公司的综合资金成本。但是，如果财务杠杆倍数过高，会加大公司的财务风险。公司的资产收益率低于资本成本将损害公司的利益，甚至导致公司无法偿还到期债务而陷入破产清算。对投资者而言，公司的财务杠杆倍数最好控制在2以内。</t>
    <phoneticPr fontId="1" type="noConversion"/>
  </si>
  <si>
    <t>资本按照期限分为短期资本和长期资本。一般来说，一年及一年内到期的资本为短期资本，以年以上到期的资本为长期资本。因此，短期债务为短期资本，长期债务为长期资本。</t>
    <phoneticPr fontId="1" type="noConversion"/>
  </si>
  <si>
    <t>项目</t>
    <phoneticPr fontId="1" type="noConversion"/>
  </si>
  <si>
    <t>竞争策略</t>
    <phoneticPr fontId="1" type="noConversion"/>
  </si>
  <si>
    <t>1，核心</t>
    <phoneticPr fontId="1" type="noConversion"/>
  </si>
  <si>
    <t>2，适用性</t>
    <phoneticPr fontId="1" type="noConversion"/>
  </si>
  <si>
    <t>总成本领先策略</t>
    <phoneticPr fontId="1" type="noConversion"/>
  </si>
  <si>
    <t>差异化策略</t>
    <phoneticPr fontId="1" type="noConversion"/>
  </si>
  <si>
    <t>对于成本和费用的控制，将不为客户带来附加价值的产品、服务予以简化</t>
    <phoneticPr fontId="1" type="noConversion"/>
  </si>
  <si>
    <t>取得某种对顾客有价值的独特性</t>
    <phoneticPr fontId="1" type="noConversion"/>
  </si>
  <si>
    <t xml:space="preserve">适合于无法提供差异化产品或服务的行业
</t>
    <phoneticPr fontId="1" type="noConversion"/>
  </si>
  <si>
    <t xml:space="preserve">适合于创新创意、品牌消费等行业
</t>
    <phoneticPr fontId="1" type="noConversion"/>
  </si>
  <si>
    <t>1，资产特征</t>
    <phoneticPr fontId="1" type="noConversion"/>
  </si>
  <si>
    <t>2，资本特征</t>
    <phoneticPr fontId="1" type="noConversion"/>
  </si>
  <si>
    <t>3，资产周转</t>
    <phoneticPr fontId="1" type="noConversion"/>
  </si>
  <si>
    <t>4，营运资本需求</t>
    <phoneticPr fontId="1" type="noConversion"/>
  </si>
  <si>
    <t>5，毛利率的高低</t>
    <phoneticPr fontId="1" type="noConversion"/>
  </si>
  <si>
    <t>6，毛利率的稳定</t>
    <phoneticPr fontId="1" type="noConversion"/>
  </si>
  <si>
    <t>7，费用率</t>
    <phoneticPr fontId="1" type="noConversion"/>
  </si>
  <si>
    <t>财报特征</t>
    <phoneticPr fontId="1" type="noConversion"/>
  </si>
  <si>
    <t xml:space="preserve">以固定资产、无形资产（土地使用权）为主的重资产
</t>
    <phoneticPr fontId="1" type="noConversion"/>
  </si>
  <si>
    <t xml:space="preserve">以流动资产和金融资产为主的轻资产
</t>
    <phoneticPr fontId="1" type="noConversion"/>
  </si>
  <si>
    <t xml:space="preserve">长期资产投入巨大，较高的财务杠杆
</t>
    <phoneticPr fontId="1" type="noConversion"/>
  </si>
  <si>
    <t xml:space="preserve">长期资产投入较少，较低的财务杠杆
</t>
    <phoneticPr fontId="1" type="noConversion"/>
  </si>
  <si>
    <t xml:space="preserve">高速的重资产周转以降低单位固定成本，同时要做好营运资本管理
</t>
    <phoneticPr fontId="1" type="noConversion"/>
  </si>
  <si>
    <t xml:space="preserve">重点在于存货、应收账款和应付账款等营运资本的周转管理
</t>
    <phoneticPr fontId="1" type="noConversion"/>
  </si>
  <si>
    <t xml:space="preserve">在产业链中不具有谈判优势，营运资本投入较大，现金周期较长
</t>
    <phoneticPr fontId="1" type="noConversion"/>
  </si>
  <si>
    <t xml:space="preserve">在产业链中具有谈判优势，营运资本投入较少，现金周期较短甚至为负数
</t>
    <phoneticPr fontId="1" type="noConversion"/>
  </si>
  <si>
    <t>较低的毛利率</t>
    <phoneticPr fontId="1" type="noConversion"/>
  </si>
  <si>
    <t>很高的毛利率</t>
    <phoneticPr fontId="1" type="noConversion"/>
  </si>
  <si>
    <t xml:space="preserve">受竞争环境影响，毛利率波动性比较大
</t>
    <phoneticPr fontId="1" type="noConversion"/>
  </si>
  <si>
    <t xml:space="preserve">取决于自身的核心竞争力，毛利率比较稳定
</t>
    <phoneticPr fontId="1" type="noConversion"/>
  </si>
  <si>
    <t xml:space="preserve">严格的费用控制下较低的费用率
</t>
    <phoneticPr fontId="1" type="noConversion"/>
  </si>
  <si>
    <t xml:space="preserve">保持核心竞争力需要某一方面的较大支出，导致费用率较高
</t>
    <phoneticPr fontId="1" type="noConversion"/>
  </si>
  <si>
    <t xml:space="preserve">不同竞争策略下的公司财报存在着不同特征。成功实施差异化策略的公司通过技术专利、品牌形象等构筑了很深的竞争壁垒，一般的竞争者根本无法跨越竞争壁垒从而保证了其竞争优势，公司的毛利率、销售净利率等比较高且稳定，盈利能力很强。总成本领先策略无法建立起竞争壁垒，进入门槛不高，没有特别核心的技术，对竞争者的要求主要集中在工艺上，新进入者进行追赶甚至替代老公司的难度相对较低，因此市场竞争日益激烈，最后往往只能陷入价格战，公司的毛利率、销售净利率等比较低且波动性很大，甚至会陷入亏损的境地。
</t>
    <phoneticPr fontId="1" type="noConversion"/>
  </si>
  <si>
    <t>不忘实心，方得始终：
    1，公司战略决定投资方向和活动，投资方向和活动决定资产结构和质量;
    2，筹资活动募集现金为了满足投资活动需求，筹资活动决定资本结构及资本成本;
    3，资产结构和资本结构的匹配程度决定公司的短期风险;
    4，资产转化为成本费用的同时带来收入并形成利润，因此资产结构和质量及营运活动效率决定利润结构、质量和多寡，利润与资本成本决定公司创造价值的程度及长期风险;
    5，营业收入、营业成本和利润要转化为经营活动现金流，经营活动现金流决定自由现金流，自由现金流决定公司价值。</t>
    <phoneticPr fontId="1" type="noConversion"/>
  </si>
  <si>
    <t>营业收入现金含量：
   该指标反映公司的营业收入中实际收到现金的比例。从公司的成长过程分析，在公司开始从事经营活动的初期或者快速扩张期，由于公司在销售中需要给予客户信用期而产生较大的应收
账款，形成营业收入已经确认，但 是现金尚未收到的结果，从而有可能使公司在这一时期的营业收入现金含量小于1，这是公司在发展过程中不可避免的状态。但是在公司的平稳经营阶段，
剔除增值税的影响后，营业收入现金含量应该在1左右，否则说明营业收入含量不够高，存在一些水分。
成本费用付现率：
    该指标在公司开始从事经营活动的初期或者快速扩张期会高于1，此时的分析意义不大。其原因有两个：一是公司需要先期支付现金购买原材料，生产为商品，但是尚未销售转入营业成本 
，导致付出的现金多于营业成本费用;二是公司在扩张期需要采购长期资产和支付建设安装的人工费用，该部分现金支出不构成当期的营业成本费用，导致付出的现金多于营业成本。在公司平稳
运营阶段，剔除增值税影响后，考虑到成本费用中包括无须付现的折旧摊销，成本费用付现率应该低于1.在公司平稳经营阶段，该指标可结合公司发展情况，用于预测一家公司以后期间经营活动
中所需支付的现金。
经营利润现金含量、净利润现金含量：
    这两个指标衡量一家公司的经营利润和净利润是不是真金白银的利润。对于成熟稳定的公司来说，该指标应该大于1，否则说明经营利润和净利润质量不高。
经营活动产生的现金流量的一种状态：
    1，经营活动产生的现金流量小于零：这种情况意味着公司通过正常的商品购产销所带来的现金流入量，不足以支付因上述经营活动而引起的现金流出;
    2，经营活动产生的现金流量等于零：这种情况意味着公司通过正常的商品购产销所带来的现金流入量，恰恰能够支付因上述经营活动而引起的现金流出，公司正常经营活动不需要额外补充流
动资金，公司的经营活动也不能为公司的投资活动以及筹资活动贡献现金。但是，必须注意的是，在公司的成本消耗中，有相当一部分属于按照权责发生制原则的要求而确认的摊销成本 ，即非付
现成本，显然，在经营活动产生现金流量等于零时，公司经营活动产生的现金流量不可能为这部分非付现成本的资源消耗提供现金补偿。因此，长期来看，根本不可能维持公司经营活动的现金“简单
现生产”，公司也将陷入经营困境。
    3，经营活动产生的现金流量大于零，但不足以补偿当期的非付现成本：虽然公司在现金流量的压力方面比前两种状态要好，但是如果这种状态持续，也不可能维持公司现金“简单再生产”。
    4，经营活动产生的现金流量大于零，并恰能补偿当期的非付现成本：这种情况，公司摆脱了在经营活动现金流量方面的压力，能维持公司现金“简单再生产”，但总体来看，仍然不能为公司扩大
投资等发展提供现金支持。
    5，经营活动产生的现金流量大于零，并在补偿当期非付现成本后仍有剩余：如果这种状态持续，经营活动产生的现金流量将对公司经营活动的稳定与发展、公司投资规模的扩大起到重要的促进作用。</t>
    <phoneticPr fontId="1" type="noConversion"/>
  </si>
  <si>
    <t>零增长模型：对于一家成熟稳定、没有增长的公司而言，每年的自由现金流也保持在一个稳定的金额水平，类似于永久年金。
不变增长模型：缓慢增长率g每年不变</t>
    <phoneticPr fontId="1" type="noConversion"/>
  </si>
  <si>
    <t>两阶段模型：
    第一阶段被称为详细预测期，通常为3~5年。此期间通过对公司的收入与成本、资产和资本等项目的详细预测，得出第一时间段的现金流。
    第二阶段被称为终值期，此期间现金流的现值和价值被称为终值。
通常，第一阶段采用一个较高的增长率，第二阶段采用一 个较低的增长率。</t>
    <phoneticPr fontId="1" type="noConversion"/>
  </si>
  <si>
    <r>
      <rPr>
        <b/>
        <sz val="11"/>
        <color theme="1"/>
        <rFont val="宋体"/>
        <family val="3"/>
        <charset val="134"/>
        <scheme val="minor"/>
      </rPr>
      <t>三阶段模型：
   假设公司都经历三个阶段：成长阶段、过渡阶段和稳定阶段。三个阶段的增长率由高到低，成长阶段最高，过渡阶段逐步下降，稳定阶段保持较低增长率的不变增长。</t>
    </r>
    <r>
      <rPr>
        <sz val="11"/>
        <color theme="1"/>
        <rFont val="宋体"/>
        <family val="2"/>
        <charset val="134"/>
        <scheme val="minor"/>
      </rPr>
      <t xml:space="preserve">
</t>
    </r>
    <phoneticPr fontId="1" type="noConversion"/>
  </si>
  <si>
    <t>(6)股权资金成本%</t>
    <phoneticPr fontId="1" type="noConversion"/>
  </si>
  <si>
    <t>长期资产扩张性资本支出比例，代表一家公司当期新增加的经营规模和生产能力占前期经营规模和生产能力的比重，反映一家公司扩张的相对程度。
  如果一家公司的长期资产新投资额远远大于零，则这家公司采取了扩张战略。
  如果一家公司的长期资产新投资额远远小于零，则这家公司采取了收缩战略。
  如果一家公司的长期资产新投资额接近于零，则这家公司采取了维持战略。
现金自给率：
  如果现金自给率高于1，则意味着这个公司的战略投资活动现金可以全部来自于公司的经营活动，而无须额外的融资;反之，如果现金自给率低于1，则意味着这个公司的经营活动现金流量无法完全满足战略投资活动现金需求，而需要动
用公司存量资金或者外源筹资。
筹资需求为正，表示资金充足，不需要筹资; 筹资活动产生的现金流量净额为负，表示没有筹资或筹资较少。</t>
    <phoneticPr fontId="1" type="noConversion"/>
  </si>
  <si>
    <t>(1)吸收投资收到的现金（发行股票等方式筹资）</t>
    <phoneticPr fontId="1" type="noConversion"/>
  </si>
  <si>
    <r>
      <rPr>
        <b/>
        <sz val="11"/>
        <color rgb="FF002060"/>
        <rFont val="宋体"/>
        <family val="3"/>
        <charset val="134"/>
        <scheme val="minor"/>
      </rPr>
      <t>流动性分析首先看资产结构和资本结构，然后看营运资本中来自长期资本部分所占比例
  在资产结构和资本结构管理中存在着三种策略，即匹配策略、稳健策略和激进策略，激进策略比较容易出现流动性危机;匹配策略和稳健策略的公司不大存在短期流动风险，不过过于稳健（储备过多现金），
则有可能降低公司的资产回报能力，因此很多公司会采取匹配策略</t>
    </r>
    <r>
      <rPr>
        <b/>
        <sz val="11"/>
        <color rgb="FFFF0000"/>
        <rFont val="宋体"/>
        <family val="3"/>
        <charset val="134"/>
        <scheme val="minor"/>
      </rPr>
      <t xml:space="preserve">
  运营资本长期化率侧重分析营运资本需求的资金结构，更准确地说，就是营运资本需求中来自长期资本的部分。比例越高流动性越好。营运资本为负的公司不能用此指标分析，营运资本为负的公司在产业链
和供应链具有竞争优势的公司，因此不会有流动性风险。改善流动性状况的方法：
1，在资本规模不变的情况下改变资本期限结构，增加长期资本。
2，在不影响经营规模的情况下提升资产效率，改变资产结构，减少长期资产净值的投入。
3，提升营运效率，减少营运资本。 
在下列情况下长期资本会增加：1，申请长期贷款。2，提高权益资本（发行新股）。3，增加留存收益（减少股利）
  长期融资为负，则说明公司存在着短期资本用于资产长期资金的现象，即激进型资产资本结构，非常容易陷入财务困境，如果长期融资净值等于零或者接近于零，则为匹配型资产资本结构。如果长期融资净
值为正，则为稳健型资产资本结构。
  如果短期融资净值为负，则说明公司的金融资产超过了短期资本，现金储备充足，则是上述的稳健资本结构。如果短期融资净值为正，则为激进型资产资本结构。如果短期融资净值等于或者接近于零，则为
匹配型资产资本结构。</t>
    </r>
    <phoneticPr fontId="1" type="noConversion"/>
  </si>
  <si>
    <t>金融资产</t>
    <phoneticPr fontId="1" type="noConversion"/>
  </si>
  <si>
    <t>金融资产每股价值</t>
    <phoneticPr fontId="1" type="noConversion"/>
  </si>
  <si>
    <t>总股本</t>
    <phoneticPr fontId="1" type="noConversion"/>
  </si>
  <si>
    <t>永续年金</t>
    <phoneticPr fontId="1" type="noConversion"/>
  </si>
  <si>
    <t>每股价值</t>
    <phoneticPr fontId="1" type="noConversion"/>
  </si>
  <si>
    <t>WACC</t>
    <phoneticPr fontId="1" type="noConversion"/>
  </si>
  <si>
    <t>股权资本成本</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</si>
</sst>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_);[Red]\(#,##0\)"/>
    <numFmt numFmtId="177" formatCode="#,##0_ "/>
    <numFmt numFmtId="178" formatCode="0.00_ "/>
    <numFmt numFmtId="179" formatCode="#,##0.00_ "/>
    <numFmt numFmtId="180" formatCode="0.00000000000000_ "/>
  </numFmts>
  <fonts count="31" x14ac:knownFonts="1">
    <font>
      <sz val="11"/>
      <color theme="1"/>
      <name val="宋体"/>
      <family val="2"/>
      <charset val="134"/>
      <scheme val="minor"/>
    </font>
    <font>
      <sz val="9"/>
      <name val="宋体"/>
      <family val="2"/>
      <charset val="134"/>
      <scheme val="minor"/>
    </font>
    <font>
      <sz val="11"/>
      <color rgb="FF006100"/>
      <name val="宋体"/>
      <family val="2"/>
      <charset val="134"/>
      <scheme val="minor"/>
    </font>
    <font>
      <sz val="11"/>
      <color rgb="FF9C0006"/>
      <name val="宋体"/>
      <family val="2"/>
      <charset val="134"/>
      <scheme val="minor"/>
    </font>
    <font>
      <sz val="11"/>
      <color rgb="FFFF0000"/>
      <name val="宋体"/>
      <family val="2"/>
      <charset val="134"/>
      <scheme val="minor"/>
    </font>
    <font>
      <b/>
      <sz val="11"/>
      <color theme="1"/>
      <name val="宋体"/>
      <family val="3"/>
      <charset val="134"/>
      <scheme val="minor"/>
    </font>
    <font>
      <sz val="11"/>
      <color theme="1"/>
      <name val="宋体"/>
      <family val="3"/>
      <charset val="134"/>
      <scheme val="minor"/>
    </font>
    <font>
      <sz val="11"/>
      <color rgb="FFFF0000"/>
      <name val="宋体"/>
      <family val="3"/>
      <charset val="134"/>
      <scheme val="minor"/>
    </font>
    <font>
      <b/>
      <sz val="11"/>
      <name val="宋体"/>
      <family val="3"/>
      <charset val="134"/>
      <scheme val="minor"/>
    </font>
    <font>
      <sz val="11"/>
      <name val="宋体"/>
      <family val="3"/>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sz val="11"/>
      <name val="宋体"/>
      <family val="2"/>
      <charset val="134"/>
      <scheme val="minor"/>
    </font>
    <font>
      <b/>
      <sz val="11"/>
      <color rgb="FF006100"/>
      <name val="宋体"/>
      <family val="3"/>
      <charset val="134"/>
      <scheme val="minor"/>
    </font>
    <font>
      <b/>
      <sz val="11"/>
      <color rgb="FFFF0000"/>
      <name val="宋体"/>
      <family val="3"/>
      <charset val="134"/>
      <scheme val="minor"/>
    </font>
    <font>
      <b/>
      <sz val="11"/>
      <color rgb="FF9C0006"/>
      <name val="宋体"/>
      <family val="3"/>
      <charset val="134"/>
      <scheme val="minor"/>
    </font>
    <font>
      <b/>
      <sz val="11"/>
      <color rgb="FF9C6500"/>
      <name val="宋体"/>
      <family val="3"/>
      <charset val="134"/>
      <scheme val="minor"/>
    </font>
    <font>
      <b/>
      <sz val="11"/>
      <color rgb="FF002060"/>
      <name val="宋体"/>
      <family val="3"/>
      <charset val="134"/>
      <scheme val="minor"/>
    </font>
    <font>
      <b/>
      <sz val="9"/>
      <color rgb="FFFF0000"/>
      <name val="宋体"/>
      <family val="3"/>
      <charset val="134"/>
      <scheme val="minor"/>
    </font>
  </fonts>
  <fills count="46">
    <fill>
      <patternFill patternType="none"/>
    </fill>
    <fill>
      <patternFill patternType="gray125"/>
    </fill>
    <fill>
      <patternFill patternType="solid">
        <fgColor rgb="FFC6EFCE"/>
      </patternFill>
    </fill>
    <fill>
      <patternFill patternType="solid">
        <fgColor rgb="FFFFC7CE"/>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theme="5"/>
        <bgColor indexed="64"/>
      </patternFill>
    </fill>
    <fill>
      <patternFill patternType="solid">
        <fgColor theme="9" tint="0.79998168889431442"/>
        <bgColor indexed="64"/>
      </patternFill>
    </fill>
    <fill>
      <patternFill patternType="solid">
        <fgColor rgb="FFFFC000"/>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indexed="64"/>
      </patternFill>
    </fill>
    <fill>
      <patternFill patternType="solid">
        <fgColor theme="3" tint="0.59999389629810485"/>
        <bgColor indexed="64"/>
      </patternFill>
    </fill>
    <fill>
      <patternFill patternType="solid">
        <fgColor theme="0"/>
        <bgColor indexed="64"/>
      </patternFill>
    </fill>
    <fill>
      <patternFill patternType="solid">
        <fgColor theme="2"/>
        <bgColor indexed="64"/>
      </patternFill>
    </fill>
    <fill>
      <patternFill patternType="solid">
        <fgColor rgb="FFC00000"/>
        <bgColor indexed="64"/>
      </patternFill>
    </fill>
    <fill>
      <patternFill patternType="solid">
        <fgColor rgb="FF00B050"/>
        <bgColor indexed="64"/>
      </patternFill>
    </fill>
    <fill>
      <patternFill patternType="solid">
        <fgColor theme="8" tint="0.39997558519241921"/>
        <bgColor indexed="64"/>
      </patternFill>
    </fill>
  </fills>
  <borders count="37">
    <border>
      <left/>
      <right/>
      <top/>
      <bottom/>
      <diagonal/>
    </border>
    <border>
      <left/>
      <right/>
      <top style="medium">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s>
  <cellStyleXfs count="42">
    <xf numFmtId="0" fontId="0" fillId="0" borderId="0">
      <alignment vertical="center"/>
    </xf>
    <xf numFmtId="0" fontId="2" fillId="2" borderId="0" applyNumberFormat="0" applyBorder="0" applyAlignment="0" applyProtection="0">
      <alignment vertical="center"/>
    </xf>
    <xf numFmtId="0" fontId="3" fillId="3" borderId="0" applyNumberFormat="0" applyBorder="0" applyAlignment="0" applyProtection="0">
      <alignment vertical="center"/>
    </xf>
    <xf numFmtId="0" fontId="11" fillId="0" borderId="0" applyNumberFormat="0" applyFill="0" applyBorder="0" applyAlignment="0" applyProtection="0">
      <alignment vertical="center"/>
    </xf>
    <xf numFmtId="0" fontId="12" fillId="0" borderId="2" applyNumberFormat="0" applyFill="0" applyAlignment="0" applyProtection="0">
      <alignment vertical="center"/>
    </xf>
    <xf numFmtId="0" fontId="13" fillId="0" borderId="3" applyNumberFormat="0" applyFill="0" applyAlignment="0" applyProtection="0">
      <alignment vertical="center"/>
    </xf>
    <xf numFmtId="0" fontId="14" fillId="0" borderId="4" applyNumberFormat="0" applyFill="0" applyAlignment="0" applyProtection="0">
      <alignment vertical="center"/>
    </xf>
    <xf numFmtId="0" fontId="14" fillId="0" borderId="0" applyNumberFormat="0" applyFill="0" applyBorder="0" applyAlignment="0" applyProtection="0">
      <alignment vertical="center"/>
    </xf>
    <xf numFmtId="0" fontId="15" fillId="10" borderId="0" applyNumberFormat="0" applyBorder="0" applyAlignment="0" applyProtection="0">
      <alignment vertical="center"/>
    </xf>
    <xf numFmtId="0" fontId="16" fillId="11" borderId="5" applyNumberFormat="0" applyAlignment="0" applyProtection="0">
      <alignment vertical="center"/>
    </xf>
    <xf numFmtId="0" fontId="17" fillId="12" borderId="6" applyNumberFormat="0" applyAlignment="0" applyProtection="0">
      <alignment vertical="center"/>
    </xf>
    <xf numFmtId="0" fontId="18" fillId="12" borderId="5" applyNumberFormat="0" applyAlignment="0" applyProtection="0">
      <alignment vertical="center"/>
    </xf>
    <xf numFmtId="0" fontId="19" fillId="0" borderId="7" applyNumberFormat="0" applyFill="0" applyAlignment="0" applyProtection="0">
      <alignment vertical="center"/>
    </xf>
    <xf numFmtId="0" fontId="20" fillId="13" borderId="8" applyNumberFormat="0" applyAlignment="0" applyProtection="0">
      <alignment vertical="center"/>
    </xf>
    <xf numFmtId="0" fontId="4" fillId="0" borderId="0" applyNumberFormat="0" applyFill="0" applyBorder="0" applyAlignment="0" applyProtection="0">
      <alignment vertical="center"/>
    </xf>
    <xf numFmtId="0" fontId="10" fillId="14" borderId="9" applyNumberFormat="0" applyFont="0" applyAlignment="0" applyProtection="0">
      <alignment vertical="center"/>
    </xf>
    <xf numFmtId="0" fontId="21" fillId="0" borderId="0" applyNumberFormat="0" applyFill="0" applyBorder="0" applyAlignment="0" applyProtection="0">
      <alignment vertical="center"/>
    </xf>
    <xf numFmtId="0" fontId="22" fillId="0" borderId="10" applyNumberFormat="0" applyFill="0" applyAlignment="0" applyProtection="0">
      <alignment vertical="center"/>
    </xf>
    <xf numFmtId="0" fontId="23" fillId="15" borderId="0" applyNumberFormat="0" applyBorder="0" applyAlignment="0" applyProtection="0">
      <alignment vertical="center"/>
    </xf>
    <xf numFmtId="0" fontId="10" fillId="16" borderId="0" applyNumberFormat="0" applyBorder="0" applyAlignment="0" applyProtection="0">
      <alignment vertical="center"/>
    </xf>
    <xf numFmtId="0" fontId="10" fillId="17" borderId="0" applyNumberFormat="0" applyBorder="0" applyAlignment="0" applyProtection="0">
      <alignment vertical="center"/>
    </xf>
    <xf numFmtId="0" fontId="23" fillId="18" borderId="0" applyNumberFormat="0" applyBorder="0" applyAlignment="0" applyProtection="0">
      <alignment vertical="center"/>
    </xf>
    <xf numFmtId="0" fontId="2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23" fillId="22" borderId="0" applyNumberFormat="0" applyBorder="0" applyAlignment="0" applyProtection="0">
      <alignment vertical="center"/>
    </xf>
    <xf numFmtId="0" fontId="23" fillId="23" borderId="0" applyNumberFormat="0" applyBorder="0" applyAlignment="0" applyProtection="0">
      <alignment vertical="center"/>
    </xf>
    <xf numFmtId="0" fontId="10" fillId="24" borderId="0" applyNumberFormat="0" applyBorder="0" applyAlignment="0" applyProtection="0">
      <alignment vertical="center"/>
    </xf>
    <xf numFmtId="0" fontId="10" fillId="25" borderId="0" applyNumberFormat="0" applyBorder="0" applyAlignment="0" applyProtection="0">
      <alignment vertical="center"/>
    </xf>
    <xf numFmtId="0" fontId="23" fillId="26" borderId="0" applyNumberFormat="0" applyBorder="0" applyAlignment="0" applyProtection="0">
      <alignment vertical="center"/>
    </xf>
    <xf numFmtId="0" fontId="23" fillId="27" borderId="0" applyNumberFormat="0" applyBorder="0" applyAlignment="0" applyProtection="0">
      <alignment vertical="center"/>
    </xf>
    <xf numFmtId="0" fontId="10" fillId="28" borderId="0" applyNumberFormat="0" applyBorder="0" applyAlignment="0" applyProtection="0">
      <alignment vertical="center"/>
    </xf>
    <xf numFmtId="0" fontId="10" fillId="29" borderId="0" applyNumberFormat="0" applyBorder="0" applyAlignment="0" applyProtection="0">
      <alignment vertical="center"/>
    </xf>
    <xf numFmtId="0" fontId="23" fillId="30" borderId="0" applyNumberFormat="0" applyBorder="0" applyAlignment="0" applyProtection="0">
      <alignment vertical="center"/>
    </xf>
    <xf numFmtId="0" fontId="23" fillId="31" borderId="0" applyNumberFormat="0" applyBorder="0" applyAlignment="0" applyProtection="0">
      <alignment vertical="center"/>
    </xf>
    <xf numFmtId="0" fontId="10" fillId="32" borderId="0" applyNumberFormat="0" applyBorder="0" applyAlignment="0" applyProtection="0">
      <alignment vertical="center"/>
    </xf>
    <xf numFmtId="0" fontId="10" fillId="33" borderId="0" applyNumberFormat="0" applyBorder="0" applyAlignment="0" applyProtection="0">
      <alignment vertical="center"/>
    </xf>
    <xf numFmtId="0" fontId="23" fillId="34" borderId="0" applyNumberFormat="0" applyBorder="0" applyAlignment="0" applyProtection="0">
      <alignment vertical="center"/>
    </xf>
    <xf numFmtId="0" fontId="23" fillId="35" borderId="0" applyNumberFormat="0" applyBorder="0" applyAlignment="0" applyProtection="0">
      <alignment vertical="center"/>
    </xf>
    <xf numFmtId="0" fontId="10" fillId="36" borderId="0" applyNumberFormat="0" applyBorder="0" applyAlignment="0" applyProtection="0">
      <alignment vertical="center"/>
    </xf>
    <xf numFmtId="0" fontId="10" fillId="37" borderId="0" applyNumberFormat="0" applyBorder="0" applyAlignment="0" applyProtection="0">
      <alignment vertical="center"/>
    </xf>
    <xf numFmtId="0" fontId="23" fillId="38" borderId="0" applyNumberFormat="0" applyBorder="0" applyAlignment="0" applyProtection="0">
      <alignment vertical="center"/>
    </xf>
  </cellStyleXfs>
  <cellXfs count="317">
    <xf numFmtId="0" fontId="0" fillId="0" borderId="0" xfId="0">
      <alignment vertical="center"/>
    </xf>
    <xf numFmtId="14" fontId="0" fillId="0" borderId="0" xfId="0" applyNumberFormat="1">
      <alignment vertical="center"/>
    </xf>
    <xf numFmtId="0" fontId="5" fillId="0" borderId="0" xfId="0" applyFont="1">
      <alignment vertical="center"/>
    </xf>
    <xf numFmtId="0" fontId="6" fillId="0" borderId="0" xfId="0" applyFont="1">
      <alignment vertical="center"/>
    </xf>
    <xf numFmtId="0" fontId="2" fillId="2" borderId="0" xfId="1">
      <alignment vertical="center"/>
    </xf>
    <xf numFmtId="0" fontId="0" fillId="5" borderId="0" xfId="0" applyFill="1">
      <alignment vertical="center"/>
    </xf>
    <xf numFmtId="0" fontId="0" fillId="6" borderId="0" xfId="0" applyFill="1">
      <alignment vertical="center"/>
    </xf>
    <xf numFmtId="0" fontId="7" fillId="0" borderId="0" xfId="0" applyFont="1">
      <alignment vertical="center"/>
    </xf>
    <xf numFmtId="0" fontId="9" fillId="7" borderId="0" xfId="0" applyFont="1" applyFill="1">
      <alignment vertical="center"/>
    </xf>
    <xf numFmtId="0" fontId="0" fillId="7" borderId="0" xfId="0" applyFill="1">
      <alignment vertical="center"/>
    </xf>
    <xf numFmtId="0" fontId="0" fillId="8" borderId="0" xfId="0" applyFill="1">
      <alignment vertical="center"/>
    </xf>
    <xf numFmtId="0" fontId="0" fillId="0" borderId="0" xfId="0" applyFill="1">
      <alignment vertical="center"/>
    </xf>
    <xf numFmtId="0" fontId="0" fillId="9" borderId="0" xfId="0" applyFill="1">
      <alignment vertical="center"/>
    </xf>
    <xf numFmtId="176" fontId="0" fillId="0" borderId="0" xfId="0" applyNumberFormat="1">
      <alignment vertical="center"/>
    </xf>
    <xf numFmtId="176" fontId="0" fillId="0" borderId="0" xfId="0" applyNumberFormat="1" applyFill="1">
      <alignment vertical="center"/>
    </xf>
    <xf numFmtId="177" fontId="0" fillId="9" borderId="0" xfId="0" applyNumberFormat="1" applyFill="1">
      <alignment vertical="center"/>
    </xf>
    <xf numFmtId="0" fontId="5" fillId="6" borderId="0" xfId="0" applyFont="1" applyFill="1">
      <alignment vertical="center"/>
    </xf>
    <xf numFmtId="49" fontId="0" fillId="0" borderId="0" xfId="0" applyNumberFormat="1">
      <alignment vertical="center"/>
    </xf>
    <xf numFmtId="49" fontId="5" fillId="6" borderId="0" xfId="0" applyNumberFormat="1" applyFont="1" applyFill="1">
      <alignment vertical="center"/>
    </xf>
    <xf numFmtId="49" fontId="0" fillId="0" borderId="0" xfId="0" applyNumberFormat="1" applyAlignment="1">
      <alignment horizontal="left" vertical="center"/>
    </xf>
    <xf numFmtId="49" fontId="5" fillId="0" borderId="0" xfId="0" applyNumberFormat="1" applyFont="1">
      <alignment vertical="center"/>
    </xf>
    <xf numFmtId="49" fontId="4" fillId="0" borderId="0" xfId="0" applyNumberFormat="1" applyFont="1">
      <alignment vertical="center"/>
    </xf>
    <xf numFmtId="49" fontId="2" fillId="2" borderId="0" xfId="1" applyNumberFormat="1">
      <alignment vertical="center"/>
    </xf>
    <xf numFmtId="178" fontId="0" fillId="0" borderId="0" xfId="0" applyNumberFormat="1">
      <alignment vertical="center"/>
    </xf>
    <xf numFmtId="178" fontId="5" fillId="0" borderId="0" xfId="0" applyNumberFormat="1" applyFont="1">
      <alignment vertical="center"/>
    </xf>
    <xf numFmtId="178" fontId="6" fillId="0" borderId="0" xfId="0" applyNumberFormat="1" applyFont="1">
      <alignment vertical="center"/>
    </xf>
    <xf numFmtId="179" fontId="0" fillId="0" borderId="0" xfId="0" applyNumberFormat="1">
      <alignment vertical="center"/>
    </xf>
    <xf numFmtId="179" fontId="6" fillId="0" borderId="0" xfId="0" applyNumberFormat="1" applyFont="1">
      <alignment vertical="center"/>
    </xf>
    <xf numFmtId="179" fontId="5" fillId="0" borderId="0" xfId="0" applyNumberFormat="1" applyFont="1">
      <alignment vertical="center"/>
    </xf>
    <xf numFmtId="179" fontId="7" fillId="0" borderId="0" xfId="0" applyNumberFormat="1" applyFont="1">
      <alignment vertical="center"/>
    </xf>
    <xf numFmtId="179" fontId="5" fillId="6" borderId="0" xfId="0" applyNumberFormat="1" applyFont="1" applyFill="1">
      <alignment vertical="center"/>
    </xf>
    <xf numFmtId="9" fontId="2" fillId="2" borderId="0" xfId="1" applyNumberFormat="1">
      <alignment vertical="center"/>
    </xf>
    <xf numFmtId="178" fontId="0" fillId="0" borderId="0" xfId="0" applyNumberFormat="1" applyFill="1">
      <alignment vertical="center"/>
    </xf>
    <xf numFmtId="179" fontId="0" fillId="5" borderId="0" xfId="0" applyNumberFormat="1" applyFill="1">
      <alignment vertical="center"/>
    </xf>
    <xf numFmtId="179" fontId="0" fillId="0" borderId="0" xfId="0" applyNumberFormat="1" applyFill="1">
      <alignment vertical="center"/>
    </xf>
    <xf numFmtId="179" fontId="0" fillId="8" borderId="0" xfId="0" applyNumberFormat="1" applyFill="1">
      <alignment vertical="center"/>
    </xf>
    <xf numFmtId="179" fontId="0" fillId="9" borderId="0" xfId="0" applyNumberFormat="1" applyFill="1">
      <alignment vertical="center"/>
    </xf>
    <xf numFmtId="179" fontId="0" fillId="7" borderId="0" xfId="0" applyNumberFormat="1" applyFill="1">
      <alignment vertical="center"/>
    </xf>
    <xf numFmtId="179" fontId="9" fillId="7" borderId="0" xfId="0" applyNumberFormat="1" applyFont="1" applyFill="1">
      <alignment vertical="center"/>
    </xf>
    <xf numFmtId="0" fontId="24" fillId="0" borderId="0" xfId="0" applyFont="1">
      <alignment vertical="center"/>
    </xf>
    <xf numFmtId="0" fontId="0" fillId="0" borderId="0" xfId="0">
      <alignment vertical="center"/>
    </xf>
    <xf numFmtId="49" fontId="0" fillId="4" borderId="0" xfId="0" applyNumberFormat="1" applyFill="1">
      <alignment vertical="center"/>
    </xf>
    <xf numFmtId="179" fontId="3" fillId="3" borderId="0" xfId="2" applyNumberFormat="1" applyBorder="1">
      <alignment vertical="center"/>
    </xf>
    <xf numFmtId="179" fontId="3" fillId="3" borderId="0" xfId="2" applyNumberFormat="1">
      <alignment vertical="center"/>
    </xf>
    <xf numFmtId="179" fontId="2" fillId="2" borderId="0" xfId="1" applyNumberFormat="1" applyBorder="1">
      <alignment vertical="center"/>
    </xf>
    <xf numFmtId="0" fontId="5" fillId="39" borderId="0" xfId="0" applyFont="1" applyFill="1">
      <alignment vertical="center"/>
    </xf>
    <xf numFmtId="49" fontId="5" fillId="39" borderId="0" xfId="0" applyNumberFormat="1" applyFont="1" applyFill="1">
      <alignment vertical="center"/>
    </xf>
    <xf numFmtId="179" fontId="0" fillId="40" borderId="0" xfId="0" applyNumberFormat="1" applyFill="1">
      <alignment vertical="center"/>
    </xf>
    <xf numFmtId="179" fontId="5" fillId="39" borderId="0" xfId="0" applyNumberFormat="1" applyFont="1" applyFill="1">
      <alignment vertical="center"/>
    </xf>
    <xf numFmtId="179" fontId="2" fillId="2" borderId="13" xfId="1" applyNumberFormat="1" applyBorder="1">
      <alignment vertical="center"/>
    </xf>
    <xf numFmtId="179" fontId="2" fillId="2" borderId="14" xfId="1" applyNumberFormat="1" applyBorder="1">
      <alignment vertical="center"/>
    </xf>
    <xf numFmtId="179" fontId="2" fillId="2" borderId="1" xfId="1" applyNumberFormat="1" applyBorder="1">
      <alignment vertical="center"/>
    </xf>
    <xf numFmtId="179" fontId="8" fillId="39" borderId="0" xfId="0" applyNumberFormat="1" applyFont="1" applyFill="1">
      <alignment vertical="center"/>
    </xf>
    <xf numFmtId="179" fontId="26" fillId="6" borderId="0" xfId="0" applyNumberFormat="1" applyFont="1" applyFill="1">
      <alignment vertical="center"/>
    </xf>
    <xf numFmtId="179" fontId="2" fillId="41" borderId="0" xfId="1" applyNumberFormat="1" applyFill="1" applyBorder="1">
      <alignment vertical="center"/>
    </xf>
    <xf numFmtId="49" fontId="26" fillId="2" borderId="1" xfId="1" applyNumberFormat="1" applyFont="1" applyBorder="1">
      <alignment vertical="center"/>
    </xf>
    <xf numFmtId="0" fontId="26" fillId="0" borderId="0" xfId="0" applyFont="1">
      <alignment vertical="center"/>
    </xf>
    <xf numFmtId="10" fontId="5" fillId="0" borderId="0" xfId="0" applyNumberFormat="1" applyFont="1">
      <alignment vertical="center"/>
    </xf>
    <xf numFmtId="179" fontId="0" fillId="39" borderId="0" xfId="0" applyNumberFormat="1" applyFill="1">
      <alignment vertical="center"/>
    </xf>
    <xf numFmtId="10" fontId="0" fillId="39" borderId="0" xfId="0" applyNumberFormat="1" applyFill="1">
      <alignment vertical="center"/>
    </xf>
    <xf numFmtId="0" fontId="4" fillId="0" borderId="0" xfId="0" applyFont="1">
      <alignment vertical="center"/>
    </xf>
    <xf numFmtId="179" fontId="15" fillId="10" borderId="0" xfId="8" applyNumberFormat="1">
      <alignment vertical="center"/>
    </xf>
    <xf numFmtId="0" fontId="0" fillId="0" borderId="13" xfId="0" applyBorder="1">
      <alignment vertical="center"/>
    </xf>
    <xf numFmtId="10" fontId="0" fillId="0" borderId="0" xfId="0" applyNumberFormat="1">
      <alignment vertical="center"/>
    </xf>
    <xf numFmtId="0" fontId="0" fillId="0" borderId="16" xfId="0" applyBorder="1">
      <alignment vertical="center"/>
    </xf>
    <xf numFmtId="0" fontId="5" fillId="0" borderId="16" xfId="0" applyFont="1" applyBorder="1">
      <alignment vertical="center"/>
    </xf>
    <xf numFmtId="10" fontId="5" fillId="39" borderId="0" xfId="0" applyNumberFormat="1" applyFont="1" applyFill="1">
      <alignment vertical="center"/>
    </xf>
    <xf numFmtId="49" fontId="26" fillId="0" borderId="0" xfId="0" applyNumberFormat="1" applyFont="1" applyAlignment="1">
      <alignment vertical="center" wrapText="1"/>
    </xf>
    <xf numFmtId="49" fontId="5" fillId="0" borderId="15" xfId="0" applyNumberFormat="1" applyFont="1" applyBorder="1">
      <alignment vertical="center"/>
    </xf>
    <xf numFmtId="179" fontId="0" fillId="0" borderId="17" xfId="0" applyNumberFormat="1" applyBorder="1">
      <alignment vertical="center"/>
    </xf>
    <xf numFmtId="49" fontId="0" fillId="0" borderId="11" xfId="0" applyNumberFormat="1" applyBorder="1">
      <alignment vertical="center"/>
    </xf>
    <xf numFmtId="179" fontId="0" fillId="0" borderId="18" xfId="0" applyNumberFormat="1" applyBorder="1">
      <alignment vertical="center"/>
    </xf>
    <xf numFmtId="10" fontId="0" fillId="0" borderId="11" xfId="0" applyNumberFormat="1" applyBorder="1">
      <alignment vertical="center"/>
    </xf>
    <xf numFmtId="10" fontId="0" fillId="0" borderId="18" xfId="0" applyNumberFormat="1" applyBorder="1">
      <alignment vertical="center"/>
    </xf>
    <xf numFmtId="49" fontId="0" fillId="0" borderId="12" xfId="0" applyNumberFormat="1" applyBorder="1">
      <alignment vertical="center"/>
    </xf>
    <xf numFmtId="179" fontId="0" fillId="0" borderId="14"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0" fontId="5" fillId="0" borderId="0" xfId="0" applyFont="1" applyBorder="1">
      <alignment vertical="center"/>
    </xf>
    <xf numFmtId="0" fontId="5" fillId="0" borderId="18" xfId="0" applyFont="1" applyBorder="1">
      <alignment vertical="center"/>
    </xf>
    <xf numFmtId="49" fontId="5" fillId="0" borderId="11" xfId="0" applyNumberFormat="1" applyFont="1" applyBorder="1">
      <alignment vertical="center"/>
    </xf>
    <xf numFmtId="179" fontId="5" fillId="0" borderId="0" xfId="0" applyNumberFormat="1" applyFont="1" applyBorder="1">
      <alignment vertical="center"/>
    </xf>
    <xf numFmtId="49" fontId="5" fillId="0" borderId="12" xfId="0" applyNumberFormat="1" applyFont="1" applyBorder="1">
      <alignment vertical="center"/>
    </xf>
    <xf numFmtId="179" fontId="5" fillId="0" borderId="13" xfId="0" applyNumberFormat="1" applyFont="1" applyBorder="1">
      <alignment vertical="center"/>
    </xf>
    <xf numFmtId="0" fontId="5" fillId="0" borderId="13" xfId="0" applyFont="1" applyBorder="1">
      <alignment vertical="center"/>
    </xf>
    <xf numFmtId="0" fontId="5" fillId="0" borderId="14" xfId="0" applyFont="1" applyBorder="1">
      <alignment vertical="center"/>
    </xf>
    <xf numFmtId="49" fontId="0" fillId="0" borderId="0" xfId="0" applyNumberFormat="1" applyBorder="1">
      <alignment vertical="center"/>
    </xf>
    <xf numFmtId="179" fontId="0" fillId="0" borderId="16" xfId="0" applyNumberFormat="1"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179" fontId="0" fillId="42" borderId="16" xfId="0" applyNumberFormat="1" applyFill="1" applyBorder="1">
      <alignment vertical="center"/>
    </xf>
    <xf numFmtId="10" fontId="26" fillId="42" borderId="16" xfId="0" applyNumberFormat="1" applyFont="1" applyFill="1" applyBorder="1">
      <alignment vertical="center"/>
    </xf>
    <xf numFmtId="0" fontId="2" fillId="2" borderId="16" xfId="1" applyBorder="1">
      <alignment vertical="center"/>
    </xf>
    <xf numFmtId="0" fontId="15" fillId="10" borderId="16" xfId="8" applyBorder="1">
      <alignment vertical="center"/>
    </xf>
    <xf numFmtId="10" fontId="4" fillId="0" borderId="18" xfId="0" applyNumberFormat="1" applyFont="1" applyBorder="1">
      <alignment vertical="center"/>
    </xf>
    <xf numFmtId="179" fontId="0" fillId="42" borderId="16" xfId="0" applyNumberFormat="1" applyFill="1" applyBorder="1" applyAlignment="1">
      <alignment horizontal="right" vertical="center"/>
    </xf>
    <xf numFmtId="179" fontId="26" fillId="0" borderId="0" xfId="0" applyNumberFormat="1" applyFont="1" applyBorder="1">
      <alignment vertical="center"/>
    </xf>
    <xf numFmtId="179" fontId="9" fillId="0" borderId="0" xfId="0" applyNumberFormat="1" applyFont="1" applyBorder="1">
      <alignment vertical="center"/>
    </xf>
    <xf numFmtId="0" fontId="26" fillId="0" borderId="0" xfId="0" applyFont="1" applyBorder="1">
      <alignment vertical="center"/>
    </xf>
    <xf numFmtId="0" fontId="5" fillId="0" borderId="1" xfId="0" applyFont="1" applyBorder="1">
      <alignment vertical="center"/>
    </xf>
    <xf numFmtId="49" fontId="0" fillId="6" borderId="0" xfId="0" applyNumberFormat="1" applyFill="1">
      <alignment vertical="center"/>
    </xf>
    <xf numFmtId="179" fontId="0" fillId="41" borderId="0" xfId="0" applyNumberFormat="1" applyFill="1">
      <alignment vertical="center"/>
    </xf>
    <xf numFmtId="179" fontId="2" fillId="5" borderId="13" xfId="1" applyNumberFormat="1" applyFill="1" applyBorder="1">
      <alignment vertical="center"/>
    </xf>
    <xf numFmtId="10" fontId="2" fillId="2" borderId="23" xfId="1" applyNumberFormat="1" applyBorder="1">
      <alignment vertical="center"/>
    </xf>
    <xf numFmtId="10" fontId="2" fillId="2" borderId="0" xfId="1" applyNumberFormat="1" applyBorder="1">
      <alignment vertical="center"/>
    </xf>
    <xf numFmtId="10" fontId="15" fillId="10" borderId="0" xfId="8" applyNumberFormat="1" applyBorder="1">
      <alignment vertical="center"/>
    </xf>
    <xf numFmtId="10" fontId="2" fillId="2" borderId="26" xfId="1" applyNumberFormat="1" applyBorder="1">
      <alignment vertical="center"/>
    </xf>
    <xf numFmtId="49" fontId="2" fillId="2" borderId="16" xfId="1" applyNumberFormat="1" applyBorder="1">
      <alignment vertical="center"/>
    </xf>
    <xf numFmtId="10" fontId="2" fillId="2" borderId="16" xfId="1" applyNumberFormat="1" applyBorder="1">
      <alignment vertical="center"/>
    </xf>
    <xf numFmtId="49" fontId="3" fillId="3" borderId="16" xfId="2" applyNumberFormat="1" applyBorder="1">
      <alignment vertical="center"/>
    </xf>
    <xf numFmtId="0" fontId="3" fillId="3" borderId="16" xfId="2" applyBorder="1">
      <alignment vertical="center"/>
    </xf>
    <xf numFmtId="10" fontId="3" fillId="3" borderId="16" xfId="2" applyNumberFormat="1" applyBorder="1">
      <alignment vertical="center"/>
    </xf>
    <xf numFmtId="179" fontId="0" fillId="0" borderId="23" xfId="0" applyNumberFormat="1" applyBorder="1">
      <alignment vertical="center"/>
    </xf>
    <xf numFmtId="179" fontId="2" fillId="2" borderId="26" xfId="1" applyNumberFormat="1" applyBorder="1">
      <alignment vertical="center"/>
    </xf>
    <xf numFmtId="49" fontId="5" fillId="0" borderId="27" xfId="0" applyNumberFormat="1" applyFont="1" applyBorder="1">
      <alignment vertical="center"/>
    </xf>
    <xf numFmtId="0" fontId="0" fillId="0" borderId="23" xfId="0" applyBorder="1">
      <alignment vertical="center"/>
    </xf>
    <xf numFmtId="179" fontId="0" fillId="39" borderId="26" xfId="0" applyNumberFormat="1" applyFill="1" applyBorder="1">
      <alignment vertical="center"/>
    </xf>
    <xf numFmtId="49" fontId="0" fillId="5" borderId="0" xfId="0" applyNumberFormat="1" applyFill="1">
      <alignment vertical="center"/>
    </xf>
    <xf numFmtId="49" fontId="5" fillId="0" borderId="0" xfId="0" applyNumberFormat="1" applyFont="1" applyFill="1">
      <alignment vertical="center"/>
    </xf>
    <xf numFmtId="49" fontId="0" fillId="8" borderId="0" xfId="0" applyNumberFormat="1" applyFill="1">
      <alignment vertical="center"/>
    </xf>
    <xf numFmtId="49" fontId="24" fillId="0" borderId="0" xfId="0" applyNumberFormat="1" applyFont="1">
      <alignment vertical="center"/>
    </xf>
    <xf numFmtId="49" fontId="0" fillId="9" borderId="0" xfId="0" applyNumberFormat="1" applyFill="1">
      <alignment vertical="center"/>
    </xf>
    <xf numFmtId="49" fontId="5" fillId="5" borderId="0" xfId="0" applyNumberFormat="1" applyFont="1" applyFill="1">
      <alignment vertical="center"/>
    </xf>
    <xf numFmtId="49" fontId="5" fillId="7" borderId="0" xfId="0" applyNumberFormat="1" applyFont="1" applyFill="1">
      <alignment vertical="center"/>
    </xf>
    <xf numFmtId="49" fontId="6" fillId="0" borderId="0" xfId="0" applyNumberFormat="1" applyFont="1">
      <alignment vertical="center"/>
    </xf>
    <xf numFmtId="49" fontId="6" fillId="5" borderId="0" xfId="0" applyNumberFormat="1" applyFont="1" applyFill="1">
      <alignment vertical="center"/>
    </xf>
    <xf numFmtId="49" fontId="8" fillId="7" borderId="0" xfId="0" applyNumberFormat="1" applyFont="1" applyFill="1">
      <alignment vertical="center"/>
    </xf>
    <xf numFmtId="49" fontId="27" fillId="3" borderId="0" xfId="2" applyNumberFormat="1" applyFont="1" applyBorder="1">
      <alignment vertical="center"/>
    </xf>
    <xf numFmtId="49" fontId="3" fillId="3" borderId="0" xfId="2" applyNumberFormat="1" applyBorder="1">
      <alignment vertical="center"/>
    </xf>
    <xf numFmtId="49" fontId="2" fillId="2" borderId="0" xfId="1" applyNumberFormat="1" applyBorder="1">
      <alignment vertical="center"/>
    </xf>
    <xf numFmtId="49" fontId="5" fillId="0" borderId="0" xfId="0" applyNumberFormat="1" applyFont="1" applyAlignment="1">
      <alignment vertical="center" wrapText="1"/>
    </xf>
    <xf numFmtId="49" fontId="0" fillId="40" borderId="0" xfId="0" applyNumberFormat="1" applyFill="1">
      <alignment vertical="center"/>
    </xf>
    <xf numFmtId="49" fontId="0" fillId="41" borderId="0" xfId="0" applyNumberFormat="1" applyFill="1">
      <alignment vertical="center"/>
    </xf>
    <xf numFmtId="49" fontId="25" fillId="6" borderId="16" xfId="1" applyNumberFormat="1" applyFont="1" applyFill="1" applyBorder="1">
      <alignment vertical="center"/>
    </xf>
    <xf numFmtId="49" fontId="2" fillId="41" borderId="16" xfId="1" applyNumberFormat="1" applyFill="1" applyBorder="1">
      <alignment vertical="center"/>
    </xf>
    <xf numFmtId="49" fontId="2" fillId="2" borderId="12" xfId="1" applyNumberFormat="1" applyBorder="1">
      <alignment vertical="center"/>
    </xf>
    <xf numFmtId="49" fontId="2" fillId="5" borderId="12" xfId="1" applyNumberFormat="1" applyFill="1" applyBorder="1">
      <alignment vertical="center"/>
    </xf>
    <xf numFmtId="49" fontId="26" fillId="6" borderId="0" xfId="0" applyNumberFormat="1" applyFont="1" applyFill="1">
      <alignment vertical="center"/>
    </xf>
    <xf numFmtId="49" fontId="8" fillId="39" borderId="0" xfId="0" applyNumberFormat="1" applyFont="1" applyFill="1">
      <alignment vertical="center"/>
    </xf>
    <xf numFmtId="49" fontId="2" fillId="2" borderId="24" xfId="1" applyNumberFormat="1" applyBorder="1">
      <alignment vertical="center"/>
    </xf>
    <xf numFmtId="49" fontId="15" fillId="10" borderId="24" xfId="8" applyNumberFormat="1" applyBorder="1">
      <alignment vertical="center"/>
    </xf>
    <xf numFmtId="49" fontId="2" fillId="2" borderId="25" xfId="1" applyNumberFormat="1" applyBorder="1">
      <alignment vertical="center"/>
    </xf>
    <xf numFmtId="49" fontId="0" fillId="39" borderId="0" xfId="0" applyNumberFormat="1" applyFill="1">
      <alignment vertical="center"/>
    </xf>
    <xf numFmtId="49" fontId="0" fillId="0" borderId="24" xfId="0" applyNumberFormat="1" applyBorder="1">
      <alignment vertical="center"/>
    </xf>
    <xf numFmtId="49" fontId="5" fillId="0" borderId="24" xfId="0" applyNumberFormat="1" applyFont="1" applyBorder="1">
      <alignment vertical="center"/>
    </xf>
    <xf numFmtId="49" fontId="0" fillId="39" borderId="25" xfId="0" applyNumberFormat="1" applyFill="1" applyBorder="1">
      <alignment vertical="center"/>
    </xf>
    <xf numFmtId="179" fontId="4" fillId="0" borderId="0" xfId="0" applyNumberFormat="1" applyFont="1">
      <alignment vertical="center"/>
    </xf>
    <xf numFmtId="10" fontId="2" fillId="2" borderId="28" xfId="1" applyNumberFormat="1" applyBorder="1">
      <alignment vertical="center"/>
    </xf>
    <xf numFmtId="10" fontId="2" fillId="2" borderId="29" xfId="1" applyNumberFormat="1" applyBorder="1">
      <alignment vertical="center"/>
    </xf>
    <xf numFmtId="10" fontId="2" fillId="2" borderId="30" xfId="1" applyNumberFormat="1" applyBorder="1">
      <alignment vertical="center"/>
    </xf>
    <xf numFmtId="49" fontId="25" fillId="2" borderId="24" xfId="1" applyNumberFormat="1" applyFont="1" applyBorder="1">
      <alignment vertical="center"/>
    </xf>
    <xf numFmtId="179" fontId="25" fillId="2" borderId="0" xfId="1" applyNumberFormat="1" applyFont="1" applyBorder="1">
      <alignment vertical="center"/>
    </xf>
    <xf numFmtId="0" fontId="25" fillId="2" borderId="0" xfId="1" applyFont="1">
      <alignment vertical="center"/>
    </xf>
    <xf numFmtId="179" fontId="2" fillId="2" borderId="0" xfId="1" applyNumberFormat="1">
      <alignment vertical="center"/>
    </xf>
    <xf numFmtId="10" fontId="28" fillId="10" borderId="0" xfId="8" applyNumberFormat="1" applyFont="1">
      <alignment vertical="center"/>
    </xf>
    <xf numFmtId="179" fontId="0" fillId="0" borderId="11" xfId="0" applyNumberFormat="1" applyBorder="1">
      <alignment vertical="center"/>
    </xf>
    <xf numFmtId="10" fontId="5" fillId="0" borderId="12" xfId="0" applyNumberFormat="1" applyFont="1" applyBorder="1">
      <alignment vertical="center"/>
    </xf>
    <xf numFmtId="10" fontId="5" fillId="0" borderId="13" xfId="0" applyNumberFormat="1" applyFont="1" applyBorder="1">
      <alignment vertical="center"/>
    </xf>
    <xf numFmtId="179" fontId="5" fillId="0" borderId="11" xfId="0" applyNumberFormat="1" applyFont="1" applyBorder="1">
      <alignment vertical="center"/>
    </xf>
    <xf numFmtId="14" fontId="5" fillId="0" borderId="0" xfId="0" applyNumberFormat="1" applyFont="1" applyBorder="1">
      <alignment vertical="center"/>
    </xf>
    <xf numFmtId="179" fontId="2" fillId="2" borderId="11" xfId="1" applyNumberFormat="1" applyBorder="1">
      <alignment vertical="center"/>
    </xf>
    <xf numFmtId="179" fontId="15" fillId="10" borderId="0" xfId="8" applyNumberFormat="1" applyBorder="1">
      <alignment vertical="center"/>
    </xf>
    <xf numFmtId="179" fontId="5" fillId="0" borderId="16" xfId="0" applyNumberFormat="1" applyFont="1" applyBorder="1">
      <alignment vertical="center"/>
    </xf>
    <xf numFmtId="14" fontId="5" fillId="0" borderId="16" xfId="0" applyNumberFormat="1" applyFont="1" applyBorder="1">
      <alignment vertical="center"/>
    </xf>
    <xf numFmtId="179" fontId="15" fillId="10" borderId="16" xfId="8" applyNumberFormat="1" applyBorder="1">
      <alignment vertical="center"/>
    </xf>
    <xf numFmtId="179" fontId="5" fillId="0" borderId="31" xfId="0" applyNumberFormat="1" applyFont="1" applyBorder="1">
      <alignment vertical="center"/>
    </xf>
    <xf numFmtId="14" fontId="5" fillId="0" borderId="32" xfId="0" applyNumberFormat="1" applyFont="1" applyBorder="1">
      <alignment vertical="center"/>
    </xf>
    <xf numFmtId="179" fontId="5" fillId="0" borderId="32" xfId="0" applyNumberFormat="1" applyFont="1" applyBorder="1">
      <alignment vertical="center"/>
    </xf>
    <xf numFmtId="179" fontId="15" fillId="10" borderId="32" xfId="8" applyNumberFormat="1" applyBorder="1">
      <alignment vertical="center"/>
    </xf>
    <xf numFmtId="179" fontId="5" fillId="0" borderId="34" xfId="0" applyNumberFormat="1" applyFont="1" applyBorder="1">
      <alignment vertical="center"/>
    </xf>
    <xf numFmtId="14" fontId="5" fillId="0" borderId="19" xfId="0" applyNumberFormat="1" applyFont="1" applyBorder="1">
      <alignment vertical="center"/>
    </xf>
    <xf numFmtId="179" fontId="5" fillId="0" borderId="19" xfId="0" applyNumberFormat="1" applyFont="1" applyBorder="1">
      <alignment vertical="center"/>
    </xf>
    <xf numFmtId="179" fontId="15" fillId="10" borderId="19" xfId="8" applyNumberFormat="1" applyBorder="1">
      <alignment vertical="center"/>
    </xf>
    <xf numFmtId="179" fontId="2" fillId="2" borderId="16" xfId="1" applyNumberFormat="1" applyBorder="1">
      <alignment vertical="center"/>
    </xf>
    <xf numFmtId="49" fontId="25" fillId="2" borderId="16" xfId="1" applyNumberFormat="1" applyFont="1" applyBorder="1" applyAlignment="1">
      <alignment horizontal="left" vertical="center"/>
    </xf>
    <xf numFmtId="14" fontId="15" fillId="10" borderId="16" xfId="8" applyNumberFormat="1" applyBorder="1" applyAlignment="1">
      <alignment horizontal="left" vertical="center"/>
    </xf>
    <xf numFmtId="14" fontId="5" fillId="0" borderId="0" xfId="0" applyNumberFormat="1" applyFont="1">
      <alignment vertical="center"/>
    </xf>
    <xf numFmtId="49" fontId="3" fillId="3" borderId="0" xfId="2" applyNumberFormat="1">
      <alignment vertical="center"/>
    </xf>
    <xf numFmtId="10" fontId="3" fillId="3" borderId="0" xfId="2" applyNumberFormat="1">
      <alignment vertical="center"/>
    </xf>
    <xf numFmtId="180" fontId="0" fillId="0" borderId="16" xfId="0" applyNumberFormat="1" applyBorder="1">
      <alignment vertical="center"/>
    </xf>
    <xf numFmtId="49" fontId="0" fillId="0" borderId="16" xfId="0" applyNumberFormat="1" applyBorder="1">
      <alignment vertical="center"/>
    </xf>
    <xf numFmtId="49" fontId="5" fillId="39" borderId="16" xfId="0" applyNumberFormat="1" applyFont="1" applyFill="1" applyBorder="1">
      <alignment vertical="center"/>
    </xf>
    <xf numFmtId="49" fontId="27" fillId="3" borderId="16" xfId="2" applyNumberFormat="1" applyFont="1" applyBorder="1">
      <alignment vertical="center"/>
    </xf>
    <xf numFmtId="0" fontId="27" fillId="3" borderId="16" xfId="2" applyFont="1" applyBorder="1">
      <alignment vertical="center"/>
    </xf>
    <xf numFmtId="14" fontId="27" fillId="3" borderId="16" xfId="2" applyNumberFormat="1" applyFont="1" applyBorder="1">
      <alignment vertical="center"/>
    </xf>
    <xf numFmtId="0" fontId="27" fillId="3" borderId="0" xfId="2" applyFont="1">
      <alignment vertical="center"/>
    </xf>
    <xf numFmtId="0" fontId="0" fillId="0" borderId="0" xfId="0">
      <alignment vertical="center"/>
    </xf>
    <xf numFmtId="0" fontId="5" fillId="0" borderId="0" xfId="0" applyFont="1">
      <alignment vertical="center"/>
    </xf>
    <xf numFmtId="49" fontId="0" fillId="0" borderId="0" xfId="0" applyNumberFormat="1">
      <alignment vertical="center"/>
    </xf>
    <xf numFmtId="179" fontId="0" fillId="0" borderId="0" xfId="0" applyNumberFormat="1">
      <alignment vertical="center"/>
    </xf>
    <xf numFmtId="0" fontId="0" fillId="0" borderId="13" xfId="0" applyBorder="1">
      <alignment vertical="center"/>
    </xf>
    <xf numFmtId="49" fontId="5" fillId="0" borderId="15" xfId="0" applyNumberFormat="1" applyFont="1" applyBorder="1">
      <alignment vertical="center"/>
    </xf>
    <xf numFmtId="49" fontId="0" fillId="0" borderId="11"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49" fontId="5" fillId="0" borderId="11" xfId="0" applyNumberFormat="1" applyFont="1" applyBorder="1">
      <alignment vertical="center"/>
    </xf>
    <xf numFmtId="49" fontId="5" fillId="0" borderId="12" xfId="0" applyNumberFormat="1" applyFont="1" applyBorder="1">
      <alignment vertical="center"/>
    </xf>
    <xf numFmtId="0" fontId="0" fillId="0" borderId="14" xfId="0"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0" fontId="0" fillId="0" borderId="19" xfId="0" applyBorder="1">
      <alignment vertical="center"/>
    </xf>
    <xf numFmtId="10" fontId="26" fillId="42" borderId="16" xfId="0" applyNumberFormat="1" applyFont="1" applyFill="1" applyBorder="1">
      <alignment vertical="center"/>
    </xf>
    <xf numFmtId="178" fontId="0" fillId="42" borderId="16" xfId="0" applyNumberFormat="1" applyFill="1" applyBorder="1" applyAlignment="1">
      <alignment horizontal="right" vertical="center"/>
    </xf>
    <xf numFmtId="179" fontId="9" fillId="0" borderId="0" xfId="0" applyNumberFormat="1" applyFont="1" applyBorder="1">
      <alignment vertical="center"/>
    </xf>
    <xf numFmtId="49" fontId="26" fillId="0" borderId="11" xfId="0" applyNumberFormat="1" applyFont="1" applyBorder="1">
      <alignment vertical="center"/>
    </xf>
    <xf numFmtId="0" fontId="26" fillId="0" borderId="0" xfId="0" applyFont="1" applyBorder="1">
      <alignment vertical="center"/>
    </xf>
    <xf numFmtId="10" fontId="0" fillId="0" borderId="16" xfId="0" applyNumberFormat="1" applyBorder="1">
      <alignment vertical="center"/>
    </xf>
    <xf numFmtId="178" fontId="0" fillId="0" borderId="16" xfId="0" applyNumberFormat="1" applyBorder="1">
      <alignment vertical="center"/>
    </xf>
    <xf numFmtId="178" fontId="5" fillId="0" borderId="16" xfId="0" applyNumberFormat="1" applyFont="1" applyBorder="1">
      <alignment vertical="center"/>
    </xf>
    <xf numFmtId="178" fontId="15" fillId="10" borderId="16" xfId="8" applyNumberFormat="1" applyBorder="1">
      <alignment vertical="center"/>
    </xf>
    <xf numFmtId="178" fontId="2" fillId="2" borderId="16" xfId="1" applyNumberFormat="1" applyBorder="1">
      <alignment vertical="center"/>
    </xf>
    <xf numFmtId="178" fontId="3" fillId="3" borderId="16" xfId="2" applyNumberFormat="1" applyBorder="1">
      <alignment vertical="center"/>
    </xf>
    <xf numFmtId="10" fontId="0" fillId="4" borderId="0" xfId="0" applyNumberFormat="1" applyFill="1">
      <alignment vertical="center"/>
    </xf>
    <xf numFmtId="179" fontId="0" fillId="4" borderId="0" xfId="0" applyNumberFormat="1" applyFill="1">
      <alignment vertical="center"/>
    </xf>
    <xf numFmtId="49" fontId="0" fillId="4" borderId="16" xfId="0" applyNumberFormat="1" applyFill="1" applyBorder="1">
      <alignment vertical="center"/>
    </xf>
    <xf numFmtId="0" fontId="0" fillId="4" borderId="16" xfId="0" applyFill="1" applyBorder="1">
      <alignment vertical="center"/>
    </xf>
    <xf numFmtId="10" fontId="0" fillId="4" borderId="16" xfId="0" applyNumberFormat="1" applyFill="1" applyBorder="1">
      <alignment vertical="center"/>
    </xf>
    <xf numFmtId="0" fontId="0" fillId="4" borderId="0" xfId="0" applyFill="1">
      <alignment vertical="center"/>
    </xf>
    <xf numFmtId="49" fontId="5" fillId="0" borderId="16" xfId="0" applyNumberFormat="1" applyFont="1" applyBorder="1">
      <alignment vertical="center"/>
    </xf>
    <xf numFmtId="49" fontId="5" fillId="4" borderId="16" xfId="0" applyNumberFormat="1" applyFont="1" applyFill="1" applyBorder="1">
      <alignment vertical="center"/>
    </xf>
    <xf numFmtId="14" fontId="0" fillId="4" borderId="16" xfId="0" applyNumberFormat="1" applyFill="1" applyBorder="1">
      <alignment vertical="center"/>
    </xf>
    <xf numFmtId="49" fontId="5" fillId="7" borderId="16" xfId="0" applyNumberFormat="1" applyFont="1" applyFill="1" applyBorder="1">
      <alignment vertical="center"/>
    </xf>
    <xf numFmtId="0" fontId="0" fillId="7" borderId="16" xfId="0" applyFill="1" applyBorder="1">
      <alignment vertical="center"/>
    </xf>
    <xf numFmtId="14" fontId="0" fillId="7" borderId="16" xfId="0" applyNumberFormat="1" applyFill="1" applyBorder="1">
      <alignment vertical="center"/>
    </xf>
    <xf numFmtId="49" fontId="0" fillId="7" borderId="0" xfId="0" applyNumberFormat="1" applyFill="1">
      <alignment vertical="center"/>
    </xf>
    <xf numFmtId="14" fontId="0" fillId="7" borderId="0" xfId="0" applyNumberFormat="1" applyFill="1">
      <alignment vertical="center"/>
    </xf>
    <xf numFmtId="10" fontId="5" fillId="4" borderId="0" xfId="0" applyNumberFormat="1" applyFont="1" applyFill="1">
      <alignment vertical="center"/>
    </xf>
    <xf numFmtId="49" fontId="5" fillId="4" borderId="0" xfId="0" applyNumberFormat="1" applyFont="1" applyFill="1">
      <alignment vertical="center"/>
    </xf>
    <xf numFmtId="0" fontId="5" fillId="4" borderId="0" xfId="0" applyFont="1" applyFill="1">
      <alignment vertical="center"/>
    </xf>
    <xf numFmtId="178" fontId="5" fillId="4" borderId="0" xfId="0" applyNumberFormat="1" applyFont="1" applyFill="1">
      <alignment vertical="center"/>
    </xf>
    <xf numFmtId="0" fontId="5" fillId="43" borderId="0" xfId="0" applyFont="1" applyFill="1">
      <alignment vertical="center"/>
    </xf>
    <xf numFmtId="49" fontId="5" fillId="43" borderId="16" xfId="0" applyNumberFormat="1" applyFont="1" applyFill="1" applyBorder="1">
      <alignment vertical="center"/>
    </xf>
    <xf numFmtId="0" fontId="5" fillId="43" borderId="16" xfId="0" applyFont="1" applyFill="1" applyBorder="1">
      <alignment vertical="center"/>
    </xf>
    <xf numFmtId="14" fontId="5" fillId="43" borderId="16" xfId="0" applyNumberFormat="1" applyFont="1" applyFill="1" applyBorder="1">
      <alignment vertical="center"/>
    </xf>
    <xf numFmtId="179" fontId="26" fillId="0" borderId="0" xfId="0" applyNumberFormat="1" applyFont="1" applyAlignment="1">
      <alignment vertical="top"/>
    </xf>
    <xf numFmtId="49" fontId="28" fillId="10" borderId="0" xfId="8" applyNumberFormat="1" applyFont="1">
      <alignment vertical="center"/>
    </xf>
    <xf numFmtId="10" fontId="5" fillId="4" borderId="0" xfId="0" applyNumberFormat="1" applyFont="1" applyFill="1" applyBorder="1">
      <alignment vertical="center"/>
    </xf>
    <xf numFmtId="179" fontId="5" fillId="4" borderId="11" xfId="0" applyNumberFormat="1" applyFont="1" applyFill="1" applyBorder="1">
      <alignment vertical="center"/>
    </xf>
    <xf numFmtId="179" fontId="5" fillId="4" borderId="0" xfId="0" applyNumberFormat="1" applyFont="1" applyFill="1" applyBorder="1">
      <alignment vertical="center"/>
    </xf>
    <xf numFmtId="49" fontId="5" fillId="44" borderId="24" xfId="0" applyNumberFormat="1" applyFont="1" applyFill="1" applyBorder="1">
      <alignment vertical="center"/>
    </xf>
    <xf numFmtId="179" fontId="0" fillId="44" borderId="0" xfId="0" applyNumberFormat="1" applyFill="1" applyBorder="1">
      <alignment vertical="center"/>
    </xf>
    <xf numFmtId="49" fontId="5" fillId="44" borderId="15" xfId="0" applyNumberFormat="1" applyFont="1" applyFill="1" applyBorder="1">
      <alignment vertical="center"/>
    </xf>
    <xf numFmtId="0" fontId="0" fillId="44" borderId="1" xfId="0" applyFill="1" applyBorder="1">
      <alignment vertical="center"/>
    </xf>
    <xf numFmtId="49" fontId="25" fillId="2" borderId="11" xfId="1" applyNumberFormat="1" applyFont="1" applyBorder="1">
      <alignment vertical="center"/>
    </xf>
    <xf numFmtId="10" fontId="0" fillId="5" borderId="0" xfId="0" applyNumberFormat="1" applyFill="1" applyBorder="1">
      <alignment vertical="center"/>
    </xf>
    <xf numFmtId="10" fontId="5" fillId="5" borderId="0" xfId="0" applyNumberFormat="1" applyFont="1" applyFill="1" applyBorder="1">
      <alignment vertical="center"/>
    </xf>
    <xf numFmtId="49" fontId="2" fillId="41" borderId="11" xfId="1" applyNumberFormat="1" applyFill="1" applyBorder="1">
      <alignment vertical="center"/>
    </xf>
    <xf numFmtId="49" fontId="5" fillId="5" borderId="24" xfId="0" applyNumberFormat="1" applyFont="1" applyFill="1" applyBorder="1">
      <alignment vertical="center"/>
    </xf>
    <xf numFmtId="179" fontId="5" fillId="5" borderId="0" xfId="0" applyNumberFormat="1" applyFont="1" applyFill="1" applyBorder="1">
      <alignment vertical="center"/>
    </xf>
    <xf numFmtId="0" fontId="5" fillId="4" borderId="16" xfId="0" applyFont="1" applyFill="1" applyBorder="1">
      <alignment vertical="center"/>
    </xf>
    <xf numFmtId="0" fontId="5" fillId="0" borderId="16" xfId="0" applyFont="1" applyBorder="1" applyAlignment="1">
      <alignment horizontal="left" vertical="top" wrapText="1"/>
    </xf>
    <xf numFmtId="0" fontId="5" fillId="0" borderId="16" xfId="0" applyFont="1" applyBorder="1" applyAlignment="1">
      <alignment horizontal="left" vertical="top"/>
    </xf>
    <xf numFmtId="10" fontId="26" fillId="0" borderId="0" xfId="0" applyNumberFormat="1" applyFont="1">
      <alignment vertical="center"/>
    </xf>
    <xf numFmtId="178" fontId="26" fillId="0" borderId="0" xfId="0" applyNumberFormat="1" applyFont="1">
      <alignment vertical="center"/>
    </xf>
    <xf numFmtId="0" fontId="5" fillId="0" borderId="36" xfId="0" applyFont="1" applyBorder="1">
      <alignment vertical="center"/>
    </xf>
    <xf numFmtId="179" fontId="15" fillId="10" borderId="16" xfId="8" applyNumberFormat="1" applyBorder="1" applyAlignment="1">
      <alignment horizontal="left" vertical="center"/>
    </xf>
    <xf numFmtId="179" fontId="15" fillId="10" borderId="18" xfId="8" applyNumberFormat="1" applyBorder="1" applyAlignment="1">
      <alignment horizontal="left" vertical="center"/>
    </xf>
    <xf numFmtId="179" fontId="2" fillId="2" borderId="18" xfId="1" applyNumberFormat="1" applyBorder="1" applyAlignment="1">
      <alignment horizontal="left" vertical="center"/>
    </xf>
    <xf numFmtId="179" fontId="15" fillId="10" borderId="33" xfId="8" applyNumberFormat="1" applyBorder="1" applyAlignment="1">
      <alignment horizontal="left" vertical="center"/>
    </xf>
    <xf numFmtId="179" fontId="15" fillId="10" borderId="35" xfId="8" applyNumberFormat="1" applyBorder="1" applyAlignment="1">
      <alignment horizontal="left" vertical="center"/>
    </xf>
    <xf numFmtId="179" fontId="24" fillId="0" borderId="0" xfId="0" applyNumberFormat="1" applyFont="1" applyBorder="1">
      <alignment vertical="center"/>
    </xf>
    <xf numFmtId="0" fontId="5" fillId="39" borderId="16" xfId="0" applyFont="1" applyFill="1" applyBorder="1">
      <alignment vertical="center"/>
    </xf>
    <xf numFmtId="179" fontId="5" fillId="39" borderId="16" xfId="0" applyNumberFormat="1" applyFont="1" applyFill="1" applyBorder="1">
      <alignment vertical="center"/>
    </xf>
    <xf numFmtId="178" fontId="5" fillId="39" borderId="16" xfId="0" applyNumberFormat="1" applyFont="1" applyFill="1" applyBorder="1">
      <alignment vertical="center"/>
    </xf>
    <xf numFmtId="0" fontId="5" fillId="45" borderId="16" xfId="0" applyFont="1" applyFill="1" applyBorder="1">
      <alignment vertical="center"/>
    </xf>
    <xf numFmtId="179" fontId="5" fillId="45" borderId="16" xfId="0" applyNumberFormat="1" applyFont="1" applyFill="1" applyBorder="1">
      <alignment vertical="center"/>
    </xf>
    <xf numFmtId="10" fontId="5" fillId="0" borderId="36" xfId="0" applyNumberFormat="1" applyFont="1" applyBorder="1" applyAlignment="1">
      <alignment horizontal="center" vertical="center" wrapText="1"/>
    </xf>
    <xf numFmtId="179" fontId="30" fillId="6" borderId="0" xfId="0" applyNumberFormat="1" applyFont="1" applyFill="1" applyAlignment="1">
      <alignment horizontal="left" vertical="top" wrapText="1"/>
    </xf>
    <xf numFmtId="179" fontId="30" fillId="6" borderId="0" xfId="0" applyNumberFormat="1" applyFont="1" applyFill="1" applyAlignment="1">
      <alignment horizontal="left" vertical="top"/>
    </xf>
    <xf numFmtId="49" fontId="26" fillId="6" borderId="0" xfId="0" applyNumberFormat="1" applyFont="1" applyFill="1" applyAlignment="1">
      <alignment horizontal="left" vertical="top" wrapText="1"/>
    </xf>
    <xf numFmtId="49" fontId="5" fillId="6" borderId="0" xfId="0" applyNumberFormat="1" applyFont="1" applyFill="1" applyAlignment="1">
      <alignment horizontal="left" vertical="top"/>
    </xf>
    <xf numFmtId="49" fontId="5" fillId="6" borderId="0" xfId="0" applyNumberFormat="1" applyFont="1" applyFill="1" applyAlignment="1">
      <alignment horizontal="left" vertical="top" wrapText="1"/>
    </xf>
    <xf numFmtId="49" fontId="26" fillId="6" borderId="0" xfId="0" applyNumberFormat="1" applyFont="1" applyFill="1" applyAlignment="1">
      <alignment horizontal="left" vertical="top"/>
    </xf>
    <xf numFmtId="49" fontId="5" fillId="6" borderId="23" xfId="0" applyNumberFormat="1" applyFont="1" applyFill="1" applyBorder="1" applyAlignment="1">
      <alignment horizontal="left" vertical="top"/>
    </xf>
    <xf numFmtId="49" fontId="0" fillId="6" borderId="23" xfId="0" applyNumberFormat="1" applyFill="1" applyBorder="1" applyAlignment="1">
      <alignment horizontal="left" vertical="top"/>
    </xf>
    <xf numFmtId="0" fontId="5" fillId="6" borderId="0" xfId="0" applyFont="1" applyFill="1" applyAlignment="1">
      <alignment horizontal="left" vertical="top" wrapText="1"/>
    </xf>
    <xf numFmtId="0" fontId="5" fillId="6" borderId="0" xfId="0" applyFont="1" applyFill="1" applyAlignment="1">
      <alignment horizontal="left" vertical="top"/>
    </xf>
    <xf numFmtId="49" fontId="0" fillId="6" borderId="0" xfId="0" applyNumberFormat="1" applyFill="1" applyAlignment="1">
      <alignment horizontal="left" vertical="top"/>
    </xf>
    <xf numFmtId="49" fontId="5" fillId="4" borderId="16" xfId="0" applyNumberFormat="1" applyFont="1" applyFill="1" applyBorder="1" applyAlignment="1">
      <alignment horizontal="center" vertical="center"/>
    </xf>
    <xf numFmtId="49" fontId="5" fillId="0" borderId="16" xfId="0" applyNumberFormat="1" applyFont="1" applyBorder="1" applyAlignment="1">
      <alignment horizontal="center" vertical="center"/>
    </xf>
    <xf numFmtId="49" fontId="28" fillId="6" borderId="1" xfId="8" applyNumberFormat="1" applyFont="1" applyFill="1" applyBorder="1" applyAlignment="1">
      <alignment horizontal="left" vertical="top" wrapText="1"/>
    </xf>
    <xf numFmtId="49" fontId="28" fillId="6" borderId="1" xfId="8" applyNumberFormat="1" applyFont="1" applyFill="1" applyBorder="1" applyAlignment="1">
      <alignment horizontal="left" vertical="top"/>
    </xf>
    <xf numFmtId="49" fontId="5" fillId="6" borderId="23" xfId="0" applyNumberFormat="1" applyFont="1" applyFill="1" applyBorder="1" applyAlignment="1">
      <alignment horizontal="left" vertical="top" wrapText="1"/>
    </xf>
    <xf numFmtId="49" fontId="28" fillId="10" borderId="1" xfId="8" applyNumberFormat="1" applyFont="1" applyBorder="1" applyAlignment="1">
      <alignment horizontal="left" vertical="top" wrapText="1"/>
    </xf>
    <xf numFmtId="49" fontId="28" fillId="10" borderId="1" xfId="8" applyNumberFormat="1" applyFont="1" applyBorder="1" applyAlignment="1">
      <alignment horizontal="left" vertical="top"/>
    </xf>
    <xf numFmtId="49" fontId="25" fillId="2" borderId="0" xfId="1" applyNumberFormat="1" applyFont="1" applyAlignment="1">
      <alignment horizontal="left" vertical="top" wrapText="1"/>
    </xf>
    <xf numFmtId="49" fontId="25" fillId="2" borderId="0" xfId="1" applyNumberFormat="1" applyFont="1" applyAlignment="1">
      <alignment horizontal="left" vertical="top"/>
    </xf>
    <xf numFmtId="49" fontId="6" fillId="6" borderId="1" xfId="0" applyNumberFormat="1" applyFont="1" applyFill="1" applyBorder="1" applyAlignment="1">
      <alignment horizontal="left" vertical="top" wrapText="1"/>
    </xf>
    <xf numFmtId="49" fontId="0" fillId="6" borderId="1" xfId="0" applyNumberFormat="1" applyFill="1" applyBorder="1" applyAlignment="1">
      <alignment horizontal="left" vertical="top"/>
    </xf>
    <xf numFmtId="179" fontId="0" fillId="0" borderId="20" xfId="0" applyNumberFormat="1" applyBorder="1" applyAlignment="1">
      <alignment horizontal="center" vertical="center"/>
    </xf>
    <xf numFmtId="179" fontId="0" fillId="0" borderId="21" xfId="0" applyNumberFormat="1" applyBorder="1" applyAlignment="1">
      <alignment horizontal="center" vertical="center"/>
    </xf>
    <xf numFmtId="179" fontId="0" fillId="0" borderId="22" xfId="0" applyNumberFormat="1" applyBorder="1" applyAlignment="1">
      <alignment horizontal="center" vertical="center"/>
    </xf>
    <xf numFmtId="49" fontId="5" fillId="42" borderId="16" xfId="0" applyNumberFormat="1" applyFont="1" applyFill="1" applyBorder="1" applyAlignment="1">
      <alignment horizontal="center" vertical="center"/>
    </xf>
    <xf numFmtId="179" fontId="0" fillId="42" borderId="16" xfId="0" applyNumberFormat="1" applyFill="1" applyBorder="1" applyAlignment="1">
      <alignment horizontal="center" vertical="center"/>
    </xf>
    <xf numFmtId="0" fontId="0" fillId="0" borderId="16" xfId="0" applyBorder="1" applyAlignment="1">
      <alignment horizontal="center" vertical="center"/>
    </xf>
    <xf numFmtId="49" fontId="5" fillId="6" borderId="1" xfId="0" applyNumberFormat="1" applyFont="1" applyFill="1" applyBorder="1" applyAlignment="1">
      <alignment horizontal="left" vertical="top" wrapText="1"/>
    </xf>
    <xf numFmtId="49" fontId="5" fillId="6" borderId="1" xfId="0" applyNumberFormat="1" applyFont="1" applyFill="1" applyBorder="1" applyAlignment="1">
      <alignment horizontal="left" vertical="top"/>
    </xf>
    <xf numFmtId="0" fontId="0" fillId="0" borderId="20" xfId="0" applyBorder="1" applyAlignment="1">
      <alignment horizontal="center" vertical="center"/>
    </xf>
    <xf numFmtId="0" fontId="0" fillId="0" borderId="21" xfId="0" applyBorder="1" applyAlignment="1">
      <alignment horizontal="center" vertical="center"/>
    </xf>
    <xf numFmtId="0" fontId="0" fillId="0" borderId="22" xfId="0" applyBorder="1" applyAlignment="1">
      <alignment horizontal="center" vertical="center"/>
    </xf>
    <xf numFmtId="178" fontId="0" fillId="0" borderId="20" xfId="0" applyNumberFormat="1" applyBorder="1" applyAlignment="1">
      <alignment horizontal="center" vertical="center"/>
    </xf>
    <xf numFmtId="178" fontId="0" fillId="0" borderId="21" xfId="0" applyNumberFormat="1" applyBorder="1" applyAlignment="1">
      <alignment horizontal="center" vertical="center"/>
    </xf>
    <xf numFmtId="178" fontId="0" fillId="0" borderId="22" xfId="0" applyNumberFormat="1" applyBorder="1" applyAlignment="1">
      <alignment horizontal="center" vertical="center"/>
    </xf>
    <xf numFmtId="178" fontId="5" fillId="42" borderId="20" xfId="0" applyNumberFormat="1" applyFont="1" applyFill="1" applyBorder="1" applyAlignment="1">
      <alignment horizontal="center" vertical="center"/>
    </xf>
    <xf numFmtId="178" fontId="5" fillId="42" borderId="22" xfId="0" applyNumberFormat="1" applyFont="1" applyFill="1" applyBorder="1" applyAlignment="1">
      <alignment horizontal="center" vertical="center"/>
    </xf>
    <xf numFmtId="179" fontId="0" fillId="42" borderId="20" xfId="0" applyNumberFormat="1" applyFill="1" applyBorder="1" applyAlignment="1">
      <alignment horizontal="center" vertical="center"/>
    </xf>
    <xf numFmtId="179" fontId="0" fillId="42" borderId="22" xfId="0" applyNumberFormat="1" applyFill="1" applyBorder="1" applyAlignment="1">
      <alignment horizontal="center" vertical="center"/>
    </xf>
    <xf numFmtId="178" fontId="0" fillId="42" borderId="20" xfId="0" applyNumberFormat="1" applyFill="1" applyBorder="1" applyAlignment="1">
      <alignment horizontal="center" vertical="center"/>
    </xf>
    <xf numFmtId="178" fontId="0" fillId="42" borderId="22" xfId="0" applyNumberFormat="1" applyFill="1" applyBorder="1" applyAlignment="1">
      <alignment horizontal="center" vertical="center"/>
    </xf>
  </cellXfs>
  <cellStyles count="42">
    <cellStyle name="20% - 着色 1" xfId="19" builtinId="30" customBuiltin="1"/>
    <cellStyle name="20% - 着色 2" xfId="23" builtinId="34" customBuiltin="1"/>
    <cellStyle name="20% - 着色 3" xfId="27" builtinId="38" customBuiltin="1"/>
    <cellStyle name="20% - 着色 4" xfId="31" builtinId="42" customBuiltin="1"/>
    <cellStyle name="20% - 着色 5" xfId="35" builtinId="46" customBuiltin="1"/>
    <cellStyle name="20% - 着色 6" xfId="39" builtinId="50" customBuiltin="1"/>
    <cellStyle name="40% - 着色 1" xfId="20" builtinId="31" customBuiltin="1"/>
    <cellStyle name="40% - 着色 2" xfId="24" builtinId="35" customBuiltin="1"/>
    <cellStyle name="40% - 着色 3" xfId="28" builtinId="39" customBuiltin="1"/>
    <cellStyle name="40% - 着色 4" xfId="32" builtinId="43" customBuiltin="1"/>
    <cellStyle name="40% - 着色 5" xfId="36" builtinId="47" customBuiltin="1"/>
    <cellStyle name="40% - 着色 6" xfId="40" builtinId="51" customBuiltin="1"/>
    <cellStyle name="60% - 着色 1" xfId="21" builtinId="32" customBuiltin="1"/>
    <cellStyle name="60% - 着色 2" xfId="25" builtinId="36" customBuiltin="1"/>
    <cellStyle name="60% - 着色 3" xfId="29" builtinId="40" customBuiltin="1"/>
    <cellStyle name="60% - 着色 4" xfId="33" builtinId="44" customBuiltin="1"/>
    <cellStyle name="60% - 着色 5" xfId="37" builtinId="48" customBuiltin="1"/>
    <cellStyle name="60% - 着色 6" xfId="41" builtinId="52" customBuiltin="1"/>
    <cellStyle name="标题" xfId="3" builtinId="15" customBuiltin="1"/>
    <cellStyle name="标题 1" xfId="4" builtinId="16" customBuiltin="1"/>
    <cellStyle name="标题 2" xfId="5" builtinId="17" customBuiltin="1"/>
    <cellStyle name="标题 3" xfId="6" builtinId="18" customBuiltin="1"/>
    <cellStyle name="标题 4" xfId="7" builtinId="19" customBuiltin="1"/>
    <cellStyle name="差" xfId="2" builtinId="27" customBuiltin="1"/>
    <cellStyle name="常规" xfId="0" builtinId="0"/>
    <cellStyle name="好" xfId="1"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适中" xfId="8" builtinId="28" customBuiltin="1"/>
    <cellStyle name="输出" xfId="10" builtinId="21" customBuiltin="1"/>
    <cellStyle name="输入" xfId="9" builtinId="20" customBuiltin="1"/>
    <cellStyle name="着色 1" xfId="18" builtinId="29" customBuiltin="1"/>
    <cellStyle name="着色 2" xfId="22" builtinId="33" customBuiltin="1"/>
    <cellStyle name="着色 3" xfId="26" builtinId="37" customBuiltin="1"/>
    <cellStyle name="着色 4" xfId="30" builtinId="41" customBuiltin="1"/>
    <cellStyle name="着色 5" xfId="34" builtinId="45" customBuiltin="1"/>
    <cellStyle name="着色 6" xfId="38" builtinId="49" customBuiltin="1"/>
    <cellStyle name="注释" xfId="15" builtinId="10" customBuiltin="1"/>
  </cellStyles>
  <dxfs count="181">
    <dxf>
      <numFmt numFmtId="30" formatCode="@"/>
    </dxf>
    <dxf>
      <numFmt numFmtId="30" formatCode="@"/>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30" formatCode="@"/>
    </dxf>
    <dxf>
      <numFmt numFmtId="30" formatCode="@"/>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30" formatCode="@"/>
    </dxf>
    <dxf>
      <numFmt numFmtId="30" formatCode="@"/>
      <border diagonalUp="0" diagonalDown="0" outline="0">
        <left/>
        <right/>
        <top/>
        <bottom/>
      </border>
    </dxf>
    <dxf>
      <border outline="0">
        <left style="medium">
          <color indexed="64"/>
        </left>
        <right style="medium">
          <color indexed="64"/>
        </right>
        <top style="medium">
          <color indexed="64"/>
        </top>
        <bottom style="medium">
          <color indexed="64"/>
        </bottom>
      </border>
    </dxf>
    <dxf>
      <numFmt numFmtId="19" formatCode="yyyy/m/d"/>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1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股权价值增加表!$A$7</c:f>
              <c:strCache>
                <c:ptCount val="1"/>
                <c:pt idx="0">
                  <c:v>   毛利率</c:v>
                </c:pt>
              </c:strCache>
            </c:strRef>
          </c:tx>
          <c:val>
            <c:numRef>
              <c:f>股权价值增加表!$B$7:$Y$7</c:f>
              <c:numCache>
                <c:formatCode>0.00%</c:formatCode>
                <c:ptCount val="6"/>
                <c:pt idx="0">
                  <c:v>0.43464711286475916</c:v>
                </c:pt>
                <c:pt idx="1">
                  <c:v>0.4846309485487118</c:v>
                </c:pt>
                <c:pt idx="2">
                  <c:v>0.48962112738048541</c:v>
                </c:pt>
                <c:pt idx="3">
                  <c:v>0.44861664463093659</c:v>
                </c:pt>
                <c:pt idx="4">
                  <c:v>0.43980156505528201</c:v>
                </c:pt>
                <c:pt idx="5">
                  <c:v>0.42216112454806304</c:v>
                </c:pt>
              </c:numCache>
            </c:numRef>
          </c:val>
          <c:smooth val="0"/>
          <c:extLst>
            <c:ext xmlns:c16="http://schemas.microsoft.com/office/drawing/2014/chart" uri="{C3380CC4-5D6E-409C-BE32-E72D297353CC}">
              <c16:uniqueId val="{00000000-9CEB-49A7-8EFA-0D38373D5F7D}"/>
            </c:ext>
          </c:extLst>
        </c:ser>
        <c:dLbls>
          <c:showLegendKey val="0"/>
          <c:showVal val="0"/>
          <c:showCatName val="0"/>
          <c:showSerName val="0"/>
          <c:showPercent val="0"/>
          <c:showBubbleSize val="0"/>
        </c:dLbls>
        <c:marker val="1"/>
        <c:smooth val="0"/>
        <c:axId val="226596352"/>
        <c:axId val="220257024"/>
      </c:lineChart>
      <c:catAx>
        <c:axId val="226596352"/>
        <c:scaling>
          <c:orientation val="minMax"/>
        </c:scaling>
        <c:delete val="0"/>
        <c:axPos val="b"/>
        <c:majorTickMark val="out"/>
        <c:minorTickMark val="none"/>
        <c:tickLblPos val="nextTo"/>
        <c:crossAx val="220257024"/>
        <c:crosses val="autoZero"/>
        <c:auto val="1"/>
        <c:lblAlgn val="ctr"/>
        <c:lblOffset val="100"/>
        <c:noMultiLvlLbl val="0"/>
      </c:catAx>
      <c:valAx>
        <c:axId val="220257024"/>
        <c:scaling>
          <c:orientation val="minMax"/>
        </c:scaling>
        <c:delete val="0"/>
        <c:axPos val="l"/>
        <c:majorGridlines/>
        <c:numFmt formatCode="0.00%" sourceLinked="1"/>
        <c:majorTickMark val="out"/>
        <c:minorTickMark val="none"/>
        <c:tickLblPos val="nextTo"/>
        <c:crossAx val="2265963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0602420716518716"/>
          <c:y val="3.3912667315843532E-2"/>
        </c:manualLayout>
      </c:layout>
      <c:overlay val="0"/>
    </c:title>
    <c:autoTitleDeleted val="0"/>
    <c:plotArea>
      <c:layout/>
      <c:lineChart>
        <c:grouping val="stacked"/>
        <c:varyColors val="0"/>
        <c:ser>
          <c:idx val="0"/>
          <c:order val="0"/>
          <c:tx>
            <c:strRef>
              <c:f>股权价值增加表!$A$18</c:f>
              <c:strCache>
                <c:ptCount val="1"/>
                <c:pt idx="0">
                  <c:v>    息前税后经营利润率=13/1*100%</c:v>
                </c:pt>
              </c:strCache>
            </c:strRef>
          </c:tx>
          <c:val>
            <c:numRef>
              <c:f>股权价值增加表!$B$18:$Y$18</c:f>
              <c:numCache>
                <c:formatCode>0.00%</c:formatCode>
                <c:ptCount val="6"/>
                <c:pt idx="0">
                  <c:v>9.1839924187747821E-2</c:v>
                </c:pt>
                <c:pt idx="1">
                  <c:v>9.7874142032542411E-2</c:v>
                </c:pt>
                <c:pt idx="2">
                  <c:v>0.12529404017861698</c:v>
                </c:pt>
                <c:pt idx="3">
                  <c:v>0.13144936856659847</c:v>
                </c:pt>
                <c:pt idx="4">
                  <c:v>0.12248608103009449</c:v>
                </c:pt>
                <c:pt idx="5">
                  <c:v>0.13301566544362509</c:v>
                </c:pt>
              </c:numCache>
            </c:numRef>
          </c:val>
          <c:smooth val="0"/>
          <c:extLst>
            <c:ext xmlns:c16="http://schemas.microsoft.com/office/drawing/2014/chart" uri="{C3380CC4-5D6E-409C-BE32-E72D297353CC}">
              <c16:uniqueId val="{00000000-09E8-42E8-95C8-9DB417D006CD}"/>
            </c:ext>
          </c:extLst>
        </c:ser>
        <c:dLbls>
          <c:showLegendKey val="0"/>
          <c:showVal val="0"/>
          <c:showCatName val="0"/>
          <c:showSerName val="0"/>
          <c:showPercent val="0"/>
          <c:showBubbleSize val="0"/>
        </c:dLbls>
        <c:marker val="1"/>
        <c:smooth val="0"/>
        <c:axId val="226597376"/>
        <c:axId val="226886208"/>
      </c:lineChart>
      <c:catAx>
        <c:axId val="226597376"/>
        <c:scaling>
          <c:orientation val="minMax"/>
        </c:scaling>
        <c:delete val="0"/>
        <c:axPos val="b"/>
        <c:majorTickMark val="out"/>
        <c:minorTickMark val="none"/>
        <c:tickLblPos val="nextTo"/>
        <c:crossAx val="226886208"/>
        <c:crosses val="autoZero"/>
        <c:auto val="1"/>
        <c:lblAlgn val="ctr"/>
        <c:lblOffset val="100"/>
        <c:noMultiLvlLbl val="0"/>
      </c:catAx>
      <c:valAx>
        <c:axId val="226886208"/>
        <c:scaling>
          <c:orientation val="minMax"/>
        </c:scaling>
        <c:delete val="0"/>
        <c:axPos val="l"/>
        <c:majorGridlines/>
        <c:numFmt formatCode="0.00%" sourceLinked="1"/>
        <c:majorTickMark val="out"/>
        <c:minorTickMark val="none"/>
        <c:tickLblPos val="nextTo"/>
        <c:crossAx val="22659737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股权价值增加表!$A$32</c:f>
              <c:strCache>
                <c:ptCount val="1"/>
                <c:pt idx="0">
                  <c:v>    息税前利润率=23/1*100%</c:v>
                </c:pt>
              </c:strCache>
            </c:strRef>
          </c:tx>
          <c:val>
            <c:numRef>
              <c:f>股权价值增加表!$B$32:$Y$32</c:f>
              <c:numCache>
                <c:formatCode>0.00%</c:formatCode>
                <c:ptCount val="6"/>
                <c:pt idx="0">
                  <c:v>0.11548789743858551</c:v>
                </c:pt>
                <c:pt idx="1">
                  <c:v>0.13691142497678241</c:v>
                </c:pt>
                <c:pt idx="2">
                  <c:v>0.1767056900652649</c:v>
                </c:pt>
                <c:pt idx="3">
                  <c:v>0.16363673306029453</c:v>
                </c:pt>
                <c:pt idx="4">
                  <c:v>0.15502846516518526</c:v>
                </c:pt>
                <c:pt idx="5">
                  <c:v>0.16295342989507589</c:v>
                </c:pt>
              </c:numCache>
            </c:numRef>
          </c:val>
          <c:smooth val="0"/>
          <c:extLst>
            <c:ext xmlns:c16="http://schemas.microsoft.com/office/drawing/2014/chart" uri="{C3380CC4-5D6E-409C-BE32-E72D297353CC}">
              <c16:uniqueId val="{00000000-D860-4AFC-A1A2-C16E64E01DA7}"/>
            </c:ext>
          </c:extLst>
        </c:ser>
        <c:ser>
          <c:idx val="2"/>
          <c:order val="1"/>
          <c:tx>
            <c:strRef>
              <c:f>股权价值增加表!$A$34</c:f>
              <c:strCache>
                <c:ptCount val="1"/>
                <c:pt idx="0">
                  <c:v>    息前税后利润率=24/1*100%</c:v>
                </c:pt>
              </c:strCache>
            </c:strRef>
          </c:tx>
          <c:val>
            <c:numRef>
              <c:f>股权价值增加表!$B$34:$Y$34</c:f>
              <c:numCache>
                <c:formatCode>0.00%</c:formatCode>
                <c:ptCount val="6"/>
                <c:pt idx="0">
                  <c:v>9.3457470573072216E-2</c:v>
                </c:pt>
                <c:pt idx="1">
                  <c:v>0.11124235417598893</c:v>
                </c:pt>
                <c:pt idx="2">
                  <c:v>0.14628985590477139</c:v>
                </c:pt>
                <c:pt idx="3">
                  <c:v>0.14415763136538459</c:v>
                </c:pt>
                <c:pt idx="4">
                  <c:v>0.13121714372721083</c:v>
                </c:pt>
                <c:pt idx="5">
                  <c:v>0.14016720350630651</c:v>
                </c:pt>
              </c:numCache>
            </c:numRef>
          </c:val>
          <c:smooth val="0"/>
          <c:extLst>
            <c:ext xmlns:c16="http://schemas.microsoft.com/office/drawing/2014/chart" uri="{C3380CC4-5D6E-409C-BE32-E72D297353CC}">
              <c16:uniqueId val="{00000001-D860-4AFC-A1A2-C16E64E01DA7}"/>
            </c:ext>
          </c:extLst>
        </c:ser>
        <c:ser>
          <c:idx val="7"/>
          <c:order val="2"/>
          <c:tx>
            <c:strRef>
              <c:f>股权价值增加表!$A$39</c:f>
              <c:strCache>
                <c:ptCount val="1"/>
                <c:pt idx="0">
                  <c:v>    （息后）税前利润率=28/1*100%</c:v>
                </c:pt>
              </c:strCache>
            </c:strRef>
          </c:tx>
          <c:val>
            <c:numRef>
              <c:f>股权价值增加表!$B$39:$Y$39</c:f>
              <c:numCache>
                <c:formatCode>0.00%</c:formatCode>
                <c:ptCount val="6"/>
                <c:pt idx="0">
                  <c:v>0.10723805803369657</c:v>
                </c:pt>
                <c:pt idx="1">
                  <c:v>0.13569593401341865</c:v>
                </c:pt>
                <c:pt idx="2">
                  <c:v>0.17596834206491632</c:v>
                </c:pt>
                <c:pt idx="3">
                  <c:v>0.16313569675166459</c:v>
                </c:pt>
                <c:pt idx="4">
                  <c:v>0.15467361904418575</c:v>
                </c:pt>
                <c:pt idx="5">
                  <c:v>0.16258225805088514</c:v>
                </c:pt>
              </c:numCache>
            </c:numRef>
          </c:val>
          <c:smooth val="0"/>
          <c:extLst>
            <c:ext xmlns:c16="http://schemas.microsoft.com/office/drawing/2014/chart" uri="{C3380CC4-5D6E-409C-BE32-E72D297353CC}">
              <c16:uniqueId val="{00000002-D860-4AFC-A1A2-C16E64E01DA7}"/>
            </c:ext>
          </c:extLst>
        </c:ser>
        <c:ser>
          <c:idx val="11"/>
          <c:order val="3"/>
          <c:tx>
            <c:strRef>
              <c:f>股权价值增加表!$A$43</c:f>
              <c:strCache>
                <c:ptCount val="1"/>
                <c:pt idx="0">
                  <c:v>    净利润率=30/1*100%</c:v>
                </c:pt>
              </c:strCache>
            </c:strRef>
          </c:tx>
          <c:val>
            <c:numRef>
              <c:f>股权价值增加表!$B$43:$Y$43</c:f>
              <c:numCache>
                <c:formatCode>0.00%</c:formatCode>
                <c:ptCount val="6"/>
                <c:pt idx="0">
                  <c:v>8.7758475670423053E-2</c:v>
                </c:pt>
                <c:pt idx="1">
                  <c:v>0.11009182871443379</c:v>
                </c:pt>
                <c:pt idx="2">
                  <c:v>0.14557633289197322</c:v>
                </c:pt>
                <c:pt idx="3">
                  <c:v>0.14371362606605287</c:v>
                </c:pt>
                <c:pt idx="4">
                  <c:v>0.13095871866346628</c:v>
                </c:pt>
                <c:pt idx="5">
                  <c:v>0.13984776173082955</c:v>
                </c:pt>
              </c:numCache>
            </c:numRef>
          </c:val>
          <c:smooth val="0"/>
          <c:extLst>
            <c:ext xmlns:c16="http://schemas.microsoft.com/office/drawing/2014/chart" uri="{C3380CC4-5D6E-409C-BE32-E72D297353CC}">
              <c16:uniqueId val="{00000003-D860-4AFC-A1A2-C16E64E01DA7}"/>
            </c:ext>
          </c:extLst>
        </c:ser>
        <c:dLbls>
          <c:showLegendKey val="0"/>
          <c:showVal val="0"/>
          <c:showCatName val="0"/>
          <c:showSerName val="0"/>
          <c:showPercent val="0"/>
          <c:showBubbleSize val="0"/>
        </c:dLbls>
        <c:marker val="1"/>
        <c:smooth val="0"/>
        <c:axId val="226598400"/>
        <c:axId val="226887936"/>
      </c:lineChart>
      <c:catAx>
        <c:axId val="226598400"/>
        <c:scaling>
          <c:orientation val="minMax"/>
        </c:scaling>
        <c:delete val="0"/>
        <c:axPos val="b"/>
        <c:majorTickMark val="out"/>
        <c:minorTickMark val="none"/>
        <c:tickLblPos val="nextTo"/>
        <c:crossAx val="226887936"/>
        <c:crosses val="autoZero"/>
        <c:auto val="1"/>
        <c:lblAlgn val="ctr"/>
        <c:lblOffset val="100"/>
        <c:noMultiLvlLbl val="0"/>
      </c:catAx>
      <c:valAx>
        <c:axId val="226887936"/>
        <c:scaling>
          <c:orientation val="minMax"/>
        </c:scaling>
        <c:delete val="0"/>
        <c:axPos val="l"/>
        <c:majorGridlines/>
        <c:numFmt formatCode="0.00%" sourceLinked="1"/>
        <c:majorTickMark val="out"/>
        <c:minorTickMark val="none"/>
        <c:tickLblPos val="nextTo"/>
        <c:crossAx val="226598400"/>
        <c:crosses val="autoZero"/>
        <c:crossBetween val="between"/>
      </c:valAx>
    </c:plotArea>
    <c:legend>
      <c:legendPos val="r"/>
      <c:layout>
        <c:manualLayout>
          <c:xMode val="edge"/>
          <c:yMode val="edge"/>
          <c:x val="0.63659612719299752"/>
          <c:y val="0.11744197114340849"/>
          <c:w val="0.33313142875606738"/>
          <c:h val="0.76511570122130557"/>
        </c:manualLayout>
      </c:layout>
      <c:overlay val="0"/>
    </c:legend>
    <c:plotVisOnly val="1"/>
    <c:dispBlanksAs val="zero"/>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股权价值增加表!$A$61</c:f>
              <c:strCache>
                <c:ptCount val="1"/>
                <c:pt idx="0">
                  <c:v>利润总额(万元)</c:v>
                </c:pt>
              </c:strCache>
            </c:strRef>
          </c:cat>
          <c:val>
            <c:numRef>
              <c:f>股权价值增加表!$B$61</c:f>
            </c:numRef>
          </c:val>
          <c:extLst>
            <c:ext xmlns:c16="http://schemas.microsoft.com/office/drawing/2014/chart" uri="{C3380CC4-5D6E-409C-BE32-E72D297353CC}">
              <c16:uniqueId val="{00000000-3FEB-45BD-88F0-19A8C9DFB6F2}"/>
            </c:ext>
          </c:extLst>
        </c:ser>
        <c:ser>
          <c:idx val="1"/>
          <c:order val="1"/>
          <c:invertIfNegative val="0"/>
          <c:cat>
            <c:strRef>
              <c:f>股权价值增加表!$A$61</c:f>
              <c:strCache>
                <c:ptCount val="1"/>
                <c:pt idx="0">
                  <c:v>利润总额(万元)</c:v>
                </c:pt>
              </c:strCache>
            </c:strRef>
          </c:cat>
          <c:val>
            <c:numRef>
              <c:f>股权价值增加表!$C$61</c:f>
            </c:numRef>
          </c:val>
          <c:extLst>
            <c:ext xmlns:c16="http://schemas.microsoft.com/office/drawing/2014/chart" uri="{C3380CC4-5D6E-409C-BE32-E72D297353CC}">
              <c16:uniqueId val="{00000001-3FEB-45BD-88F0-19A8C9DFB6F2}"/>
            </c:ext>
          </c:extLst>
        </c:ser>
        <c:ser>
          <c:idx val="2"/>
          <c:order val="2"/>
          <c:invertIfNegative val="0"/>
          <c:cat>
            <c:strRef>
              <c:f>股权价值增加表!$A$61</c:f>
              <c:strCache>
                <c:ptCount val="1"/>
                <c:pt idx="0">
                  <c:v>利润总额(万元)</c:v>
                </c:pt>
              </c:strCache>
            </c:strRef>
          </c:cat>
          <c:val>
            <c:numRef>
              <c:f>股权价值增加表!$D$61</c:f>
            </c:numRef>
          </c:val>
          <c:extLst>
            <c:ext xmlns:c16="http://schemas.microsoft.com/office/drawing/2014/chart" uri="{C3380CC4-5D6E-409C-BE32-E72D297353CC}">
              <c16:uniqueId val="{00000002-3FEB-45BD-88F0-19A8C9DFB6F2}"/>
            </c:ext>
          </c:extLst>
        </c:ser>
        <c:ser>
          <c:idx val="3"/>
          <c:order val="3"/>
          <c:invertIfNegative val="0"/>
          <c:cat>
            <c:strRef>
              <c:f>股权价值增加表!$A$61</c:f>
              <c:strCache>
                <c:ptCount val="1"/>
                <c:pt idx="0">
                  <c:v>利润总额(万元)</c:v>
                </c:pt>
              </c:strCache>
            </c:strRef>
          </c:cat>
          <c:val>
            <c:numRef>
              <c:f>股权价值增加表!$E$61</c:f>
              <c:numCache>
                <c:formatCode>General</c:formatCode>
                <c:ptCount val="1"/>
                <c:pt idx="0">
                  <c:v>543882536.40999997</c:v>
                </c:pt>
              </c:numCache>
            </c:numRef>
          </c:val>
          <c:extLst>
            <c:ext xmlns:c16="http://schemas.microsoft.com/office/drawing/2014/chart" uri="{C3380CC4-5D6E-409C-BE32-E72D297353CC}">
              <c16:uniqueId val="{00000003-3FEB-45BD-88F0-19A8C9DFB6F2}"/>
            </c:ext>
          </c:extLst>
        </c:ser>
        <c:ser>
          <c:idx val="4"/>
          <c:order val="4"/>
          <c:invertIfNegative val="0"/>
          <c:cat>
            <c:strRef>
              <c:f>股权价值增加表!$A$61</c:f>
              <c:strCache>
                <c:ptCount val="1"/>
                <c:pt idx="0">
                  <c:v>利润总额(万元)</c:v>
                </c:pt>
              </c:strCache>
            </c:strRef>
          </c:cat>
          <c:val>
            <c:numRef>
              <c:f>股权价值增加表!$F$61</c:f>
            </c:numRef>
          </c:val>
          <c:extLst>
            <c:ext xmlns:c16="http://schemas.microsoft.com/office/drawing/2014/chart" uri="{C3380CC4-5D6E-409C-BE32-E72D297353CC}">
              <c16:uniqueId val="{00000004-3FEB-45BD-88F0-19A8C9DFB6F2}"/>
            </c:ext>
          </c:extLst>
        </c:ser>
        <c:ser>
          <c:idx val="5"/>
          <c:order val="5"/>
          <c:invertIfNegative val="0"/>
          <c:cat>
            <c:strRef>
              <c:f>股权价值增加表!$A$61</c:f>
              <c:strCache>
                <c:ptCount val="1"/>
                <c:pt idx="0">
                  <c:v>利润总额(万元)</c:v>
                </c:pt>
              </c:strCache>
            </c:strRef>
          </c:cat>
          <c:val>
            <c:numRef>
              <c:f>股权价值增加表!$G$61</c:f>
            </c:numRef>
          </c:val>
          <c:extLst>
            <c:ext xmlns:c16="http://schemas.microsoft.com/office/drawing/2014/chart" uri="{C3380CC4-5D6E-409C-BE32-E72D297353CC}">
              <c16:uniqueId val="{00000005-3FEB-45BD-88F0-19A8C9DFB6F2}"/>
            </c:ext>
          </c:extLst>
        </c:ser>
        <c:ser>
          <c:idx val="6"/>
          <c:order val="6"/>
          <c:invertIfNegative val="0"/>
          <c:cat>
            <c:strRef>
              <c:f>股权价值增加表!$A$61</c:f>
              <c:strCache>
                <c:ptCount val="1"/>
                <c:pt idx="0">
                  <c:v>利润总额(万元)</c:v>
                </c:pt>
              </c:strCache>
            </c:strRef>
          </c:cat>
          <c:val>
            <c:numRef>
              <c:f>股权价值增加表!$H$61</c:f>
            </c:numRef>
          </c:val>
          <c:extLst>
            <c:ext xmlns:c16="http://schemas.microsoft.com/office/drawing/2014/chart" uri="{C3380CC4-5D6E-409C-BE32-E72D297353CC}">
              <c16:uniqueId val="{00000006-3FEB-45BD-88F0-19A8C9DFB6F2}"/>
            </c:ext>
          </c:extLst>
        </c:ser>
        <c:ser>
          <c:idx val="7"/>
          <c:order val="7"/>
          <c:invertIfNegative val="0"/>
          <c:cat>
            <c:strRef>
              <c:f>股权价值增加表!$A$61</c:f>
              <c:strCache>
                <c:ptCount val="1"/>
                <c:pt idx="0">
                  <c:v>利润总额(万元)</c:v>
                </c:pt>
              </c:strCache>
            </c:strRef>
          </c:cat>
          <c:val>
            <c:numRef>
              <c:f>股权价值增加表!$I$61</c:f>
              <c:numCache>
                <c:formatCode>General</c:formatCode>
                <c:ptCount val="1"/>
                <c:pt idx="0">
                  <c:v>419522942.11000001</c:v>
                </c:pt>
              </c:numCache>
            </c:numRef>
          </c:val>
          <c:extLst>
            <c:ext xmlns:c16="http://schemas.microsoft.com/office/drawing/2014/chart" uri="{C3380CC4-5D6E-409C-BE32-E72D297353CC}">
              <c16:uniqueId val="{00000007-3FEB-45BD-88F0-19A8C9DFB6F2}"/>
            </c:ext>
          </c:extLst>
        </c:ser>
        <c:ser>
          <c:idx val="8"/>
          <c:order val="8"/>
          <c:invertIfNegative val="0"/>
          <c:cat>
            <c:strRef>
              <c:f>股权价值增加表!$A$61</c:f>
              <c:strCache>
                <c:ptCount val="1"/>
                <c:pt idx="0">
                  <c:v>利润总额(万元)</c:v>
                </c:pt>
              </c:strCache>
            </c:strRef>
          </c:cat>
          <c:val>
            <c:numRef>
              <c:f>股权价值增加表!$J$61</c:f>
            </c:numRef>
          </c:val>
          <c:extLst>
            <c:ext xmlns:c16="http://schemas.microsoft.com/office/drawing/2014/chart" uri="{C3380CC4-5D6E-409C-BE32-E72D297353CC}">
              <c16:uniqueId val="{00000008-3FEB-45BD-88F0-19A8C9DFB6F2}"/>
            </c:ext>
          </c:extLst>
        </c:ser>
        <c:ser>
          <c:idx val="9"/>
          <c:order val="9"/>
          <c:invertIfNegative val="0"/>
          <c:cat>
            <c:strRef>
              <c:f>股权价值增加表!$A$61</c:f>
              <c:strCache>
                <c:ptCount val="1"/>
                <c:pt idx="0">
                  <c:v>利润总额(万元)</c:v>
                </c:pt>
              </c:strCache>
            </c:strRef>
          </c:cat>
          <c:val>
            <c:numRef>
              <c:f>股权价值增加表!$K$61</c:f>
            </c:numRef>
          </c:val>
          <c:extLst>
            <c:ext xmlns:c16="http://schemas.microsoft.com/office/drawing/2014/chart" uri="{C3380CC4-5D6E-409C-BE32-E72D297353CC}">
              <c16:uniqueId val="{00000009-3FEB-45BD-88F0-19A8C9DFB6F2}"/>
            </c:ext>
          </c:extLst>
        </c:ser>
        <c:ser>
          <c:idx val="10"/>
          <c:order val="10"/>
          <c:invertIfNegative val="0"/>
          <c:cat>
            <c:strRef>
              <c:f>股权价值增加表!$A$61</c:f>
              <c:strCache>
                <c:ptCount val="1"/>
                <c:pt idx="0">
                  <c:v>利润总额(万元)</c:v>
                </c:pt>
              </c:strCache>
            </c:strRef>
          </c:cat>
          <c:val>
            <c:numRef>
              <c:f>股权价值增加表!$L$61</c:f>
            </c:numRef>
          </c:val>
          <c:extLst>
            <c:ext xmlns:c16="http://schemas.microsoft.com/office/drawing/2014/chart" uri="{C3380CC4-5D6E-409C-BE32-E72D297353CC}">
              <c16:uniqueId val="{0000000A-3FEB-45BD-88F0-19A8C9DFB6F2}"/>
            </c:ext>
          </c:extLst>
        </c:ser>
        <c:ser>
          <c:idx val="11"/>
          <c:order val="11"/>
          <c:invertIfNegative val="0"/>
          <c:cat>
            <c:strRef>
              <c:f>股权价值增加表!$A$61</c:f>
              <c:strCache>
                <c:ptCount val="1"/>
                <c:pt idx="0">
                  <c:v>利润总额(万元)</c:v>
                </c:pt>
              </c:strCache>
            </c:strRef>
          </c:cat>
          <c:val>
            <c:numRef>
              <c:f>股权价值增加表!$M$61</c:f>
              <c:numCache>
                <c:formatCode>General</c:formatCode>
                <c:ptCount val="1"/>
                <c:pt idx="0">
                  <c:v>511701040.50999999</c:v>
                </c:pt>
              </c:numCache>
            </c:numRef>
          </c:val>
          <c:extLst>
            <c:ext xmlns:c16="http://schemas.microsoft.com/office/drawing/2014/chart" uri="{C3380CC4-5D6E-409C-BE32-E72D297353CC}">
              <c16:uniqueId val="{0000000B-3FEB-45BD-88F0-19A8C9DFB6F2}"/>
            </c:ext>
          </c:extLst>
        </c:ser>
        <c:ser>
          <c:idx val="12"/>
          <c:order val="12"/>
          <c:invertIfNegative val="0"/>
          <c:cat>
            <c:strRef>
              <c:f>股权价值增加表!$A$61</c:f>
              <c:strCache>
                <c:ptCount val="1"/>
                <c:pt idx="0">
                  <c:v>利润总额(万元)</c:v>
                </c:pt>
              </c:strCache>
            </c:strRef>
          </c:cat>
          <c:val>
            <c:numRef>
              <c:f>股权价值增加表!$N$61</c:f>
            </c:numRef>
          </c:val>
          <c:extLst>
            <c:ext xmlns:c16="http://schemas.microsoft.com/office/drawing/2014/chart" uri="{C3380CC4-5D6E-409C-BE32-E72D297353CC}">
              <c16:uniqueId val="{0000000C-3FEB-45BD-88F0-19A8C9DFB6F2}"/>
            </c:ext>
          </c:extLst>
        </c:ser>
        <c:ser>
          <c:idx val="13"/>
          <c:order val="13"/>
          <c:invertIfNegative val="0"/>
          <c:cat>
            <c:strRef>
              <c:f>股权价值增加表!$A$61</c:f>
              <c:strCache>
                <c:ptCount val="1"/>
                <c:pt idx="0">
                  <c:v>利润总额(万元)</c:v>
                </c:pt>
              </c:strCache>
            </c:strRef>
          </c:cat>
          <c:val>
            <c:numRef>
              <c:f>股权价值增加表!$O$61</c:f>
            </c:numRef>
          </c:val>
          <c:extLst>
            <c:ext xmlns:c16="http://schemas.microsoft.com/office/drawing/2014/chart" uri="{C3380CC4-5D6E-409C-BE32-E72D297353CC}">
              <c16:uniqueId val="{0000000D-3FEB-45BD-88F0-19A8C9DFB6F2}"/>
            </c:ext>
          </c:extLst>
        </c:ser>
        <c:ser>
          <c:idx val="14"/>
          <c:order val="14"/>
          <c:invertIfNegative val="0"/>
          <c:cat>
            <c:strRef>
              <c:f>股权价值增加表!$A$61</c:f>
              <c:strCache>
                <c:ptCount val="1"/>
                <c:pt idx="0">
                  <c:v>利润总额(万元)</c:v>
                </c:pt>
              </c:strCache>
            </c:strRef>
          </c:cat>
          <c:val>
            <c:numRef>
              <c:f>股权价值增加表!$P$61</c:f>
            </c:numRef>
          </c:val>
          <c:extLst>
            <c:ext xmlns:c16="http://schemas.microsoft.com/office/drawing/2014/chart" uri="{C3380CC4-5D6E-409C-BE32-E72D297353CC}">
              <c16:uniqueId val="{0000000E-3FEB-45BD-88F0-19A8C9DFB6F2}"/>
            </c:ext>
          </c:extLst>
        </c:ser>
        <c:ser>
          <c:idx val="15"/>
          <c:order val="15"/>
          <c:invertIfNegative val="0"/>
          <c:cat>
            <c:strRef>
              <c:f>股权价值增加表!$A$61</c:f>
              <c:strCache>
                <c:ptCount val="1"/>
                <c:pt idx="0">
                  <c:v>利润总额(万元)</c:v>
                </c:pt>
              </c:strCache>
            </c:strRef>
          </c:cat>
          <c:val>
            <c:numRef>
              <c:f>股权价值增加表!$Q$61</c:f>
              <c:numCache>
                <c:formatCode>General</c:formatCode>
                <c:ptCount val="1"/>
                <c:pt idx="0">
                  <c:v>451805805.81999999</c:v>
                </c:pt>
              </c:numCache>
            </c:numRef>
          </c:val>
          <c:extLst>
            <c:ext xmlns:c16="http://schemas.microsoft.com/office/drawing/2014/chart" uri="{C3380CC4-5D6E-409C-BE32-E72D297353CC}">
              <c16:uniqueId val="{0000000F-3FEB-45BD-88F0-19A8C9DFB6F2}"/>
            </c:ext>
          </c:extLst>
        </c:ser>
        <c:ser>
          <c:idx val="16"/>
          <c:order val="16"/>
          <c:invertIfNegative val="0"/>
          <c:cat>
            <c:strRef>
              <c:f>股权价值增加表!$A$61</c:f>
              <c:strCache>
                <c:ptCount val="1"/>
                <c:pt idx="0">
                  <c:v>利润总额(万元)</c:v>
                </c:pt>
              </c:strCache>
            </c:strRef>
          </c:cat>
          <c:val>
            <c:numRef>
              <c:f>股权价值增加表!$R$61</c:f>
            </c:numRef>
          </c:val>
          <c:extLst>
            <c:ext xmlns:c16="http://schemas.microsoft.com/office/drawing/2014/chart" uri="{C3380CC4-5D6E-409C-BE32-E72D297353CC}">
              <c16:uniqueId val="{00000010-3FEB-45BD-88F0-19A8C9DFB6F2}"/>
            </c:ext>
          </c:extLst>
        </c:ser>
        <c:ser>
          <c:idx val="17"/>
          <c:order val="17"/>
          <c:invertIfNegative val="0"/>
          <c:cat>
            <c:strRef>
              <c:f>股权价值增加表!$A$61</c:f>
              <c:strCache>
                <c:ptCount val="1"/>
                <c:pt idx="0">
                  <c:v>利润总额(万元)</c:v>
                </c:pt>
              </c:strCache>
            </c:strRef>
          </c:cat>
          <c:val>
            <c:numRef>
              <c:f>股权价值增加表!$S$61</c:f>
            </c:numRef>
          </c:val>
          <c:extLst>
            <c:ext xmlns:c16="http://schemas.microsoft.com/office/drawing/2014/chart" uri="{C3380CC4-5D6E-409C-BE32-E72D297353CC}">
              <c16:uniqueId val="{00000011-3FEB-45BD-88F0-19A8C9DFB6F2}"/>
            </c:ext>
          </c:extLst>
        </c:ser>
        <c:ser>
          <c:idx val="18"/>
          <c:order val="18"/>
          <c:invertIfNegative val="0"/>
          <c:cat>
            <c:strRef>
              <c:f>股权价值增加表!$A$61</c:f>
              <c:strCache>
                <c:ptCount val="1"/>
                <c:pt idx="0">
                  <c:v>利润总额(万元)</c:v>
                </c:pt>
              </c:strCache>
            </c:strRef>
          </c:cat>
          <c:val>
            <c:numRef>
              <c:f>股权价值增加表!$T$61</c:f>
            </c:numRef>
          </c:val>
          <c:extLst>
            <c:ext xmlns:c16="http://schemas.microsoft.com/office/drawing/2014/chart" uri="{C3380CC4-5D6E-409C-BE32-E72D297353CC}">
              <c16:uniqueId val="{00000012-3FEB-45BD-88F0-19A8C9DFB6F2}"/>
            </c:ext>
          </c:extLst>
        </c:ser>
        <c:ser>
          <c:idx val="19"/>
          <c:order val="19"/>
          <c:invertIfNegative val="0"/>
          <c:cat>
            <c:strRef>
              <c:f>股权价值增加表!$A$61</c:f>
              <c:strCache>
                <c:ptCount val="1"/>
                <c:pt idx="0">
                  <c:v>利润总额(万元)</c:v>
                </c:pt>
              </c:strCache>
            </c:strRef>
          </c:cat>
          <c:val>
            <c:numRef>
              <c:f>股权价值增加表!$U$61</c:f>
              <c:numCache>
                <c:formatCode>General</c:formatCode>
                <c:ptCount val="1"/>
                <c:pt idx="0">
                  <c:v>392016027</c:v>
                </c:pt>
              </c:numCache>
            </c:numRef>
          </c:val>
          <c:extLst>
            <c:ext xmlns:c16="http://schemas.microsoft.com/office/drawing/2014/chart" uri="{C3380CC4-5D6E-409C-BE32-E72D297353CC}">
              <c16:uniqueId val="{00000013-3FEB-45BD-88F0-19A8C9DFB6F2}"/>
            </c:ext>
          </c:extLst>
        </c:ser>
        <c:ser>
          <c:idx val="20"/>
          <c:order val="20"/>
          <c:invertIfNegative val="0"/>
          <c:cat>
            <c:strRef>
              <c:f>股权价值增加表!$A$61</c:f>
              <c:strCache>
                <c:ptCount val="1"/>
                <c:pt idx="0">
                  <c:v>利润总额(万元)</c:v>
                </c:pt>
              </c:strCache>
            </c:strRef>
          </c:cat>
          <c:val>
            <c:numRef>
              <c:f>股权价值增加表!$V$61</c:f>
            </c:numRef>
          </c:val>
          <c:extLst>
            <c:ext xmlns:c16="http://schemas.microsoft.com/office/drawing/2014/chart" uri="{C3380CC4-5D6E-409C-BE32-E72D297353CC}">
              <c16:uniqueId val="{00000014-3FEB-45BD-88F0-19A8C9DFB6F2}"/>
            </c:ext>
          </c:extLst>
        </c:ser>
        <c:ser>
          <c:idx val="21"/>
          <c:order val="21"/>
          <c:invertIfNegative val="0"/>
          <c:cat>
            <c:strRef>
              <c:f>股权价值增加表!$A$61</c:f>
              <c:strCache>
                <c:ptCount val="1"/>
                <c:pt idx="0">
                  <c:v>利润总额(万元)</c:v>
                </c:pt>
              </c:strCache>
            </c:strRef>
          </c:cat>
          <c:val>
            <c:numRef>
              <c:f>股权价值增加表!$W$61</c:f>
            </c:numRef>
          </c:val>
          <c:extLst>
            <c:ext xmlns:c16="http://schemas.microsoft.com/office/drawing/2014/chart" uri="{C3380CC4-5D6E-409C-BE32-E72D297353CC}">
              <c16:uniqueId val="{00000015-3FEB-45BD-88F0-19A8C9DFB6F2}"/>
            </c:ext>
          </c:extLst>
        </c:ser>
        <c:ser>
          <c:idx val="22"/>
          <c:order val="22"/>
          <c:invertIfNegative val="0"/>
          <c:cat>
            <c:strRef>
              <c:f>股权价值增加表!$A$61</c:f>
              <c:strCache>
                <c:ptCount val="1"/>
                <c:pt idx="0">
                  <c:v>利润总额(万元)</c:v>
                </c:pt>
              </c:strCache>
            </c:strRef>
          </c:cat>
          <c:val>
            <c:numRef>
              <c:f>股权价值增加表!$X$61</c:f>
            </c:numRef>
          </c:val>
          <c:extLst>
            <c:ext xmlns:c16="http://schemas.microsoft.com/office/drawing/2014/chart" uri="{C3380CC4-5D6E-409C-BE32-E72D297353CC}">
              <c16:uniqueId val="{00000016-3FEB-45BD-88F0-19A8C9DFB6F2}"/>
            </c:ext>
          </c:extLst>
        </c:ser>
        <c:ser>
          <c:idx val="23"/>
          <c:order val="23"/>
          <c:invertIfNegative val="0"/>
          <c:cat>
            <c:strRef>
              <c:f>股权价值增加表!$A$61</c:f>
              <c:strCache>
                <c:ptCount val="1"/>
                <c:pt idx="0">
                  <c:v>利润总额(万元)</c:v>
                </c:pt>
              </c:strCache>
            </c:strRef>
          </c:cat>
          <c:val>
            <c:numRef>
              <c:f>股权价值增加表!$Y$61</c:f>
              <c:numCache>
                <c:formatCode>General</c:formatCode>
                <c:ptCount val="1"/>
                <c:pt idx="0">
                  <c:v>444037220.29000002</c:v>
                </c:pt>
              </c:numCache>
            </c:numRef>
          </c:val>
          <c:extLst>
            <c:ext xmlns:c16="http://schemas.microsoft.com/office/drawing/2014/chart" uri="{C3380CC4-5D6E-409C-BE32-E72D297353CC}">
              <c16:uniqueId val="{00000017-3FEB-45BD-88F0-19A8C9DFB6F2}"/>
            </c:ext>
          </c:extLst>
        </c:ser>
        <c:dLbls>
          <c:showLegendKey val="0"/>
          <c:showVal val="0"/>
          <c:showCatName val="0"/>
          <c:showSerName val="0"/>
          <c:showPercent val="0"/>
          <c:showBubbleSize val="0"/>
        </c:dLbls>
        <c:gapWidth val="150"/>
        <c:axId val="227361280"/>
        <c:axId val="226890240"/>
      </c:barChart>
      <c:catAx>
        <c:axId val="227361280"/>
        <c:scaling>
          <c:orientation val="minMax"/>
        </c:scaling>
        <c:delete val="0"/>
        <c:axPos val="b"/>
        <c:numFmt formatCode="General" sourceLinked="1"/>
        <c:majorTickMark val="out"/>
        <c:minorTickMark val="none"/>
        <c:tickLblPos val="nextTo"/>
        <c:crossAx val="226890240"/>
        <c:crosses val="autoZero"/>
        <c:auto val="1"/>
        <c:lblAlgn val="ctr"/>
        <c:lblOffset val="100"/>
        <c:noMultiLvlLbl val="0"/>
      </c:catAx>
      <c:valAx>
        <c:axId val="226890240"/>
        <c:scaling>
          <c:orientation val="minMax"/>
        </c:scaling>
        <c:delete val="0"/>
        <c:axPos val="l"/>
        <c:majorGridlines/>
        <c:numFmt formatCode="General" sourceLinked="1"/>
        <c:majorTickMark val="out"/>
        <c:minorTickMark val="none"/>
        <c:tickLblPos val="nextTo"/>
        <c:crossAx val="22736128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股权价值增加表!$A$47</c:f>
              <c:strCache>
                <c:ptCount val="1"/>
                <c:pt idx="0">
                  <c:v>(32) 股权价值增加=30-31</c:v>
                </c:pt>
              </c:strCache>
            </c:strRef>
          </c:tx>
          <c:invertIfNegative val="0"/>
          <c:val>
            <c:numRef>
              <c:f>股权价值增加表!$B$47:$Y$47</c:f>
              <c:numCache>
                <c:formatCode>#,##0.00_ </c:formatCode>
                <c:ptCount val="6"/>
                <c:pt idx="0">
                  <c:v>156898905.18959999</c:v>
                </c:pt>
                <c:pt idx="1">
                  <c:v>116612618.8871997</c:v>
                </c:pt>
                <c:pt idx="2">
                  <c:v>212010520.97879997</c:v>
                </c:pt>
                <c:pt idx="3">
                  <c:v>197864629.11680013</c:v>
                </c:pt>
                <c:pt idx="4">
                  <c:v>160532881.25319999</c:v>
                </c:pt>
                <c:pt idx="5">
                  <c:v>229701050.09160006</c:v>
                </c:pt>
              </c:numCache>
            </c:numRef>
          </c:val>
          <c:extLst>
            <c:ext xmlns:c16="http://schemas.microsoft.com/office/drawing/2014/chart" uri="{C3380CC4-5D6E-409C-BE32-E72D297353CC}">
              <c16:uniqueId val="{00000000-3EC0-4A6F-9F59-16A48E2AB76F}"/>
            </c:ext>
          </c:extLst>
        </c:ser>
        <c:dLbls>
          <c:showLegendKey val="0"/>
          <c:showVal val="0"/>
          <c:showCatName val="0"/>
          <c:showSerName val="0"/>
          <c:showPercent val="0"/>
          <c:showBubbleSize val="0"/>
        </c:dLbls>
        <c:gapWidth val="150"/>
        <c:axId val="227362304"/>
        <c:axId val="227622912"/>
      </c:barChart>
      <c:catAx>
        <c:axId val="227362304"/>
        <c:scaling>
          <c:orientation val="minMax"/>
        </c:scaling>
        <c:delete val="0"/>
        <c:axPos val="b"/>
        <c:majorTickMark val="out"/>
        <c:minorTickMark val="none"/>
        <c:tickLblPos val="nextTo"/>
        <c:crossAx val="227622912"/>
        <c:crosses val="autoZero"/>
        <c:auto val="1"/>
        <c:lblAlgn val="ctr"/>
        <c:lblOffset val="100"/>
        <c:noMultiLvlLbl val="0"/>
      </c:catAx>
      <c:valAx>
        <c:axId val="227622912"/>
        <c:scaling>
          <c:orientation val="minMax"/>
        </c:scaling>
        <c:delete val="0"/>
        <c:axPos val="l"/>
        <c:majorGridlines/>
        <c:numFmt formatCode="#,##0.00_ " sourceLinked="1"/>
        <c:majorTickMark val="out"/>
        <c:minorTickMark val="none"/>
        <c:tickLblPos val="nextTo"/>
        <c:crossAx val="22736230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股权价值增加表!$A$70</c:f>
              <c:strCache>
                <c:ptCount val="1"/>
                <c:pt idx="0">
                  <c:v>所有者权益</c:v>
                </c:pt>
              </c:strCache>
            </c:strRef>
          </c:cat>
          <c:val>
            <c:numRef>
              <c:f>股权价值增加表!$B$70</c:f>
            </c:numRef>
          </c:val>
          <c:extLst>
            <c:ext xmlns:c16="http://schemas.microsoft.com/office/drawing/2014/chart" uri="{C3380CC4-5D6E-409C-BE32-E72D297353CC}">
              <c16:uniqueId val="{00000000-6556-46EF-9A2F-69B7C2C0F99D}"/>
            </c:ext>
          </c:extLst>
        </c:ser>
        <c:ser>
          <c:idx val="1"/>
          <c:order val="1"/>
          <c:invertIfNegative val="0"/>
          <c:cat>
            <c:strRef>
              <c:f>股权价值增加表!$A$70</c:f>
              <c:strCache>
                <c:ptCount val="1"/>
                <c:pt idx="0">
                  <c:v>所有者权益</c:v>
                </c:pt>
              </c:strCache>
            </c:strRef>
          </c:cat>
          <c:val>
            <c:numRef>
              <c:f>股权价值增加表!$C$70</c:f>
            </c:numRef>
          </c:val>
          <c:extLst>
            <c:ext xmlns:c16="http://schemas.microsoft.com/office/drawing/2014/chart" uri="{C3380CC4-5D6E-409C-BE32-E72D297353CC}">
              <c16:uniqueId val="{00000001-6556-46EF-9A2F-69B7C2C0F99D}"/>
            </c:ext>
          </c:extLst>
        </c:ser>
        <c:ser>
          <c:idx val="2"/>
          <c:order val="2"/>
          <c:invertIfNegative val="0"/>
          <c:cat>
            <c:strRef>
              <c:f>股权价值增加表!$A$70</c:f>
              <c:strCache>
                <c:ptCount val="1"/>
                <c:pt idx="0">
                  <c:v>所有者权益</c:v>
                </c:pt>
              </c:strCache>
            </c:strRef>
          </c:cat>
          <c:val>
            <c:numRef>
              <c:f>股权价值增加表!$D$70</c:f>
            </c:numRef>
          </c:val>
          <c:extLst>
            <c:ext xmlns:c16="http://schemas.microsoft.com/office/drawing/2014/chart" uri="{C3380CC4-5D6E-409C-BE32-E72D297353CC}">
              <c16:uniqueId val="{00000002-6556-46EF-9A2F-69B7C2C0F99D}"/>
            </c:ext>
          </c:extLst>
        </c:ser>
        <c:ser>
          <c:idx val="3"/>
          <c:order val="3"/>
          <c:invertIfNegative val="0"/>
          <c:cat>
            <c:strRef>
              <c:f>股权价值增加表!$A$70</c:f>
              <c:strCache>
                <c:ptCount val="1"/>
                <c:pt idx="0">
                  <c:v>所有者权益</c:v>
                </c:pt>
              </c:strCache>
            </c:strRef>
          </c:cat>
          <c:val>
            <c:numRef>
              <c:f>股权价值增加表!$E$70</c:f>
              <c:numCache>
                <c:formatCode>General</c:formatCode>
                <c:ptCount val="1"/>
                <c:pt idx="0">
                  <c:v>3152725257.1300001</c:v>
                </c:pt>
              </c:numCache>
            </c:numRef>
          </c:val>
          <c:extLst>
            <c:ext xmlns:c16="http://schemas.microsoft.com/office/drawing/2014/chart" uri="{C3380CC4-5D6E-409C-BE32-E72D297353CC}">
              <c16:uniqueId val="{00000003-6556-46EF-9A2F-69B7C2C0F99D}"/>
            </c:ext>
          </c:extLst>
        </c:ser>
        <c:ser>
          <c:idx val="4"/>
          <c:order val="4"/>
          <c:invertIfNegative val="0"/>
          <c:cat>
            <c:strRef>
              <c:f>股权价值增加表!$A$70</c:f>
              <c:strCache>
                <c:ptCount val="1"/>
                <c:pt idx="0">
                  <c:v>所有者权益</c:v>
                </c:pt>
              </c:strCache>
            </c:strRef>
          </c:cat>
          <c:val>
            <c:numRef>
              <c:f>股权价值增加表!$F$70</c:f>
            </c:numRef>
          </c:val>
          <c:extLst>
            <c:ext xmlns:c16="http://schemas.microsoft.com/office/drawing/2014/chart" uri="{C3380CC4-5D6E-409C-BE32-E72D297353CC}">
              <c16:uniqueId val="{00000004-6556-46EF-9A2F-69B7C2C0F99D}"/>
            </c:ext>
          </c:extLst>
        </c:ser>
        <c:ser>
          <c:idx val="5"/>
          <c:order val="5"/>
          <c:invertIfNegative val="0"/>
          <c:cat>
            <c:strRef>
              <c:f>股权价值增加表!$A$70</c:f>
              <c:strCache>
                <c:ptCount val="1"/>
                <c:pt idx="0">
                  <c:v>所有者权益</c:v>
                </c:pt>
              </c:strCache>
            </c:strRef>
          </c:cat>
          <c:val>
            <c:numRef>
              <c:f>股权价值增加表!$G$70</c:f>
            </c:numRef>
          </c:val>
          <c:extLst>
            <c:ext xmlns:c16="http://schemas.microsoft.com/office/drawing/2014/chart" uri="{C3380CC4-5D6E-409C-BE32-E72D297353CC}">
              <c16:uniqueId val="{00000005-6556-46EF-9A2F-69B7C2C0F99D}"/>
            </c:ext>
          </c:extLst>
        </c:ser>
        <c:ser>
          <c:idx val="6"/>
          <c:order val="6"/>
          <c:invertIfNegative val="0"/>
          <c:cat>
            <c:strRef>
              <c:f>股权价值增加表!$A$70</c:f>
              <c:strCache>
                <c:ptCount val="1"/>
                <c:pt idx="0">
                  <c:v>所有者权益</c:v>
                </c:pt>
              </c:strCache>
            </c:strRef>
          </c:cat>
          <c:val>
            <c:numRef>
              <c:f>股权价值增加表!$H$70</c:f>
            </c:numRef>
          </c:val>
          <c:extLst>
            <c:ext xmlns:c16="http://schemas.microsoft.com/office/drawing/2014/chart" uri="{C3380CC4-5D6E-409C-BE32-E72D297353CC}">
              <c16:uniqueId val="{00000006-6556-46EF-9A2F-69B7C2C0F99D}"/>
            </c:ext>
          </c:extLst>
        </c:ser>
        <c:ser>
          <c:idx val="7"/>
          <c:order val="7"/>
          <c:invertIfNegative val="0"/>
          <c:cat>
            <c:strRef>
              <c:f>股权价值增加表!$A$70</c:f>
              <c:strCache>
                <c:ptCount val="1"/>
                <c:pt idx="0">
                  <c:v>所有者权益</c:v>
                </c:pt>
              </c:strCache>
            </c:strRef>
          </c:cat>
          <c:val>
            <c:numRef>
              <c:f>股权价值增加表!$I$70</c:f>
              <c:numCache>
                <c:formatCode>General</c:formatCode>
                <c:ptCount val="1"/>
                <c:pt idx="0">
                  <c:v>2880258171.6599998</c:v>
                </c:pt>
              </c:numCache>
            </c:numRef>
          </c:val>
          <c:extLst>
            <c:ext xmlns:c16="http://schemas.microsoft.com/office/drawing/2014/chart" uri="{C3380CC4-5D6E-409C-BE32-E72D297353CC}">
              <c16:uniqueId val="{00000007-6556-46EF-9A2F-69B7C2C0F99D}"/>
            </c:ext>
          </c:extLst>
        </c:ser>
        <c:ser>
          <c:idx val="8"/>
          <c:order val="8"/>
          <c:invertIfNegative val="0"/>
          <c:cat>
            <c:strRef>
              <c:f>股权价值增加表!$A$70</c:f>
              <c:strCache>
                <c:ptCount val="1"/>
                <c:pt idx="0">
                  <c:v>所有者权益</c:v>
                </c:pt>
              </c:strCache>
            </c:strRef>
          </c:cat>
          <c:val>
            <c:numRef>
              <c:f>股权价值增加表!$J$70</c:f>
            </c:numRef>
          </c:val>
          <c:extLst>
            <c:ext xmlns:c16="http://schemas.microsoft.com/office/drawing/2014/chart" uri="{C3380CC4-5D6E-409C-BE32-E72D297353CC}">
              <c16:uniqueId val="{00000008-6556-46EF-9A2F-69B7C2C0F99D}"/>
            </c:ext>
          </c:extLst>
        </c:ser>
        <c:ser>
          <c:idx val="9"/>
          <c:order val="9"/>
          <c:invertIfNegative val="0"/>
          <c:cat>
            <c:strRef>
              <c:f>股权价值增加表!$A$70</c:f>
              <c:strCache>
                <c:ptCount val="1"/>
                <c:pt idx="0">
                  <c:v>所有者权益</c:v>
                </c:pt>
              </c:strCache>
            </c:strRef>
          </c:cat>
          <c:val>
            <c:numRef>
              <c:f>股权价值增加表!$K$70</c:f>
            </c:numRef>
          </c:val>
          <c:extLst>
            <c:ext xmlns:c16="http://schemas.microsoft.com/office/drawing/2014/chart" uri="{C3380CC4-5D6E-409C-BE32-E72D297353CC}">
              <c16:uniqueId val="{00000009-6556-46EF-9A2F-69B7C2C0F99D}"/>
            </c:ext>
          </c:extLst>
        </c:ser>
        <c:ser>
          <c:idx val="10"/>
          <c:order val="10"/>
          <c:invertIfNegative val="0"/>
          <c:cat>
            <c:strRef>
              <c:f>股权价值增加表!$A$70</c:f>
              <c:strCache>
                <c:ptCount val="1"/>
                <c:pt idx="0">
                  <c:v>所有者权益</c:v>
                </c:pt>
              </c:strCache>
            </c:strRef>
          </c:cat>
          <c:val>
            <c:numRef>
              <c:f>股权价值增加表!$L$70</c:f>
            </c:numRef>
          </c:val>
          <c:extLst>
            <c:ext xmlns:c16="http://schemas.microsoft.com/office/drawing/2014/chart" uri="{C3380CC4-5D6E-409C-BE32-E72D297353CC}">
              <c16:uniqueId val="{0000000A-6556-46EF-9A2F-69B7C2C0F99D}"/>
            </c:ext>
          </c:extLst>
        </c:ser>
        <c:ser>
          <c:idx val="11"/>
          <c:order val="11"/>
          <c:invertIfNegative val="0"/>
          <c:cat>
            <c:strRef>
              <c:f>股权价值增加表!$A$70</c:f>
              <c:strCache>
                <c:ptCount val="1"/>
                <c:pt idx="0">
                  <c:v>所有者权益</c:v>
                </c:pt>
              </c:strCache>
            </c:strRef>
          </c:cat>
          <c:val>
            <c:numRef>
              <c:f>股权价值增加表!$M$70</c:f>
              <c:numCache>
                <c:formatCode>General</c:formatCode>
                <c:ptCount val="1"/>
                <c:pt idx="0">
                  <c:v>2655459613.3899999</c:v>
                </c:pt>
              </c:numCache>
            </c:numRef>
          </c:val>
          <c:extLst>
            <c:ext xmlns:c16="http://schemas.microsoft.com/office/drawing/2014/chart" uri="{C3380CC4-5D6E-409C-BE32-E72D297353CC}">
              <c16:uniqueId val="{0000000B-6556-46EF-9A2F-69B7C2C0F99D}"/>
            </c:ext>
          </c:extLst>
        </c:ser>
        <c:ser>
          <c:idx val="12"/>
          <c:order val="12"/>
          <c:invertIfNegative val="0"/>
          <c:cat>
            <c:strRef>
              <c:f>股权价值增加表!$A$70</c:f>
              <c:strCache>
                <c:ptCount val="1"/>
                <c:pt idx="0">
                  <c:v>所有者权益</c:v>
                </c:pt>
              </c:strCache>
            </c:strRef>
          </c:cat>
          <c:val>
            <c:numRef>
              <c:f>股权价值增加表!$N$70</c:f>
            </c:numRef>
          </c:val>
          <c:extLst>
            <c:ext xmlns:c16="http://schemas.microsoft.com/office/drawing/2014/chart" uri="{C3380CC4-5D6E-409C-BE32-E72D297353CC}">
              <c16:uniqueId val="{0000000C-6556-46EF-9A2F-69B7C2C0F99D}"/>
            </c:ext>
          </c:extLst>
        </c:ser>
        <c:ser>
          <c:idx val="13"/>
          <c:order val="13"/>
          <c:invertIfNegative val="0"/>
          <c:cat>
            <c:strRef>
              <c:f>股权价值增加表!$A$70</c:f>
              <c:strCache>
                <c:ptCount val="1"/>
                <c:pt idx="0">
                  <c:v>所有者权益</c:v>
                </c:pt>
              </c:strCache>
            </c:strRef>
          </c:cat>
          <c:val>
            <c:numRef>
              <c:f>股权价值增加表!$O$70</c:f>
            </c:numRef>
          </c:val>
          <c:extLst>
            <c:ext xmlns:c16="http://schemas.microsoft.com/office/drawing/2014/chart" uri="{C3380CC4-5D6E-409C-BE32-E72D297353CC}">
              <c16:uniqueId val="{0000000D-6556-46EF-9A2F-69B7C2C0F99D}"/>
            </c:ext>
          </c:extLst>
        </c:ser>
        <c:ser>
          <c:idx val="14"/>
          <c:order val="14"/>
          <c:invertIfNegative val="0"/>
          <c:cat>
            <c:strRef>
              <c:f>股权价值增加表!$A$70</c:f>
              <c:strCache>
                <c:ptCount val="1"/>
                <c:pt idx="0">
                  <c:v>所有者权益</c:v>
                </c:pt>
              </c:strCache>
            </c:strRef>
          </c:cat>
          <c:val>
            <c:numRef>
              <c:f>股权价值增加表!$P$70</c:f>
            </c:numRef>
          </c:val>
          <c:extLst>
            <c:ext xmlns:c16="http://schemas.microsoft.com/office/drawing/2014/chart" uri="{C3380CC4-5D6E-409C-BE32-E72D297353CC}">
              <c16:uniqueId val="{0000000E-6556-46EF-9A2F-69B7C2C0F99D}"/>
            </c:ext>
          </c:extLst>
        </c:ser>
        <c:ser>
          <c:idx val="15"/>
          <c:order val="15"/>
          <c:invertIfNegative val="0"/>
          <c:cat>
            <c:strRef>
              <c:f>股权价值增加表!$A$70</c:f>
              <c:strCache>
                <c:ptCount val="1"/>
                <c:pt idx="0">
                  <c:v>所有者权益</c:v>
                </c:pt>
              </c:strCache>
            </c:strRef>
          </c:cat>
          <c:val>
            <c:numRef>
              <c:f>股权价值增加表!$Q$70</c:f>
              <c:numCache>
                <c:formatCode>General</c:formatCode>
                <c:ptCount val="1"/>
                <c:pt idx="0">
                  <c:v>2487328254.04</c:v>
                </c:pt>
              </c:numCache>
            </c:numRef>
          </c:val>
          <c:extLst>
            <c:ext xmlns:c16="http://schemas.microsoft.com/office/drawing/2014/chart" uri="{C3380CC4-5D6E-409C-BE32-E72D297353CC}">
              <c16:uniqueId val="{0000000F-6556-46EF-9A2F-69B7C2C0F99D}"/>
            </c:ext>
          </c:extLst>
        </c:ser>
        <c:ser>
          <c:idx val="16"/>
          <c:order val="16"/>
          <c:invertIfNegative val="0"/>
          <c:cat>
            <c:strRef>
              <c:f>股权价值增加表!$A$70</c:f>
              <c:strCache>
                <c:ptCount val="1"/>
                <c:pt idx="0">
                  <c:v>所有者权益</c:v>
                </c:pt>
              </c:strCache>
            </c:strRef>
          </c:cat>
          <c:val>
            <c:numRef>
              <c:f>股权价值增加表!$R$70</c:f>
            </c:numRef>
          </c:val>
          <c:extLst>
            <c:ext xmlns:c16="http://schemas.microsoft.com/office/drawing/2014/chart" uri="{C3380CC4-5D6E-409C-BE32-E72D297353CC}">
              <c16:uniqueId val="{00000010-6556-46EF-9A2F-69B7C2C0F99D}"/>
            </c:ext>
          </c:extLst>
        </c:ser>
        <c:ser>
          <c:idx val="17"/>
          <c:order val="17"/>
          <c:invertIfNegative val="0"/>
          <c:cat>
            <c:strRef>
              <c:f>股权价值增加表!$A$70</c:f>
              <c:strCache>
                <c:ptCount val="1"/>
                <c:pt idx="0">
                  <c:v>所有者权益</c:v>
                </c:pt>
              </c:strCache>
            </c:strRef>
          </c:cat>
          <c:val>
            <c:numRef>
              <c:f>股权价值增加表!$S$70</c:f>
            </c:numRef>
          </c:val>
          <c:extLst>
            <c:ext xmlns:c16="http://schemas.microsoft.com/office/drawing/2014/chart" uri="{C3380CC4-5D6E-409C-BE32-E72D297353CC}">
              <c16:uniqueId val="{00000011-6556-46EF-9A2F-69B7C2C0F99D}"/>
            </c:ext>
          </c:extLst>
        </c:ser>
        <c:ser>
          <c:idx val="18"/>
          <c:order val="18"/>
          <c:invertIfNegative val="0"/>
          <c:cat>
            <c:strRef>
              <c:f>股权价值增加表!$A$70</c:f>
              <c:strCache>
                <c:ptCount val="1"/>
                <c:pt idx="0">
                  <c:v>所有者权益</c:v>
                </c:pt>
              </c:strCache>
            </c:strRef>
          </c:cat>
          <c:val>
            <c:numRef>
              <c:f>股权价值增加表!$T$70</c:f>
            </c:numRef>
          </c:val>
          <c:extLst>
            <c:ext xmlns:c16="http://schemas.microsoft.com/office/drawing/2014/chart" uri="{C3380CC4-5D6E-409C-BE32-E72D297353CC}">
              <c16:uniqueId val="{00000012-6556-46EF-9A2F-69B7C2C0F99D}"/>
            </c:ext>
          </c:extLst>
        </c:ser>
        <c:ser>
          <c:idx val="19"/>
          <c:order val="19"/>
          <c:invertIfNegative val="0"/>
          <c:cat>
            <c:strRef>
              <c:f>股权价值增加表!$A$70</c:f>
              <c:strCache>
                <c:ptCount val="1"/>
                <c:pt idx="0">
                  <c:v>所有者权益</c:v>
                </c:pt>
              </c:strCache>
            </c:strRef>
          </c:cat>
          <c:val>
            <c:numRef>
              <c:f>股权价值增加表!$U$70</c:f>
              <c:numCache>
                <c:formatCode>General</c:formatCode>
                <c:ptCount val="1"/>
                <c:pt idx="0">
                  <c:v>2125429369.46</c:v>
                </c:pt>
              </c:numCache>
            </c:numRef>
          </c:val>
          <c:extLst>
            <c:ext xmlns:c16="http://schemas.microsoft.com/office/drawing/2014/chart" uri="{C3380CC4-5D6E-409C-BE32-E72D297353CC}">
              <c16:uniqueId val="{00000013-6556-46EF-9A2F-69B7C2C0F99D}"/>
            </c:ext>
          </c:extLst>
        </c:ser>
        <c:ser>
          <c:idx val="20"/>
          <c:order val="20"/>
          <c:invertIfNegative val="0"/>
          <c:cat>
            <c:strRef>
              <c:f>股权价值增加表!$A$70</c:f>
              <c:strCache>
                <c:ptCount val="1"/>
                <c:pt idx="0">
                  <c:v>所有者权益</c:v>
                </c:pt>
              </c:strCache>
            </c:strRef>
          </c:cat>
          <c:val>
            <c:numRef>
              <c:f>股权价值增加表!$V$70</c:f>
            </c:numRef>
          </c:val>
          <c:extLst>
            <c:ext xmlns:c16="http://schemas.microsoft.com/office/drawing/2014/chart" uri="{C3380CC4-5D6E-409C-BE32-E72D297353CC}">
              <c16:uniqueId val="{00000014-6556-46EF-9A2F-69B7C2C0F99D}"/>
            </c:ext>
          </c:extLst>
        </c:ser>
        <c:ser>
          <c:idx val="21"/>
          <c:order val="21"/>
          <c:invertIfNegative val="0"/>
          <c:cat>
            <c:strRef>
              <c:f>股权价值增加表!$A$70</c:f>
              <c:strCache>
                <c:ptCount val="1"/>
                <c:pt idx="0">
                  <c:v>所有者权益</c:v>
                </c:pt>
              </c:strCache>
            </c:strRef>
          </c:cat>
          <c:val>
            <c:numRef>
              <c:f>股权价值增加表!$W$70</c:f>
            </c:numRef>
          </c:val>
          <c:extLst>
            <c:ext xmlns:c16="http://schemas.microsoft.com/office/drawing/2014/chart" uri="{C3380CC4-5D6E-409C-BE32-E72D297353CC}">
              <c16:uniqueId val="{00000015-6556-46EF-9A2F-69B7C2C0F99D}"/>
            </c:ext>
          </c:extLst>
        </c:ser>
        <c:ser>
          <c:idx val="22"/>
          <c:order val="22"/>
          <c:invertIfNegative val="0"/>
          <c:cat>
            <c:strRef>
              <c:f>股权价值增加表!$A$70</c:f>
              <c:strCache>
                <c:ptCount val="1"/>
                <c:pt idx="0">
                  <c:v>所有者权益</c:v>
                </c:pt>
              </c:strCache>
            </c:strRef>
          </c:cat>
          <c:val>
            <c:numRef>
              <c:f>股权价值增加表!$X$70</c:f>
            </c:numRef>
          </c:val>
          <c:extLst>
            <c:ext xmlns:c16="http://schemas.microsoft.com/office/drawing/2014/chart" uri="{C3380CC4-5D6E-409C-BE32-E72D297353CC}">
              <c16:uniqueId val="{00000016-6556-46EF-9A2F-69B7C2C0F99D}"/>
            </c:ext>
          </c:extLst>
        </c:ser>
        <c:ser>
          <c:idx val="23"/>
          <c:order val="23"/>
          <c:invertIfNegative val="0"/>
          <c:cat>
            <c:strRef>
              <c:f>股权价值增加表!$A$70</c:f>
              <c:strCache>
                <c:ptCount val="1"/>
                <c:pt idx="0">
                  <c:v>所有者权益</c:v>
                </c:pt>
              </c:strCache>
            </c:strRef>
          </c:cat>
          <c:val>
            <c:numRef>
              <c:f>股权价值增加表!$Y$70</c:f>
              <c:numCache>
                <c:formatCode>General</c:formatCode>
                <c:ptCount val="1"/>
                <c:pt idx="0">
                  <c:v>1892220602.73</c:v>
                </c:pt>
              </c:numCache>
            </c:numRef>
          </c:val>
          <c:extLst>
            <c:ext xmlns:c16="http://schemas.microsoft.com/office/drawing/2014/chart" uri="{C3380CC4-5D6E-409C-BE32-E72D297353CC}">
              <c16:uniqueId val="{00000017-6556-46EF-9A2F-69B7C2C0F99D}"/>
            </c:ext>
          </c:extLst>
        </c:ser>
        <c:dLbls>
          <c:showLegendKey val="0"/>
          <c:showVal val="0"/>
          <c:showCatName val="0"/>
          <c:showSerName val="0"/>
          <c:showPercent val="0"/>
          <c:showBubbleSize val="0"/>
        </c:dLbls>
        <c:gapWidth val="150"/>
        <c:axId val="227362816"/>
        <c:axId val="227624640"/>
      </c:barChart>
      <c:catAx>
        <c:axId val="227362816"/>
        <c:scaling>
          <c:orientation val="minMax"/>
        </c:scaling>
        <c:delete val="0"/>
        <c:axPos val="b"/>
        <c:numFmt formatCode="General" sourceLinked="0"/>
        <c:majorTickMark val="out"/>
        <c:minorTickMark val="none"/>
        <c:tickLblPos val="nextTo"/>
        <c:crossAx val="227624640"/>
        <c:crosses val="autoZero"/>
        <c:auto val="1"/>
        <c:lblAlgn val="ctr"/>
        <c:lblOffset val="100"/>
        <c:noMultiLvlLbl val="0"/>
      </c:catAx>
      <c:valAx>
        <c:axId val="227624640"/>
        <c:scaling>
          <c:orientation val="minMax"/>
        </c:scaling>
        <c:delete val="0"/>
        <c:axPos val="l"/>
        <c:majorGridlines/>
        <c:numFmt formatCode="General" sourceLinked="1"/>
        <c:majorTickMark val="out"/>
        <c:minorTickMark val="none"/>
        <c:tickLblPos val="nextTo"/>
        <c:crossAx val="22736281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6045815177748258E-2"/>
          <c:y val="0.39811610930890473"/>
          <c:w val="0.48123402361990814"/>
          <c:h val="0.43463425236576925"/>
        </c:manualLayout>
      </c:layout>
      <c:barChart>
        <c:barDir val="col"/>
        <c:grouping val="clustered"/>
        <c:varyColors val="0"/>
        <c:ser>
          <c:idx val="1"/>
          <c:order val="1"/>
          <c:tx>
            <c:strRef>
              <c:f>投资和筹资活动现金流表!$A$12:$U$12</c:f>
              <c:strCache>
                <c:ptCount val="21"/>
                <c:pt idx="0">
                  <c:v>(10)期初长期资产净值</c:v>
                </c:pt>
                <c:pt idx="4">
                  <c:v>712,655,645.72 </c:v>
                </c:pt>
                <c:pt idx="5">
                  <c:v>712,011,638.27 </c:v>
                </c:pt>
                <c:pt idx="6">
                  <c:v>706,507,482.51 </c:v>
                </c:pt>
                <c:pt idx="7">
                  <c:v>719,703,422.57 </c:v>
                </c:pt>
                <c:pt idx="8">
                  <c:v>724,088,791.26 </c:v>
                </c:pt>
                <c:pt idx="9">
                  <c:v>660,102,135.27 </c:v>
                </c:pt>
                <c:pt idx="10">
                  <c:v>654,397,807.84 </c:v>
                </c:pt>
                <c:pt idx="11">
                  <c:v>657,598,710.34 </c:v>
                </c:pt>
                <c:pt idx="12">
                  <c:v>657,770,407.97 </c:v>
                </c:pt>
                <c:pt idx="13">
                  <c:v>658,741,725.48 </c:v>
                </c:pt>
                <c:pt idx="14">
                  <c:v>642,750,663.67 </c:v>
                </c:pt>
                <c:pt idx="15">
                  <c:v>638,106,996.24 </c:v>
                </c:pt>
                <c:pt idx="16">
                  <c:v>646,286,156.85 </c:v>
                </c:pt>
                <c:pt idx="17">
                  <c:v>687,749,387.56 </c:v>
                </c:pt>
                <c:pt idx="18">
                  <c:v>656,425,843.02 </c:v>
                </c:pt>
                <c:pt idx="19">
                  <c:v>675,710,284.61 </c:v>
                </c:pt>
                <c:pt idx="20">
                  <c:v>514,551,138.61 </c:v>
                </c:pt>
              </c:strCache>
            </c:strRef>
          </c:tx>
          <c:invertIfNegative val="0"/>
          <c:cat>
            <c:numRef>
              <c:f>投资和筹资活动现金流表!$E$12</c:f>
              <c:numCache>
                <c:formatCode>#,##0.00_ </c:formatCode>
                <c:ptCount val="1"/>
                <c:pt idx="0">
                  <c:v>712655645.71999979</c:v>
                </c:pt>
              </c:numCache>
            </c:numRef>
          </c:cat>
          <c:val>
            <c:numRef>
              <c:f>投资和筹资活动现金流表!$E$12:$U$12</c:f>
              <c:numCache>
                <c:formatCode>#,##0.00_ </c:formatCode>
                <c:ptCount val="5"/>
                <c:pt idx="0">
                  <c:v>712655645.71999979</c:v>
                </c:pt>
                <c:pt idx="1">
                  <c:v>724088791.25999999</c:v>
                </c:pt>
                <c:pt idx="2">
                  <c:v>657770407.97000003</c:v>
                </c:pt>
                <c:pt idx="3">
                  <c:v>646286156.85000002</c:v>
                </c:pt>
                <c:pt idx="4">
                  <c:v>514551138.61000001</c:v>
                </c:pt>
              </c:numCache>
            </c:numRef>
          </c:val>
          <c:extLst>
            <c:ext xmlns:c16="http://schemas.microsoft.com/office/drawing/2014/chart" uri="{C3380CC4-5D6E-409C-BE32-E72D297353CC}">
              <c16:uniqueId val="{00000000-E857-40F3-BD63-D5137416C05D}"/>
            </c:ext>
          </c:extLst>
        </c:ser>
        <c:dLbls>
          <c:showLegendKey val="0"/>
          <c:showVal val="0"/>
          <c:showCatName val="0"/>
          <c:showSerName val="0"/>
          <c:showPercent val="0"/>
          <c:showBubbleSize val="0"/>
        </c:dLbls>
        <c:gapWidth val="150"/>
        <c:axId val="611100752"/>
        <c:axId val="611105552"/>
      </c:barChart>
      <c:lineChart>
        <c:grouping val="stacked"/>
        <c:varyColors val="0"/>
        <c:ser>
          <c:idx val="0"/>
          <c:order val="0"/>
          <c:tx>
            <c:strRef>
              <c:f>投资和筹资活动现金流表!$A$13</c:f>
              <c:strCache>
                <c:ptCount val="1"/>
                <c:pt idx="0">
                  <c:v>(11)长期资产扩张性资本支出比例%=9/10*100%</c:v>
                </c:pt>
              </c:strCache>
            </c:strRef>
          </c:tx>
          <c:marker>
            <c:symbol val="none"/>
          </c:marker>
          <c:val>
            <c:numRef>
              <c:f>投资和筹资活动现金流表!$B$13:$U$13</c:f>
              <c:numCache>
                <c:formatCode>0.00%</c:formatCode>
                <c:ptCount val="5"/>
                <c:pt idx="0">
                  <c:v>-0.11847611260372073</c:v>
                </c:pt>
                <c:pt idx="1">
                  <c:v>-1.7881528213507178E-2</c:v>
                </c:pt>
                <c:pt idx="2">
                  <c:v>-1.0282467040244955E-2</c:v>
                </c:pt>
                <c:pt idx="3">
                  <c:v>-2.3879332268572622E-2</c:v>
                </c:pt>
                <c:pt idx="4">
                  <c:v>0.24573428993194077</c:v>
                </c:pt>
              </c:numCache>
            </c:numRef>
          </c:val>
          <c:smooth val="0"/>
          <c:extLst>
            <c:ext xmlns:c16="http://schemas.microsoft.com/office/drawing/2014/chart" uri="{C3380CC4-5D6E-409C-BE32-E72D297353CC}">
              <c16:uniqueId val="{00000000-D40F-4C19-8FB0-6E03B1ECE96B}"/>
            </c:ext>
          </c:extLst>
        </c:ser>
        <c:dLbls>
          <c:showLegendKey val="0"/>
          <c:showVal val="0"/>
          <c:showCatName val="0"/>
          <c:showSerName val="0"/>
          <c:showPercent val="0"/>
          <c:showBubbleSize val="0"/>
        </c:dLbls>
        <c:marker val="1"/>
        <c:smooth val="0"/>
        <c:axId val="611121232"/>
        <c:axId val="611116112"/>
      </c:lineChart>
      <c:valAx>
        <c:axId val="611105552"/>
        <c:scaling>
          <c:orientation val="minMax"/>
        </c:scaling>
        <c:delete val="0"/>
        <c:axPos val="r"/>
        <c:numFmt formatCode="#,##0.00_ " sourceLinked="1"/>
        <c:majorTickMark val="out"/>
        <c:minorTickMark val="none"/>
        <c:tickLblPos val="nextTo"/>
        <c:crossAx val="611100752"/>
        <c:crosses val="max"/>
        <c:crossBetween val="between"/>
      </c:valAx>
      <c:catAx>
        <c:axId val="611100752"/>
        <c:scaling>
          <c:orientation val="minMax"/>
        </c:scaling>
        <c:delete val="1"/>
        <c:axPos val="b"/>
        <c:numFmt formatCode="#,##0.00_ " sourceLinked="1"/>
        <c:majorTickMark val="out"/>
        <c:minorTickMark val="none"/>
        <c:tickLblPos val="nextTo"/>
        <c:crossAx val="611105552"/>
        <c:crosses val="autoZero"/>
        <c:auto val="1"/>
        <c:lblAlgn val="ctr"/>
        <c:lblOffset val="100"/>
        <c:noMultiLvlLbl val="0"/>
      </c:catAx>
      <c:valAx>
        <c:axId val="611116112"/>
        <c:scaling>
          <c:orientation val="minMax"/>
        </c:scaling>
        <c:delete val="0"/>
        <c:axPos val="l"/>
        <c:numFmt formatCode="0.00%" sourceLinked="1"/>
        <c:majorTickMark val="out"/>
        <c:minorTickMark val="none"/>
        <c:tickLblPos val="nextTo"/>
        <c:crossAx val="611121232"/>
        <c:crosses val="autoZero"/>
        <c:crossBetween val="between"/>
      </c:valAx>
      <c:catAx>
        <c:axId val="611121232"/>
        <c:scaling>
          <c:orientation val="minMax"/>
        </c:scaling>
        <c:delete val="1"/>
        <c:axPos val="b"/>
        <c:majorTickMark val="out"/>
        <c:minorTickMark val="none"/>
        <c:tickLblPos val="nextTo"/>
        <c:crossAx val="611116112"/>
        <c:crosses val="autoZero"/>
        <c:auto val="1"/>
        <c:lblAlgn val="ctr"/>
        <c:lblOffset val="100"/>
        <c:noMultiLvlLbl val="0"/>
      </c:catAx>
    </c:plotArea>
    <c:legend>
      <c:legendPos val="r"/>
      <c:layout>
        <c:manualLayout>
          <c:xMode val="edge"/>
          <c:yMode val="edge"/>
          <c:x val="0.72713953788563301"/>
          <c:y val="4.4657570714642367E-2"/>
          <c:w val="0.26471049725341711"/>
          <c:h val="0.28565735786464236"/>
        </c:manualLayout>
      </c:layout>
      <c:overlay val="0"/>
    </c:legend>
    <c:plotVisOnly val="1"/>
    <c:dispBlanksAs val="zero"/>
    <c:showDLblsOverMax val="0"/>
  </c:chart>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1527954931806925"/>
          <c:y val="3.3347220714838373E-2"/>
        </c:manualLayout>
      </c:layout>
      <c:overlay val="0"/>
    </c:title>
    <c:autoTitleDeleted val="0"/>
    <c:plotArea>
      <c:layout/>
      <c:lineChart>
        <c:grouping val="stacked"/>
        <c:varyColors val="0"/>
        <c:ser>
          <c:idx val="0"/>
          <c:order val="0"/>
          <c:tx>
            <c:strRef>
              <c:f>投资和筹资活动现金流表!$A$21</c:f>
              <c:strCache>
                <c:ptCount val="1"/>
                <c:pt idx="0">
                  <c:v>(17)现金自给率=16/15</c:v>
                </c:pt>
              </c:strCache>
            </c:strRef>
          </c:tx>
          <c:val>
            <c:numRef>
              <c:f>投资和筹资活动现金流表!$B$21:$Y$21</c:f>
              <c:numCache>
                <c:formatCode>#,##0.00_ </c:formatCode>
                <c:ptCount val="6"/>
                <c:pt idx="0">
                  <c:v>0.84105326428773908</c:v>
                </c:pt>
                <c:pt idx="1">
                  <c:v>8.2048628603371689</c:v>
                </c:pt>
                <c:pt idx="2">
                  <c:v>2.6699896580141336</c:v>
                </c:pt>
                <c:pt idx="3">
                  <c:v>2.8388448026892452</c:v>
                </c:pt>
                <c:pt idx="4">
                  <c:v>2.3665585260047024</c:v>
                </c:pt>
                <c:pt idx="5">
                  <c:v>1.4084083661476603</c:v>
                </c:pt>
              </c:numCache>
            </c:numRef>
          </c:val>
          <c:smooth val="0"/>
          <c:extLst>
            <c:ext xmlns:c16="http://schemas.microsoft.com/office/drawing/2014/chart" uri="{C3380CC4-5D6E-409C-BE32-E72D297353CC}">
              <c16:uniqueId val="{00000000-8245-45C7-87C5-C9EA4EB313F9}"/>
            </c:ext>
          </c:extLst>
        </c:ser>
        <c:dLbls>
          <c:showLegendKey val="0"/>
          <c:showVal val="0"/>
          <c:showCatName val="0"/>
          <c:showSerName val="0"/>
          <c:showPercent val="0"/>
          <c:showBubbleSize val="0"/>
        </c:dLbls>
        <c:marker val="1"/>
        <c:smooth val="0"/>
        <c:axId val="223023616"/>
        <c:axId val="227629824"/>
      </c:lineChart>
      <c:catAx>
        <c:axId val="223023616"/>
        <c:scaling>
          <c:orientation val="minMax"/>
        </c:scaling>
        <c:delete val="0"/>
        <c:axPos val="b"/>
        <c:majorTickMark val="out"/>
        <c:minorTickMark val="none"/>
        <c:tickLblPos val="nextTo"/>
        <c:crossAx val="227629824"/>
        <c:crosses val="autoZero"/>
        <c:auto val="1"/>
        <c:lblAlgn val="ctr"/>
        <c:lblOffset val="100"/>
        <c:noMultiLvlLbl val="0"/>
      </c:catAx>
      <c:valAx>
        <c:axId val="227629824"/>
        <c:scaling>
          <c:orientation val="minMax"/>
        </c:scaling>
        <c:delete val="0"/>
        <c:axPos val="l"/>
        <c:majorGridlines/>
        <c:numFmt formatCode="#,##0.00_ " sourceLinked="1"/>
        <c:majorTickMark val="out"/>
        <c:minorTickMark val="none"/>
        <c:tickLblPos val="nextTo"/>
        <c:crossAx val="22302361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1"/>
    <c:plotArea>
      <c:layout/>
      <c:barChart>
        <c:barDir val="col"/>
        <c:grouping val="clustered"/>
        <c:varyColors val="0"/>
        <c:ser>
          <c:idx val="0"/>
          <c:order val="0"/>
          <c:tx>
            <c:strRef>
              <c:f>投资和筹资活动现金流表!$A$5</c:f>
              <c:strCache>
                <c:ptCount val="1"/>
                <c:pt idx="0">
                  <c:v>(3)长期资产净投资额=2-1</c:v>
                </c:pt>
              </c:strCache>
            </c:strRef>
          </c:tx>
          <c:invertIfNegative val="0"/>
          <c:val>
            <c:numRef>
              <c:f>投资和筹资活动现金流表!$B$5:$Y$5</c:f>
              <c:numCache>
                <c:formatCode>#,##0.00_ </c:formatCode>
                <c:ptCount val="6"/>
                <c:pt idx="0">
                  <c:v>23865411.170000002</c:v>
                </c:pt>
                <c:pt idx="1">
                  <c:v>61591048.32</c:v>
                </c:pt>
                <c:pt idx="2">
                  <c:v>60901858.619999997</c:v>
                </c:pt>
                <c:pt idx="3">
                  <c:v>46626691.400000006</c:v>
                </c:pt>
                <c:pt idx="4">
                  <c:v>174798017.59999999</c:v>
                </c:pt>
                <c:pt idx="5">
                  <c:v>174948474.66999999</c:v>
                </c:pt>
              </c:numCache>
            </c:numRef>
          </c:val>
          <c:extLst>
            <c:ext xmlns:c16="http://schemas.microsoft.com/office/drawing/2014/chart" uri="{C3380CC4-5D6E-409C-BE32-E72D297353CC}">
              <c16:uniqueId val="{00000000-84F5-4C49-879D-4573E27D5021}"/>
            </c:ext>
          </c:extLst>
        </c:ser>
        <c:ser>
          <c:idx val="12"/>
          <c:order val="1"/>
          <c:tx>
            <c:strRef>
              <c:f>投资和筹资活动现金流表!$A$17</c:f>
              <c:strCache>
                <c:ptCount val="1"/>
                <c:pt idx="0">
                  <c:v>(14)净合并额=13-12</c:v>
                </c:pt>
              </c:strCache>
            </c:strRef>
          </c:tx>
          <c:invertIfNegative val="0"/>
          <c:val>
            <c:numRef>
              <c:f>投资和筹资活动现金流表!$B$17:$Y$17</c:f>
              <c:numCache>
                <c:formatCode>#,##0.00_ </c:formatCode>
                <c:ptCount val="6"/>
                <c:pt idx="0">
                  <c:v>449743007.73000002</c:v>
                </c:pt>
                <c:pt idx="1">
                  <c:v>0</c:v>
                </c:pt>
                <c:pt idx="2">
                  <c:v>66253681.619999997</c:v>
                </c:pt>
                <c:pt idx="3">
                  <c:v>132325433.64</c:v>
                </c:pt>
                <c:pt idx="4">
                  <c:v>0</c:v>
                </c:pt>
                <c:pt idx="5">
                  <c:v>0</c:v>
                </c:pt>
              </c:numCache>
            </c:numRef>
          </c:val>
          <c:extLst>
            <c:ext xmlns:c16="http://schemas.microsoft.com/office/drawing/2014/chart" uri="{C3380CC4-5D6E-409C-BE32-E72D297353CC}">
              <c16:uniqueId val="{00000001-84F5-4C49-879D-4573E27D5021}"/>
            </c:ext>
          </c:extLst>
        </c:ser>
        <c:ser>
          <c:idx val="15"/>
          <c:order val="2"/>
          <c:tx>
            <c:strRef>
              <c:f>投资和筹资活动现金流表!$A$20</c:f>
              <c:strCache>
                <c:ptCount val="1"/>
                <c:pt idx="0">
                  <c:v>(16)经营活动产生的现金流量净额</c:v>
                </c:pt>
              </c:strCache>
            </c:strRef>
          </c:tx>
          <c:invertIfNegative val="0"/>
          <c:val>
            <c:numRef>
              <c:f>投资和筹资活动现金流表!$B$20:$Y$20</c:f>
              <c:numCache>
                <c:formatCode>General</c:formatCode>
                <c:ptCount val="6"/>
                <c:pt idx="0">
                  <c:v>398329906.70999998</c:v>
                </c:pt>
                <c:pt idx="1">
                  <c:v>505346104.88999999</c:v>
                </c:pt>
                <c:pt idx="2">
                  <c:v>339503977.39999998</c:v>
                </c:pt>
                <c:pt idx="3">
                  <c:v>508017310.10000002</c:v>
                </c:pt>
                <c:pt idx="4">
                  <c:v>413669738.88</c:v>
                </c:pt>
                <c:pt idx="5">
                  <c:v>246398895.37</c:v>
                </c:pt>
              </c:numCache>
            </c:numRef>
          </c:val>
          <c:extLst>
            <c:ext xmlns:c16="http://schemas.microsoft.com/office/drawing/2014/chart" uri="{C3380CC4-5D6E-409C-BE32-E72D297353CC}">
              <c16:uniqueId val="{00000002-84F5-4C49-879D-4573E27D5021}"/>
            </c:ext>
          </c:extLst>
        </c:ser>
        <c:ser>
          <c:idx val="19"/>
          <c:order val="3"/>
          <c:tx>
            <c:strRef>
              <c:f>投资和筹资活动现金流表!$A$24</c:f>
              <c:strCache>
                <c:ptCount val="1"/>
                <c:pt idx="0">
                  <c:v>(20)筹资活动产生的现金流量净额</c:v>
                </c:pt>
              </c:strCache>
            </c:strRef>
          </c:tx>
          <c:invertIfNegative val="0"/>
          <c:val>
            <c:numRef>
              <c:f>投资和筹资活动现金流表!$B$24:$Y$24</c:f>
              <c:numCache>
                <c:formatCode>General</c:formatCode>
                <c:ptCount val="6"/>
                <c:pt idx="0">
                  <c:v>-208447636.72999999</c:v>
                </c:pt>
                <c:pt idx="1">
                  <c:v>175600070.94999999</c:v>
                </c:pt>
                <c:pt idx="2">
                  <c:v>-176498537.03</c:v>
                </c:pt>
                <c:pt idx="3">
                  <c:v>-98254170</c:v>
                </c:pt>
                <c:pt idx="4">
                  <c:v>-98254170</c:v>
                </c:pt>
                <c:pt idx="5">
                  <c:v>-140363100</c:v>
                </c:pt>
              </c:numCache>
            </c:numRef>
          </c:val>
          <c:extLst>
            <c:ext xmlns:c16="http://schemas.microsoft.com/office/drawing/2014/chart" uri="{C3380CC4-5D6E-409C-BE32-E72D297353CC}">
              <c16:uniqueId val="{00000003-84F5-4C49-879D-4573E27D5021}"/>
            </c:ext>
          </c:extLst>
        </c:ser>
        <c:dLbls>
          <c:showLegendKey val="0"/>
          <c:showVal val="0"/>
          <c:showCatName val="0"/>
          <c:showSerName val="0"/>
          <c:showPercent val="0"/>
          <c:showBubbleSize val="0"/>
        </c:dLbls>
        <c:gapWidth val="150"/>
        <c:axId val="226113024"/>
        <c:axId val="226034240"/>
      </c:barChart>
      <c:catAx>
        <c:axId val="226113024"/>
        <c:scaling>
          <c:orientation val="minMax"/>
        </c:scaling>
        <c:delete val="0"/>
        <c:axPos val="b"/>
        <c:majorTickMark val="none"/>
        <c:minorTickMark val="none"/>
        <c:tickLblPos val="nextTo"/>
        <c:crossAx val="226034240"/>
        <c:crosses val="autoZero"/>
        <c:auto val="1"/>
        <c:lblAlgn val="ctr"/>
        <c:lblOffset val="100"/>
        <c:noMultiLvlLbl val="0"/>
      </c:catAx>
      <c:valAx>
        <c:axId val="226034240"/>
        <c:scaling>
          <c:orientation val="minMax"/>
        </c:scaling>
        <c:delete val="0"/>
        <c:axPos val="l"/>
        <c:majorGridlines/>
        <c:numFmt formatCode="#,##0.00_ " sourceLinked="1"/>
        <c:majorTickMark val="none"/>
        <c:minorTickMark val="none"/>
        <c:tickLblPos val="nextTo"/>
        <c:crossAx val="226113024"/>
        <c:crosses val="autoZero"/>
        <c:crossBetween val="between"/>
      </c:valAx>
    </c:plotArea>
    <c:legend>
      <c:legendPos val="r"/>
      <c:layout>
        <c:manualLayout>
          <c:xMode val="edge"/>
          <c:yMode val="edge"/>
          <c:x val="0.65710932222373564"/>
          <c:y val="6.0558396483167319E-2"/>
          <c:w val="0.34289067777626431"/>
          <c:h val="0.86455319705907574"/>
        </c:manualLayout>
      </c:layout>
      <c:overlay val="0"/>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投资和筹资活动现金流表!$A$42</c:f>
              <c:strCache>
                <c:ptCount val="1"/>
                <c:pt idx="0">
                  <c:v>(3)股东筹资净额=1-2</c:v>
                </c:pt>
              </c:strCache>
            </c:strRef>
          </c:tx>
          <c:invertIfNegative val="0"/>
          <c:val>
            <c:numRef>
              <c:f>投资和筹资活动现金流表!$B$42:$Y$42</c:f>
              <c:numCache>
                <c:formatCode>#,##0.00_ </c:formatCode>
                <c:ptCount val="6"/>
                <c:pt idx="0">
                  <c:v>-120244153.41</c:v>
                </c:pt>
                <c:pt idx="1">
                  <c:v>-116760877.09999999</c:v>
                </c:pt>
                <c:pt idx="2">
                  <c:v>-275040200</c:v>
                </c:pt>
                <c:pt idx="3">
                  <c:v>-98254170</c:v>
                </c:pt>
                <c:pt idx="4">
                  <c:v>-98254170</c:v>
                </c:pt>
                <c:pt idx="5">
                  <c:v>-140363100</c:v>
                </c:pt>
              </c:numCache>
            </c:numRef>
          </c:val>
          <c:extLst>
            <c:ext xmlns:c16="http://schemas.microsoft.com/office/drawing/2014/chart" uri="{C3380CC4-5D6E-409C-BE32-E72D297353CC}">
              <c16:uniqueId val="{00000000-1E11-43A8-9C70-5F59CB0B72B4}"/>
            </c:ext>
          </c:extLst>
        </c:ser>
        <c:ser>
          <c:idx val="7"/>
          <c:order val="1"/>
          <c:tx>
            <c:strRef>
              <c:f>投资和筹资活动现金流表!$A$49</c:f>
              <c:strCache>
                <c:ptCount val="1"/>
                <c:pt idx="0">
                  <c:v>(9)债务筹资净额=4+8-5-6-7</c:v>
                </c:pt>
              </c:strCache>
            </c:strRef>
          </c:tx>
          <c:invertIfNegative val="0"/>
          <c:val>
            <c:numRef>
              <c:f>投资和筹资活动现金流表!$B$49:$Y$49</c:f>
              <c:numCache>
                <c:formatCode>#,##0.00_ </c:formatCode>
                <c:ptCount val="6"/>
                <c:pt idx="0">
                  <c:v>-173987920.38</c:v>
                </c:pt>
                <c:pt idx="1">
                  <c:v>378381072.91999996</c:v>
                </c:pt>
                <c:pt idx="2">
                  <c:v>97937496.310000002</c:v>
                </c:pt>
                <c:pt idx="3">
                  <c:v>0</c:v>
                </c:pt>
                <c:pt idx="4">
                  <c:v>0</c:v>
                </c:pt>
                <c:pt idx="5">
                  <c:v>0</c:v>
                </c:pt>
              </c:numCache>
            </c:numRef>
          </c:val>
          <c:extLst>
            <c:ext xmlns:c16="http://schemas.microsoft.com/office/drawing/2014/chart" uri="{C3380CC4-5D6E-409C-BE32-E72D297353CC}">
              <c16:uniqueId val="{00000001-1E11-43A8-9C70-5F59CB0B72B4}"/>
            </c:ext>
          </c:extLst>
        </c:ser>
        <c:dLbls>
          <c:showLegendKey val="0"/>
          <c:showVal val="0"/>
          <c:showCatName val="0"/>
          <c:showSerName val="0"/>
          <c:showPercent val="0"/>
          <c:showBubbleSize val="0"/>
        </c:dLbls>
        <c:gapWidth val="150"/>
        <c:axId val="226114048"/>
        <c:axId val="226036544"/>
      </c:barChart>
      <c:catAx>
        <c:axId val="226114048"/>
        <c:scaling>
          <c:orientation val="minMax"/>
        </c:scaling>
        <c:delete val="0"/>
        <c:axPos val="b"/>
        <c:majorTickMark val="out"/>
        <c:minorTickMark val="none"/>
        <c:tickLblPos val="nextTo"/>
        <c:crossAx val="226036544"/>
        <c:crosses val="autoZero"/>
        <c:auto val="1"/>
        <c:lblAlgn val="ctr"/>
        <c:lblOffset val="100"/>
        <c:noMultiLvlLbl val="0"/>
      </c:catAx>
      <c:valAx>
        <c:axId val="226036544"/>
        <c:scaling>
          <c:orientation val="minMax"/>
        </c:scaling>
        <c:delete val="0"/>
        <c:axPos val="l"/>
        <c:majorGridlines/>
        <c:numFmt formatCode="#,##0.00_ " sourceLinked="1"/>
        <c:majorTickMark val="out"/>
        <c:minorTickMark val="none"/>
        <c:tickLblPos val="nextTo"/>
        <c:crossAx val="22611404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投资和筹资活动现金流表!$A$44</c:f>
              <c:strCache>
                <c:ptCount val="1"/>
                <c:pt idx="0">
                  <c:v>(4)取得借款收到的现金</c:v>
                </c:pt>
              </c:strCache>
            </c:strRef>
          </c:tx>
          <c:invertIfNegative val="0"/>
          <c:val>
            <c:numRef>
              <c:f>投资和筹资活动现金流表!$B$44:$Y$44</c:f>
              <c:numCache>
                <c:formatCode>General</c:formatCode>
                <c:ptCount val="6"/>
                <c:pt idx="0">
                  <c:v>247500960</c:v>
                </c:pt>
                <c:pt idx="1">
                  <c:v>578377380</c:v>
                </c:pt>
                <c:pt idx="2">
                  <c:v>100000000</c:v>
                </c:pt>
                <c:pt idx="3">
                  <c:v>0</c:v>
                </c:pt>
                <c:pt idx="4">
                  <c:v>0</c:v>
                </c:pt>
                <c:pt idx="5">
                  <c:v>0</c:v>
                </c:pt>
              </c:numCache>
            </c:numRef>
          </c:val>
          <c:extLst>
            <c:ext xmlns:c16="http://schemas.microsoft.com/office/drawing/2014/chart" uri="{C3380CC4-5D6E-409C-BE32-E72D297353CC}">
              <c16:uniqueId val="{00000000-849A-4119-836B-2CF44EBD3336}"/>
            </c:ext>
          </c:extLst>
        </c:ser>
        <c:ser>
          <c:idx val="4"/>
          <c:order val="1"/>
          <c:tx>
            <c:strRef>
              <c:f>投资和筹资活动现金流表!$A$48</c:f>
              <c:strCache>
                <c:ptCount val="1"/>
                <c:pt idx="0">
                  <c:v>(8)发行债券收到的现金</c:v>
                </c:pt>
              </c:strCache>
            </c:strRef>
          </c:tx>
          <c:invertIfNegative val="0"/>
          <c:val>
            <c:numRef>
              <c:f>投资和筹资活动现金流表!$B$48:$Y$48</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849A-4119-836B-2CF44EBD3336}"/>
            </c:ext>
          </c:extLst>
        </c:ser>
        <c:dLbls>
          <c:showLegendKey val="0"/>
          <c:showVal val="0"/>
          <c:showCatName val="0"/>
          <c:showSerName val="0"/>
          <c:showPercent val="0"/>
          <c:showBubbleSize val="0"/>
        </c:dLbls>
        <c:gapWidth val="150"/>
        <c:axId val="226114560"/>
        <c:axId val="226038272"/>
      </c:barChart>
      <c:catAx>
        <c:axId val="226114560"/>
        <c:scaling>
          <c:orientation val="minMax"/>
        </c:scaling>
        <c:delete val="0"/>
        <c:axPos val="b"/>
        <c:majorTickMark val="out"/>
        <c:minorTickMark val="none"/>
        <c:tickLblPos val="nextTo"/>
        <c:crossAx val="226038272"/>
        <c:crosses val="autoZero"/>
        <c:auto val="1"/>
        <c:lblAlgn val="ctr"/>
        <c:lblOffset val="100"/>
        <c:noMultiLvlLbl val="0"/>
      </c:catAx>
      <c:valAx>
        <c:axId val="226038272"/>
        <c:scaling>
          <c:orientation val="minMax"/>
        </c:scaling>
        <c:delete val="0"/>
        <c:axPos val="l"/>
        <c:majorGridlines/>
        <c:numFmt formatCode="General" sourceLinked="1"/>
        <c:majorTickMark val="out"/>
        <c:minorTickMark val="none"/>
        <c:tickLblPos val="nextTo"/>
        <c:crossAx val="22611456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投资和筹资活动现金流表!$A$28</c:f>
              <c:strCache>
                <c:ptCount val="1"/>
                <c:pt idx="0">
                  <c:v>(23)投资现金流出净额</c:v>
                </c:pt>
              </c:strCache>
            </c:strRef>
          </c:tx>
          <c:invertIfNegative val="0"/>
          <c:val>
            <c:numRef>
              <c:f>投资和筹资活动现金流表!$B$28:$Y$28</c:f>
              <c:numCache>
                <c:formatCode>#,##0.00_ </c:formatCode>
                <c:ptCount val="6"/>
                <c:pt idx="0">
                  <c:v>381873470.29999995</c:v>
                </c:pt>
                <c:pt idx="1">
                  <c:v>187575799.05999994</c:v>
                </c:pt>
                <c:pt idx="2">
                  <c:v>170321122.3499999</c:v>
                </c:pt>
                <c:pt idx="3">
                  <c:v>555710000</c:v>
                </c:pt>
                <c:pt idx="4">
                  <c:v>190540000</c:v>
                </c:pt>
                <c:pt idx="5">
                  <c:v>0</c:v>
                </c:pt>
              </c:numCache>
            </c:numRef>
          </c:val>
          <c:extLst>
            <c:ext xmlns:c16="http://schemas.microsoft.com/office/drawing/2014/chart" uri="{C3380CC4-5D6E-409C-BE32-E72D297353CC}">
              <c16:uniqueId val="{00000000-97B1-4AD8-8CB9-C7D9ADBE23AB}"/>
            </c:ext>
          </c:extLst>
        </c:ser>
        <c:dLbls>
          <c:showLegendKey val="0"/>
          <c:showVal val="0"/>
          <c:showCatName val="0"/>
          <c:showSerName val="0"/>
          <c:showPercent val="0"/>
          <c:showBubbleSize val="0"/>
        </c:dLbls>
        <c:gapWidth val="150"/>
        <c:axId val="226115072"/>
        <c:axId val="226040000"/>
      </c:barChart>
      <c:catAx>
        <c:axId val="226115072"/>
        <c:scaling>
          <c:orientation val="minMax"/>
        </c:scaling>
        <c:delete val="0"/>
        <c:axPos val="b"/>
        <c:majorTickMark val="out"/>
        <c:minorTickMark val="none"/>
        <c:tickLblPos val="nextTo"/>
        <c:crossAx val="226040000"/>
        <c:crosses val="autoZero"/>
        <c:auto val="1"/>
        <c:lblAlgn val="ctr"/>
        <c:lblOffset val="100"/>
        <c:noMultiLvlLbl val="0"/>
      </c:catAx>
      <c:valAx>
        <c:axId val="226040000"/>
        <c:scaling>
          <c:orientation val="minMax"/>
        </c:scaling>
        <c:delete val="0"/>
        <c:axPos val="l"/>
        <c:majorGridlines/>
        <c:numFmt formatCode="#,##0.00_ " sourceLinked="1"/>
        <c:majorTickMark val="out"/>
        <c:minorTickMark val="none"/>
        <c:tickLblPos val="nextTo"/>
        <c:crossAx val="226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平均资本成本表!$A$3</c:f>
              <c:strCache>
                <c:ptCount val="1"/>
                <c:pt idx="0">
                  <c:v>(1)利息支出</c:v>
                </c:pt>
              </c:strCache>
            </c:strRef>
          </c:tx>
          <c:invertIfNegative val="0"/>
          <c:val>
            <c:numRef>
              <c:f>平均资本成本表!$B$3:$Y$3</c:f>
              <c:numCache>
                <c:formatCode>#,##0.00_ </c:formatCode>
                <c:ptCount val="6"/>
                <c:pt idx="0">
                  <c:v>21110212.079999998</c:v>
                </c:pt>
                <c:pt idx="1">
                  <c:v>9305327.8499999996</c:v>
                </c:pt>
                <c:pt idx="2">
                  <c:v>1760420.36</c:v>
                </c:pt>
                <c:pt idx="3">
                  <c:v>0</c:v>
                </c:pt>
                <c:pt idx="4">
                  <c:v>0</c:v>
                </c:pt>
                <c:pt idx="5">
                  <c:v>0</c:v>
                </c:pt>
              </c:numCache>
            </c:numRef>
          </c:val>
          <c:extLst>
            <c:ext xmlns:c16="http://schemas.microsoft.com/office/drawing/2014/chart" uri="{C3380CC4-5D6E-409C-BE32-E72D297353CC}">
              <c16:uniqueId val="{00000000-77FF-436A-A114-51FF913C5C88}"/>
            </c:ext>
          </c:extLst>
        </c:ser>
        <c:ser>
          <c:idx val="1"/>
          <c:order val="1"/>
          <c:tx>
            <c:strRef>
              <c:f>平均资本成本表!$A$4</c:f>
              <c:strCache>
                <c:ptCount val="1"/>
                <c:pt idx="0">
                  <c:v>(2)有息债务</c:v>
                </c:pt>
              </c:strCache>
            </c:strRef>
          </c:tx>
          <c:invertIfNegative val="0"/>
          <c:val>
            <c:numRef>
              <c:f>平均资本成本表!$B$4:$Y$4</c:f>
              <c:numCache>
                <c:formatCode>#,##0.00_ </c:formatCode>
                <c:ptCount val="6"/>
                <c:pt idx="0">
                  <c:v>253403062.44</c:v>
                </c:pt>
                <c:pt idx="1">
                  <c:v>498862452.37</c:v>
                </c:pt>
                <c:pt idx="2">
                  <c:v>114682220.78999999</c:v>
                </c:pt>
                <c:pt idx="3">
                  <c:v>5587351.7300000004</c:v>
                </c:pt>
                <c:pt idx="4">
                  <c:v>7877039.8899999997</c:v>
                </c:pt>
                <c:pt idx="5">
                  <c:v>0</c:v>
                </c:pt>
              </c:numCache>
            </c:numRef>
          </c:val>
          <c:extLst>
            <c:ext xmlns:c16="http://schemas.microsoft.com/office/drawing/2014/chart" uri="{C3380CC4-5D6E-409C-BE32-E72D297353CC}">
              <c16:uniqueId val="{00000001-77FF-436A-A114-51FF913C5C88}"/>
            </c:ext>
          </c:extLst>
        </c:ser>
        <c:ser>
          <c:idx val="5"/>
          <c:order val="2"/>
          <c:tx>
            <c:strRef>
              <c:f>平均资本成本表!$A$8</c:f>
              <c:strCache>
                <c:ptCount val="1"/>
                <c:pt idx="0">
                  <c:v>(5)股东权益</c:v>
                </c:pt>
              </c:strCache>
            </c:strRef>
          </c:tx>
          <c:invertIfNegative val="0"/>
          <c:val>
            <c:numRef>
              <c:f>平均资本成本表!$B$8:$Y$8</c:f>
              <c:numCache>
                <c:formatCode>#,##0.00_ </c:formatCode>
                <c:ptCount val="6"/>
                <c:pt idx="0">
                  <c:v>3152725257.1299996</c:v>
                </c:pt>
                <c:pt idx="1">
                  <c:v>2880258171.6600003</c:v>
                </c:pt>
                <c:pt idx="2">
                  <c:v>2655459613.3900003</c:v>
                </c:pt>
                <c:pt idx="3">
                  <c:v>2487328254.04</c:v>
                </c:pt>
                <c:pt idx="4">
                  <c:v>2125429369.46</c:v>
                </c:pt>
                <c:pt idx="5">
                  <c:v>1892220602.73</c:v>
                </c:pt>
              </c:numCache>
            </c:numRef>
          </c:val>
          <c:extLst>
            <c:ext xmlns:c16="http://schemas.microsoft.com/office/drawing/2014/chart" uri="{C3380CC4-5D6E-409C-BE32-E72D297353CC}">
              <c16:uniqueId val="{00000002-77FF-436A-A114-51FF913C5C88}"/>
            </c:ext>
          </c:extLst>
        </c:ser>
        <c:ser>
          <c:idx val="7"/>
          <c:order val="3"/>
          <c:tx>
            <c:strRef>
              <c:f>平均资本成本表!$A$10</c:f>
              <c:strCache>
                <c:ptCount val="1"/>
                <c:pt idx="0">
                  <c:v>(7)资本总额</c:v>
                </c:pt>
              </c:strCache>
            </c:strRef>
          </c:tx>
          <c:invertIfNegative val="0"/>
          <c:val>
            <c:numRef>
              <c:f>平均资本成本表!$B$10:$Y$10</c:f>
              <c:numCache>
                <c:formatCode>#,##0.00_ </c:formatCode>
                <c:ptCount val="6"/>
                <c:pt idx="0">
                  <c:v>3415975678.7199993</c:v>
                </c:pt>
                <c:pt idx="1">
                  <c:v>3379120624.0300002</c:v>
                </c:pt>
                <c:pt idx="2">
                  <c:v>2770141834.1799998</c:v>
                </c:pt>
                <c:pt idx="3">
                  <c:v>2492915605.7700005</c:v>
                </c:pt>
                <c:pt idx="4">
                  <c:v>2133306409.3499999</c:v>
                </c:pt>
                <c:pt idx="5">
                  <c:v>1892220602.73</c:v>
                </c:pt>
              </c:numCache>
            </c:numRef>
          </c:val>
          <c:extLst>
            <c:ext xmlns:c16="http://schemas.microsoft.com/office/drawing/2014/chart" uri="{C3380CC4-5D6E-409C-BE32-E72D297353CC}">
              <c16:uniqueId val="{00000003-77FF-436A-A114-51FF913C5C88}"/>
            </c:ext>
          </c:extLst>
        </c:ser>
        <c:dLbls>
          <c:showLegendKey val="0"/>
          <c:showVal val="0"/>
          <c:showCatName val="0"/>
          <c:showSerName val="0"/>
          <c:showPercent val="0"/>
          <c:showBubbleSize val="0"/>
        </c:dLbls>
        <c:gapWidth val="150"/>
        <c:axId val="227971072"/>
        <c:axId val="228002048"/>
      </c:barChart>
      <c:catAx>
        <c:axId val="227971072"/>
        <c:scaling>
          <c:orientation val="minMax"/>
        </c:scaling>
        <c:delete val="0"/>
        <c:axPos val="b"/>
        <c:majorTickMark val="out"/>
        <c:minorTickMark val="none"/>
        <c:tickLblPos val="nextTo"/>
        <c:crossAx val="228002048"/>
        <c:crosses val="autoZero"/>
        <c:auto val="1"/>
        <c:lblAlgn val="ctr"/>
        <c:lblOffset val="100"/>
        <c:noMultiLvlLbl val="0"/>
      </c:catAx>
      <c:valAx>
        <c:axId val="228002048"/>
        <c:scaling>
          <c:orientation val="minMax"/>
        </c:scaling>
        <c:delete val="0"/>
        <c:axPos val="l"/>
        <c:majorGridlines/>
        <c:numFmt formatCode="#,##0.00_ " sourceLinked="1"/>
        <c:majorTickMark val="out"/>
        <c:minorTickMark val="none"/>
        <c:tickLblPos val="nextTo"/>
        <c:crossAx val="227971072"/>
        <c:crosses val="autoZero"/>
        <c:crossBetween val="between"/>
      </c:valAx>
    </c:plotArea>
    <c:legend>
      <c:legendPos val="r"/>
      <c:layout>
        <c:manualLayout>
          <c:xMode val="edge"/>
          <c:yMode val="edge"/>
          <c:x val="0.79093197725284337"/>
          <c:y val="0.23824547973170021"/>
          <c:w val="0.15849790740855424"/>
          <c:h val="0.27753148246281351"/>
        </c:manualLayout>
      </c:layout>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zh-CN"/>
        </a:p>
      </c:txPr>
    </c:title>
    <c:autoTitleDeleted val="0"/>
    <c:plotArea>
      <c:layout/>
      <c:lineChart>
        <c:grouping val="stacked"/>
        <c:varyColors val="0"/>
        <c:ser>
          <c:idx val="0"/>
          <c:order val="0"/>
          <c:tx>
            <c:strRef>
              <c:f>平均资本成本表!$A$13</c:f>
              <c:strCache>
                <c:ptCount val="1"/>
                <c:pt idx="0">
                  <c:v>(10)加权平均资金成本(WACC)%</c:v>
                </c:pt>
              </c:strCache>
            </c:strRef>
          </c:tx>
          <c:spPr>
            <a:ln w="34925" cap="rnd">
              <a:solidFill>
                <a:schemeClr val="lt1"/>
              </a:solidFill>
              <a:round/>
            </a:ln>
            <a:effectLst>
              <a:outerShdw dist="25400" dir="2700000" algn="tl" rotWithShape="0">
                <a:schemeClr val="accent1"/>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zh-C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val>
            <c:numRef>
              <c:f>平均资本成本表!$B$13:$BV$13</c:f>
              <c:numCache>
                <c:formatCode>0.00%</c:formatCode>
                <c:ptCount val="21"/>
                <c:pt idx="0">
                  <c:v>7.7241970481989927E-2</c:v>
                </c:pt>
                <c:pt idx="1">
                  <c:v>7.1822661276142855E-2</c:v>
                </c:pt>
                <c:pt idx="2">
                  <c:v>7.769067823178484E-2</c:v>
                </c:pt>
                <c:pt idx="3">
                  <c:v>7.9820696642371097E-2</c:v>
                </c:pt>
                <c:pt idx="4">
                  <c:v>7.9704607276086512E-2</c:v>
                </c:pt>
                <c:pt idx="5">
                  <c:v>0.08</c:v>
                </c:pt>
                <c:pt idx="6">
                  <c:v>0.08</c:v>
                </c:pt>
                <c:pt idx="7">
                  <c:v>0.08</c:v>
                </c:pt>
                <c:pt idx="8">
                  <c:v>7.9999999999999988E-2</c:v>
                </c:pt>
                <c:pt idx="9">
                  <c:v>8.6365069004460476E-2</c:v>
                </c:pt>
                <c:pt idx="10">
                  <c:v>0</c:v>
                </c:pt>
                <c:pt idx="11">
                  <c:v>0</c:v>
                </c:pt>
                <c:pt idx="12">
                  <c:v>0</c:v>
                </c:pt>
                <c:pt idx="13">
                  <c:v>0</c:v>
                </c:pt>
                <c:pt idx="14">
                  <c:v>0</c:v>
                </c:pt>
                <c:pt idx="15">
                  <c:v>0</c:v>
                </c:pt>
                <c:pt idx="16">
                  <c:v>0</c:v>
                </c:pt>
                <c:pt idx="17">
                  <c:v>0</c:v>
                </c:pt>
                <c:pt idx="18">
                  <c:v>0</c:v>
                </c:pt>
                <c:pt idx="19">
                  <c:v>0</c:v>
                </c:pt>
                <c:pt idx="20">
                  <c:v>0</c:v>
                </c:pt>
              </c:numCache>
            </c:numRef>
          </c:val>
          <c:smooth val="0"/>
          <c:extLst>
            <c:ext xmlns:c16="http://schemas.microsoft.com/office/drawing/2014/chart" uri="{C3380CC4-5D6E-409C-BE32-E72D297353CC}">
              <c16:uniqueId val="{00000000-4FB5-4E5E-9044-369B9CCD7DF3}"/>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smooth val="0"/>
        <c:axId val="580875192"/>
        <c:axId val="580874232"/>
      </c:lineChart>
      <c:catAx>
        <c:axId val="580875192"/>
        <c:scaling>
          <c:orientation val="minMax"/>
        </c:scaling>
        <c:delete val="0"/>
        <c:axPos val="b"/>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zh-CN"/>
          </a:p>
        </c:txPr>
        <c:crossAx val="580874232"/>
        <c:crosses val="autoZero"/>
        <c:auto val="1"/>
        <c:lblAlgn val="ctr"/>
        <c:lblOffset val="100"/>
        <c:noMultiLvlLbl val="0"/>
      </c:catAx>
      <c:valAx>
        <c:axId val="580874232"/>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zh-CN"/>
          </a:p>
        </c:txPr>
        <c:crossAx val="580875192"/>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zh-CN"/>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688038676558807E-2"/>
          <c:y val="0.10645091477089169"/>
          <c:w val="0.77804489816852762"/>
          <c:h val="0.86341846939106237"/>
        </c:manualLayout>
      </c:layout>
      <c:lineChart>
        <c:grouping val="stacked"/>
        <c:varyColors val="0"/>
        <c:ser>
          <c:idx val="0"/>
          <c:order val="0"/>
          <c:tx>
            <c:strRef>
              <c:f>资产资本结构分析表!$A$25</c:f>
              <c:strCache>
                <c:ptCount val="1"/>
                <c:pt idx="0">
                  <c:v>金融资产变化率</c:v>
                </c:pt>
              </c:strCache>
            </c:strRef>
          </c:tx>
          <c:val>
            <c:numRef>
              <c:f>资产资本结构分析表!$B$25:$Y$25</c:f>
              <c:numCache>
                <c:formatCode>0.00%</c:formatCode>
                <c:ptCount val="6"/>
                <c:pt idx="0">
                  <c:v>-0.52617034561550247</c:v>
                </c:pt>
                <c:pt idx="1">
                  <c:v>1.2309218137585185</c:v>
                </c:pt>
                <c:pt idx="2">
                  <c:v>7.1668233290207259E-2</c:v>
                </c:pt>
                <c:pt idx="3">
                  <c:v>-0.30578049072710917</c:v>
                </c:pt>
                <c:pt idx="4">
                  <c:v>-2.4859924797315816E-2</c:v>
                </c:pt>
                <c:pt idx="5">
                  <c:v>-4.6152732084669731E-2</c:v>
                </c:pt>
              </c:numCache>
            </c:numRef>
          </c:val>
          <c:smooth val="0"/>
          <c:extLst>
            <c:ext xmlns:c16="http://schemas.microsoft.com/office/drawing/2014/chart" uri="{C3380CC4-5D6E-409C-BE32-E72D297353CC}">
              <c16:uniqueId val="{00000000-66CE-4B25-907E-89F5250D4056}"/>
            </c:ext>
          </c:extLst>
        </c:ser>
        <c:ser>
          <c:idx val="2"/>
          <c:order val="1"/>
          <c:tx>
            <c:strRef>
              <c:f>资产资本结构分析表!$A$27</c:f>
              <c:strCache>
                <c:ptCount val="1"/>
                <c:pt idx="0">
                  <c:v>长期股权投资变化率</c:v>
                </c:pt>
              </c:strCache>
            </c:strRef>
          </c:tx>
          <c:val>
            <c:numRef>
              <c:f>资产资本结构分析表!$B$27:$Y$27</c:f>
              <c:numCache>
                <c:formatCode>0.00%</c:formatCode>
                <c:ptCount val="6"/>
                <c:pt idx="0">
                  <c:v>-0.93933822608308148</c:v>
                </c:pt>
                <c:pt idx="1">
                  <c:v>-8.6203384255491095E-2</c:v>
                </c:pt>
                <c:pt idx="2">
                  <c:v>0</c:v>
                </c:pt>
                <c:pt idx="3">
                  <c:v>0</c:v>
                </c:pt>
                <c:pt idx="4">
                  <c:v>0</c:v>
                </c:pt>
                <c:pt idx="5">
                  <c:v>0</c:v>
                </c:pt>
              </c:numCache>
            </c:numRef>
          </c:val>
          <c:smooth val="0"/>
          <c:extLst>
            <c:ext xmlns:c16="http://schemas.microsoft.com/office/drawing/2014/chart" uri="{C3380CC4-5D6E-409C-BE32-E72D297353CC}">
              <c16:uniqueId val="{00000001-66CE-4B25-907E-89F5250D4056}"/>
            </c:ext>
          </c:extLst>
        </c:ser>
        <c:ser>
          <c:idx val="4"/>
          <c:order val="2"/>
          <c:tx>
            <c:strRef>
              <c:f>资产资本结构分析表!$A$29</c:f>
              <c:strCache>
                <c:ptCount val="1"/>
                <c:pt idx="0">
                  <c:v>营运资本变化率</c:v>
                </c:pt>
              </c:strCache>
            </c:strRef>
          </c:tx>
          <c:val>
            <c:numRef>
              <c:f>资产资本结构分析表!$B$29:$Y$29</c:f>
              <c:numCache>
                <c:formatCode>0.00%</c:formatCode>
                <c:ptCount val="6"/>
                <c:pt idx="0">
                  <c:v>0.68284254875713102</c:v>
                </c:pt>
                <c:pt idx="1">
                  <c:v>-0.1798005371591907</c:v>
                </c:pt>
                <c:pt idx="2">
                  <c:v>0.13417540378641968</c:v>
                </c:pt>
                <c:pt idx="3">
                  <c:v>0.83906405071781986</c:v>
                </c:pt>
                <c:pt idx="4">
                  <c:v>0.31572554925062329</c:v>
                </c:pt>
                <c:pt idx="5">
                  <c:v>0.74267690574737655</c:v>
                </c:pt>
              </c:numCache>
            </c:numRef>
          </c:val>
          <c:smooth val="0"/>
          <c:extLst>
            <c:ext xmlns:c16="http://schemas.microsoft.com/office/drawing/2014/chart" uri="{C3380CC4-5D6E-409C-BE32-E72D297353CC}">
              <c16:uniqueId val="{00000002-66CE-4B25-907E-89F5250D4056}"/>
            </c:ext>
          </c:extLst>
        </c:ser>
        <c:ser>
          <c:idx val="5"/>
          <c:order val="3"/>
          <c:tx>
            <c:strRef>
              <c:f>资产资本结构分析表!$A$30</c:f>
              <c:strCache>
                <c:ptCount val="1"/>
                <c:pt idx="0">
                  <c:v>营运资产变化率</c:v>
                </c:pt>
              </c:strCache>
            </c:strRef>
          </c:tx>
          <c:val>
            <c:numRef>
              <c:f>资产资本结构分析表!$B$30:$Y$30</c:f>
              <c:numCache>
                <c:formatCode>0.00%</c:formatCode>
                <c:ptCount val="6"/>
                <c:pt idx="0">
                  <c:v>0.52837218459753676</c:v>
                </c:pt>
                <c:pt idx="1">
                  <c:v>-4.9965058510446081E-2</c:v>
                </c:pt>
                <c:pt idx="2">
                  <c:v>0.13908876436495488</c:v>
                </c:pt>
                <c:pt idx="3">
                  <c:v>0.53919604364321239</c:v>
                </c:pt>
                <c:pt idx="4">
                  <c:v>0.22747051072218413</c:v>
                </c:pt>
                <c:pt idx="5">
                  <c:v>0.16726334915767024</c:v>
                </c:pt>
              </c:numCache>
            </c:numRef>
          </c:val>
          <c:smooth val="0"/>
          <c:extLst>
            <c:ext xmlns:c16="http://schemas.microsoft.com/office/drawing/2014/chart" uri="{C3380CC4-5D6E-409C-BE32-E72D297353CC}">
              <c16:uniqueId val="{00000003-66CE-4B25-907E-89F5250D4056}"/>
            </c:ext>
          </c:extLst>
        </c:ser>
        <c:ser>
          <c:idx val="6"/>
          <c:order val="4"/>
          <c:tx>
            <c:strRef>
              <c:f>资产资本结构分析表!$A$31</c:f>
              <c:strCache>
                <c:ptCount val="1"/>
                <c:pt idx="0">
                  <c:v>营运负责变化率</c:v>
                </c:pt>
              </c:strCache>
            </c:strRef>
          </c:tx>
          <c:val>
            <c:numRef>
              <c:f>资产资本结构分析表!$B$31:$Y$31</c:f>
              <c:numCache>
                <c:formatCode>0.00%</c:formatCode>
                <c:ptCount val="6"/>
                <c:pt idx="0">
                  <c:v>0.35132793597297535</c:v>
                </c:pt>
                <c:pt idx="1">
                  <c:v>0.16060403740818568</c:v>
                </c:pt>
                <c:pt idx="2">
                  <c:v>0.14714847208004714</c:v>
                </c:pt>
                <c:pt idx="3">
                  <c:v>0.21438527086836667</c:v>
                </c:pt>
                <c:pt idx="4">
                  <c:v>0.14432766415874532</c:v>
                </c:pt>
                <c:pt idx="5">
                  <c:v>-0.10968184030547132</c:v>
                </c:pt>
              </c:numCache>
            </c:numRef>
          </c:val>
          <c:smooth val="0"/>
          <c:extLst>
            <c:ext xmlns:c16="http://schemas.microsoft.com/office/drawing/2014/chart" uri="{C3380CC4-5D6E-409C-BE32-E72D297353CC}">
              <c16:uniqueId val="{00000004-66CE-4B25-907E-89F5250D4056}"/>
            </c:ext>
          </c:extLst>
        </c:ser>
        <c:ser>
          <c:idx val="7"/>
          <c:order val="5"/>
          <c:tx>
            <c:strRef>
              <c:f>资产资本结构分析表!$A$32</c:f>
              <c:strCache>
                <c:ptCount val="1"/>
                <c:pt idx="0">
                  <c:v>长期经营资产变化率</c:v>
                </c:pt>
              </c:strCache>
            </c:strRef>
          </c:tx>
          <c:val>
            <c:numRef>
              <c:f>资产资本结构分析表!$B$32:$Y$32</c:f>
              <c:numCache>
                <c:formatCode>0.00%</c:formatCode>
                <c:ptCount val="6"/>
                <c:pt idx="0">
                  <c:v>0.29158020288221076</c:v>
                </c:pt>
                <c:pt idx="1">
                  <c:v>-3.7376407822757848E-2</c:v>
                </c:pt>
                <c:pt idx="2">
                  <c:v>5.5210486576134143E-2</c:v>
                </c:pt>
                <c:pt idx="3">
                  <c:v>0.27730109350244897</c:v>
                </c:pt>
                <c:pt idx="4">
                  <c:v>0.25601929206855273</c:v>
                </c:pt>
                <c:pt idx="5">
                  <c:v>0.26658947692888879</c:v>
                </c:pt>
              </c:numCache>
            </c:numRef>
          </c:val>
          <c:smooth val="0"/>
          <c:extLst>
            <c:ext xmlns:c16="http://schemas.microsoft.com/office/drawing/2014/chart" uri="{C3380CC4-5D6E-409C-BE32-E72D297353CC}">
              <c16:uniqueId val="{00000005-66CE-4B25-907E-89F5250D4056}"/>
            </c:ext>
          </c:extLst>
        </c:ser>
        <c:ser>
          <c:idx val="9"/>
          <c:order val="6"/>
          <c:tx>
            <c:strRef>
              <c:f>资产资本结构分析表!$A$34</c:f>
              <c:strCache>
                <c:ptCount val="1"/>
                <c:pt idx="0">
                  <c:v>短期债务变化率</c:v>
                </c:pt>
              </c:strCache>
            </c:strRef>
          </c:tx>
          <c:val>
            <c:numRef>
              <c:f>资产资本结构分析表!$B$34:$Y$34</c:f>
              <c:numCache>
                <c:formatCode>0.00%</c:formatCode>
                <c:ptCount val="6"/>
                <c:pt idx="0">
                  <c:v>-0.50693602167021756</c:v>
                </c:pt>
                <c:pt idx="1">
                  <c:v>2.9948420404360112</c:v>
                </c:pt>
                <c:pt idx="2">
                  <c:v>0</c:v>
                </c:pt>
                <c:pt idx="3">
                  <c:v>0</c:v>
                </c:pt>
                <c:pt idx="4">
                  <c:v>0</c:v>
                </c:pt>
                <c:pt idx="5">
                  <c:v>0</c:v>
                </c:pt>
              </c:numCache>
            </c:numRef>
          </c:val>
          <c:smooth val="0"/>
          <c:extLst>
            <c:ext xmlns:c16="http://schemas.microsoft.com/office/drawing/2014/chart" uri="{C3380CC4-5D6E-409C-BE32-E72D297353CC}">
              <c16:uniqueId val="{00000006-66CE-4B25-907E-89F5250D4056}"/>
            </c:ext>
          </c:extLst>
        </c:ser>
        <c:ser>
          <c:idx val="11"/>
          <c:order val="7"/>
          <c:tx>
            <c:strRef>
              <c:f>资产资本结构分析表!$A$36</c:f>
              <c:strCache>
                <c:ptCount val="1"/>
                <c:pt idx="0">
                  <c:v>长期债务变化率</c:v>
                </c:pt>
              </c:strCache>
            </c:strRef>
          </c:tx>
          <c:val>
            <c:numRef>
              <c:f>资产资本结构分析表!$B$36:$Y$36</c:f>
              <c:numCache>
                <c:formatCode>0.00%</c:formatCode>
                <c:ptCount val="6"/>
                <c:pt idx="0">
                  <c:v>-0.43123218635649374</c:v>
                </c:pt>
                <c:pt idx="1">
                  <c:v>5.8268800220495249</c:v>
                </c:pt>
                <c:pt idx="2">
                  <c:v>1.573694686659721</c:v>
                </c:pt>
                <c:pt idx="3">
                  <c:v>-0.29067875648399177</c:v>
                </c:pt>
                <c:pt idx="4">
                  <c:v>0</c:v>
                </c:pt>
                <c:pt idx="5">
                  <c:v>0</c:v>
                </c:pt>
              </c:numCache>
            </c:numRef>
          </c:val>
          <c:smooth val="0"/>
          <c:extLst>
            <c:ext xmlns:c16="http://schemas.microsoft.com/office/drawing/2014/chart" uri="{C3380CC4-5D6E-409C-BE32-E72D297353CC}">
              <c16:uniqueId val="{00000007-66CE-4B25-907E-89F5250D4056}"/>
            </c:ext>
          </c:extLst>
        </c:ser>
        <c:dLbls>
          <c:showLegendKey val="0"/>
          <c:showVal val="0"/>
          <c:showCatName val="0"/>
          <c:showSerName val="0"/>
          <c:showPercent val="0"/>
          <c:showBubbleSize val="0"/>
        </c:dLbls>
        <c:marker val="1"/>
        <c:smooth val="0"/>
        <c:axId val="227974144"/>
        <c:axId val="228004352"/>
      </c:lineChart>
      <c:catAx>
        <c:axId val="227974144"/>
        <c:scaling>
          <c:orientation val="minMax"/>
        </c:scaling>
        <c:delete val="0"/>
        <c:axPos val="b"/>
        <c:majorTickMark val="out"/>
        <c:minorTickMark val="none"/>
        <c:tickLblPos val="nextTo"/>
        <c:crossAx val="228004352"/>
        <c:crosses val="autoZero"/>
        <c:auto val="1"/>
        <c:lblAlgn val="ctr"/>
        <c:lblOffset val="100"/>
        <c:noMultiLvlLbl val="0"/>
      </c:catAx>
      <c:valAx>
        <c:axId val="228004352"/>
        <c:scaling>
          <c:orientation val="minMax"/>
        </c:scaling>
        <c:delete val="0"/>
        <c:axPos val="l"/>
        <c:majorGridlines/>
        <c:numFmt formatCode="0.00%" sourceLinked="1"/>
        <c:majorTickMark val="out"/>
        <c:minorTickMark val="none"/>
        <c:tickLblPos val="nextTo"/>
        <c:crossAx val="227974144"/>
        <c:crosses val="autoZero"/>
        <c:crossBetween val="between"/>
      </c:valAx>
    </c:plotArea>
    <c:legend>
      <c:legendPos val="r"/>
      <c:layout>
        <c:manualLayout>
          <c:xMode val="edge"/>
          <c:yMode val="edge"/>
          <c:x val="0.7377306959577955"/>
          <c:y val="0.52592443591609872"/>
          <c:w val="0.23871218092464119"/>
          <c:h val="0.32014001499264483"/>
        </c:manualLayout>
      </c:layout>
      <c:overlay val="0"/>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538407203348873"/>
          <c:y val="5.826329223413465E-2"/>
          <c:w val="0.6642098845293064"/>
          <c:h val="0.86918437601763898"/>
        </c:manualLayout>
      </c:layout>
      <c:lineChart>
        <c:grouping val="stacked"/>
        <c:varyColors val="0"/>
        <c:ser>
          <c:idx val="1"/>
          <c:order val="0"/>
          <c:tx>
            <c:strRef>
              <c:f>资产资本结构分析表!$A$26</c:f>
              <c:strCache>
                <c:ptCount val="1"/>
                <c:pt idx="0">
                  <c:v>金融资产占比</c:v>
                </c:pt>
              </c:strCache>
            </c:strRef>
          </c:tx>
          <c:val>
            <c:numRef>
              <c:f>资产资本结构分析表!$B$26:$Y$26</c:f>
              <c:numCache>
                <c:formatCode>0.00%</c:formatCode>
                <c:ptCount val="6"/>
                <c:pt idx="0">
                  <c:v>0.21463167862036087</c:v>
                </c:pt>
                <c:pt idx="1">
                  <c:v>0.45791266951713955</c:v>
                </c:pt>
                <c:pt idx="2">
                  <c:v>0.25038020967085672</c:v>
                </c:pt>
                <c:pt idx="3">
                  <c:v>0.25961756424967081</c:v>
                </c:pt>
                <c:pt idx="4">
                  <c:v>0.43701022134652312</c:v>
                </c:pt>
                <c:pt idx="5">
                  <c:v>0.50524969649979945</c:v>
                </c:pt>
              </c:numCache>
            </c:numRef>
          </c:val>
          <c:smooth val="0"/>
          <c:extLst>
            <c:ext xmlns:c16="http://schemas.microsoft.com/office/drawing/2014/chart" uri="{C3380CC4-5D6E-409C-BE32-E72D297353CC}">
              <c16:uniqueId val="{00000000-3C44-408F-97A9-A81F77976C01}"/>
            </c:ext>
          </c:extLst>
        </c:ser>
        <c:ser>
          <c:idx val="3"/>
          <c:order val="1"/>
          <c:tx>
            <c:strRef>
              <c:f>资产资本结构分析表!$A$28</c:f>
              <c:strCache>
                <c:ptCount val="1"/>
                <c:pt idx="0">
                  <c:v>长期股权投资占比</c:v>
                </c:pt>
              </c:strCache>
            </c:strRef>
          </c:tx>
          <c:val>
            <c:numRef>
              <c:f>资产资本结构分析表!$B$28:$Y$28</c:f>
              <c:numCache>
                <c:formatCode>0.00%</c:formatCode>
                <c:ptCount val="6"/>
                <c:pt idx="0">
                  <c:v>7.8506548998758809E-4</c:v>
                </c:pt>
                <c:pt idx="1">
                  <c:v>1.3082834748667886E-2</c:v>
                </c:pt>
                <c:pt idx="2">
                  <c:v>1.7464413259662866E-2</c:v>
                </c:pt>
                <c:pt idx="3">
                  <c:v>0</c:v>
                </c:pt>
                <c:pt idx="4">
                  <c:v>0</c:v>
                </c:pt>
                <c:pt idx="5">
                  <c:v>0</c:v>
                </c:pt>
              </c:numCache>
            </c:numRef>
          </c:val>
          <c:smooth val="0"/>
          <c:extLst>
            <c:ext xmlns:c16="http://schemas.microsoft.com/office/drawing/2014/chart" uri="{C3380CC4-5D6E-409C-BE32-E72D297353CC}">
              <c16:uniqueId val="{00000001-3C44-408F-97A9-A81F77976C01}"/>
            </c:ext>
          </c:extLst>
        </c:ser>
        <c:ser>
          <c:idx val="8"/>
          <c:order val="2"/>
          <c:tx>
            <c:strRef>
              <c:f>资产资本结构分析表!$A$33</c:f>
              <c:strCache>
                <c:ptCount val="1"/>
                <c:pt idx="0">
                  <c:v>长期经营资产占比</c:v>
                </c:pt>
              </c:strCache>
            </c:strRef>
          </c:tx>
          <c:val>
            <c:numRef>
              <c:f>资产资本结构分析表!$B$33:$Y$33</c:f>
              <c:numCache>
                <c:formatCode>0.00%</c:formatCode>
                <c:ptCount val="6"/>
                <c:pt idx="0">
                  <c:v>0.31704459017571723</c:v>
                </c:pt>
                <c:pt idx="1">
                  <c:v>0.24814757896685119</c:v>
                </c:pt>
                <c:pt idx="2">
                  <c:v>0.31445262911162492</c:v>
                </c:pt>
                <c:pt idx="3">
                  <c:v>0.33113917412580152</c:v>
                </c:pt>
                <c:pt idx="4">
                  <c:v>0.30295045944521293</c:v>
                </c:pt>
                <c:pt idx="5">
                  <c:v>0.27192978338129903</c:v>
                </c:pt>
              </c:numCache>
            </c:numRef>
          </c:val>
          <c:smooth val="0"/>
          <c:extLst>
            <c:ext xmlns:c16="http://schemas.microsoft.com/office/drawing/2014/chart" uri="{C3380CC4-5D6E-409C-BE32-E72D297353CC}">
              <c16:uniqueId val="{00000002-3C44-408F-97A9-A81F77976C01}"/>
            </c:ext>
          </c:extLst>
        </c:ser>
        <c:ser>
          <c:idx val="10"/>
          <c:order val="3"/>
          <c:tx>
            <c:strRef>
              <c:f>资产资本结构分析表!$A$35</c:f>
              <c:strCache>
                <c:ptCount val="1"/>
                <c:pt idx="0">
                  <c:v>短期债务占比</c:v>
                </c:pt>
              </c:strCache>
            </c:strRef>
          </c:tx>
          <c:val>
            <c:numRef>
              <c:f>资产资本结构分析表!$B$35:$Y$35</c:f>
              <c:numCache>
                <c:formatCode>0.00%</c:formatCode>
                <c:ptCount val="6"/>
                <c:pt idx="0">
                  <c:v>0.77965233094520769</c:v>
                </c:pt>
                <c:pt idx="1">
                  <c:v>0.80320933621360735</c:v>
                </c:pt>
                <c:pt idx="2">
                  <c:v>0.87460883334015527</c:v>
                </c:pt>
                <c:pt idx="3">
                  <c:v>0</c:v>
                </c:pt>
                <c:pt idx="4">
                  <c:v>0</c:v>
                </c:pt>
                <c:pt idx="5">
                  <c:v>0</c:v>
                </c:pt>
              </c:numCache>
            </c:numRef>
          </c:val>
          <c:smooth val="0"/>
          <c:extLst>
            <c:ext xmlns:c16="http://schemas.microsoft.com/office/drawing/2014/chart" uri="{C3380CC4-5D6E-409C-BE32-E72D297353CC}">
              <c16:uniqueId val="{00000003-3C44-408F-97A9-A81F77976C01}"/>
            </c:ext>
          </c:extLst>
        </c:ser>
        <c:ser>
          <c:idx val="12"/>
          <c:order val="4"/>
          <c:tx>
            <c:strRef>
              <c:f>资产资本结构分析表!$A$37</c:f>
              <c:strCache>
                <c:ptCount val="1"/>
                <c:pt idx="0">
                  <c:v>长期债务占比</c:v>
                </c:pt>
              </c:strCache>
            </c:strRef>
          </c:tx>
          <c:val>
            <c:numRef>
              <c:f>资产资本结构分析表!$B$37:$Y$37</c:f>
              <c:numCache>
                <c:formatCode>0.00%</c:formatCode>
                <c:ptCount val="6"/>
                <c:pt idx="0">
                  <c:v>0.22034766905479236</c:v>
                </c:pt>
                <c:pt idx="1">
                  <c:v>0.19679066378639268</c:v>
                </c:pt>
                <c:pt idx="2">
                  <c:v>0.12539116665984473</c:v>
                </c:pt>
                <c:pt idx="3">
                  <c:v>1</c:v>
                </c:pt>
                <c:pt idx="4">
                  <c:v>1</c:v>
                </c:pt>
                <c:pt idx="5">
                  <c:v>0</c:v>
                </c:pt>
              </c:numCache>
            </c:numRef>
          </c:val>
          <c:smooth val="0"/>
          <c:extLst>
            <c:ext xmlns:c16="http://schemas.microsoft.com/office/drawing/2014/chart" uri="{C3380CC4-5D6E-409C-BE32-E72D297353CC}">
              <c16:uniqueId val="{00000004-3C44-408F-97A9-A81F77976C01}"/>
            </c:ext>
          </c:extLst>
        </c:ser>
        <c:dLbls>
          <c:showLegendKey val="0"/>
          <c:showVal val="0"/>
          <c:showCatName val="0"/>
          <c:showSerName val="0"/>
          <c:showPercent val="0"/>
          <c:showBubbleSize val="0"/>
        </c:dLbls>
        <c:marker val="1"/>
        <c:smooth val="0"/>
        <c:axId val="227974656"/>
        <c:axId val="228006656"/>
      </c:lineChart>
      <c:catAx>
        <c:axId val="227974656"/>
        <c:scaling>
          <c:orientation val="minMax"/>
        </c:scaling>
        <c:delete val="0"/>
        <c:axPos val="b"/>
        <c:majorTickMark val="out"/>
        <c:minorTickMark val="none"/>
        <c:tickLblPos val="nextTo"/>
        <c:crossAx val="228006656"/>
        <c:crosses val="autoZero"/>
        <c:auto val="1"/>
        <c:lblAlgn val="ctr"/>
        <c:lblOffset val="100"/>
        <c:noMultiLvlLbl val="0"/>
      </c:catAx>
      <c:valAx>
        <c:axId val="228006656"/>
        <c:scaling>
          <c:orientation val="minMax"/>
        </c:scaling>
        <c:delete val="0"/>
        <c:axPos val="l"/>
        <c:majorGridlines/>
        <c:numFmt formatCode="0.00%" sourceLinked="1"/>
        <c:majorTickMark val="out"/>
        <c:minorTickMark val="none"/>
        <c:tickLblPos val="nextTo"/>
        <c:crossAx val="227974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资产资本结构分析表!$A$17</c:f>
              <c:strCache>
                <c:ptCount val="1"/>
                <c:pt idx="0">
                  <c:v>运营资本长期化率=（8+10-4-2）/3</c:v>
                </c:pt>
              </c:strCache>
            </c:strRef>
          </c:tx>
          <c:val>
            <c:numRef>
              <c:f>资产资本结构分析表!$B$17:$Y$17</c:f>
              <c:numCache>
                <c:formatCode>0.00%</c:formatCode>
                <c:ptCount val="6"/>
                <c:pt idx="0">
                  <c:v>1.3353641395818787</c:v>
                </c:pt>
                <c:pt idx="1">
                  <c:v>2.2082102011984115</c:v>
                </c:pt>
                <c:pt idx="2">
                  <c:v>1.5127376497494665</c:v>
                </c:pt>
                <c:pt idx="3">
                  <c:v>1.6343844568609289</c:v>
                </c:pt>
                <c:pt idx="4">
                  <c:v>2.680554397223768</c:v>
                </c:pt>
                <c:pt idx="5">
                  <c:v>3.2675187017344172</c:v>
                </c:pt>
              </c:numCache>
            </c:numRef>
          </c:val>
          <c:smooth val="0"/>
          <c:extLst>
            <c:ext xmlns:c16="http://schemas.microsoft.com/office/drawing/2014/chart" uri="{C3380CC4-5D6E-409C-BE32-E72D297353CC}">
              <c16:uniqueId val="{00000000-8021-4C50-9973-4D132B4E0554}"/>
            </c:ext>
          </c:extLst>
        </c:ser>
        <c:dLbls>
          <c:showLegendKey val="0"/>
          <c:showVal val="0"/>
          <c:showCatName val="0"/>
          <c:showSerName val="0"/>
          <c:showPercent val="0"/>
          <c:showBubbleSize val="0"/>
        </c:dLbls>
        <c:marker val="1"/>
        <c:smooth val="0"/>
        <c:axId val="229237248"/>
        <c:axId val="229270656"/>
      </c:lineChart>
      <c:catAx>
        <c:axId val="229237248"/>
        <c:scaling>
          <c:orientation val="minMax"/>
        </c:scaling>
        <c:delete val="0"/>
        <c:axPos val="b"/>
        <c:majorTickMark val="out"/>
        <c:minorTickMark val="none"/>
        <c:tickLblPos val="nextTo"/>
        <c:crossAx val="229270656"/>
        <c:crosses val="autoZero"/>
        <c:auto val="1"/>
        <c:lblAlgn val="ctr"/>
        <c:lblOffset val="100"/>
        <c:noMultiLvlLbl val="0"/>
      </c:catAx>
      <c:valAx>
        <c:axId val="229270656"/>
        <c:scaling>
          <c:orientation val="minMax"/>
        </c:scaling>
        <c:delete val="0"/>
        <c:axPos val="l"/>
        <c:majorGridlines/>
        <c:numFmt formatCode="0.00%" sourceLinked="1"/>
        <c:majorTickMark val="out"/>
        <c:minorTickMark val="none"/>
        <c:tickLblPos val="nextTo"/>
        <c:crossAx val="229237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资产资本结构分析表!$A$2</c:f>
              <c:strCache>
                <c:ptCount val="1"/>
                <c:pt idx="0">
                  <c:v>(1)金融资产</c:v>
                </c:pt>
              </c:strCache>
            </c:strRef>
          </c:tx>
          <c:invertIfNegative val="0"/>
          <c:val>
            <c:numRef>
              <c:f>资产资本结构分析表!$B$2:$Y$2</c:f>
              <c:numCache>
                <c:formatCode>#,##0.00_ </c:formatCode>
                <c:ptCount val="6"/>
                <c:pt idx="0">
                  <c:v>733176594.04999995</c:v>
                </c:pt>
                <c:pt idx="1">
                  <c:v>1547342145.5699999</c:v>
                </c:pt>
                <c:pt idx="2">
                  <c:v>693588693.25999999</c:v>
                </c:pt>
                <c:pt idx="3">
                  <c:v>647204677.45000005</c:v>
                </c:pt>
                <c:pt idx="4">
                  <c:v>932276706.14999998</c:v>
                </c:pt>
                <c:pt idx="5">
                  <c:v>956043885.24000001</c:v>
                </c:pt>
              </c:numCache>
            </c:numRef>
          </c:val>
          <c:extLst>
            <c:ext xmlns:c16="http://schemas.microsoft.com/office/drawing/2014/chart" uri="{C3380CC4-5D6E-409C-BE32-E72D297353CC}">
              <c16:uniqueId val="{00000000-0646-411F-B3E9-99281EA30DD0}"/>
            </c:ext>
          </c:extLst>
        </c:ser>
        <c:ser>
          <c:idx val="1"/>
          <c:order val="1"/>
          <c:tx>
            <c:strRef>
              <c:f>资产资本结构分析表!$A$3</c:f>
              <c:strCache>
                <c:ptCount val="1"/>
                <c:pt idx="0">
                  <c:v>(2)长期股权投资</c:v>
                </c:pt>
              </c:strCache>
            </c:strRef>
          </c:tx>
          <c:invertIfNegative val="0"/>
          <c:val>
            <c:numRef>
              <c:f>资产资本结构分析表!$B$3:$Y$3</c:f>
              <c:numCache>
                <c:formatCode>#,##0.00_ </c:formatCode>
                <c:ptCount val="6"/>
                <c:pt idx="0">
                  <c:v>2681764.62</c:v>
                </c:pt>
                <c:pt idx="1">
                  <c:v>44208476.719999999</c:v>
                </c:pt>
                <c:pt idx="2">
                  <c:v>48378901.780000001</c:v>
                </c:pt>
                <c:pt idx="3">
                  <c:v>0</c:v>
                </c:pt>
                <c:pt idx="4">
                  <c:v>0</c:v>
                </c:pt>
                <c:pt idx="5">
                  <c:v>0</c:v>
                </c:pt>
              </c:numCache>
            </c:numRef>
          </c:val>
          <c:extLst>
            <c:ext xmlns:c16="http://schemas.microsoft.com/office/drawing/2014/chart" uri="{C3380CC4-5D6E-409C-BE32-E72D297353CC}">
              <c16:uniqueId val="{00000001-0646-411F-B3E9-99281EA30DD0}"/>
            </c:ext>
          </c:extLst>
        </c:ser>
        <c:ser>
          <c:idx val="5"/>
          <c:order val="2"/>
          <c:tx>
            <c:strRef>
              <c:f>资产资本结构分析表!$A$7</c:f>
              <c:strCache>
                <c:ptCount val="1"/>
                <c:pt idx="0">
                  <c:v>(4)长期经营资产</c:v>
                </c:pt>
              </c:strCache>
            </c:strRef>
          </c:tx>
          <c:invertIfNegative val="0"/>
          <c:val>
            <c:numRef>
              <c:f>资产资本结构分析表!$B$7:$Y$7</c:f>
              <c:numCache>
                <c:formatCode>#,##0.00_ </c:formatCode>
                <c:ptCount val="6"/>
                <c:pt idx="0">
                  <c:v>1083016609.1099997</c:v>
                </c:pt>
                <c:pt idx="1">
                  <c:v>838520601.88999999</c:v>
                </c:pt>
                <c:pt idx="2">
                  <c:v>871078382.76999986</c:v>
                </c:pt>
                <c:pt idx="3">
                  <c:v>825502014.86000013</c:v>
                </c:pt>
                <c:pt idx="4">
                  <c:v>646286156.8499999</c:v>
                </c:pt>
                <c:pt idx="5">
                  <c:v>514551138.60999995</c:v>
                </c:pt>
              </c:numCache>
            </c:numRef>
          </c:val>
          <c:extLst>
            <c:ext xmlns:c16="http://schemas.microsoft.com/office/drawing/2014/chart" uri="{C3380CC4-5D6E-409C-BE32-E72D297353CC}">
              <c16:uniqueId val="{00000002-0646-411F-B3E9-99281EA30DD0}"/>
            </c:ext>
          </c:extLst>
        </c:ser>
        <c:ser>
          <c:idx val="7"/>
          <c:order val="3"/>
          <c:tx>
            <c:strRef>
              <c:f>资产资本结构分析表!$A$9</c:f>
              <c:strCache>
                <c:ptCount val="1"/>
                <c:pt idx="0">
                  <c:v>(6)资产总额合计=1+2+5</c:v>
                </c:pt>
              </c:strCache>
            </c:strRef>
          </c:tx>
          <c:invertIfNegative val="0"/>
          <c:val>
            <c:numRef>
              <c:f>资产资本结构分析表!$B$9:$Y$9</c:f>
              <c:numCache>
                <c:formatCode>#,##0.00_ </c:formatCode>
                <c:ptCount val="6"/>
                <c:pt idx="0">
                  <c:v>3415975678.7199993</c:v>
                </c:pt>
                <c:pt idx="1">
                  <c:v>3379120624.0300002</c:v>
                </c:pt>
                <c:pt idx="2">
                  <c:v>2770141834.1799998</c:v>
                </c:pt>
                <c:pt idx="3">
                  <c:v>2492915605.7700005</c:v>
                </c:pt>
                <c:pt idx="4">
                  <c:v>2133306409.3499999</c:v>
                </c:pt>
                <c:pt idx="5">
                  <c:v>1892220602.73</c:v>
                </c:pt>
              </c:numCache>
            </c:numRef>
          </c:val>
          <c:extLst>
            <c:ext xmlns:c16="http://schemas.microsoft.com/office/drawing/2014/chart" uri="{C3380CC4-5D6E-409C-BE32-E72D297353CC}">
              <c16:uniqueId val="{00000003-0646-411F-B3E9-99281EA30DD0}"/>
            </c:ext>
          </c:extLst>
        </c:ser>
        <c:dLbls>
          <c:showLegendKey val="0"/>
          <c:showVal val="0"/>
          <c:showCatName val="0"/>
          <c:showSerName val="0"/>
          <c:showPercent val="0"/>
          <c:showBubbleSize val="0"/>
        </c:dLbls>
        <c:gapWidth val="150"/>
        <c:axId val="229238272"/>
        <c:axId val="229272384"/>
      </c:barChart>
      <c:catAx>
        <c:axId val="229238272"/>
        <c:scaling>
          <c:orientation val="minMax"/>
        </c:scaling>
        <c:delete val="0"/>
        <c:axPos val="b"/>
        <c:majorTickMark val="out"/>
        <c:minorTickMark val="none"/>
        <c:tickLblPos val="nextTo"/>
        <c:crossAx val="229272384"/>
        <c:crosses val="autoZero"/>
        <c:auto val="1"/>
        <c:lblAlgn val="ctr"/>
        <c:lblOffset val="100"/>
        <c:noMultiLvlLbl val="0"/>
      </c:catAx>
      <c:valAx>
        <c:axId val="229272384"/>
        <c:scaling>
          <c:orientation val="minMax"/>
        </c:scaling>
        <c:delete val="0"/>
        <c:axPos val="l"/>
        <c:majorGridlines/>
        <c:numFmt formatCode="#,##0.00_ " sourceLinked="1"/>
        <c:majorTickMark val="out"/>
        <c:minorTickMark val="none"/>
        <c:tickLblPos val="nextTo"/>
        <c:crossAx val="2292382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资产资本结构分析表!$A$10</c:f>
              <c:strCache>
                <c:ptCount val="1"/>
                <c:pt idx="0">
                  <c:v>(7)短期债务</c:v>
                </c:pt>
              </c:strCache>
            </c:strRef>
          </c:tx>
          <c:invertIfNegative val="0"/>
          <c:val>
            <c:numRef>
              <c:f>资产资本结构分析表!$B$10:$Y$10</c:f>
              <c:numCache>
                <c:formatCode>#,##0.00_ </c:formatCode>
                <c:ptCount val="6"/>
                <c:pt idx="0">
                  <c:v>197566288.30000001</c:v>
                </c:pt>
                <c:pt idx="1">
                  <c:v>400690979.23000002</c:v>
                </c:pt>
                <c:pt idx="2">
                  <c:v>100302083.33</c:v>
                </c:pt>
                <c:pt idx="3">
                  <c:v>0</c:v>
                </c:pt>
                <c:pt idx="4">
                  <c:v>0</c:v>
                </c:pt>
                <c:pt idx="5">
                  <c:v>0</c:v>
                </c:pt>
              </c:numCache>
            </c:numRef>
          </c:val>
          <c:extLst>
            <c:ext xmlns:c16="http://schemas.microsoft.com/office/drawing/2014/chart" uri="{C3380CC4-5D6E-409C-BE32-E72D297353CC}">
              <c16:uniqueId val="{00000000-28E6-4BA1-AAA1-2ED115E78BF2}"/>
            </c:ext>
          </c:extLst>
        </c:ser>
        <c:ser>
          <c:idx val="1"/>
          <c:order val="1"/>
          <c:tx>
            <c:strRef>
              <c:f>资产资本结构分析表!$A$11</c:f>
              <c:strCache>
                <c:ptCount val="1"/>
                <c:pt idx="0">
                  <c:v>(8)长期债务</c:v>
                </c:pt>
              </c:strCache>
            </c:strRef>
          </c:tx>
          <c:invertIfNegative val="0"/>
          <c:val>
            <c:numRef>
              <c:f>资产资本结构分析表!$B$11:$Y$11</c:f>
              <c:numCache>
                <c:formatCode>#,##0.00_ </c:formatCode>
                <c:ptCount val="6"/>
                <c:pt idx="0">
                  <c:v>55836774.140000001</c:v>
                </c:pt>
                <c:pt idx="1">
                  <c:v>98171473.140000001</c:v>
                </c:pt>
                <c:pt idx="2">
                  <c:v>14380137.460000001</c:v>
                </c:pt>
                <c:pt idx="3">
                  <c:v>5587351.7300000004</c:v>
                </c:pt>
                <c:pt idx="4">
                  <c:v>7877039.8899999997</c:v>
                </c:pt>
                <c:pt idx="5">
                  <c:v>0</c:v>
                </c:pt>
              </c:numCache>
            </c:numRef>
          </c:val>
          <c:extLst>
            <c:ext xmlns:c16="http://schemas.microsoft.com/office/drawing/2014/chart" uri="{C3380CC4-5D6E-409C-BE32-E72D297353CC}">
              <c16:uniqueId val="{00000001-28E6-4BA1-AAA1-2ED115E78BF2}"/>
            </c:ext>
          </c:extLst>
        </c:ser>
        <c:dLbls>
          <c:showLegendKey val="0"/>
          <c:showVal val="0"/>
          <c:showCatName val="0"/>
          <c:showSerName val="0"/>
          <c:showPercent val="0"/>
          <c:showBubbleSize val="0"/>
        </c:dLbls>
        <c:gapWidth val="150"/>
        <c:axId val="229239296"/>
        <c:axId val="229274688"/>
      </c:barChart>
      <c:catAx>
        <c:axId val="229239296"/>
        <c:scaling>
          <c:orientation val="minMax"/>
        </c:scaling>
        <c:delete val="0"/>
        <c:axPos val="b"/>
        <c:majorTickMark val="out"/>
        <c:minorTickMark val="none"/>
        <c:tickLblPos val="nextTo"/>
        <c:crossAx val="229274688"/>
        <c:crosses val="autoZero"/>
        <c:auto val="1"/>
        <c:lblAlgn val="ctr"/>
        <c:lblOffset val="100"/>
        <c:noMultiLvlLbl val="0"/>
      </c:catAx>
      <c:valAx>
        <c:axId val="229274688"/>
        <c:scaling>
          <c:orientation val="minMax"/>
        </c:scaling>
        <c:delete val="0"/>
        <c:axPos val="l"/>
        <c:majorGridlines/>
        <c:numFmt formatCode="#,##0.00_ " sourceLinked="1"/>
        <c:majorTickMark val="out"/>
        <c:minorTickMark val="none"/>
        <c:tickLblPos val="nextTo"/>
        <c:crossAx val="22923929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资产资本结构分析表!$A$15</c:f>
              <c:strCache>
                <c:ptCount val="1"/>
                <c:pt idx="0">
                  <c:v>长期融资净值=8+10-2-3-4</c:v>
                </c:pt>
              </c:strCache>
            </c:strRef>
          </c:tx>
          <c:invertIfNegative val="0"/>
          <c:val>
            <c:numRef>
              <c:f>资产资本结构分析表!$B$15:$Y$15</c:f>
              <c:numCache>
                <c:formatCode>#,##0.00_ </c:formatCode>
                <c:ptCount val="6"/>
                <c:pt idx="0">
                  <c:v>535610305.74999976</c:v>
                </c:pt>
                <c:pt idx="1">
                  <c:v>1146651166.3400002</c:v>
                </c:pt>
                <c:pt idx="2">
                  <c:v>593286609.92999995</c:v>
                </c:pt>
                <c:pt idx="3">
                  <c:v>647204677.45000029</c:v>
                </c:pt>
                <c:pt idx="4">
                  <c:v>932276706.14999986</c:v>
                </c:pt>
                <c:pt idx="5">
                  <c:v>956043885.24000001</c:v>
                </c:pt>
              </c:numCache>
            </c:numRef>
          </c:val>
          <c:extLst>
            <c:ext xmlns:c16="http://schemas.microsoft.com/office/drawing/2014/chart" uri="{C3380CC4-5D6E-409C-BE32-E72D297353CC}">
              <c16:uniqueId val="{00000000-A43A-4CEE-8666-0EF3D318090A}"/>
            </c:ext>
          </c:extLst>
        </c:ser>
        <c:ser>
          <c:idx val="1"/>
          <c:order val="1"/>
          <c:tx>
            <c:strRef>
              <c:f>资产资本结构分析表!$A$16</c:f>
              <c:strCache>
                <c:ptCount val="1"/>
                <c:pt idx="0">
                  <c:v>短期融资净值=7-1</c:v>
                </c:pt>
              </c:strCache>
            </c:strRef>
          </c:tx>
          <c:invertIfNegative val="0"/>
          <c:val>
            <c:numRef>
              <c:f>资产资本结构分析表!$B$16:$Y$16</c:f>
              <c:numCache>
                <c:formatCode>#,##0.00_ </c:formatCode>
                <c:ptCount val="6"/>
                <c:pt idx="0">
                  <c:v>-535610305.74999994</c:v>
                </c:pt>
                <c:pt idx="1">
                  <c:v>-1146651166.3399999</c:v>
                </c:pt>
                <c:pt idx="2">
                  <c:v>-593286609.92999995</c:v>
                </c:pt>
                <c:pt idx="3">
                  <c:v>-647204677.45000005</c:v>
                </c:pt>
                <c:pt idx="4">
                  <c:v>-932276706.14999998</c:v>
                </c:pt>
                <c:pt idx="5">
                  <c:v>-956043885.24000001</c:v>
                </c:pt>
              </c:numCache>
            </c:numRef>
          </c:val>
          <c:extLst>
            <c:ext xmlns:c16="http://schemas.microsoft.com/office/drawing/2014/chart" uri="{C3380CC4-5D6E-409C-BE32-E72D297353CC}">
              <c16:uniqueId val="{00000001-A43A-4CEE-8666-0EF3D318090A}"/>
            </c:ext>
          </c:extLst>
        </c:ser>
        <c:dLbls>
          <c:showLegendKey val="0"/>
          <c:showVal val="0"/>
          <c:showCatName val="0"/>
          <c:showSerName val="0"/>
          <c:showPercent val="0"/>
          <c:showBubbleSize val="0"/>
        </c:dLbls>
        <c:gapWidth val="150"/>
        <c:axId val="229239808"/>
        <c:axId val="229276416"/>
      </c:barChart>
      <c:catAx>
        <c:axId val="229239808"/>
        <c:scaling>
          <c:orientation val="minMax"/>
        </c:scaling>
        <c:delete val="0"/>
        <c:axPos val="b"/>
        <c:majorTickMark val="out"/>
        <c:minorTickMark val="none"/>
        <c:tickLblPos val="nextTo"/>
        <c:crossAx val="229276416"/>
        <c:crosses val="autoZero"/>
        <c:auto val="1"/>
        <c:lblAlgn val="ctr"/>
        <c:lblOffset val="100"/>
        <c:noMultiLvlLbl val="0"/>
      </c:catAx>
      <c:valAx>
        <c:axId val="229276416"/>
        <c:scaling>
          <c:orientation val="minMax"/>
        </c:scaling>
        <c:delete val="0"/>
        <c:axPos val="l"/>
        <c:majorGridlines/>
        <c:numFmt formatCode="#,##0.00_ " sourceLinked="1"/>
        <c:majorTickMark val="out"/>
        <c:minorTickMark val="none"/>
        <c:tickLblPos val="nextTo"/>
        <c:crossAx val="22923980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4935008583971405E-2"/>
          <c:y val="4.7870595016058309E-2"/>
          <c:w val="0.68699859750674575"/>
          <c:h val="0.89251828901179875"/>
        </c:manualLayout>
      </c:layout>
      <c:lineChart>
        <c:grouping val="stacked"/>
        <c:varyColors val="0"/>
        <c:ser>
          <c:idx val="3"/>
          <c:order val="0"/>
          <c:tx>
            <c:strRef>
              <c:f>股权价值增加分析表!$A$5</c:f>
              <c:strCache>
                <c:ptCount val="1"/>
                <c:pt idx="0">
                  <c:v>营业成本率</c:v>
                </c:pt>
              </c:strCache>
            </c:strRef>
          </c:tx>
          <c:val>
            <c:numRef>
              <c:f>股权价值增加分析表!$B$5:$Y$5</c:f>
              <c:numCache>
                <c:formatCode>0.00%</c:formatCode>
                <c:ptCount val="6"/>
                <c:pt idx="0">
                  <c:v>0.5653528871352409</c:v>
                </c:pt>
                <c:pt idx="1">
                  <c:v>0.5153690514512882</c:v>
                </c:pt>
                <c:pt idx="2">
                  <c:v>0.51037887261951453</c:v>
                </c:pt>
                <c:pt idx="3">
                  <c:v>0.55138335536906347</c:v>
                </c:pt>
                <c:pt idx="4">
                  <c:v>0.56019843494471799</c:v>
                </c:pt>
                <c:pt idx="5">
                  <c:v>0.57783887545193702</c:v>
                </c:pt>
              </c:numCache>
            </c:numRef>
          </c:val>
          <c:smooth val="0"/>
          <c:extLst>
            <c:ext xmlns:c16="http://schemas.microsoft.com/office/drawing/2014/chart" uri="{C3380CC4-5D6E-409C-BE32-E72D297353CC}">
              <c16:uniqueId val="{00000000-B290-4A85-91F4-5245D26055D6}"/>
            </c:ext>
          </c:extLst>
        </c:ser>
        <c:ser>
          <c:idx val="6"/>
          <c:order val="1"/>
          <c:tx>
            <c:strRef>
              <c:f>股权价值增加分析表!$A$8</c:f>
              <c:strCache>
                <c:ptCount val="1"/>
                <c:pt idx="0">
                  <c:v>毛利率</c:v>
                </c:pt>
              </c:strCache>
            </c:strRef>
          </c:tx>
          <c:val>
            <c:numRef>
              <c:f>股权价值增加分析表!$B$8:$Y$8</c:f>
              <c:numCache>
                <c:formatCode>0.00%</c:formatCode>
                <c:ptCount val="6"/>
                <c:pt idx="0">
                  <c:v>0.43464711286475916</c:v>
                </c:pt>
                <c:pt idx="1">
                  <c:v>0.4846309485487118</c:v>
                </c:pt>
                <c:pt idx="2">
                  <c:v>0.48962112738048541</c:v>
                </c:pt>
                <c:pt idx="3">
                  <c:v>0.44861664463093659</c:v>
                </c:pt>
                <c:pt idx="4">
                  <c:v>0.43980156505528201</c:v>
                </c:pt>
                <c:pt idx="5">
                  <c:v>0.42216112454806304</c:v>
                </c:pt>
              </c:numCache>
            </c:numRef>
          </c:val>
          <c:smooth val="0"/>
          <c:extLst>
            <c:ext xmlns:c16="http://schemas.microsoft.com/office/drawing/2014/chart" uri="{C3380CC4-5D6E-409C-BE32-E72D297353CC}">
              <c16:uniqueId val="{00000001-B290-4A85-91F4-5245D26055D6}"/>
            </c:ext>
          </c:extLst>
        </c:ser>
        <c:ser>
          <c:idx val="9"/>
          <c:order val="2"/>
          <c:tx>
            <c:strRef>
              <c:f>股权价值增加分析表!$A$11</c:f>
              <c:strCache>
                <c:ptCount val="1"/>
                <c:pt idx="0">
                  <c:v>税金及附加率</c:v>
                </c:pt>
              </c:strCache>
            </c:strRef>
          </c:tx>
          <c:val>
            <c:numRef>
              <c:f>股权价值增加分析表!$B$11:$Y$11</c:f>
              <c:numCache>
                <c:formatCode>0.00%</c:formatCode>
                <c:ptCount val="6"/>
                <c:pt idx="0">
                  <c:v>7.0642397858853932E-3</c:v>
                </c:pt>
                <c:pt idx="1">
                  <c:v>1.0430598457755081E-2</c:v>
                </c:pt>
                <c:pt idx="2">
                  <c:v>1.0609974765724874E-2</c:v>
                </c:pt>
                <c:pt idx="3">
                  <c:v>9.9353815607877601E-3</c:v>
                </c:pt>
                <c:pt idx="4">
                  <c:v>9.3780516807361342E-3</c:v>
                </c:pt>
                <c:pt idx="5">
                  <c:v>8.193437774423799E-3</c:v>
                </c:pt>
              </c:numCache>
            </c:numRef>
          </c:val>
          <c:smooth val="0"/>
          <c:extLst>
            <c:ext xmlns:c16="http://schemas.microsoft.com/office/drawing/2014/chart" uri="{C3380CC4-5D6E-409C-BE32-E72D297353CC}">
              <c16:uniqueId val="{00000002-B290-4A85-91F4-5245D26055D6}"/>
            </c:ext>
          </c:extLst>
        </c:ser>
        <c:ser>
          <c:idx val="11"/>
          <c:order val="3"/>
          <c:tx>
            <c:strRef>
              <c:f>股权价值增加分析表!$A$13</c:f>
              <c:strCache>
                <c:ptCount val="1"/>
                <c:pt idx="0">
                  <c:v>销售费用率</c:v>
                </c:pt>
              </c:strCache>
            </c:strRef>
          </c:tx>
          <c:val>
            <c:numRef>
              <c:f>股权价值增加分析表!$B$13:$Y$13</c:f>
              <c:numCache>
                <c:formatCode>0.00%</c:formatCode>
                <c:ptCount val="6"/>
                <c:pt idx="0">
                  <c:v>0.2160998728473458</c:v>
                </c:pt>
                <c:pt idx="1">
                  <c:v>0.24936278742137075</c:v>
                </c:pt>
                <c:pt idx="2">
                  <c:v>0.24080144199559059</c:v>
                </c:pt>
                <c:pt idx="3">
                  <c:v>0.21826966562981243</c:v>
                </c:pt>
                <c:pt idx="4">
                  <c:v>0.21987605441293132</c:v>
                </c:pt>
                <c:pt idx="5">
                  <c:v>0.20794978136561207</c:v>
                </c:pt>
              </c:numCache>
            </c:numRef>
          </c:val>
          <c:smooth val="0"/>
          <c:extLst>
            <c:ext xmlns:c16="http://schemas.microsoft.com/office/drawing/2014/chart" uri="{C3380CC4-5D6E-409C-BE32-E72D297353CC}">
              <c16:uniqueId val="{00000003-B290-4A85-91F4-5245D26055D6}"/>
            </c:ext>
          </c:extLst>
        </c:ser>
        <c:ser>
          <c:idx val="13"/>
          <c:order val="4"/>
          <c:tx>
            <c:strRef>
              <c:f>股权价值增加分析表!$A$15</c:f>
              <c:strCache>
                <c:ptCount val="1"/>
                <c:pt idx="0">
                  <c:v>管理费用率</c:v>
                </c:pt>
              </c:strCache>
            </c:strRef>
          </c:tx>
          <c:val>
            <c:numRef>
              <c:f>股权价值增加分析表!$B$15:$Y$15</c:f>
              <c:numCache>
                <c:formatCode>0.00%</c:formatCode>
                <c:ptCount val="6"/>
                <c:pt idx="0">
                  <c:v>8.8416770218776058E-2</c:v>
                </c:pt>
                <c:pt idx="1">
                  <c:v>9.7378155632180191E-2</c:v>
                </c:pt>
                <c:pt idx="2">
                  <c:v>8.5895385740603791E-2</c:v>
                </c:pt>
                <c:pt idx="3">
                  <c:v>7.215926517561376E-2</c:v>
                </c:pt>
                <c:pt idx="4">
                  <c:v>6.846256416651246E-2</c:v>
                </c:pt>
                <c:pt idx="5">
                  <c:v>5.7096406619858639E-2</c:v>
                </c:pt>
              </c:numCache>
            </c:numRef>
          </c:val>
          <c:smooth val="0"/>
          <c:extLst>
            <c:ext xmlns:c16="http://schemas.microsoft.com/office/drawing/2014/chart" uri="{C3380CC4-5D6E-409C-BE32-E72D297353CC}">
              <c16:uniqueId val="{00000004-B290-4A85-91F4-5245D26055D6}"/>
            </c:ext>
          </c:extLst>
        </c:ser>
        <c:ser>
          <c:idx val="15"/>
          <c:order val="5"/>
          <c:tx>
            <c:strRef>
              <c:f>股权价值增加分析表!$A$17</c:f>
              <c:strCache>
                <c:ptCount val="1"/>
                <c:pt idx="0">
                  <c:v>资产减值损失率（大比例变动可能操纵利润）</c:v>
                </c:pt>
              </c:strCache>
            </c:strRef>
          </c:tx>
          <c:val>
            <c:numRef>
              <c:f>股权价值增加分析表!$B$17:$Y$17</c:f>
              <c:numCache>
                <c:formatCode>0.00%</c:formatCode>
                <c:ptCount val="6"/>
                <c:pt idx="0">
                  <c:v>1.4066411408642548E-2</c:v>
                </c:pt>
                <c:pt idx="1">
                  <c:v>1.5402435486595192E-2</c:v>
                </c:pt>
                <c:pt idx="2">
                  <c:v>1.0735824314603185E-2</c:v>
                </c:pt>
                <c:pt idx="3">
                  <c:v>5.8017555452434186E-3</c:v>
                </c:pt>
                <c:pt idx="4">
                  <c:v>4.4870878645851481E-3</c:v>
                </c:pt>
                <c:pt idx="5">
                  <c:v>2.8527840381664779E-3</c:v>
                </c:pt>
              </c:numCache>
            </c:numRef>
          </c:val>
          <c:smooth val="0"/>
          <c:extLst>
            <c:ext xmlns:c16="http://schemas.microsoft.com/office/drawing/2014/chart" uri="{C3380CC4-5D6E-409C-BE32-E72D297353CC}">
              <c16:uniqueId val="{00000005-B290-4A85-91F4-5245D26055D6}"/>
            </c:ext>
          </c:extLst>
        </c:ser>
        <c:ser>
          <c:idx val="17"/>
          <c:order val="6"/>
          <c:tx>
            <c:strRef>
              <c:f>股权价值增加分析表!$A$19</c:f>
              <c:strCache>
                <c:ptCount val="1"/>
                <c:pt idx="0">
                  <c:v>财务手续费率</c:v>
                </c:pt>
              </c:strCache>
            </c:strRef>
          </c:tx>
          <c:val>
            <c:numRef>
              <c:f>股权价值增加分析表!$B$19:$Y$19</c:f>
              <c:numCache>
                <c:formatCode>0.00%</c:formatCode>
                <c:ptCount val="6"/>
                <c:pt idx="0">
                  <c:v>5.2263816889248655E-4</c:v>
                </c:pt>
                <c:pt idx="1">
                  <c:v>4.6134021146343571E-4</c:v>
                </c:pt>
                <c:pt idx="2">
                  <c:v>3.7553598653514028E-4</c:v>
                </c:pt>
                <c:pt idx="3">
                  <c:v>3.7287054977729083E-4</c:v>
                </c:pt>
                <c:pt idx="4">
                  <c:v>4.0973552086460713E-4</c:v>
                </c:pt>
                <c:pt idx="5">
                  <c:v>3.982321922757764E-4</c:v>
                </c:pt>
              </c:numCache>
            </c:numRef>
          </c:val>
          <c:smooth val="0"/>
          <c:extLst>
            <c:ext xmlns:c16="http://schemas.microsoft.com/office/drawing/2014/chart" uri="{C3380CC4-5D6E-409C-BE32-E72D297353CC}">
              <c16:uniqueId val="{00000006-B290-4A85-91F4-5245D26055D6}"/>
            </c:ext>
          </c:extLst>
        </c:ser>
        <c:ser>
          <c:idx val="19"/>
          <c:order val="7"/>
          <c:tx>
            <c:strRef>
              <c:f>股权价值增加分析表!$A$21</c:f>
              <c:strCache>
                <c:ptCount val="1"/>
                <c:pt idx="0">
                  <c:v>营业外收支净额率</c:v>
                </c:pt>
              </c:strCache>
            </c:strRef>
          </c:tx>
          <c:val>
            <c:numRef>
              <c:f>股权价值增加分析表!$B$21:$Y$21</c:f>
              <c:numCache>
                <c:formatCode>0.00%</c:formatCode>
                <c:ptCount val="6"/>
                <c:pt idx="0">
                  <c:v>3.7482775005262588E-3</c:v>
                </c:pt>
                <c:pt idx="1">
                  <c:v>9.0411431965507875E-3</c:v>
                </c:pt>
                <c:pt idx="2">
                  <c:v>1.0248745208441613E-2</c:v>
                </c:pt>
                <c:pt idx="3">
                  <c:v>7.136289160305208E-3</c:v>
                </c:pt>
                <c:pt idx="4">
                  <c:v>7.4786268355353227E-3</c:v>
                </c:pt>
                <c:pt idx="5">
                  <c:v>8.9690123924327653E-3</c:v>
                </c:pt>
              </c:numCache>
            </c:numRef>
          </c:val>
          <c:smooth val="0"/>
          <c:extLst>
            <c:ext xmlns:c16="http://schemas.microsoft.com/office/drawing/2014/chart" uri="{C3380CC4-5D6E-409C-BE32-E72D297353CC}">
              <c16:uniqueId val="{00000007-B290-4A85-91F4-5245D26055D6}"/>
            </c:ext>
          </c:extLst>
        </c:ser>
        <c:ser>
          <c:idx val="20"/>
          <c:order val="8"/>
          <c:tx>
            <c:strRef>
              <c:f>股权价值增加分析表!$A$22</c:f>
              <c:strCache>
                <c:ptCount val="1"/>
                <c:pt idx="0">
                  <c:v>总费用率</c:v>
                </c:pt>
              </c:strCache>
            </c:strRef>
          </c:tx>
          <c:val>
            <c:numRef>
              <c:f>股权价值增加分析表!$B$22:$Y$22</c:f>
              <c:numCache>
                <c:formatCode>0.00%</c:formatCode>
                <c:ptCount val="6"/>
                <c:pt idx="0">
                  <c:v>0.32991820993006854</c:v>
                </c:pt>
                <c:pt idx="1">
                  <c:v>0.38207646040591547</c:v>
                </c:pt>
                <c:pt idx="2">
                  <c:v>0.35866690801149914</c:v>
                </c:pt>
                <c:pt idx="3">
                  <c:v>0.31367522762153993</c:v>
                </c:pt>
                <c:pt idx="4">
                  <c:v>0.31009212048116491</c:v>
                </c:pt>
                <c:pt idx="5">
                  <c:v>0.28545965438276949</c:v>
                </c:pt>
              </c:numCache>
            </c:numRef>
          </c:val>
          <c:smooth val="0"/>
          <c:extLst>
            <c:ext xmlns:c16="http://schemas.microsoft.com/office/drawing/2014/chart" uri="{C3380CC4-5D6E-409C-BE32-E72D297353CC}">
              <c16:uniqueId val="{00000008-B290-4A85-91F4-5245D26055D6}"/>
            </c:ext>
          </c:extLst>
        </c:ser>
        <c:ser>
          <c:idx val="22"/>
          <c:order val="9"/>
          <c:tx>
            <c:strRef>
              <c:f>股权价值增加分析表!$A$24</c:f>
              <c:strCache>
                <c:ptCount val="1"/>
                <c:pt idx="0">
                  <c:v>息前税后经营利润率</c:v>
                </c:pt>
              </c:strCache>
            </c:strRef>
          </c:tx>
          <c:val>
            <c:numRef>
              <c:f>股权价值增加分析表!$B$24:$Y$24</c:f>
              <c:numCache>
                <c:formatCode>0.00%</c:formatCode>
                <c:ptCount val="6"/>
                <c:pt idx="0">
                  <c:v>9.1839924187747821E-2</c:v>
                </c:pt>
                <c:pt idx="1">
                  <c:v>9.7874142032542411E-2</c:v>
                </c:pt>
                <c:pt idx="2">
                  <c:v>0.12529404017861698</c:v>
                </c:pt>
                <c:pt idx="3">
                  <c:v>0.13144936856659847</c:v>
                </c:pt>
                <c:pt idx="4">
                  <c:v>0.12248608103009449</c:v>
                </c:pt>
                <c:pt idx="5">
                  <c:v>0.13301566544362509</c:v>
                </c:pt>
              </c:numCache>
            </c:numRef>
          </c:val>
          <c:smooth val="0"/>
          <c:extLst>
            <c:ext xmlns:c16="http://schemas.microsoft.com/office/drawing/2014/chart" uri="{C3380CC4-5D6E-409C-BE32-E72D297353CC}">
              <c16:uniqueId val="{00000009-B290-4A85-91F4-5245D26055D6}"/>
            </c:ext>
          </c:extLst>
        </c:ser>
        <c:dLbls>
          <c:showLegendKey val="0"/>
          <c:showVal val="0"/>
          <c:showCatName val="0"/>
          <c:showSerName val="0"/>
          <c:showPercent val="0"/>
          <c:showBubbleSize val="0"/>
        </c:dLbls>
        <c:marker val="1"/>
        <c:smooth val="0"/>
        <c:axId val="229524480"/>
        <c:axId val="228868672"/>
      </c:lineChart>
      <c:catAx>
        <c:axId val="229524480"/>
        <c:scaling>
          <c:orientation val="minMax"/>
        </c:scaling>
        <c:delete val="0"/>
        <c:axPos val="b"/>
        <c:majorTickMark val="out"/>
        <c:minorTickMark val="none"/>
        <c:tickLblPos val="nextTo"/>
        <c:crossAx val="228868672"/>
        <c:crosses val="autoZero"/>
        <c:auto val="1"/>
        <c:lblAlgn val="ctr"/>
        <c:lblOffset val="100"/>
        <c:noMultiLvlLbl val="0"/>
      </c:catAx>
      <c:valAx>
        <c:axId val="228868672"/>
        <c:scaling>
          <c:orientation val="minMax"/>
        </c:scaling>
        <c:delete val="0"/>
        <c:axPos val="l"/>
        <c:majorGridlines/>
        <c:numFmt formatCode="0.00%" sourceLinked="1"/>
        <c:majorTickMark val="out"/>
        <c:minorTickMark val="none"/>
        <c:tickLblPos val="nextTo"/>
        <c:crossAx val="229524480"/>
        <c:crosses val="autoZero"/>
        <c:crossBetween val="between"/>
      </c:valAx>
    </c:plotArea>
    <c:legend>
      <c:legendPos val="r"/>
      <c:layout>
        <c:manualLayout>
          <c:xMode val="edge"/>
          <c:yMode val="edge"/>
          <c:x val="0.79215388376967444"/>
          <c:y val="7.0258151426999163E-2"/>
          <c:w val="0.20784611623032548"/>
          <c:h val="0.90045588014849187"/>
        </c:manualLayout>
      </c:layout>
      <c:overlay val="0"/>
    </c:legend>
    <c:plotVisOnly val="1"/>
    <c:dispBlanksAs val="zero"/>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6709445064421219E-2"/>
          <c:y val="4.6309449148692401E-2"/>
          <c:w val="0.55930247247173037"/>
          <c:h val="0.80809401502946276"/>
        </c:manualLayout>
      </c:layout>
      <c:lineChart>
        <c:grouping val="stacked"/>
        <c:varyColors val="0"/>
        <c:ser>
          <c:idx val="1"/>
          <c:order val="0"/>
          <c:tx>
            <c:strRef>
              <c:f>股权价值增加分析表!$A$29</c:f>
              <c:strCache>
                <c:ptCount val="1"/>
                <c:pt idx="0">
                  <c:v>息税前经营利润占比</c:v>
                </c:pt>
              </c:strCache>
            </c:strRef>
          </c:tx>
          <c:val>
            <c:numRef>
              <c:f>股权价值增加分析表!$B$29:$Y$29</c:f>
              <c:numCache>
                <c:formatCode>0.00%</c:formatCode>
                <c:ptCount val="6"/>
                <c:pt idx="0">
                  <c:v>0.97175081047278278</c:v>
                </c:pt>
                <c:pt idx="1">
                  <c:v>0.8811300777590737</c:v>
                </c:pt>
                <c:pt idx="2">
                  <c:v>0.85708451001171437</c:v>
                </c:pt>
                <c:pt idx="3">
                  <c:v>0.91186124618502906</c:v>
                </c:pt>
                <c:pt idx="4">
                  <c:v>0.93316216535487861</c:v>
                </c:pt>
                <c:pt idx="5">
                  <c:v>0.94897968732373328</c:v>
                </c:pt>
              </c:numCache>
            </c:numRef>
          </c:val>
          <c:smooth val="0"/>
          <c:extLst>
            <c:ext xmlns:c16="http://schemas.microsoft.com/office/drawing/2014/chart" uri="{C3380CC4-5D6E-409C-BE32-E72D297353CC}">
              <c16:uniqueId val="{00000000-A253-42D4-8495-3D4866AEF9C5}"/>
            </c:ext>
          </c:extLst>
        </c:ser>
        <c:ser>
          <c:idx val="3"/>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1-A253-42D4-8495-3D4866AEF9C5}"/>
            </c:ext>
          </c:extLst>
        </c:ser>
        <c:ser>
          <c:idx val="5"/>
          <c:order val="2"/>
          <c:tx>
            <c:strRef>
              <c:f>股权价值增加分析表!$A$33</c:f>
              <c:strCache>
                <c:ptCount val="1"/>
                <c:pt idx="0">
                  <c:v>息税前金融资产收益占比</c:v>
                </c:pt>
              </c:strCache>
            </c:strRef>
          </c:tx>
          <c:val>
            <c:numRef>
              <c:f>股权价值增加分析表!$B$33:$Y$33</c:f>
              <c:numCache>
                <c:formatCode>0.00%</c:formatCode>
                <c:ptCount val="6"/>
                <c:pt idx="0">
                  <c:v>2.8249189527217267E-2</c:v>
                </c:pt>
                <c:pt idx="1">
                  <c:v>0.11886992224092631</c:v>
                </c:pt>
                <c:pt idx="2">
                  <c:v>0.14291548998828563</c:v>
                </c:pt>
                <c:pt idx="3">
                  <c:v>8.813875381497098E-2</c:v>
                </c:pt>
                <c:pt idx="4">
                  <c:v>6.6837834645121372E-2</c:v>
                </c:pt>
                <c:pt idx="5">
                  <c:v>5.1020312676266714E-2</c:v>
                </c:pt>
              </c:numCache>
            </c:numRef>
          </c:val>
          <c:smooth val="0"/>
          <c:extLst>
            <c:ext xmlns:c16="http://schemas.microsoft.com/office/drawing/2014/chart" uri="{C3380CC4-5D6E-409C-BE32-E72D297353CC}">
              <c16:uniqueId val="{00000002-A253-42D4-8495-3D4866AEF9C5}"/>
            </c:ext>
          </c:extLst>
        </c:ser>
        <c:dLbls>
          <c:showLegendKey val="0"/>
          <c:showVal val="0"/>
          <c:showCatName val="0"/>
          <c:showSerName val="0"/>
          <c:showPercent val="0"/>
          <c:showBubbleSize val="0"/>
        </c:dLbls>
        <c:marker val="1"/>
        <c:smooth val="0"/>
        <c:axId val="229524992"/>
        <c:axId val="228870976"/>
      </c:lineChart>
      <c:catAx>
        <c:axId val="229524992"/>
        <c:scaling>
          <c:orientation val="minMax"/>
        </c:scaling>
        <c:delete val="0"/>
        <c:axPos val="b"/>
        <c:majorTickMark val="out"/>
        <c:minorTickMark val="none"/>
        <c:tickLblPos val="nextTo"/>
        <c:crossAx val="228870976"/>
        <c:crosses val="autoZero"/>
        <c:auto val="1"/>
        <c:lblAlgn val="ctr"/>
        <c:lblOffset val="100"/>
        <c:noMultiLvlLbl val="0"/>
      </c:catAx>
      <c:valAx>
        <c:axId val="228870976"/>
        <c:scaling>
          <c:orientation val="minMax"/>
        </c:scaling>
        <c:delete val="0"/>
        <c:axPos val="l"/>
        <c:majorGridlines/>
        <c:numFmt formatCode="0.00%" sourceLinked="1"/>
        <c:majorTickMark val="out"/>
        <c:minorTickMark val="none"/>
        <c:tickLblPos val="nextTo"/>
        <c:crossAx val="2295249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股权价值增加分析表!$A$48</c:f>
              <c:strCache>
                <c:ptCount val="1"/>
                <c:pt idx="0">
                  <c:v>净利润率%</c:v>
                </c:pt>
              </c:strCache>
            </c:strRef>
          </c:tx>
          <c:val>
            <c:numRef>
              <c:f>股权价值增加分析表!$B$48:$AC$48</c:f>
              <c:numCache>
                <c:formatCode>0.00%</c:formatCode>
                <c:ptCount val="7"/>
                <c:pt idx="0">
                  <c:v>8.7758475670423053E-2</c:v>
                </c:pt>
                <c:pt idx="1">
                  <c:v>0.11009182871443379</c:v>
                </c:pt>
                <c:pt idx="2">
                  <c:v>0.14557633289197322</c:v>
                </c:pt>
                <c:pt idx="3">
                  <c:v>0.14371362606605287</c:v>
                </c:pt>
                <c:pt idx="4">
                  <c:v>0.13095871866346628</c:v>
                </c:pt>
                <c:pt idx="5">
                  <c:v>0.13984776173082955</c:v>
                </c:pt>
                <c:pt idx="6">
                  <c:v>0.15617500321063818</c:v>
                </c:pt>
              </c:numCache>
            </c:numRef>
          </c:val>
          <c:smooth val="0"/>
          <c:extLst>
            <c:ext xmlns:c16="http://schemas.microsoft.com/office/drawing/2014/chart" uri="{C3380CC4-5D6E-409C-BE32-E72D297353CC}">
              <c16:uniqueId val="{00000000-A3A6-4A66-B00C-111931E3F90C}"/>
            </c:ext>
          </c:extLst>
        </c:ser>
        <c:dLbls>
          <c:showLegendKey val="0"/>
          <c:showVal val="0"/>
          <c:showCatName val="0"/>
          <c:showSerName val="0"/>
          <c:showPercent val="0"/>
          <c:showBubbleSize val="0"/>
        </c:dLbls>
        <c:marker val="1"/>
        <c:smooth val="0"/>
        <c:axId val="229525504"/>
        <c:axId val="228873280"/>
      </c:lineChart>
      <c:catAx>
        <c:axId val="229525504"/>
        <c:scaling>
          <c:orientation val="minMax"/>
        </c:scaling>
        <c:delete val="0"/>
        <c:axPos val="b"/>
        <c:majorTickMark val="out"/>
        <c:minorTickMark val="none"/>
        <c:tickLblPos val="nextTo"/>
        <c:crossAx val="228873280"/>
        <c:crosses val="autoZero"/>
        <c:auto val="1"/>
        <c:lblAlgn val="ctr"/>
        <c:lblOffset val="100"/>
        <c:noMultiLvlLbl val="0"/>
      </c:catAx>
      <c:valAx>
        <c:axId val="228873280"/>
        <c:scaling>
          <c:orientation val="minMax"/>
        </c:scaling>
        <c:delete val="0"/>
        <c:axPos val="l"/>
        <c:majorGridlines/>
        <c:numFmt formatCode="0.00%" sourceLinked="1"/>
        <c:majorTickMark val="out"/>
        <c:minorTickMark val="none"/>
        <c:tickLblPos val="nextTo"/>
        <c:crossAx val="2295255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股权价值增加分析表!$A$29</c:f>
              <c:strCache>
                <c:ptCount val="1"/>
                <c:pt idx="0">
                  <c:v>息税前经营利润占比</c:v>
                </c:pt>
              </c:strCache>
            </c:strRef>
          </c:tx>
          <c:val>
            <c:numRef>
              <c:f>股权价值增加分析表!$B$29:$Y$29</c:f>
              <c:numCache>
                <c:formatCode>0.00%</c:formatCode>
                <c:ptCount val="6"/>
                <c:pt idx="0">
                  <c:v>0.97175081047278278</c:v>
                </c:pt>
                <c:pt idx="1">
                  <c:v>0.8811300777590737</c:v>
                </c:pt>
                <c:pt idx="2">
                  <c:v>0.85708451001171437</c:v>
                </c:pt>
                <c:pt idx="3">
                  <c:v>0.91186124618502906</c:v>
                </c:pt>
                <c:pt idx="4">
                  <c:v>0.93316216535487861</c:v>
                </c:pt>
                <c:pt idx="5">
                  <c:v>0.94897968732373328</c:v>
                </c:pt>
              </c:numCache>
            </c:numRef>
          </c:val>
          <c:smooth val="0"/>
          <c:extLst>
            <c:ext xmlns:c16="http://schemas.microsoft.com/office/drawing/2014/chart" uri="{C3380CC4-5D6E-409C-BE32-E72D297353CC}">
              <c16:uniqueId val="{00000000-6E34-409E-8362-C08B62357644}"/>
            </c:ext>
          </c:extLst>
        </c:ser>
        <c:ser>
          <c:idx val="2"/>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1-6E34-409E-8362-C08B62357644}"/>
            </c:ext>
          </c:extLst>
        </c:ser>
        <c:ser>
          <c:idx val="4"/>
          <c:order val="2"/>
          <c:tx>
            <c:strRef>
              <c:f>股权价值增加分析表!$A$33</c:f>
              <c:strCache>
                <c:ptCount val="1"/>
                <c:pt idx="0">
                  <c:v>息税前金融资产收益占比</c:v>
                </c:pt>
              </c:strCache>
            </c:strRef>
          </c:tx>
          <c:val>
            <c:numRef>
              <c:f>股权价值增加分析表!$B$33:$Y$33</c:f>
              <c:numCache>
                <c:formatCode>0.00%</c:formatCode>
                <c:ptCount val="6"/>
                <c:pt idx="0">
                  <c:v>2.8249189527217267E-2</c:v>
                </c:pt>
                <c:pt idx="1">
                  <c:v>0.11886992224092631</c:v>
                </c:pt>
                <c:pt idx="2">
                  <c:v>0.14291548998828563</c:v>
                </c:pt>
                <c:pt idx="3">
                  <c:v>8.813875381497098E-2</c:v>
                </c:pt>
                <c:pt idx="4">
                  <c:v>6.6837834645121372E-2</c:v>
                </c:pt>
                <c:pt idx="5">
                  <c:v>5.1020312676266714E-2</c:v>
                </c:pt>
              </c:numCache>
            </c:numRef>
          </c:val>
          <c:smooth val="0"/>
          <c:extLst>
            <c:ext xmlns:c16="http://schemas.microsoft.com/office/drawing/2014/chart" uri="{C3380CC4-5D6E-409C-BE32-E72D297353CC}">
              <c16:uniqueId val="{00000002-6E34-409E-8362-C08B62357644}"/>
            </c:ext>
          </c:extLst>
        </c:ser>
        <c:dLbls>
          <c:showLegendKey val="0"/>
          <c:showVal val="0"/>
          <c:showCatName val="0"/>
          <c:showSerName val="0"/>
          <c:showPercent val="0"/>
          <c:showBubbleSize val="0"/>
        </c:dLbls>
        <c:marker val="1"/>
        <c:smooth val="0"/>
        <c:axId val="230150144"/>
        <c:axId val="230056512"/>
      </c:lineChart>
      <c:catAx>
        <c:axId val="230150144"/>
        <c:scaling>
          <c:orientation val="minMax"/>
        </c:scaling>
        <c:delete val="0"/>
        <c:axPos val="b"/>
        <c:majorTickMark val="out"/>
        <c:minorTickMark val="none"/>
        <c:tickLblPos val="nextTo"/>
        <c:crossAx val="230056512"/>
        <c:crosses val="autoZero"/>
        <c:auto val="1"/>
        <c:lblAlgn val="ctr"/>
        <c:lblOffset val="100"/>
        <c:noMultiLvlLbl val="0"/>
      </c:catAx>
      <c:valAx>
        <c:axId val="230056512"/>
        <c:scaling>
          <c:orientation val="minMax"/>
        </c:scaling>
        <c:delete val="0"/>
        <c:axPos val="l"/>
        <c:majorGridlines/>
        <c:numFmt formatCode="0.00%" sourceLinked="1"/>
        <c:majorTickMark val="out"/>
        <c:minorTickMark val="none"/>
        <c:tickLblPos val="nextTo"/>
        <c:crossAx val="230150144"/>
        <c:crosses val="autoZero"/>
        <c:crossBetween val="between"/>
      </c:valAx>
    </c:plotArea>
    <c:legend>
      <c:legendPos val="r"/>
      <c:layout>
        <c:manualLayout>
          <c:xMode val="edge"/>
          <c:yMode val="edge"/>
          <c:x val="0.68025564039343567"/>
          <c:y val="7.0117440689319516E-3"/>
          <c:w val="0.31974420463629094"/>
          <c:h val="0.76295675205281288"/>
        </c:manualLayout>
      </c:layout>
      <c:overlay val="0"/>
    </c:legend>
    <c:plotVisOnly val="1"/>
    <c:dispBlanksAs val="zero"/>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9.2576500942475576E-2"/>
          <c:y val="5.2820206907861121E-2"/>
        </c:manualLayout>
      </c:layout>
      <c:overlay val="0"/>
    </c:title>
    <c:autoTitleDeleted val="0"/>
    <c:plotArea>
      <c:layout/>
      <c:lineChart>
        <c:grouping val="stacked"/>
        <c:varyColors val="0"/>
        <c:ser>
          <c:idx val="0"/>
          <c:order val="0"/>
          <c:tx>
            <c:strRef>
              <c:f>股权价值增加分析表!$A$41</c:f>
              <c:strCache>
                <c:ptCount val="1"/>
                <c:pt idx="0">
                  <c:v>财务成本负担率=1-税前利润/息税前利润</c:v>
                </c:pt>
              </c:strCache>
            </c:strRef>
          </c:tx>
          <c:val>
            <c:numRef>
              <c:f>股权价值增加分析表!$B$41:$Y$41</c:f>
              <c:numCache>
                <c:formatCode>0.00%</c:formatCode>
                <c:ptCount val="6"/>
                <c:pt idx="0">
                  <c:v>7.1434666210596354E-2</c:v>
                </c:pt>
                <c:pt idx="1">
                  <c:v>8.8779366920612723E-3</c:v>
                </c:pt>
                <c:pt idx="2">
                  <c:v>4.1727462204315113E-3</c:v>
                </c:pt>
                <c:pt idx="3">
                  <c:v>3.0618816402628868E-3</c:v>
                </c:pt>
                <c:pt idx="4">
                  <c:v>2.2889094633132823E-3</c:v>
                </c:pt>
                <c:pt idx="5">
                  <c:v>2.2777786538751288E-3</c:v>
                </c:pt>
              </c:numCache>
            </c:numRef>
          </c:val>
          <c:smooth val="0"/>
          <c:extLst>
            <c:ext xmlns:c16="http://schemas.microsoft.com/office/drawing/2014/chart" uri="{C3380CC4-5D6E-409C-BE32-E72D297353CC}">
              <c16:uniqueId val="{00000000-6916-475F-A94C-4DF209EFC443}"/>
            </c:ext>
          </c:extLst>
        </c:ser>
        <c:dLbls>
          <c:showLegendKey val="0"/>
          <c:showVal val="0"/>
          <c:showCatName val="0"/>
          <c:showSerName val="0"/>
          <c:showPercent val="0"/>
          <c:showBubbleSize val="0"/>
        </c:dLbls>
        <c:marker val="1"/>
        <c:smooth val="0"/>
        <c:axId val="230150656"/>
        <c:axId val="230058816"/>
      </c:lineChart>
      <c:catAx>
        <c:axId val="230150656"/>
        <c:scaling>
          <c:orientation val="minMax"/>
        </c:scaling>
        <c:delete val="0"/>
        <c:axPos val="b"/>
        <c:majorTickMark val="out"/>
        <c:minorTickMark val="none"/>
        <c:tickLblPos val="nextTo"/>
        <c:crossAx val="230058816"/>
        <c:crosses val="autoZero"/>
        <c:auto val="1"/>
        <c:lblAlgn val="ctr"/>
        <c:lblOffset val="100"/>
        <c:noMultiLvlLbl val="0"/>
      </c:catAx>
      <c:valAx>
        <c:axId val="230058816"/>
        <c:scaling>
          <c:orientation val="minMax"/>
        </c:scaling>
        <c:delete val="0"/>
        <c:axPos val="l"/>
        <c:majorGridlines/>
        <c:numFmt formatCode="0.00%" sourceLinked="1"/>
        <c:majorTickMark val="out"/>
        <c:minorTickMark val="none"/>
        <c:tickLblPos val="nextTo"/>
        <c:crossAx val="230150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股权价值增加分析表!$A$2</c:f>
              <c:strCache>
                <c:ptCount val="1"/>
                <c:pt idx="0">
                  <c:v>营业收入</c:v>
                </c:pt>
              </c:strCache>
            </c:strRef>
          </c:tx>
          <c:invertIfNegative val="0"/>
          <c:val>
            <c:numRef>
              <c:f>股权价值增加分析表!$B$2:$Y$2</c:f>
              <c:numCache>
                <c:formatCode>#,##0.00_ </c:formatCode>
                <c:ptCount val="6"/>
                <c:pt idx="0">
                  <c:v>4661850865.5100002</c:v>
                </c:pt>
                <c:pt idx="1">
                  <c:v>3152216442.1500001</c:v>
                </c:pt>
                <c:pt idx="2">
                  <c:v>2915633891.98</c:v>
                </c:pt>
                <c:pt idx="3">
                  <c:v>2761400573.5100002</c:v>
                </c:pt>
                <c:pt idx="4">
                  <c:v>2524209416.4000001</c:v>
                </c:pt>
                <c:pt idx="5">
                  <c:v>2724953861.21</c:v>
                </c:pt>
              </c:numCache>
            </c:numRef>
          </c:val>
          <c:extLst>
            <c:ext xmlns:c16="http://schemas.microsoft.com/office/drawing/2014/chart" uri="{C3380CC4-5D6E-409C-BE32-E72D297353CC}">
              <c16:uniqueId val="{00000000-A93B-4798-8212-4DDF301A19D2}"/>
            </c:ext>
          </c:extLst>
        </c:ser>
        <c:ser>
          <c:idx val="2"/>
          <c:order val="1"/>
          <c:tx>
            <c:strRef>
              <c:f>股权价值增加分析表!$A$4</c:f>
              <c:strCache>
                <c:ptCount val="1"/>
                <c:pt idx="0">
                  <c:v>营业成本</c:v>
                </c:pt>
              </c:strCache>
            </c:strRef>
          </c:tx>
          <c:invertIfNegative val="0"/>
          <c:val>
            <c:numRef>
              <c:f>股权价值增加分析表!$B$4:$Y$4</c:f>
              <c:numCache>
                <c:formatCode>#,##0.00_ </c:formatCode>
                <c:ptCount val="6"/>
                <c:pt idx="0">
                  <c:v>2635590846.21</c:v>
                </c:pt>
                <c:pt idx="1">
                  <c:v>1624554797.76</c:v>
                </c:pt>
                <c:pt idx="2">
                  <c:v>1488077938.76</c:v>
                </c:pt>
                <c:pt idx="3">
                  <c:v>1522590313.74</c:v>
                </c:pt>
                <c:pt idx="4">
                  <c:v>1414058164.54</c:v>
                </c:pt>
                <c:pt idx="5">
                  <c:v>1574584274.8199999</c:v>
                </c:pt>
              </c:numCache>
            </c:numRef>
          </c:val>
          <c:extLst>
            <c:ext xmlns:c16="http://schemas.microsoft.com/office/drawing/2014/chart" uri="{C3380CC4-5D6E-409C-BE32-E72D297353CC}">
              <c16:uniqueId val="{00000001-A93B-4798-8212-4DDF301A19D2}"/>
            </c:ext>
          </c:extLst>
        </c:ser>
        <c:ser>
          <c:idx val="5"/>
          <c:order val="2"/>
          <c:tx>
            <c:strRef>
              <c:f>股权价值增加分析表!$A$7</c:f>
              <c:strCache>
                <c:ptCount val="1"/>
                <c:pt idx="0">
                  <c:v>毛利</c:v>
                </c:pt>
              </c:strCache>
            </c:strRef>
          </c:tx>
          <c:invertIfNegative val="0"/>
          <c:val>
            <c:numRef>
              <c:f>股权价值增加分析表!$B$7:$Y$7</c:f>
              <c:numCache>
                <c:formatCode>#,##0.00_ </c:formatCode>
                <c:ptCount val="6"/>
                <c:pt idx="0">
                  <c:v>2026260019.3000002</c:v>
                </c:pt>
                <c:pt idx="1">
                  <c:v>1527661644.3900001</c:v>
                </c:pt>
                <c:pt idx="2">
                  <c:v>1427555953.22</c:v>
                </c:pt>
                <c:pt idx="3">
                  <c:v>1238810259.7700002</c:v>
                </c:pt>
                <c:pt idx="4">
                  <c:v>1110151251.8600001</c:v>
                </c:pt>
                <c:pt idx="5">
                  <c:v>1150369586.3900001</c:v>
                </c:pt>
              </c:numCache>
            </c:numRef>
          </c:val>
          <c:extLst>
            <c:ext xmlns:c16="http://schemas.microsoft.com/office/drawing/2014/chart" uri="{C3380CC4-5D6E-409C-BE32-E72D297353CC}">
              <c16:uniqueId val="{00000002-A93B-4798-8212-4DDF301A19D2}"/>
            </c:ext>
          </c:extLst>
        </c:ser>
        <c:dLbls>
          <c:showLegendKey val="0"/>
          <c:showVal val="0"/>
          <c:showCatName val="0"/>
          <c:showSerName val="0"/>
          <c:showPercent val="0"/>
          <c:showBubbleSize val="0"/>
        </c:dLbls>
        <c:gapWidth val="150"/>
        <c:axId val="230151168"/>
        <c:axId val="230060544"/>
      </c:barChart>
      <c:catAx>
        <c:axId val="230151168"/>
        <c:scaling>
          <c:orientation val="minMax"/>
        </c:scaling>
        <c:delete val="0"/>
        <c:axPos val="b"/>
        <c:majorTickMark val="out"/>
        <c:minorTickMark val="none"/>
        <c:tickLblPos val="nextTo"/>
        <c:crossAx val="230060544"/>
        <c:crosses val="autoZero"/>
        <c:auto val="1"/>
        <c:lblAlgn val="ctr"/>
        <c:lblOffset val="100"/>
        <c:noMultiLvlLbl val="0"/>
      </c:catAx>
      <c:valAx>
        <c:axId val="230060544"/>
        <c:scaling>
          <c:orientation val="minMax"/>
        </c:scaling>
        <c:delete val="0"/>
        <c:axPos val="l"/>
        <c:majorGridlines/>
        <c:numFmt formatCode="#,##0.00_ " sourceLinked="1"/>
        <c:majorTickMark val="out"/>
        <c:minorTickMark val="none"/>
        <c:tickLblPos val="nextTo"/>
        <c:crossAx val="23015116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股东权益回报率分析表!$A$28</c:f>
              <c:strCache>
                <c:ptCount val="1"/>
                <c:pt idx="0">
                  <c:v>长期股权投资收益率</c:v>
                </c:pt>
              </c:strCache>
            </c:strRef>
          </c:tx>
          <c:val>
            <c:numRef>
              <c:f>股东权益回报率分析表!$B$28:$Y$28</c:f>
              <c:numCache>
                <c:formatCode>0.00%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BD4E-4A09-A91C-6471F6D59232}"/>
            </c:ext>
          </c:extLst>
        </c:ser>
        <c:dLbls>
          <c:showLegendKey val="0"/>
          <c:showVal val="0"/>
          <c:showCatName val="0"/>
          <c:showSerName val="0"/>
          <c:showPercent val="0"/>
          <c:showBubbleSize val="0"/>
        </c:dLbls>
        <c:marker val="1"/>
        <c:smooth val="0"/>
        <c:axId val="229526528"/>
        <c:axId val="230286464"/>
      </c:lineChart>
      <c:catAx>
        <c:axId val="229526528"/>
        <c:scaling>
          <c:orientation val="minMax"/>
        </c:scaling>
        <c:delete val="0"/>
        <c:axPos val="b"/>
        <c:majorTickMark val="out"/>
        <c:minorTickMark val="none"/>
        <c:tickLblPos val="nextTo"/>
        <c:crossAx val="230286464"/>
        <c:crosses val="autoZero"/>
        <c:auto val="1"/>
        <c:lblAlgn val="ctr"/>
        <c:lblOffset val="100"/>
        <c:noMultiLvlLbl val="0"/>
      </c:catAx>
      <c:valAx>
        <c:axId val="230286464"/>
        <c:scaling>
          <c:orientation val="minMax"/>
        </c:scaling>
        <c:delete val="0"/>
        <c:axPos val="l"/>
        <c:majorGridlines/>
        <c:numFmt formatCode="0.00%" sourceLinked="1"/>
        <c:majorTickMark val="out"/>
        <c:minorTickMark val="none"/>
        <c:tickLblPos val="nextTo"/>
        <c:crossAx val="22952652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股东权益回报率分析表!$A$44</c:f>
              <c:strCache>
                <c:ptCount val="1"/>
                <c:pt idx="0">
                  <c:v>税后金融资产收益率</c:v>
                </c:pt>
              </c:strCache>
            </c:strRef>
          </c:tx>
          <c:val>
            <c:numRef>
              <c:f>股东权益回报率分析表!$B$44:$Y$44</c:f>
              <c:numCache>
                <c:formatCode>0.00%</c:formatCode>
                <c:ptCount val="6"/>
                <c:pt idx="0">
                  <c:v>1.0285052847599297E-2</c:v>
                </c:pt>
                <c:pt idx="1">
                  <c:v>2.7233471434463124E-2</c:v>
                </c:pt>
                <c:pt idx="2">
                  <c:v>8.8259962303040188E-2</c:v>
                </c:pt>
                <c:pt idx="3">
                  <c:v>5.4221802473908891E-2</c:v>
                </c:pt>
                <c:pt idx="4">
                  <c:v>2.3640010020473265E-2</c:v>
                </c:pt>
                <c:pt idx="5">
                  <c:v>2.038359489387042E-2</c:v>
                </c:pt>
              </c:numCache>
            </c:numRef>
          </c:val>
          <c:smooth val="0"/>
          <c:extLst>
            <c:ext xmlns:c16="http://schemas.microsoft.com/office/drawing/2014/chart" uri="{C3380CC4-5D6E-409C-BE32-E72D297353CC}">
              <c16:uniqueId val="{00000000-AAAE-4A4E-8657-F1871AEF5DD2}"/>
            </c:ext>
          </c:extLst>
        </c:ser>
        <c:dLbls>
          <c:showLegendKey val="0"/>
          <c:showVal val="0"/>
          <c:showCatName val="0"/>
          <c:showSerName val="0"/>
          <c:showPercent val="0"/>
          <c:showBubbleSize val="0"/>
        </c:dLbls>
        <c:marker val="1"/>
        <c:smooth val="0"/>
        <c:axId val="229642240"/>
        <c:axId val="230288192"/>
      </c:lineChart>
      <c:catAx>
        <c:axId val="229642240"/>
        <c:scaling>
          <c:orientation val="minMax"/>
        </c:scaling>
        <c:delete val="0"/>
        <c:axPos val="b"/>
        <c:majorTickMark val="out"/>
        <c:minorTickMark val="none"/>
        <c:tickLblPos val="nextTo"/>
        <c:crossAx val="230288192"/>
        <c:crosses val="autoZero"/>
        <c:auto val="1"/>
        <c:lblAlgn val="ctr"/>
        <c:lblOffset val="100"/>
        <c:noMultiLvlLbl val="0"/>
      </c:catAx>
      <c:valAx>
        <c:axId val="230288192"/>
        <c:scaling>
          <c:orientation val="minMax"/>
        </c:scaling>
        <c:delete val="0"/>
        <c:axPos val="l"/>
        <c:majorGridlines/>
        <c:numFmt formatCode="0.00%" sourceLinked="1"/>
        <c:majorTickMark val="out"/>
        <c:minorTickMark val="none"/>
        <c:tickLblPos val="nextTo"/>
        <c:crossAx val="2296422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股东权益回报率分析表!$A$51</c:f>
              <c:strCache>
                <c:ptCount val="1"/>
                <c:pt idx="0">
                  <c:v>营运资产周转率</c:v>
                </c:pt>
              </c:strCache>
            </c:strRef>
          </c:tx>
          <c:val>
            <c:numRef>
              <c:f>股东权益回报率分析表!$B$51:$Y$51</c:f>
              <c:numCache>
                <c:formatCode>#,##0.00_ </c:formatCode>
                <c:ptCount val="6"/>
                <c:pt idx="0">
                  <c:v>2.9189460837232937</c:v>
                </c:pt>
                <c:pt idx="1">
                  <c:v>3.3214461150791692</c:v>
                </c:pt>
                <c:pt idx="2">
                  <c:v>2.5197859588978422</c:v>
                </c:pt>
                <c:pt idx="3">
                  <c:v>2.706701085510824</c:v>
                </c:pt>
                <c:pt idx="4">
                  <c:v>4.5502276376324344</c:v>
                </c:pt>
                <c:pt idx="5">
                  <c:v>6.4629709337097783</c:v>
                </c:pt>
              </c:numCache>
            </c:numRef>
          </c:val>
          <c:smooth val="0"/>
          <c:extLst>
            <c:ext xmlns:c16="http://schemas.microsoft.com/office/drawing/2014/chart" uri="{C3380CC4-5D6E-409C-BE32-E72D297353CC}">
              <c16:uniqueId val="{00000000-8D13-4A33-B71F-8CEA27669388}"/>
            </c:ext>
          </c:extLst>
        </c:ser>
        <c:ser>
          <c:idx val="2"/>
          <c:order val="1"/>
          <c:tx>
            <c:strRef>
              <c:f>股东权益回报率分析表!$A$53</c:f>
              <c:strCache>
                <c:ptCount val="1"/>
                <c:pt idx="0">
                  <c:v>长期经营资产周转率</c:v>
                </c:pt>
              </c:strCache>
            </c:strRef>
          </c:tx>
          <c:val>
            <c:numRef>
              <c:f>股东权益回报率分析表!$B$53:$Y$53</c:f>
              <c:numCache>
                <c:formatCode>#,##0.00_ </c:formatCode>
                <c:ptCount val="6"/>
                <c:pt idx="0">
                  <c:v>4.3045054215198153</c:v>
                </c:pt>
                <c:pt idx="1">
                  <c:v>3.7592593849751572</c:v>
                </c:pt>
                <c:pt idx="2">
                  <c:v>3.3471544577979109</c:v>
                </c:pt>
                <c:pt idx="3">
                  <c:v>3.3451166972358219</c:v>
                </c:pt>
                <c:pt idx="4">
                  <c:v>3.9057148132384611</c:v>
                </c:pt>
                <c:pt idx="5">
                  <c:v>5.2957882253863939</c:v>
                </c:pt>
              </c:numCache>
            </c:numRef>
          </c:val>
          <c:smooth val="0"/>
          <c:extLst>
            <c:ext xmlns:c16="http://schemas.microsoft.com/office/drawing/2014/chart" uri="{C3380CC4-5D6E-409C-BE32-E72D297353CC}">
              <c16:uniqueId val="{00000001-8D13-4A33-B71F-8CEA27669388}"/>
            </c:ext>
          </c:extLst>
        </c:ser>
        <c:ser>
          <c:idx val="4"/>
          <c:order val="2"/>
          <c:tx>
            <c:strRef>
              <c:f>股东权益回报率分析表!$A$55</c:f>
              <c:strCache>
                <c:ptCount val="1"/>
                <c:pt idx="0">
                  <c:v>金融资产周转率</c:v>
                </c:pt>
              </c:strCache>
            </c:strRef>
          </c:tx>
          <c:val>
            <c:numRef>
              <c:f>股东权益回报率分析表!$B$55:$Y$55</c:f>
              <c:numCache>
                <c:formatCode>#,##0.00_ </c:formatCode>
                <c:ptCount val="6"/>
                <c:pt idx="0">
                  <c:v>6.3584283832062418</c:v>
                </c:pt>
                <c:pt idx="1">
                  <c:v>2.0371812731752401</c:v>
                </c:pt>
                <c:pt idx="2">
                  <c:v>4.2036929383550952</c:v>
                </c:pt>
                <c:pt idx="3">
                  <c:v>4.2666573183463017</c:v>
                </c:pt>
                <c:pt idx="4">
                  <c:v>2.7075753365373303</c:v>
                </c:pt>
                <c:pt idx="5">
                  <c:v>2.8502393072949181</c:v>
                </c:pt>
              </c:numCache>
            </c:numRef>
          </c:val>
          <c:smooth val="0"/>
          <c:extLst>
            <c:ext xmlns:c16="http://schemas.microsoft.com/office/drawing/2014/chart" uri="{C3380CC4-5D6E-409C-BE32-E72D297353CC}">
              <c16:uniqueId val="{00000002-8D13-4A33-B71F-8CEA27669388}"/>
            </c:ext>
          </c:extLst>
        </c:ser>
        <c:ser>
          <c:idx val="6"/>
          <c:order val="3"/>
          <c:tx>
            <c:strRef>
              <c:f>股东权益回报率分析表!$A$57</c:f>
              <c:strCache>
                <c:ptCount val="1"/>
                <c:pt idx="0">
                  <c:v>长期股权投资周转率</c:v>
                </c:pt>
              </c:strCache>
            </c:strRef>
          </c:tx>
          <c:val>
            <c:numRef>
              <c:f>股东权益回报率分析表!$B$57:$Y$57</c:f>
              <c:numCache>
                <c:formatCode>#,##0.00_ </c:formatCode>
                <c:ptCount val="6"/>
                <c:pt idx="0">
                  <c:v>1738.3519906046042</c:v>
                </c:pt>
                <c:pt idx="1">
                  <c:v>71.303439431196949</c:v>
                </c:pt>
                <c:pt idx="2">
                  <c:v>60.266640719515728</c:v>
                </c:pt>
                <c:pt idx="3">
                  <c:v>0</c:v>
                </c:pt>
                <c:pt idx="4">
                  <c:v>0</c:v>
                </c:pt>
                <c:pt idx="5">
                  <c:v>0</c:v>
                </c:pt>
              </c:numCache>
            </c:numRef>
          </c:val>
          <c:smooth val="0"/>
          <c:extLst>
            <c:ext xmlns:c16="http://schemas.microsoft.com/office/drawing/2014/chart" uri="{C3380CC4-5D6E-409C-BE32-E72D297353CC}">
              <c16:uniqueId val="{00000003-8D13-4A33-B71F-8CEA27669388}"/>
            </c:ext>
          </c:extLst>
        </c:ser>
        <c:dLbls>
          <c:showLegendKey val="0"/>
          <c:showVal val="0"/>
          <c:showCatName val="0"/>
          <c:showSerName val="0"/>
          <c:showPercent val="0"/>
          <c:showBubbleSize val="0"/>
        </c:dLbls>
        <c:marker val="1"/>
        <c:smooth val="0"/>
        <c:axId val="229642752"/>
        <c:axId val="230289920"/>
      </c:lineChart>
      <c:catAx>
        <c:axId val="229642752"/>
        <c:scaling>
          <c:orientation val="minMax"/>
        </c:scaling>
        <c:delete val="0"/>
        <c:axPos val="b"/>
        <c:majorTickMark val="out"/>
        <c:minorTickMark val="none"/>
        <c:tickLblPos val="nextTo"/>
        <c:crossAx val="230289920"/>
        <c:crosses val="autoZero"/>
        <c:auto val="1"/>
        <c:lblAlgn val="ctr"/>
        <c:lblOffset val="100"/>
        <c:noMultiLvlLbl val="0"/>
      </c:catAx>
      <c:valAx>
        <c:axId val="230289920"/>
        <c:scaling>
          <c:orientation val="minMax"/>
        </c:scaling>
        <c:delete val="0"/>
        <c:axPos val="l"/>
        <c:majorGridlines/>
        <c:numFmt formatCode="#,##0.00_ " sourceLinked="1"/>
        <c:majorTickMark val="out"/>
        <c:minorTickMark val="none"/>
        <c:tickLblPos val="nextTo"/>
        <c:crossAx val="2296427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股东权益回报率分析表!$A$83</c:f>
              <c:strCache>
                <c:ptCount val="1"/>
                <c:pt idx="0">
                  <c:v>长期经营资产周转率</c:v>
                </c:pt>
              </c:strCache>
            </c:strRef>
          </c:tx>
          <c:val>
            <c:numRef>
              <c:f>股东权益回报率分析表!$B$83:$Y$83</c:f>
              <c:numCache>
                <c:formatCode>#,##0.00_ </c:formatCode>
                <c:ptCount val="6"/>
                <c:pt idx="0">
                  <c:v>5.198194657521527</c:v>
                </c:pt>
                <c:pt idx="1">
                  <c:v>4.4231971795653129</c:v>
                </c:pt>
                <c:pt idx="2">
                  <c:v>4.0266248106208806</c:v>
                </c:pt>
                <c:pt idx="3">
                  <c:v>4.1981222323944127</c:v>
                </c:pt>
                <c:pt idx="4">
                  <c:v>3.9057148132384603</c:v>
                </c:pt>
                <c:pt idx="5">
                  <c:v>0.50512785240247826</c:v>
                </c:pt>
              </c:numCache>
            </c:numRef>
          </c:val>
          <c:smooth val="0"/>
          <c:extLst>
            <c:ext xmlns:c16="http://schemas.microsoft.com/office/drawing/2014/chart" uri="{C3380CC4-5D6E-409C-BE32-E72D297353CC}">
              <c16:uniqueId val="{00000000-0099-4DAD-A4F5-0113A8B0EAAB}"/>
            </c:ext>
          </c:extLst>
        </c:ser>
        <c:ser>
          <c:idx val="2"/>
          <c:order val="1"/>
          <c:tx>
            <c:strRef>
              <c:f>股东权益回报率分析表!$A$85</c:f>
              <c:strCache>
                <c:ptCount val="1"/>
                <c:pt idx="0">
                  <c:v>固定资产周转率</c:v>
                </c:pt>
              </c:strCache>
            </c:strRef>
          </c:tx>
          <c:val>
            <c:numRef>
              <c:f>股东权益回报率分析表!$B$85:$Y$85</c:f>
              <c:numCache>
                <c:formatCode>#,##0.00_ </c:formatCode>
                <c:ptCount val="6"/>
                <c:pt idx="0">
                  <c:v>12.233001069839267</c:v>
                </c:pt>
                <c:pt idx="1">
                  <c:v>8.1498008415876981</c:v>
                </c:pt>
                <c:pt idx="2">
                  <c:v>7.4165003762518662</c:v>
                </c:pt>
                <c:pt idx="3">
                  <c:v>6.946860946819605</c:v>
                </c:pt>
                <c:pt idx="4">
                  <c:v>6.1878711359330518</c:v>
                </c:pt>
                <c:pt idx="5">
                  <c:v>8.1384451783392429</c:v>
                </c:pt>
              </c:numCache>
            </c:numRef>
          </c:val>
          <c:smooth val="0"/>
          <c:extLst>
            <c:ext xmlns:c16="http://schemas.microsoft.com/office/drawing/2014/chart" uri="{C3380CC4-5D6E-409C-BE32-E72D297353CC}">
              <c16:uniqueId val="{00000001-0099-4DAD-A4F5-0113A8B0EAAB}"/>
            </c:ext>
          </c:extLst>
        </c:ser>
        <c:ser>
          <c:idx val="4"/>
          <c:order val="2"/>
          <c:tx>
            <c:strRef>
              <c:f>股东权益回报率分析表!$A$87</c:f>
              <c:strCache>
                <c:ptCount val="1"/>
                <c:pt idx="0">
                  <c:v>在建工程周转率</c:v>
                </c:pt>
              </c:strCache>
            </c:strRef>
          </c:tx>
          <c:val>
            <c:numRef>
              <c:f>股东权益回报率分析表!$B$87:$Y$87</c:f>
              <c:numCache>
                <c:formatCode>#,##0.00_ </c:formatCode>
                <c:ptCount val="6"/>
                <c:pt idx="0">
                  <c:v>518.57265479916748</c:v>
                </c:pt>
                <c:pt idx="1">
                  <c:v>399.78414079145523</c:v>
                </c:pt>
                <c:pt idx="2">
                  <c:v>251.25752164958979</c:v>
                </c:pt>
                <c:pt idx="3">
                  <c:v>288.28678402411981</c:v>
                </c:pt>
                <c:pt idx="4">
                  <c:v>1231.3216665365853</c:v>
                </c:pt>
                <c:pt idx="5">
                  <c:v>93.624073637753682</c:v>
                </c:pt>
              </c:numCache>
            </c:numRef>
          </c:val>
          <c:smooth val="0"/>
          <c:extLst>
            <c:ext xmlns:c16="http://schemas.microsoft.com/office/drawing/2014/chart" uri="{C3380CC4-5D6E-409C-BE32-E72D297353CC}">
              <c16:uniqueId val="{00000002-0099-4DAD-A4F5-0113A8B0EAAB}"/>
            </c:ext>
          </c:extLst>
        </c:ser>
        <c:ser>
          <c:idx val="10"/>
          <c:order val="3"/>
          <c:tx>
            <c:strRef>
              <c:f>股东权益回报率分析表!$A$93</c:f>
              <c:strCache>
                <c:ptCount val="1"/>
                <c:pt idx="0">
                  <c:v>无形资产周转率（土地使用权）</c:v>
                </c:pt>
              </c:strCache>
            </c:strRef>
          </c:tx>
          <c:val>
            <c:numRef>
              <c:f>股东权益回报率分析表!$B$93:$Y$93</c:f>
              <c:numCache>
                <c:formatCode>#,##0.00_ </c:formatCode>
                <c:ptCount val="6"/>
                <c:pt idx="0">
                  <c:v>15.208464980449202</c:v>
                </c:pt>
                <c:pt idx="1">
                  <c:v>26.675105483631366</c:v>
                </c:pt>
                <c:pt idx="2">
                  <c:v>25.292357312553584</c:v>
                </c:pt>
                <c:pt idx="3">
                  <c:v>26.513885334276324</c:v>
                </c:pt>
                <c:pt idx="4">
                  <c:v>23.561752425911877</c:v>
                </c:pt>
                <c:pt idx="5">
                  <c:v>34.707593777569912</c:v>
                </c:pt>
              </c:numCache>
            </c:numRef>
          </c:val>
          <c:smooth val="0"/>
          <c:extLst>
            <c:ext xmlns:c16="http://schemas.microsoft.com/office/drawing/2014/chart" uri="{C3380CC4-5D6E-409C-BE32-E72D297353CC}">
              <c16:uniqueId val="{00000003-0099-4DAD-A4F5-0113A8B0EAAB}"/>
            </c:ext>
          </c:extLst>
        </c:ser>
        <c:dLbls>
          <c:showLegendKey val="0"/>
          <c:showVal val="0"/>
          <c:showCatName val="0"/>
          <c:showSerName val="0"/>
          <c:showPercent val="0"/>
          <c:showBubbleSize val="0"/>
        </c:dLbls>
        <c:marker val="1"/>
        <c:smooth val="0"/>
        <c:axId val="229643776"/>
        <c:axId val="230292224"/>
      </c:lineChart>
      <c:catAx>
        <c:axId val="229643776"/>
        <c:scaling>
          <c:orientation val="minMax"/>
        </c:scaling>
        <c:delete val="0"/>
        <c:axPos val="b"/>
        <c:majorTickMark val="out"/>
        <c:minorTickMark val="none"/>
        <c:tickLblPos val="nextTo"/>
        <c:crossAx val="230292224"/>
        <c:crosses val="autoZero"/>
        <c:auto val="1"/>
        <c:lblAlgn val="ctr"/>
        <c:lblOffset val="100"/>
        <c:noMultiLvlLbl val="0"/>
      </c:catAx>
      <c:valAx>
        <c:axId val="230292224"/>
        <c:scaling>
          <c:orientation val="minMax"/>
        </c:scaling>
        <c:delete val="0"/>
        <c:axPos val="l"/>
        <c:majorGridlines/>
        <c:numFmt formatCode="#,##0.00_ " sourceLinked="1"/>
        <c:majorTickMark val="out"/>
        <c:minorTickMark val="none"/>
        <c:tickLblPos val="nextTo"/>
        <c:crossAx val="229643776"/>
        <c:crosses val="autoZero"/>
        <c:crossBetween val="between"/>
      </c:valAx>
    </c:plotArea>
    <c:legend>
      <c:legendPos val="r"/>
      <c:layout>
        <c:manualLayout>
          <c:xMode val="edge"/>
          <c:yMode val="edge"/>
          <c:x val="0.64983155699556117"/>
          <c:y val="0.20568305568006853"/>
          <c:w val="0.30073106715319126"/>
          <c:h val="0.60225579776341187"/>
        </c:manualLayout>
      </c:layout>
      <c:overlay val="0"/>
    </c:legend>
    <c:plotVisOnly val="1"/>
    <c:dispBlanksAs val="zero"/>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股东权益回报率分析表!$A$65</c:f>
              <c:strCache>
                <c:ptCount val="1"/>
                <c:pt idx="0">
                  <c:v>(1)应收平均周转率=营业收入/平均应收额</c:v>
                </c:pt>
              </c:strCache>
            </c:strRef>
          </c:tx>
          <c:val>
            <c:numRef>
              <c:f>股东权益回报率分析表!$B$65:$Y$65</c:f>
              <c:numCache>
                <c:formatCode>#,##0.00_ </c:formatCode>
                <c:ptCount val="6"/>
                <c:pt idx="0">
                  <c:v>16.06647754890686</c:v>
                </c:pt>
                <c:pt idx="1">
                  <c:v>16.883397336434367</c:v>
                </c:pt>
                <c:pt idx="2">
                  <c:v>22.44259324672052</c:v>
                </c:pt>
                <c:pt idx="3">
                  <c:v>42.165533851154535</c:v>
                </c:pt>
                <c:pt idx="4">
                  <c:v>30.853660973148301</c:v>
                </c:pt>
                <c:pt idx="5">
                  <c:v>31.217516429768818</c:v>
                </c:pt>
              </c:numCache>
            </c:numRef>
          </c:val>
          <c:smooth val="0"/>
          <c:extLst>
            <c:ext xmlns:c16="http://schemas.microsoft.com/office/drawing/2014/chart" uri="{C3380CC4-5D6E-409C-BE32-E72D297353CC}">
              <c16:uniqueId val="{00000000-4A07-4E81-9AE6-5A4A8E2A4B5B}"/>
            </c:ext>
          </c:extLst>
        </c:ser>
        <c:ser>
          <c:idx val="4"/>
          <c:order val="1"/>
          <c:tx>
            <c:strRef>
              <c:f>股东权益回报率分析表!$A$69</c:f>
              <c:strCache>
                <c:ptCount val="1"/>
                <c:pt idx="0">
                  <c:v>(3)存货平均周转率=营业成本/平均存货额</c:v>
                </c:pt>
              </c:strCache>
            </c:strRef>
          </c:tx>
          <c:val>
            <c:numRef>
              <c:f>股东权益回报率分析表!$B$69:$Y$69</c:f>
              <c:numCache>
                <c:formatCode>#,##0.00_ </c:formatCode>
                <c:ptCount val="6"/>
                <c:pt idx="0">
                  <c:v>3.1643178485948229</c:v>
                </c:pt>
                <c:pt idx="1">
                  <c:v>2.4639247096308416</c:v>
                </c:pt>
                <c:pt idx="2">
                  <c:v>2.3017503116306424</c:v>
                </c:pt>
                <c:pt idx="3">
                  <c:v>2.3097973568643635</c:v>
                </c:pt>
                <c:pt idx="4">
                  <c:v>2.1704148471408047</c:v>
                </c:pt>
                <c:pt idx="5">
                  <c:v>2.7747349762202895</c:v>
                </c:pt>
              </c:numCache>
            </c:numRef>
          </c:val>
          <c:smooth val="0"/>
          <c:extLst>
            <c:ext xmlns:c16="http://schemas.microsoft.com/office/drawing/2014/chart" uri="{C3380CC4-5D6E-409C-BE32-E72D297353CC}">
              <c16:uniqueId val="{00000001-4A07-4E81-9AE6-5A4A8E2A4B5B}"/>
            </c:ext>
          </c:extLst>
        </c:ser>
        <c:ser>
          <c:idx val="7"/>
          <c:order val="2"/>
          <c:tx>
            <c:strRef>
              <c:f>股东权益回报率分析表!$A$72</c:f>
              <c:strCache>
                <c:ptCount val="1"/>
                <c:pt idx="0">
                  <c:v>(5)应付平均周转率=营业成本/平均应付成本</c:v>
                </c:pt>
              </c:strCache>
            </c:strRef>
          </c:tx>
          <c:val>
            <c:numRef>
              <c:f>股东权益回报率分析表!$B$72:$Y$72</c:f>
              <c:numCache>
                <c:formatCode>#,##0.00_ </c:formatCode>
                <c:ptCount val="6"/>
                <c:pt idx="0">
                  <c:v>7.4370585241088767</c:v>
                </c:pt>
                <c:pt idx="1">
                  <c:v>6.4985762889768219</c:v>
                </c:pt>
                <c:pt idx="2">
                  <c:v>6.4784196105060179</c:v>
                </c:pt>
                <c:pt idx="3">
                  <c:v>5.6507472277328388</c:v>
                </c:pt>
                <c:pt idx="4">
                  <c:v>5.4896759463806788</c:v>
                </c:pt>
                <c:pt idx="5">
                  <c:v>6.0962800461564184</c:v>
                </c:pt>
              </c:numCache>
            </c:numRef>
          </c:val>
          <c:smooth val="0"/>
          <c:extLst>
            <c:ext xmlns:c16="http://schemas.microsoft.com/office/drawing/2014/chart" uri="{C3380CC4-5D6E-409C-BE32-E72D297353CC}">
              <c16:uniqueId val="{00000002-4A07-4E81-9AE6-5A4A8E2A4B5B}"/>
            </c:ext>
          </c:extLst>
        </c:ser>
        <c:dLbls>
          <c:showLegendKey val="0"/>
          <c:showVal val="0"/>
          <c:showCatName val="0"/>
          <c:showSerName val="0"/>
          <c:showPercent val="0"/>
          <c:showBubbleSize val="0"/>
        </c:dLbls>
        <c:marker val="1"/>
        <c:smooth val="0"/>
        <c:axId val="229645824"/>
        <c:axId val="233771520"/>
      </c:lineChart>
      <c:catAx>
        <c:axId val="229645824"/>
        <c:scaling>
          <c:orientation val="minMax"/>
        </c:scaling>
        <c:delete val="0"/>
        <c:axPos val="b"/>
        <c:majorTickMark val="out"/>
        <c:minorTickMark val="none"/>
        <c:tickLblPos val="nextTo"/>
        <c:crossAx val="233771520"/>
        <c:crosses val="autoZero"/>
        <c:auto val="1"/>
        <c:lblAlgn val="ctr"/>
        <c:lblOffset val="100"/>
        <c:noMultiLvlLbl val="0"/>
      </c:catAx>
      <c:valAx>
        <c:axId val="233771520"/>
        <c:scaling>
          <c:orientation val="minMax"/>
        </c:scaling>
        <c:delete val="0"/>
        <c:axPos val="l"/>
        <c:majorGridlines/>
        <c:numFmt formatCode="#,##0.00_ " sourceLinked="1"/>
        <c:majorTickMark val="out"/>
        <c:minorTickMark val="none"/>
        <c:tickLblPos val="nextTo"/>
        <c:crossAx val="22964582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6775699912510936"/>
          <c:y val="2.3148148148148147E-2"/>
        </c:manualLayout>
      </c:layout>
      <c:overlay val="0"/>
    </c:title>
    <c:autoTitleDeleted val="0"/>
    <c:plotArea>
      <c:layout/>
      <c:lineChart>
        <c:grouping val="stacked"/>
        <c:varyColors val="0"/>
        <c:ser>
          <c:idx val="0"/>
          <c:order val="0"/>
          <c:tx>
            <c:strRef>
              <c:f>股东权益回报率分析表!$A$24</c:f>
              <c:strCache>
                <c:ptCount val="1"/>
                <c:pt idx="0">
                  <c:v>(6)息税前经营资产回报率=3*5</c:v>
                </c:pt>
              </c:strCache>
            </c:strRef>
          </c:tx>
          <c:val>
            <c:numRef>
              <c:f>股东权益回报率分析表!$B$24:$Y$24</c:f>
              <c:numCache>
                <c:formatCode>0.00%</c:formatCode>
                <c:ptCount val="6"/>
                <c:pt idx="0">
                  <c:v>0.1952072561511001</c:v>
                </c:pt>
                <c:pt idx="1">
                  <c:v>0.21273193432975832</c:v>
                </c:pt>
                <c:pt idx="2">
                  <c:v>0.21772179605103392</c:v>
                </c:pt>
                <c:pt idx="3">
                  <c:v>0.22324168208455378</c:v>
                </c:pt>
                <c:pt idx="4">
                  <c:v>0.30404663679595167</c:v>
                </c:pt>
                <c:pt idx="5">
                  <c:v>0.45011319015685858</c:v>
                </c:pt>
              </c:numCache>
            </c:numRef>
          </c:val>
          <c:smooth val="0"/>
          <c:extLst>
            <c:ext xmlns:c16="http://schemas.microsoft.com/office/drawing/2014/chart" uri="{C3380CC4-5D6E-409C-BE32-E72D297353CC}">
              <c16:uniqueId val="{00000000-16CA-4673-A52E-8D6FAC68D0E3}"/>
            </c:ext>
          </c:extLst>
        </c:ser>
        <c:dLbls>
          <c:showLegendKey val="0"/>
          <c:showVal val="0"/>
          <c:showCatName val="0"/>
          <c:showSerName val="0"/>
          <c:showPercent val="0"/>
          <c:showBubbleSize val="0"/>
        </c:dLbls>
        <c:marker val="1"/>
        <c:smooth val="0"/>
        <c:axId val="233915904"/>
        <c:axId val="233773824"/>
      </c:lineChart>
      <c:catAx>
        <c:axId val="233915904"/>
        <c:scaling>
          <c:orientation val="minMax"/>
        </c:scaling>
        <c:delete val="0"/>
        <c:axPos val="b"/>
        <c:majorTickMark val="out"/>
        <c:minorTickMark val="none"/>
        <c:tickLblPos val="nextTo"/>
        <c:crossAx val="233773824"/>
        <c:crosses val="autoZero"/>
        <c:auto val="1"/>
        <c:lblAlgn val="ctr"/>
        <c:lblOffset val="100"/>
        <c:noMultiLvlLbl val="0"/>
      </c:catAx>
      <c:valAx>
        <c:axId val="233773824"/>
        <c:scaling>
          <c:orientation val="minMax"/>
        </c:scaling>
        <c:delete val="0"/>
        <c:axPos val="l"/>
        <c:majorGridlines/>
        <c:numFmt formatCode="0.00%" sourceLinked="1"/>
        <c:majorTickMark val="out"/>
        <c:minorTickMark val="none"/>
        <c:tickLblPos val="nextTo"/>
        <c:crossAx val="2339159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股东权益回报率分析表!$A$21</c:f>
              <c:strCache>
                <c:ptCount val="1"/>
                <c:pt idx="0">
                  <c:v>(3)息税前经营利润率=2/1</c:v>
                </c:pt>
              </c:strCache>
            </c:strRef>
          </c:tx>
          <c:val>
            <c:numRef>
              <c:f>股东权益回报率分析表!$B$21:$Y$21</c:f>
              <c:numCache>
                <c:formatCode>0.00%</c:formatCode>
                <c:ptCount val="6"/>
                <c:pt idx="0">
                  <c:v>0.11222545793574309</c:v>
                </c:pt>
                <c:pt idx="1">
                  <c:v>0.12063677453589787</c:v>
                </c:pt>
                <c:pt idx="2">
                  <c:v>0.15145170978586944</c:v>
                </c:pt>
                <c:pt idx="3">
                  <c:v>0.14921399533000709</c:v>
                </c:pt>
                <c:pt idx="4">
                  <c:v>0.14466669824518766</c:v>
                </c:pt>
                <c:pt idx="5">
                  <c:v>0.154639494950159</c:v>
                </c:pt>
              </c:numCache>
            </c:numRef>
          </c:val>
          <c:smooth val="0"/>
          <c:extLst>
            <c:ext xmlns:c16="http://schemas.microsoft.com/office/drawing/2014/chart" uri="{C3380CC4-5D6E-409C-BE32-E72D297353CC}">
              <c16:uniqueId val="{00000000-2EE4-4ABF-AB4C-487436BAFE64}"/>
            </c:ext>
          </c:extLst>
        </c:ser>
        <c:dLbls>
          <c:showLegendKey val="0"/>
          <c:showVal val="0"/>
          <c:showCatName val="0"/>
          <c:showSerName val="0"/>
          <c:showPercent val="0"/>
          <c:showBubbleSize val="0"/>
        </c:dLbls>
        <c:marker val="1"/>
        <c:smooth val="0"/>
        <c:axId val="233917440"/>
        <c:axId val="233996864"/>
      </c:lineChart>
      <c:catAx>
        <c:axId val="233917440"/>
        <c:scaling>
          <c:orientation val="minMax"/>
        </c:scaling>
        <c:delete val="0"/>
        <c:axPos val="b"/>
        <c:majorTickMark val="out"/>
        <c:minorTickMark val="none"/>
        <c:tickLblPos val="nextTo"/>
        <c:crossAx val="233996864"/>
        <c:crosses val="autoZero"/>
        <c:auto val="1"/>
        <c:lblAlgn val="ctr"/>
        <c:lblOffset val="100"/>
        <c:noMultiLvlLbl val="0"/>
      </c:catAx>
      <c:valAx>
        <c:axId val="233996864"/>
        <c:scaling>
          <c:orientation val="minMax"/>
        </c:scaling>
        <c:delete val="0"/>
        <c:axPos val="l"/>
        <c:majorGridlines/>
        <c:numFmt formatCode="0.00%" sourceLinked="1"/>
        <c:majorTickMark val="out"/>
        <c:minorTickMark val="none"/>
        <c:tickLblPos val="nextTo"/>
        <c:crossAx val="2339174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c:f>
              <c:strCache>
                <c:ptCount val="1"/>
                <c:pt idx="0">
                  <c:v>净利润</c:v>
                </c:pt>
              </c:strCache>
            </c:strRef>
          </c:tx>
          <c:invertIfNegative val="0"/>
          <c:val>
            <c:numRef>
              <c:f>股东权益回报率分析表!$B$2:$Y$2</c:f>
              <c:numCache>
                <c:formatCode>#,##0.00_ </c:formatCode>
                <c:ptCount val="6"/>
                <c:pt idx="0">
                  <c:v>409116925.75999999</c:v>
                </c:pt>
                <c:pt idx="1">
                  <c:v>347033272.61999971</c:v>
                </c:pt>
                <c:pt idx="2">
                  <c:v>424447290.04999995</c:v>
                </c:pt>
                <c:pt idx="3">
                  <c:v>396850889.44000012</c:v>
                </c:pt>
                <c:pt idx="4">
                  <c:v>330567230.81</c:v>
                </c:pt>
                <c:pt idx="5">
                  <c:v>381078698.31000006</c:v>
                </c:pt>
              </c:numCache>
            </c:numRef>
          </c:val>
          <c:extLst>
            <c:ext xmlns:c16="http://schemas.microsoft.com/office/drawing/2014/chart" uri="{C3380CC4-5D6E-409C-BE32-E72D297353CC}">
              <c16:uniqueId val="{00000000-5B87-4ECE-9A45-66AEF86BEF5F}"/>
            </c:ext>
          </c:extLst>
        </c:ser>
        <c:ser>
          <c:idx val="1"/>
          <c:order val="1"/>
          <c:tx>
            <c:strRef>
              <c:f>股东权益回报率分析表!$A$3</c:f>
              <c:strCache>
                <c:ptCount val="1"/>
                <c:pt idx="0">
                  <c:v>股东权益</c:v>
                </c:pt>
              </c:strCache>
            </c:strRef>
          </c:tx>
          <c:invertIfNegative val="0"/>
          <c:val>
            <c:numRef>
              <c:f>股东权益回报率分析表!$B$3:$Y$3</c:f>
              <c:numCache>
                <c:formatCode>#,##0.00_ </c:formatCode>
                <c:ptCount val="6"/>
                <c:pt idx="0">
                  <c:v>3152725257.1299996</c:v>
                </c:pt>
                <c:pt idx="1">
                  <c:v>2880258171.6600003</c:v>
                </c:pt>
                <c:pt idx="2">
                  <c:v>2655459613.3900003</c:v>
                </c:pt>
                <c:pt idx="3">
                  <c:v>2487328254.04</c:v>
                </c:pt>
                <c:pt idx="4">
                  <c:v>2125429369.46</c:v>
                </c:pt>
                <c:pt idx="5">
                  <c:v>1892220602.73</c:v>
                </c:pt>
              </c:numCache>
            </c:numRef>
          </c:val>
          <c:extLst>
            <c:ext xmlns:c16="http://schemas.microsoft.com/office/drawing/2014/chart" uri="{C3380CC4-5D6E-409C-BE32-E72D297353CC}">
              <c16:uniqueId val="{00000001-5B87-4ECE-9A45-66AEF86BEF5F}"/>
            </c:ext>
          </c:extLst>
        </c:ser>
        <c:dLbls>
          <c:showLegendKey val="0"/>
          <c:showVal val="0"/>
          <c:showCatName val="0"/>
          <c:showSerName val="0"/>
          <c:showPercent val="0"/>
          <c:showBubbleSize val="0"/>
        </c:dLbls>
        <c:gapWidth val="150"/>
        <c:axId val="233917952"/>
        <c:axId val="233998592"/>
      </c:barChart>
      <c:catAx>
        <c:axId val="233917952"/>
        <c:scaling>
          <c:orientation val="minMax"/>
        </c:scaling>
        <c:delete val="0"/>
        <c:axPos val="b"/>
        <c:majorTickMark val="out"/>
        <c:minorTickMark val="none"/>
        <c:tickLblPos val="nextTo"/>
        <c:crossAx val="233998592"/>
        <c:crosses val="autoZero"/>
        <c:auto val="1"/>
        <c:lblAlgn val="ctr"/>
        <c:lblOffset val="100"/>
        <c:noMultiLvlLbl val="0"/>
      </c:catAx>
      <c:valAx>
        <c:axId val="233998592"/>
        <c:scaling>
          <c:orientation val="minMax"/>
        </c:scaling>
        <c:delete val="0"/>
        <c:axPos val="l"/>
        <c:majorGridlines/>
        <c:numFmt formatCode="#,##0.00_ " sourceLinked="1"/>
        <c:majorTickMark val="out"/>
        <c:minorTickMark val="none"/>
        <c:tickLblPos val="nextTo"/>
        <c:crossAx val="23391795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股东权益回报率分析表!$A$19</c:f>
              <c:strCache>
                <c:ptCount val="1"/>
                <c:pt idx="0">
                  <c:v>(1)营业收入</c:v>
                </c:pt>
              </c:strCache>
            </c:strRef>
          </c:tx>
          <c:invertIfNegative val="0"/>
          <c:val>
            <c:numRef>
              <c:f>股东权益回报率分析表!$B$19:$Y$19</c:f>
              <c:numCache>
                <c:formatCode>#,##0.00_ </c:formatCode>
                <c:ptCount val="6"/>
                <c:pt idx="0">
                  <c:v>4661850865.5100002</c:v>
                </c:pt>
                <c:pt idx="1">
                  <c:v>3152216442.1500001</c:v>
                </c:pt>
                <c:pt idx="2">
                  <c:v>2915633891.98</c:v>
                </c:pt>
                <c:pt idx="3">
                  <c:v>2761400573.5100002</c:v>
                </c:pt>
                <c:pt idx="4">
                  <c:v>2524209416.4000001</c:v>
                </c:pt>
                <c:pt idx="5">
                  <c:v>2724953861.21</c:v>
                </c:pt>
              </c:numCache>
            </c:numRef>
          </c:val>
          <c:extLst>
            <c:ext xmlns:c16="http://schemas.microsoft.com/office/drawing/2014/chart" uri="{C3380CC4-5D6E-409C-BE32-E72D297353CC}">
              <c16:uniqueId val="{00000000-3C24-4402-B9BD-B6F8A313C4C2}"/>
            </c:ext>
          </c:extLst>
        </c:ser>
        <c:ser>
          <c:idx val="1"/>
          <c:order val="1"/>
          <c:tx>
            <c:strRef>
              <c:f>股东权益回报率分析表!$A$20</c:f>
              <c:strCache>
                <c:ptCount val="1"/>
                <c:pt idx="0">
                  <c:v>(2)息税前经营利润</c:v>
                </c:pt>
              </c:strCache>
            </c:strRef>
          </c:tx>
          <c:invertIfNegative val="0"/>
          <c:val>
            <c:numRef>
              <c:f>股东权益回报率分析表!$B$20:$Y$20</c:f>
              <c:numCache>
                <c:formatCode>#,##0.00_ </c:formatCode>
                <c:ptCount val="6"/>
                <c:pt idx="0">
                  <c:v>523178348.21000004</c:v>
                </c:pt>
                <c:pt idx="1">
                  <c:v>380273224.21999973</c:v>
                </c:pt>
                <c:pt idx="2">
                  <c:v>441577738.04999995</c:v>
                </c:pt>
                <c:pt idx="3">
                  <c:v>412039612.28000009</c:v>
                </c:pt>
                <c:pt idx="4">
                  <c:v>365169041.95000005</c:v>
                </c:pt>
                <c:pt idx="5">
                  <c:v>421385488.86000007</c:v>
                </c:pt>
              </c:numCache>
            </c:numRef>
          </c:val>
          <c:extLst>
            <c:ext xmlns:c16="http://schemas.microsoft.com/office/drawing/2014/chart" uri="{C3380CC4-5D6E-409C-BE32-E72D297353CC}">
              <c16:uniqueId val="{00000001-3C24-4402-B9BD-B6F8A313C4C2}"/>
            </c:ext>
          </c:extLst>
        </c:ser>
        <c:dLbls>
          <c:showLegendKey val="0"/>
          <c:showVal val="0"/>
          <c:showCatName val="0"/>
          <c:showSerName val="0"/>
          <c:showPercent val="0"/>
          <c:showBubbleSize val="0"/>
        </c:dLbls>
        <c:gapWidth val="150"/>
        <c:axId val="234115072"/>
        <c:axId val="234000320"/>
      </c:barChart>
      <c:catAx>
        <c:axId val="234115072"/>
        <c:scaling>
          <c:orientation val="minMax"/>
        </c:scaling>
        <c:delete val="0"/>
        <c:axPos val="b"/>
        <c:majorTickMark val="out"/>
        <c:minorTickMark val="none"/>
        <c:tickLblPos val="nextTo"/>
        <c:crossAx val="234000320"/>
        <c:crosses val="autoZero"/>
        <c:auto val="1"/>
        <c:lblAlgn val="ctr"/>
        <c:lblOffset val="100"/>
        <c:noMultiLvlLbl val="0"/>
      </c:catAx>
      <c:valAx>
        <c:axId val="234000320"/>
        <c:scaling>
          <c:orientation val="minMax"/>
        </c:scaling>
        <c:delete val="0"/>
        <c:axPos val="l"/>
        <c:majorGridlines/>
        <c:numFmt formatCode="#,##0.00_ " sourceLinked="1"/>
        <c:majorTickMark val="out"/>
        <c:minorTickMark val="none"/>
        <c:tickLblPos val="nextTo"/>
        <c:crossAx val="234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股东权益回报率分析表!$A$26</c:f>
              <c:strCache>
                <c:ptCount val="1"/>
                <c:pt idx="0">
                  <c:v>长期股权投资收益</c:v>
                </c:pt>
              </c:strCache>
            </c:strRef>
          </c:tx>
          <c:invertIfNegative val="0"/>
          <c:val>
            <c:numRef>
              <c:f>股东权益回报率分析表!$B$26:$Y$26</c:f>
              <c:numCache>
                <c:formatCode>#,##0.00_ </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C423-41B7-9567-510B805D7BC6}"/>
            </c:ext>
          </c:extLst>
        </c:ser>
        <c:ser>
          <c:idx val="1"/>
          <c:order val="1"/>
          <c:tx>
            <c:strRef>
              <c:f>股东权益回报率分析表!$A$27</c:f>
              <c:strCache>
                <c:ptCount val="1"/>
                <c:pt idx="0">
                  <c:v>长期股权投资</c:v>
                </c:pt>
              </c:strCache>
            </c:strRef>
          </c:tx>
          <c:invertIfNegative val="0"/>
          <c:val>
            <c:numRef>
              <c:f>股东权益回报率分析表!$B$27:$Y$27</c:f>
              <c:numCache>
                <c:formatCode>#,##0.00_ </c:formatCode>
                <c:ptCount val="6"/>
                <c:pt idx="0">
                  <c:v>2681764.62</c:v>
                </c:pt>
                <c:pt idx="1">
                  <c:v>44208476.719999999</c:v>
                </c:pt>
                <c:pt idx="2">
                  <c:v>48378901.780000001</c:v>
                </c:pt>
                <c:pt idx="3">
                  <c:v>0</c:v>
                </c:pt>
                <c:pt idx="4">
                  <c:v>0</c:v>
                </c:pt>
                <c:pt idx="5">
                  <c:v>0</c:v>
                </c:pt>
              </c:numCache>
            </c:numRef>
          </c:val>
          <c:extLst>
            <c:ext xmlns:c16="http://schemas.microsoft.com/office/drawing/2014/chart" uri="{C3380CC4-5D6E-409C-BE32-E72D297353CC}">
              <c16:uniqueId val="{00000001-C423-41B7-9567-510B805D7BC6}"/>
            </c:ext>
          </c:extLst>
        </c:ser>
        <c:dLbls>
          <c:showLegendKey val="0"/>
          <c:showVal val="0"/>
          <c:showCatName val="0"/>
          <c:showSerName val="0"/>
          <c:showPercent val="0"/>
          <c:showBubbleSize val="0"/>
        </c:dLbls>
        <c:gapWidth val="150"/>
        <c:axId val="234115584"/>
        <c:axId val="234002048"/>
      </c:barChart>
      <c:catAx>
        <c:axId val="234115584"/>
        <c:scaling>
          <c:orientation val="minMax"/>
        </c:scaling>
        <c:delete val="0"/>
        <c:axPos val="b"/>
        <c:majorTickMark val="out"/>
        <c:minorTickMark val="none"/>
        <c:tickLblPos val="nextTo"/>
        <c:crossAx val="234002048"/>
        <c:crosses val="autoZero"/>
        <c:auto val="1"/>
        <c:lblAlgn val="ctr"/>
        <c:lblOffset val="100"/>
        <c:noMultiLvlLbl val="0"/>
      </c:catAx>
      <c:valAx>
        <c:axId val="234002048"/>
        <c:scaling>
          <c:orientation val="minMax"/>
        </c:scaling>
        <c:delete val="0"/>
        <c:axPos val="l"/>
        <c:majorGridlines/>
        <c:numFmt formatCode="#,##0.00_ " sourceLinked="1"/>
        <c:majorTickMark val="out"/>
        <c:minorTickMark val="none"/>
        <c:tickLblPos val="nextTo"/>
        <c:crossAx val="234115584"/>
        <c:crosses val="autoZero"/>
        <c:crossBetween val="between"/>
      </c:valAx>
    </c:plotArea>
    <c:legend>
      <c:legendPos val="r"/>
      <c:layout>
        <c:manualLayout>
          <c:xMode val="edge"/>
          <c:yMode val="edge"/>
          <c:x val="0.66056222138899301"/>
          <c:y val="0.17961086067348608"/>
          <c:w val="0.33943777861100694"/>
          <c:h val="0.6202172102318857"/>
        </c:manualLayout>
      </c:layout>
      <c:overlay val="0"/>
    </c:legend>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自由现金流分析表!$A$5</c:f>
              <c:strCache>
                <c:ptCount val="1"/>
                <c:pt idx="0">
                  <c:v>营业收入现金含量= ((1)/(1+(3))/(2)</c:v>
                </c:pt>
              </c:strCache>
            </c:strRef>
          </c:tx>
          <c:val>
            <c:numRef>
              <c:f>自由现金流分析表!$B$5:$Y$5</c:f>
              <c:numCache>
                <c:formatCode>#,##0.00_ </c:formatCode>
                <c:ptCount val="6"/>
                <c:pt idx="0">
                  <c:v>1.045602289338069</c:v>
                </c:pt>
                <c:pt idx="1">
                  <c:v>0.99955722520543211</c:v>
                </c:pt>
                <c:pt idx="2">
                  <c:v>0.96354576644457834</c:v>
                </c:pt>
                <c:pt idx="3">
                  <c:v>1.0257507013147693</c:v>
                </c:pt>
                <c:pt idx="4">
                  <c:v>1.0143804989748262</c:v>
                </c:pt>
                <c:pt idx="5">
                  <c:v>0.98766317339072685</c:v>
                </c:pt>
              </c:numCache>
            </c:numRef>
          </c:val>
          <c:smooth val="0"/>
          <c:extLst>
            <c:ext xmlns:c16="http://schemas.microsoft.com/office/drawing/2014/chart" uri="{C3380CC4-5D6E-409C-BE32-E72D297353CC}">
              <c16:uniqueId val="{00000000-6F20-4359-8763-C43AAF890BCE}"/>
            </c:ext>
          </c:extLst>
        </c:ser>
        <c:ser>
          <c:idx val="8"/>
          <c:order val="1"/>
          <c:tx>
            <c:strRef>
              <c:f>自由现金流分析表!$A$13</c:f>
              <c:strCache>
                <c:ptCount val="1"/>
                <c:pt idx="0">
                  <c:v>成本费用付现率=((4)/(1+(3))+(5))/(10)</c:v>
                </c:pt>
              </c:strCache>
            </c:strRef>
          </c:tx>
          <c:val>
            <c:numRef>
              <c:f>自由现金流分析表!$B$13:$Y$13</c:f>
              <c:numCache>
                <c:formatCode>#,##0.00_ </c:formatCode>
                <c:ptCount val="6"/>
                <c:pt idx="0">
                  <c:v>0.92152830910873085</c:v>
                </c:pt>
                <c:pt idx="1">
                  <c:v>0.76511378169200561</c:v>
                </c:pt>
                <c:pt idx="2">
                  <c:v>0.81368912839992358</c:v>
                </c:pt>
                <c:pt idx="3">
                  <c:v>0.81056244141787448</c:v>
                </c:pt>
                <c:pt idx="4">
                  <c:v>0.83443795240395935</c:v>
                </c:pt>
                <c:pt idx="5">
                  <c:v>0.89158704274303535</c:v>
                </c:pt>
              </c:numCache>
            </c:numRef>
          </c:val>
          <c:smooth val="0"/>
          <c:extLst>
            <c:ext xmlns:c16="http://schemas.microsoft.com/office/drawing/2014/chart" uri="{C3380CC4-5D6E-409C-BE32-E72D297353CC}">
              <c16:uniqueId val="{00000001-6F20-4359-8763-C43AAF890BCE}"/>
            </c:ext>
          </c:extLst>
        </c:ser>
        <c:ser>
          <c:idx val="11"/>
          <c:order val="2"/>
          <c:tx>
            <c:strRef>
              <c:f>自由现金流分析表!$A$16</c:f>
              <c:strCache>
                <c:ptCount val="1"/>
                <c:pt idx="0">
                  <c:v>经营利润现金含量=11/12</c:v>
                </c:pt>
              </c:strCache>
            </c:strRef>
          </c:tx>
          <c:val>
            <c:numRef>
              <c:f>自由现金流分析表!$B$16:$Y$16</c:f>
              <c:numCache>
                <c:formatCode>#,##0.00_ </c:formatCode>
                <c:ptCount val="6"/>
                <c:pt idx="0">
                  <c:v>0.93036426702332808</c:v>
                </c:pt>
                <c:pt idx="1">
                  <c:v>1.6379661578913836</c:v>
                </c:pt>
                <c:pt idx="2">
                  <c:v>0.92935462180891093</c:v>
                </c:pt>
                <c:pt idx="3">
                  <c:v>1.3995570157747532</c:v>
                </c:pt>
                <c:pt idx="4">
                  <c:v>1.3379553798062613</c:v>
                </c:pt>
                <c:pt idx="5">
                  <c:v>0.67979319347627942</c:v>
                </c:pt>
              </c:numCache>
            </c:numRef>
          </c:val>
          <c:smooth val="0"/>
          <c:extLst>
            <c:ext xmlns:c16="http://schemas.microsoft.com/office/drawing/2014/chart" uri="{C3380CC4-5D6E-409C-BE32-E72D297353CC}">
              <c16:uniqueId val="{00000002-6F20-4359-8763-C43AAF890BCE}"/>
            </c:ext>
          </c:extLst>
        </c:ser>
        <c:ser>
          <c:idx val="13"/>
          <c:order val="3"/>
          <c:tx>
            <c:strRef>
              <c:f>自由现金流分析表!$A$18</c:f>
              <c:strCache>
                <c:ptCount val="1"/>
                <c:pt idx="0">
                  <c:v>净利润现金含量=11/13</c:v>
                </c:pt>
              </c:strCache>
            </c:strRef>
          </c:tx>
          <c:val>
            <c:numRef>
              <c:f>自由现金流分析表!$B$18:$Y$18</c:f>
              <c:numCache>
                <c:formatCode>#,##0.00_ </c:formatCode>
                <c:ptCount val="6"/>
                <c:pt idx="0">
                  <c:v>0.97363340802886267</c:v>
                </c:pt>
                <c:pt idx="1">
                  <c:v>1.456189203631066</c:v>
                </c:pt>
                <c:pt idx="2">
                  <c:v>0.79987311819096862</c:v>
                </c:pt>
                <c:pt idx="3">
                  <c:v>1.2801213846764155</c:v>
                </c:pt>
                <c:pt idx="4">
                  <c:v>1.2513936661730538</c:v>
                </c:pt>
                <c:pt idx="5">
                  <c:v>0.64658270447213329</c:v>
                </c:pt>
              </c:numCache>
            </c:numRef>
          </c:val>
          <c:smooth val="0"/>
          <c:extLst>
            <c:ext xmlns:c16="http://schemas.microsoft.com/office/drawing/2014/chart" uri="{C3380CC4-5D6E-409C-BE32-E72D297353CC}">
              <c16:uniqueId val="{00000003-6F20-4359-8763-C43AAF890BCE}"/>
            </c:ext>
          </c:extLst>
        </c:ser>
        <c:dLbls>
          <c:showLegendKey val="0"/>
          <c:showVal val="0"/>
          <c:showCatName val="0"/>
          <c:showSerName val="0"/>
          <c:showPercent val="0"/>
          <c:showBubbleSize val="0"/>
        </c:dLbls>
        <c:marker val="1"/>
        <c:smooth val="0"/>
        <c:axId val="230152192"/>
        <c:axId val="234003200"/>
      </c:lineChart>
      <c:catAx>
        <c:axId val="230152192"/>
        <c:scaling>
          <c:orientation val="minMax"/>
        </c:scaling>
        <c:delete val="0"/>
        <c:axPos val="b"/>
        <c:majorTickMark val="out"/>
        <c:minorTickMark val="none"/>
        <c:tickLblPos val="nextTo"/>
        <c:crossAx val="234003200"/>
        <c:crosses val="autoZero"/>
        <c:auto val="1"/>
        <c:lblAlgn val="ctr"/>
        <c:lblOffset val="100"/>
        <c:noMultiLvlLbl val="0"/>
      </c:catAx>
      <c:valAx>
        <c:axId val="234003200"/>
        <c:scaling>
          <c:orientation val="minMax"/>
        </c:scaling>
        <c:delete val="0"/>
        <c:axPos val="l"/>
        <c:majorGridlines/>
        <c:numFmt formatCode="#,##0.00_ " sourceLinked="1"/>
        <c:majorTickMark val="out"/>
        <c:minorTickMark val="none"/>
        <c:tickLblPos val="nextTo"/>
        <c:crossAx val="2301521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自由现金流分析表!$A$28</c:f>
              <c:strCache>
                <c:ptCount val="1"/>
                <c:pt idx="0">
                  <c:v>自由现金流增长率</c:v>
                </c:pt>
              </c:strCache>
            </c:strRef>
          </c:tx>
          <c:val>
            <c:numRef>
              <c:f>自由现金流分析表!$B$28:$Y$28</c:f>
              <c:numCache>
                <c:formatCode>0.00%</c:formatCode>
                <c:ptCount val="6"/>
                <c:pt idx="0">
                  <c:v>-0.41281066532395461</c:v>
                </c:pt>
                <c:pt idx="1">
                  <c:v>0.58917596023769991</c:v>
                </c:pt>
                <c:pt idx="2">
                  <c:v>-0.4405296262542549</c:v>
                </c:pt>
                <c:pt idx="3">
                  <c:v>0.21455101797716131</c:v>
                </c:pt>
                <c:pt idx="4">
                  <c:v>0.79113366005655839</c:v>
                </c:pt>
                <c:pt idx="5">
                  <c:v>-0.29858573456785759</c:v>
                </c:pt>
              </c:numCache>
            </c:numRef>
          </c:val>
          <c:smooth val="0"/>
          <c:extLst>
            <c:ext xmlns:c16="http://schemas.microsoft.com/office/drawing/2014/chart" uri="{C3380CC4-5D6E-409C-BE32-E72D297353CC}">
              <c16:uniqueId val="{00000000-4B43-45FA-BD48-A987D369EAB0}"/>
            </c:ext>
          </c:extLst>
        </c:ser>
        <c:dLbls>
          <c:showLegendKey val="0"/>
          <c:showVal val="0"/>
          <c:showCatName val="0"/>
          <c:showSerName val="0"/>
          <c:showPercent val="0"/>
          <c:showBubbleSize val="0"/>
        </c:dLbls>
        <c:marker val="1"/>
        <c:smooth val="0"/>
        <c:axId val="192372736"/>
        <c:axId val="230753984"/>
      </c:lineChart>
      <c:catAx>
        <c:axId val="192372736"/>
        <c:scaling>
          <c:orientation val="minMax"/>
        </c:scaling>
        <c:delete val="0"/>
        <c:axPos val="b"/>
        <c:majorTickMark val="out"/>
        <c:minorTickMark val="none"/>
        <c:tickLblPos val="nextTo"/>
        <c:crossAx val="230753984"/>
        <c:crosses val="autoZero"/>
        <c:auto val="1"/>
        <c:lblAlgn val="ctr"/>
        <c:lblOffset val="100"/>
        <c:noMultiLvlLbl val="0"/>
      </c:catAx>
      <c:valAx>
        <c:axId val="230753984"/>
        <c:scaling>
          <c:orientation val="minMax"/>
        </c:scaling>
        <c:delete val="0"/>
        <c:axPos val="l"/>
        <c:majorGridlines/>
        <c:numFmt formatCode="0.00%" sourceLinked="1"/>
        <c:majorTickMark val="out"/>
        <c:minorTickMark val="none"/>
        <c:tickLblPos val="nextTo"/>
        <c:crossAx val="19237273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自由现金流分析表!$A$14</c:f>
              <c:strCache>
                <c:ptCount val="1"/>
                <c:pt idx="0">
                  <c:v>(11)经营活动产生的现金流量净额</c:v>
                </c:pt>
              </c:strCache>
            </c:strRef>
          </c:tx>
          <c:val>
            <c:numRef>
              <c:f>自由现金流分析表!$B$14:$Y$14</c:f>
              <c:numCache>
                <c:formatCode>#,##0.00_ </c:formatCode>
                <c:ptCount val="6"/>
                <c:pt idx="0">
                  <c:v>398329906.70999998</c:v>
                </c:pt>
                <c:pt idx="1">
                  <c:v>505346104.88999999</c:v>
                </c:pt>
                <c:pt idx="2">
                  <c:v>339503977.39999998</c:v>
                </c:pt>
                <c:pt idx="3">
                  <c:v>508017310.10000002</c:v>
                </c:pt>
                <c:pt idx="4">
                  <c:v>413669738.88</c:v>
                </c:pt>
                <c:pt idx="5">
                  <c:v>246398895.37</c:v>
                </c:pt>
              </c:numCache>
            </c:numRef>
          </c:val>
          <c:smooth val="0"/>
          <c:extLst>
            <c:ext xmlns:c16="http://schemas.microsoft.com/office/drawing/2014/chart" uri="{C3380CC4-5D6E-409C-BE32-E72D297353CC}">
              <c16:uniqueId val="{00000000-2680-42A4-A570-10B65A76252D}"/>
            </c:ext>
          </c:extLst>
        </c:ser>
        <c:ser>
          <c:idx val="1"/>
          <c:order val="1"/>
          <c:tx>
            <c:strRef>
              <c:f>自由现金流分析表!$A$15</c:f>
              <c:strCache>
                <c:ptCount val="1"/>
                <c:pt idx="0">
                  <c:v>(12)息前税后经营利润</c:v>
                </c:pt>
              </c:strCache>
            </c:strRef>
          </c:tx>
          <c:val>
            <c:numRef>
              <c:f>自由现金流分析表!$B$15:$Y$15</c:f>
              <c:numCache>
                <c:formatCode>#,##0.00_ </c:formatCode>
                <c:ptCount val="6"/>
                <c:pt idx="0">
                  <c:v>428144030.063025</c:v>
                </c:pt>
                <c:pt idx="1">
                  <c:v>308520479.7763046</c:v>
                </c:pt>
                <c:pt idx="2">
                  <c:v>365311550.00787956</c:v>
                </c:pt>
                <c:pt idx="3">
                  <c:v>362984361.74733239</c:v>
                </c:pt>
                <c:pt idx="4">
                  <c:v>309180519.11409795</c:v>
                </c:pt>
                <c:pt idx="5">
                  <c:v>362461551.15202373</c:v>
                </c:pt>
              </c:numCache>
            </c:numRef>
          </c:val>
          <c:smooth val="0"/>
          <c:extLst>
            <c:ext xmlns:c16="http://schemas.microsoft.com/office/drawing/2014/chart" uri="{C3380CC4-5D6E-409C-BE32-E72D297353CC}">
              <c16:uniqueId val="{00000001-2680-42A4-A570-10B65A76252D}"/>
            </c:ext>
          </c:extLst>
        </c:ser>
        <c:ser>
          <c:idx val="3"/>
          <c:order val="2"/>
          <c:tx>
            <c:strRef>
              <c:f>自由现金流分析表!$A$17</c:f>
              <c:strCache>
                <c:ptCount val="1"/>
                <c:pt idx="0">
                  <c:v>(13)净利润</c:v>
                </c:pt>
              </c:strCache>
            </c:strRef>
          </c:tx>
          <c:val>
            <c:numRef>
              <c:f>自由现金流分析表!$B$17:$Y$17</c:f>
              <c:numCache>
                <c:formatCode>#,##0.00_ </c:formatCode>
                <c:ptCount val="6"/>
                <c:pt idx="0">
                  <c:v>409116925.75999999</c:v>
                </c:pt>
                <c:pt idx="1">
                  <c:v>347033272.61999971</c:v>
                </c:pt>
                <c:pt idx="2">
                  <c:v>424447290.04999995</c:v>
                </c:pt>
                <c:pt idx="3">
                  <c:v>396850889.44000012</c:v>
                </c:pt>
                <c:pt idx="4">
                  <c:v>330567230.81</c:v>
                </c:pt>
                <c:pt idx="5">
                  <c:v>381078698.31000006</c:v>
                </c:pt>
              </c:numCache>
            </c:numRef>
          </c:val>
          <c:smooth val="0"/>
          <c:extLst>
            <c:ext xmlns:c16="http://schemas.microsoft.com/office/drawing/2014/chart" uri="{C3380CC4-5D6E-409C-BE32-E72D297353CC}">
              <c16:uniqueId val="{00000002-2680-42A4-A570-10B65A76252D}"/>
            </c:ext>
          </c:extLst>
        </c:ser>
        <c:dLbls>
          <c:showLegendKey val="0"/>
          <c:showVal val="0"/>
          <c:showCatName val="0"/>
          <c:showSerName val="0"/>
          <c:showPercent val="0"/>
          <c:showBubbleSize val="0"/>
        </c:dLbls>
        <c:marker val="1"/>
        <c:smooth val="0"/>
        <c:axId val="192373248"/>
        <c:axId val="230755712"/>
      </c:lineChart>
      <c:catAx>
        <c:axId val="192373248"/>
        <c:scaling>
          <c:orientation val="minMax"/>
        </c:scaling>
        <c:delete val="0"/>
        <c:axPos val="b"/>
        <c:majorTickMark val="out"/>
        <c:minorTickMark val="none"/>
        <c:tickLblPos val="nextTo"/>
        <c:crossAx val="230755712"/>
        <c:crosses val="autoZero"/>
        <c:auto val="1"/>
        <c:lblAlgn val="ctr"/>
        <c:lblOffset val="100"/>
        <c:noMultiLvlLbl val="0"/>
      </c:catAx>
      <c:valAx>
        <c:axId val="230755712"/>
        <c:scaling>
          <c:orientation val="minMax"/>
        </c:scaling>
        <c:delete val="0"/>
        <c:axPos val="l"/>
        <c:majorGridlines/>
        <c:numFmt formatCode="#,##0.00_ " sourceLinked="1"/>
        <c:majorTickMark val="out"/>
        <c:minorTickMark val="none"/>
        <c:tickLblPos val="nextTo"/>
        <c:crossAx val="192373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 Id="rId6" Type="http://schemas.openxmlformats.org/officeDocument/2006/relationships/chart" Target="../charts/chart26.xml"/><Relationship Id="rId5" Type="http://schemas.openxmlformats.org/officeDocument/2006/relationships/chart" Target="../charts/chart25.xml"/><Relationship Id="rId4" Type="http://schemas.openxmlformats.org/officeDocument/2006/relationships/chart" Target="../charts/chart24.xml"/></Relationships>
</file>

<file path=xl/drawings/_rels/drawing7.xml.rels><?xml version="1.0" encoding="UTF-8" standalone="yes"?>
<Relationships xmlns="http://schemas.openxmlformats.org/package/2006/relationships"><Relationship Id="rId8" Type="http://schemas.openxmlformats.org/officeDocument/2006/relationships/chart" Target="../charts/chart34.xml"/><Relationship Id="rId3" Type="http://schemas.openxmlformats.org/officeDocument/2006/relationships/chart" Target="../charts/chart29.xml"/><Relationship Id="rId7" Type="http://schemas.openxmlformats.org/officeDocument/2006/relationships/chart" Target="../charts/chart33.xml"/><Relationship Id="rId2" Type="http://schemas.openxmlformats.org/officeDocument/2006/relationships/chart" Target="../charts/chart28.xml"/><Relationship Id="rId1" Type="http://schemas.openxmlformats.org/officeDocument/2006/relationships/chart" Target="../charts/chart27.xml"/><Relationship Id="rId6" Type="http://schemas.openxmlformats.org/officeDocument/2006/relationships/chart" Target="../charts/chart32.xml"/><Relationship Id="rId5" Type="http://schemas.openxmlformats.org/officeDocument/2006/relationships/chart" Target="../charts/chart31.xml"/><Relationship Id="rId10" Type="http://schemas.openxmlformats.org/officeDocument/2006/relationships/chart" Target="../charts/chart36.xml"/><Relationship Id="rId4" Type="http://schemas.openxmlformats.org/officeDocument/2006/relationships/chart" Target="../charts/chart30.xml"/><Relationship Id="rId9" Type="http://schemas.openxmlformats.org/officeDocument/2006/relationships/chart" Target="../charts/chart35.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8.xml"/><Relationship Id="rId2" Type="http://schemas.openxmlformats.org/officeDocument/2006/relationships/chart" Target="../charts/chart37.xml"/><Relationship Id="rId1" Type="http://schemas.openxmlformats.org/officeDocument/2006/relationships/image" Target="../media/image1.png"/><Relationship Id="rId4" Type="http://schemas.openxmlformats.org/officeDocument/2006/relationships/chart" Target="../charts/chart39.xml"/></Relationships>
</file>

<file path=xl/drawings/_rels/drawing9.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37</xdr:col>
      <xdr:colOff>184785</xdr:colOff>
      <xdr:row>0</xdr:row>
      <xdr:rowOff>44767</xdr:rowOff>
    </xdr:from>
    <xdr:to>
      <xdr:col>38</xdr:col>
      <xdr:colOff>1257300</xdr:colOff>
      <xdr:row>9</xdr:row>
      <xdr:rowOff>1905</xdr:rowOff>
    </xdr:to>
    <xdr:graphicFrame macro="">
      <xdr:nvGraphicFramePr>
        <xdr:cNvPr id="2" name="图表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37</xdr:col>
      <xdr:colOff>160020</xdr:colOff>
      <xdr:row>9</xdr:row>
      <xdr:rowOff>52387</xdr:rowOff>
    </xdr:from>
    <xdr:to>
      <xdr:col>38</xdr:col>
      <xdr:colOff>1165860</xdr:colOff>
      <xdr:row>21</xdr:row>
      <xdr:rowOff>104775</xdr:rowOff>
    </xdr:to>
    <xdr:graphicFrame macro="">
      <xdr:nvGraphicFramePr>
        <xdr:cNvPr id="3" name="图表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35</xdr:col>
      <xdr:colOff>1207769</xdr:colOff>
      <xdr:row>21</xdr:row>
      <xdr:rowOff>180021</xdr:rowOff>
    </xdr:from>
    <xdr:to>
      <xdr:col>39</xdr:col>
      <xdr:colOff>906780</xdr:colOff>
      <xdr:row>37</xdr:row>
      <xdr:rowOff>59054</xdr:rowOff>
    </xdr:to>
    <xdr:graphicFrame macro="">
      <xdr:nvGraphicFramePr>
        <xdr:cNvPr id="4" name="图表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274320</xdr:colOff>
      <xdr:row>56</xdr:row>
      <xdr:rowOff>8572</xdr:rowOff>
    </xdr:from>
    <xdr:to>
      <xdr:col>32</xdr:col>
      <xdr:colOff>274320</xdr:colOff>
      <xdr:row>62</xdr:row>
      <xdr:rowOff>13335</xdr:rowOff>
    </xdr:to>
    <xdr:graphicFrame macro="">
      <xdr:nvGraphicFramePr>
        <xdr:cNvPr id="15" name="图表 14">
          <a:extLst>
            <a:ext uri="{FF2B5EF4-FFF2-40B4-BE49-F238E27FC236}">
              <a16:creationId xmlns:a16="http://schemas.microsoft.com/office/drawing/2014/main" id="{00000000-0008-0000-04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190500</xdr:colOff>
      <xdr:row>38</xdr:row>
      <xdr:rowOff>147637</xdr:rowOff>
    </xdr:from>
    <xdr:to>
      <xdr:col>33</xdr:col>
      <xdr:colOff>342899</xdr:colOff>
      <xdr:row>49</xdr:row>
      <xdr:rowOff>152400</xdr:rowOff>
    </xdr:to>
    <xdr:graphicFrame macro="">
      <xdr:nvGraphicFramePr>
        <xdr:cNvPr id="16" name="图表 15">
          <a:extLst>
            <a:ext uri="{FF2B5EF4-FFF2-40B4-BE49-F238E27FC236}">
              <a16:creationId xmlns:a16="http://schemas.microsoft.com/office/drawing/2014/main" id="{00000000-0008-0000-04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280035</xdr:colOff>
      <xdr:row>62</xdr:row>
      <xdr:rowOff>96202</xdr:rowOff>
    </xdr:from>
    <xdr:to>
      <xdr:col>32</xdr:col>
      <xdr:colOff>281940</xdr:colOff>
      <xdr:row>69</xdr:row>
      <xdr:rowOff>177165</xdr:rowOff>
    </xdr:to>
    <xdr:graphicFrame macro="">
      <xdr:nvGraphicFramePr>
        <xdr:cNvPr id="17" name="图表 16">
          <a:extLst>
            <a:ext uri="{FF2B5EF4-FFF2-40B4-BE49-F238E27FC236}">
              <a16:creationId xmlns:a16="http://schemas.microsoft.com/office/drawing/2014/main" id="{00000000-0008-0000-04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34</xdr:col>
      <xdr:colOff>721895</xdr:colOff>
      <xdr:row>0</xdr:row>
      <xdr:rowOff>14837</xdr:rowOff>
    </xdr:from>
    <xdr:to>
      <xdr:col>44</xdr:col>
      <xdr:colOff>1013861</xdr:colOff>
      <xdr:row>10</xdr:row>
      <xdr:rowOff>60558</xdr:rowOff>
    </xdr:to>
    <xdr:graphicFrame macro="">
      <xdr:nvGraphicFramePr>
        <xdr:cNvPr id="3" name="图表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34</xdr:col>
      <xdr:colOff>730416</xdr:colOff>
      <xdr:row>10</xdr:row>
      <xdr:rowOff>107431</xdr:rowOff>
    </xdr:from>
    <xdr:to>
      <xdr:col>40</xdr:col>
      <xdr:colOff>1472967</xdr:colOff>
      <xdr:row>23</xdr:row>
      <xdr:rowOff>13435</xdr:rowOff>
    </xdr:to>
    <xdr:graphicFrame macro="">
      <xdr:nvGraphicFramePr>
        <xdr:cNvPr id="2" name="图表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34</xdr:col>
      <xdr:colOff>865572</xdr:colOff>
      <xdr:row>23</xdr:row>
      <xdr:rowOff>43062</xdr:rowOff>
    </xdr:from>
    <xdr:to>
      <xdr:col>44</xdr:col>
      <xdr:colOff>584835</xdr:colOff>
      <xdr:row>24</xdr:row>
      <xdr:rowOff>1631082</xdr:rowOff>
    </xdr:to>
    <xdr:graphicFrame macro="">
      <xdr:nvGraphicFramePr>
        <xdr:cNvPr id="5" name="图表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76200</xdr:colOff>
      <xdr:row>51</xdr:row>
      <xdr:rowOff>61911</xdr:rowOff>
    </xdr:from>
    <xdr:to>
      <xdr:col>8</xdr:col>
      <xdr:colOff>523875</xdr:colOff>
      <xdr:row>65</xdr:row>
      <xdr:rowOff>152400</xdr:rowOff>
    </xdr:to>
    <xdr:graphicFrame macro="">
      <xdr:nvGraphicFramePr>
        <xdr:cNvPr id="6" name="图表 5">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571500</xdr:colOff>
      <xdr:row>51</xdr:row>
      <xdr:rowOff>119062</xdr:rowOff>
    </xdr:from>
    <xdr:to>
      <xdr:col>20</xdr:col>
      <xdr:colOff>1171575</xdr:colOff>
      <xdr:row>65</xdr:row>
      <xdr:rowOff>19050</xdr:rowOff>
    </xdr:to>
    <xdr:graphicFrame macro="">
      <xdr:nvGraphicFramePr>
        <xdr:cNvPr id="7" name="图表 6">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136359</xdr:colOff>
      <xdr:row>28</xdr:row>
      <xdr:rowOff>42861</xdr:rowOff>
    </xdr:from>
    <xdr:to>
      <xdr:col>32</xdr:col>
      <xdr:colOff>742951</xdr:colOff>
      <xdr:row>37</xdr:row>
      <xdr:rowOff>24063</xdr:rowOff>
    </xdr:to>
    <xdr:graphicFrame macro="">
      <xdr:nvGraphicFramePr>
        <xdr:cNvPr id="4" name="图表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0.10474</cdr:x>
      <cdr:y>0.10976</cdr:y>
    </cdr:from>
    <cdr:to>
      <cdr:x>0.37747</cdr:x>
      <cdr:y>0.26423</cdr:y>
    </cdr:to>
    <cdr:sp macro="" textlink="">
      <cdr:nvSpPr>
        <cdr:cNvPr id="2" name="文本框 1">
          <a:extLst xmlns:a="http://schemas.openxmlformats.org/drawingml/2006/main">
            <a:ext uri="{FF2B5EF4-FFF2-40B4-BE49-F238E27FC236}">
              <a16:creationId xmlns:a16="http://schemas.microsoft.com/office/drawing/2014/main" id="{4FABAE61-282B-4A9D-AF3B-399C988D86DC}"/>
            </a:ext>
          </a:extLst>
        </cdr:cNvPr>
        <cdr:cNvSpPr txBox="1"/>
      </cdr:nvSpPr>
      <cdr:spPr>
        <a:xfrm xmlns:a="http://schemas.openxmlformats.org/drawingml/2006/main">
          <a:off x="807720" y="205741"/>
          <a:ext cx="2103120" cy="28956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zh-CN" altLang="en-US" sz="1100"/>
        </a:p>
      </cdr:txBody>
    </cdr:sp>
  </cdr:relSizeAnchor>
</c:userShapes>
</file>

<file path=xl/drawings/drawing4.xml><?xml version="1.0" encoding="utf-8"?>
<xdr:wsDr xmlns:xdr="http://schemas.openxmlformats.org/drawingml/2006/spreadsheetDrawing" xmlns:a="http://schemas.openxmlformats.org/drawingml/2006/main">
  <xdr:twoCellAnchor>
    <xdr:from>
      <xdr:col>12</xdr:col>
      <xdr:colOff>142874</xdr:colOff>
      <xdr:row>16</xdr:row>
      <xdr:rowOff>42862</xdr:rowOff>
    </xdr:from>
    <xdr:to>
      <xdr:col>24</xdr:col>
      <xdr:colOff>1171575</xdr:colOff>
      <xdr:row>35</xdr:row>
      <xdr:rowOff>95250</xdr:rowOff>
    </xdr:to>
    <xdr:graphicFrame macro="">
      <xdr:nvGraphicFramePr>
        <xdr:cNvPr id="3" name="图表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685800</xdr:colOff>
      <xdr:row>16</xdr:row>
      <xdr:rowOff>167640</xdr:rowOff>
    </xdr:from>
    <xdr:to>
      <xdr:col>8</xdr:col>
      <xdr:colOff>853440</xdr:colOff>
      <xdr:row>31</xdr:row>
      <xdr:rowOff>167640</xdr:rowOff>
    </xdr:to>
    <xdr:graphicFrame macro="">
      <xdr:nvGraphicFramePr>
        <xdr:cNvPr id="4" name="图表 3">
          <a:extLst>
            <a:ext uri="{FF2B5EF4-FFF2-40B4-BE49-F238E27FC236}">
              <a16:creationId xmlns:a16="http://schemas.microsoft.com/office/drawing/2014/main" id="{25D3B83F-E24F-4E26-8179-B8DB84403A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16</xdr:col>
      <xdr:colOff>281940</xdr:colOff>
      <xdr:row>18</xdr:row>
      <xdr:rowOff>110491</xdr:rowOff>
    </xdr:from>
    <xdr:to>
      <xdr:col>44</xdr:col>
      <xdr:colOff>1127760</xdr:colOff>
      <xdr:row>36</xdr:row>
      <xdr:rowOff>15240</xdr:rowOff>
    </xdr:to>
    <xdr:graphicFrame macro="">
      <xdr:nvGraphicFramePr>
        <xdr:cNvPr id="3" name="图表 2" title="变化率">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38100</xdr:colOff>
      <xdr:row>38</xdr:row>
      <xdr:rowOff>42861</xdr:rowOff>
    </xdr:from>
    <xdr:to>
      <xdr:col>36</xdr:col>
      <xdr:colOff>38100</xdr:colOff>
      <xdr:row>52</xdr:row>
      <xdr:rowOff>68580</xdr:rowOff>
    </xdr:to>
    <xdr:graphicFrame macro="">
      <xdr:nvGraphicFramePr>
        <xdr:cNvPr id="4" name="图表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1676399</xdr:colOff>
      <xdr:row>0</xdr:row>
      <xdr:rowOff>23812</xdr:rowOff>
    </xdr:from>
    <xdr:to>
      <xdr:col>39</xdr:col>
      <xdr:colOff>1457325</xdr:colOff>
      <xdr:row>9</xdr:row>
      <xdr:rowOff>104775</xdr:rowOff>
    </xdr:to>
    <xdr:graphicFrame macro="">
      <xdr:nvGraphicFramePr>
        <xdr:cNvPr id="5" name="图表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1142999</xdr:colOff>
      <xdr:row>0</xdr:row>
      <xdr:rowOff>42861</xdr:rowOff>
    </xdr:from>
    <xdr:to>
      <xdr:col>29</xdr:col>
      <xdr:colOff>0</xdr:colOff>
      <xdr:row>9</xdr:row>
      <xdr:rowOff>104775</xdr:rowOff>
    </xdr:to>
    <xdr:graphicFrame macro="">
      <xdr:nvGraphicFramePr>
        <xdr:cNvPr id="2" name="图表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1485899</xdr:colOff>
      <xdr:row>9</xdr:row>
      <xdr:rowOff>133350</xdr:rowOff>
    </xdr:from>
    <xdr:to>
      <xdr:col>40</xdr:col>
      <xdr:colOff>123824</xdr:colOff>
      <xdr:row>15</xdr:row>
      <xdr:rowOff>161925</xdr:rowOff>
    </xdr:to>
    <xdr:graphicFrame macro="">
      <xdr:nvGraphicFramePr>
        <xdr:cNvPr id="6" name="图表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1152524</xdr:colOff>
      <xdr:row>9</xdr:row>
      <xdr:rowOff>119063</xdr:rowOff>
    </xdr:from>
    <xdr:to>
      <xdr:col>28</xdr:col>
      <xdr:colOff>1402080</xdr:colOff>
      <xdr:row>16</xdr:row>
      <xdr:rowOff>9525</xdr:rowOff>
    </xdr:to>
    <xdr:graphicFrame macro="">
      <xdr:nvGraphicFramePr>
        <xdr:cNvPr id="7" name="图表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28</xdr:col>
      <xdr:colOff>533399</xdr:colOff>
      <xdr:row>0</xdr:row>
      <xdr:rowOff>0</xdr:rowOff>
    </xdr:from>
    <xdr:to>
      <xdr:col>34</xdr:col>
      <xdr:colOff>542922</xdr:colOff>
      <xdr:row>15</xdr:row>
      <xdr:rowOff>28575</xdr:rowOff>
    </xdr:to>
    <xdr:graphicFrame macro="">
      <xdr:nvGraphicFramePr>
        <xdr:cNvPr id="3" name="图表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533400</xdr:colOff>
      <xdr:row>15</xdr:row>
      <xdr:rowOff>80961</xdr:rowOff>
    </xdr:from>
    <xdr:to>
      <xdr:col>34</xdr:col>
      <xdr:colOff>495300</xdr:colOff>
      <xdr:row>24</xdr:row>
      <xdr:rowOff>171451</xdr:rowOff>
    </xdr:to>
    <xdr:graphicFrame macro="">
      <xdr:nvGraphicFramePr>
        <xdr:cNvPr id="4" name="图表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1293495</xdr:colOff>
      <xdr:row>43</xdr:row>
      <xdr:rowOff>42862</xdr:rowOff>
    </xdr:from>
    <xdr:to>
      <xdr:col>40</xdr:col>
      <xdr:colOff>1236345</xdr:colOff>
      <xdr:row>50</xdr:row>
      <xdr:rowOff>432435</xdr:rowOff>
    </xdr:to>
    <xdr:graphicFrame macro="">
      <xdr:nvGraphicFramePr>
        <xdr:cNvPr id="6" name="图表 5">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28</xdr:col>
      <xdr:colOff>312420</xdr:colOff>
      <xdr:row>25</xdr:row>
      <xdr:rowOff>109537</xdr:rowOff>
    </xdr:from>
    <xdr:to>
      <xdr:col>34</xdr:col>
      <xdr:colOff>518160</xdr:colOff>
      <xdr:row>33</xdr:row>
      <xdr:rowOff>91440</xdr:rowOff>
    </xdr:to>
    <xdr:graphicFrame macro="">
      <xdr:nvGraphicFramePr>
        <xdr:cNvPr id="8" name="图表 7">
          <a:extLst>
            <a:ext uri="{FF2B5EF4-FFF2-40B4-BE49-F238E27FC236}">
              <a16:creationId xmlns:a16="http://schemas.microsoft.com/office/drawing/2014/main" id="{00000000-0008-0000-0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146685</xdr:colOff>
      <xdr:row>34</xdr:row>
      <xdr:rowOff>96202</xdr:rowOff>
    </xdr:from>
    <xdr:to>
      <xdr:col>34</xdr:col>
      <xdr:colOff>708660</xdr:colOff>
      <xdr:row>42</xdr:row>
      <xdr:rowOff>26670</xdr:rowOff>
    </xdr:to>
    <xdr:graphicFrame macro="">
      <xdr:nvGraphicFramePr>
        <xdr:cNvPr id="5" name="图表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22</xdr:col>
      <xdr:colOff>885825</xdr:colOff>
      <xdr:row>0</xdr:row>
      <xdr:rowOff>52387</xdr:rowOff>
    </xdr:from>
    <xdr:to>
      <xdr:col>26</xdr:col>
      <xdr:colOff>1257300</xdr:colOff>
      <xdr:row>13</xdr:row>
      <xdr:rowOff>161925</xdr:rowOff>
    </xdr:to>
    <xdr:graphicFrame macro="">
      <xdr:nvGraphicFramePr>
        <xdr:cNvPr id="9" name="图表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24</xdr:col>
      <xdr:colOff>1036320</xdr:colOff>
      <xdr:row>24</xdr:row>
      <xdr:rowOff>17145</xdr:rowOff>
    </xdr:from>
    <xdr:to>
      <xdr:col>36</xdr:col>
      <xdr:colOff>1255395</xdr:colOff>
      <xdr:row>31</xdr:row>
      <xdr:rowOff>140970</xdr:rowOff>
    </xdr:to>
    <xdr:graphicFrame macro="">
      <xdr:nvGraphicFramePr>
        <xdr:cNvPr id="2" name="图表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285749</xdr:colOff>
      <xdr:row>31</xdr:row>
      <xdr:rowOff>119062</xdr:rowOff>
    </xdr:from>
    <xdr:to>
      <xdr:col>33</xdr:col>
      <xdr:colOff>1028699</xdr:colOff>
      <xdr:row>42</xdr:row>
      <xdr:rowOff>152400</xdr:rowOff>
    </xdr:to>
    <xdr:graphicFrame macro="">
      <xdr:nvGraphicFramePr>
        <xdr:cNvPr id="3" name="图表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285750</xdr:colOff>
      <xdr:row>44</xdr:row>
      <xdr:rowOff>90486</xdr:rowOff>
    </xdr:from>
    <xdr:to>
      <xdr:col>33</xdr:col>
      <xdr:colOff>1133475</xdr:colOff>
      <xdr:row>58</xdr:row>
      <xdr:rowOff>171449</xdr:rowOff>
    </xdr:to>
    <xdr:graphicFrame macro="">
      <xdr:nvGraphicFramePr>
        <xdr:cNvPr id="4" name="图表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0</xdr:colOff>
      <xdr:row>77</xdr:row>
      <xdr:rowOff>166688</xdr:rowOff>
    </xdr:from>
    <xdr:to>
      <xdr:col>40</xdr:col>
      <xdr:colOff>388620</xdr:colOff>
      <xdr:row>94</xdr:row>
      <xdr:rowOff>95251</xdr:rowOff>
    </xdr:to>
    <xdr:graphicFrame macro="">
      <xdr:nvGraphicFramePr>
        <xdr:cNvPr id="5" name="图表 4">
          <a:extLst>
            <a:ext uri="{FF2B5EF4-FFF2-40B4-BE49-F238E27FC236}">
              <a16:creationId xmlns:a16="http://schemas.microsoft.com/office/drawing/2014/main" id="{00000000-0008-0000-0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380999</xdr:colOff>
      <xdr:row>59</xdr:row>
      <xdr:rowOff>71437</xdr:rowOff>
    </xdr:from>
    <xdr:to>
      <xdr:col>33</xdr:col>
      <xdr:colOff>1000125</xdr:colOff>
      <xdr:row>74</xdr:row>
      <xdr:rowOff>142875</xdr:rowOff>
    </xdr:to>
    <xdr:graphicFrame macro="">
      <xdr:nvGraphicFramePr>
        <xdr:cNvPr id="7" name="图表 6">
          <a:extLst>
            <a:ext uri="{FF2B5EF4-FFF2-40B4-BE49-F238E27FC236}">
              <a16:creationId xmlns:a16="http://schemas.microsoft.com/office/drawing/2014/main" id="{00000000-0008-0000-09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32</xdr:col>
      <xdr:colOff>647700</xdr:colOff>
      <xdr:row>14</xdr:row>
      <xdr:rowOff>90488</xdr:rowOff>
    </xdr:from>
    <xdr:to>
      <xdr:col>42</xdr:col>
      <xdr:colOff>600075</xdr:colOff>
      <xdr:row>23</xdr:row>
      <xdr:rowOff>38100</xdr:rowOff>
    </xdr:to>
    <xdr:graphicFrame macro="">
      <xdr:nvGraphicFramePr>
        <xdr:cNvPr id="8" name="图表 7">
          <a:extLst>
            <a:ext uri="{FF2B5EF4-FFF2-40B4-BE49-F238E27FC236}">
              <a16:creationId xmlns:a16="http://schemas.microsoft.com/office/drawing/2014/main" id="{00000000-0008-0000-09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24</xdr:col>
      <xdr:colOff>769620</xdr:colOff>
      <xdr:row>14</xdr:row>
      <xdr:rowOff>25716</xdr:rowOff>
    </xdr:from>
    <xdr:to>
      <xdr:col>32</xdr:col>
      <xdr:colOff>525780</xdr:colOff>
      <xdr:row>23</xdr:row>
      <xdr:rowOff>78105</xdr:rowOff>
    </xdr:to>
    <xdr:graphicFrame macro="">
      <xdr:nvGraphicFramePr>
        <xdr:cNvPr id="9" name="图表 8">
          <a:extLst>
            <a:ext uri="{FF2B5EF4-FFF2-40B4-BE49-F238E27FC236}">
              <a16:creationId xmlns:a16="http://schemas.microsoft.com/office/drawing/2014/main" id="{00000000-0008-0000-09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24</xdr:col>
      <xdr:colOff>741046</xdr:colOff>
      <xdr:row>0</xdr:row>
      <xdr:rowOff>0</xdr:rowOff>
    </xdr:from>
    <xdr:to>
      <xdr:col>32</xdr:col>
      <xdr:colOff>798196</xdr:colOff>
      <xdr:row>13</xdr:row>
      <xdr:rowOff>142874</xdr:rowOff>
    </xdr:to>
    <xdr:graphicFrame macro="">
      <xdr:nvGraphicFramePr>
        <xdr:cNvPr id="10" name="图表 9">
          <a:extLst>
            <a:ext uri="{FF2B5EF4-FFF2-40B4-BE49-F238E27FC236}">
              <a16:creationId xmlns:a16="http://schemas.microsoft.com/office/drawing/2014/main" id="{00000000-0008-0000-09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110490</xdr:colOff>
      <xdr:row>15</xdr:row>
      <xdr:rowOff>92392</xdr:rowOff>
    </xdr:from>
    <xdr:to>
      <xdr:col>52</xdr:col>
      <xdr:colOff>377189</xdr:colOff>
      <xdr:row>23</xdr:row>
      <xdr:rowOff>125730</xdr:rowOff>
    </xdr:to>
    <xdr:graphicFrame macro="">
      <xdr:nvGraphicFramePr>
        <xdr:cNvPr id="11" name="图表 10">
          <a:extLst>
            <a:ext uri="{FF2B5EF4-FFF2-40B4-BE49-F238E27FC236}">
              <a16:creationId xmlns:a16="http://schemas.microsoft.com/office/drawing/2014/main" id="{00000000-0008-0000-09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40</xdr:col>
      <xdr:colOff>76200</xdr:colOff>
      <xdr:row>24</xdr:row>
      <xdr:rowOff>164782</xdr:rowOff>
    </xdr:from>
    <xdr:to>
      <xdr:col>48</xdr:col>
      <xdr:colOff>152400</xdr:colOff>
      <xdr:row>31</xdr:row>
      <xdr:rowOff>120015</xdr:rowOff>
    </xdr:to>
    <xdr:graphicFrame macro="">
      <xdr:nvGraphicFramePr>
        <xdr:cNvPr id="12" name="图表 11">
          <a:extLst>
            <a:ext uri="{FF2B5EF4-FFF2-40B4-BE49-F238E27FC236}">
              <a16:creationId xmlns:a16="http://schemas.microsoft.com/office/drawing/2014/main" id="{00000000-0008-0000-09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114300</xdr:colOff>
      <xdr:row>33</xdr:row>
      <xdr:rowOff>9525</xdr:rowOff>
    </xdr:from>
    <xdr:to>
      <xdr:col>4</xdr:col>
      <xdr:colOff>412748</xdr:colOff>
      <xdr:row>37</xdr:row>
      <xdr:rowOff>9439</xdr:rowOff>
    </xdr:to>
    <xdr:pic>
      <xdr:nvPicPr>
        <xdr:cNvPr id="2" name="图片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114300" y="5667375"/>
          <a:ext cx="5095238" cy="685714"/>
        </a:xfrm>
        <a:prstGeom prst="rect">
          <a:avLst/>
        </a:prstGeom>
      </xdr:spPr>
    </xdr:pic>
    <xdr:clientData/>
  </xdr:twoCellAnchor>
  <xdr:twoCellAnchor>
    <xdr:from>
      <xdr:col>24</xdr:col>
      <xdr:colOff>676275</xdr:colOff>
      <xdr:row>1</xdr:row>
      <xdr:rowOff>52387</xdr:rowOff>
    </xdr:from>
    <xdr:to>
      <xdr:col>33</xdr:col>
      <xdr:colOff>790575</xdr:colOff>
      <xdr:row>17</xdr:row>
      <xdr:rowOff>52387</xdr:rowOff>
    </xdr:to>
    <xdr:graphicFrame macro="">
      <xdr:nvGraphicFramePr>
        <xdr:cNvPr id="4" name="图表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600075</xdr:colOff>
      <xdr:row>17</xdr:row>
      <xdr:rowOff>138112</xdr:rowOff>
    </xdr:from>
    <xdr:to>
      <xdr:col>35</xdr:col>
      <xdr:colOff>9524</xdr:colOff>
      <xdr:row>28</xdr:row>
      <xdr:rowOff>638175</xdr:rowOff>
    </xdr:to>
    <xdr:graphicFrame macro="">
      <xdr:nvGraphicFramePr>
        <xdr:cNvPr id="3" name="图表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198120</xdr:colOff>
      <xdr:row>32</xdr:row>
      <xdr:rowOff>67627</xdr:rowOff>
    </xdr:from>
    <xdr:to>
      <xdr:col>28</xdr:col>
      <xdr:colOff>312420</xdr:colOff>
      <xdr:row>46</xdr:row>
      <xdr:rowOff>67627</xdr:rowOff>
    </xdr:to>
    <xdr:graphicFrame macro="">
      <xdr:nvGraphicFramePr>
        <xdr:cNvPr id="5" name="图表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914400</xdr:colOff>
      <xdr:row>22</xdr:row>
      <xdr:rowOff>114300</xdr:rowOff>
    </xdr:from>
    <xdr:to>
      <xdr:col>4</xdr:col>
      <xdr:colOff>334791</xdr:colOff>
      <xdr:row>27</xdr:row>
      <xdr:rowOff>38002</xdr:rowOff>
    </xdr:to>
    <xdr:pic>
      <xdr:nvPicPr>
        <xdr:cNvPr id="2" name="图片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5924550" y="3895725"/>
          <a:ext cx="3914286" cy="780952"/>
        </a:xfrm>
        <a:prstGeom prst="rect">
          <a:avLst/>
        </a:prstGeom>
      </xdr:spPr>
    </xdr:pic>
    <xdr:clientData/>
  </xdr:twoCellAnchor>
  <xdr:twoCellAnchor editAs="oneCell">
    <xdr:from>
      <xdr:col>2</xdr:col>
      <xdr:colOff>541020</xdr:colOff>
      <xdr:row>2</xdr:row>
      <xdr:rowOff>30480</xdr:rowOff>
    </xdr:from>
    <xdr:to>
      <xdr:col>2</xdr:col>
      <xdr:colOff>2064830</xdr:colOff>
      <xdr:row>5</xdr:row>
      <xdr:rowOff>127560</xdr:rowOff>
    </xdr:to>
    <xdr:pic>
      <xdr:nvPicPr>
        <xdr:cNvPr id="3" name="图片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stretch>
          <a:fillRect/>
        </a:stretch>
      </xdr:blipFill>
      <xdr:spPr>
        <a:xfrm>
          <a:off x="5166360" y="419100"/>
          <a:ext cx="1523810" cy="645720"/>
        </a:xfrm>
        <a:prstGeom prst="rect">
          <a:avLst/>
        </a:prstGeom>
      </xdr:spPr>
    </xdr:pic>
    <xdr:clientData/>
  </xdr:twoCellAnchor>
  <xdr:twoCellAnchor editAs="oneCell">
    <xdr:from>
      <xdr:col>2</xdr:col>
      <xdr:colOff>847725</xdr:colOff>
      <xdr:row>43</xdr:row>
      <xdr:rowOff>47625</xdr:rowOff>
    </xdr:from>
    <xdr:to>
      <xdr:col>4</xdr:col>
      <xdr:colOff>982385</xdr:colOff>
      <xdr:row>47</xdr:row>
      <xdr:rowOff>38016</xdr:rowOff>
    </xdr:to>
    <xdr:pic>
      <xdr:nvPicPr>
        <xdr:cNvPr id="4" name="图片 3">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3"/>
        <a:stretch>
          <a:fillRect/>
        </a:stretch>
      </xdr:blipFill>
      <xdr:spPr>
        <a:xfrm>
          <a:off x="5857875" y="7439025"/>
          <a:ext cx="4761905" cy="676191"/>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表1" displayName="表1" ref="A51:CK56" headerRowCount="0" totalsRowShown="0" headerRowDxfId="180" tableBorderDxfId="179" headerRowCellStyle="好" dataCellStyle="好">
  <tableColumns count="89">
    <tableColumn id="1" xr3:uid="{00000000-0010-0000-0000-000001000000}" name="列1" headerRowDxfId="178" dataDxfId="177" headerRowCellStyle="好" dataCellStyle="好"/>
    <tableColumn id="2" xr3:uid="{00000000-0010-0000-0000-000002000000}" name="列2" headerRowDxfId="176" headerRowCellStyle="好" dataCellStyle="好"/>
    <tableColumn id="3" xr3:uid="{00000000-0010-0000-0000-000003000000}" name="列3" headerRowDxfId="175" headerRowCellStyle="好" dataCellStyle="好"/>
    <tableColumn id="4" xr3:uid="{00000000-0010-0000-0000-000004000000}" name="列4" headerRowDxfId="174" headerRowCellStyle="好" dataCellStyle="好"/>
    <tableColumn id="5" xr3:uid="{00000000-0010-0000-0000-000005000000}" name="列5" headerRowDxfId="173" headerRowCellStyle="好" dataCellStyle="好"/>
    <tableColumn id="6" xr3:uid="{00000000-0010-0000-0000-000006000000}" name="列6" headerRowDxfId="172" headerRowCellStyle="好" dataCellStyle="好"/>
    <tableColumn id="7" xr3:uid="{00000000-0010-0000-0000-000007000000}" name="列7" headerRowDxfId="171" headerRowCellStyle="好" dataCellStyle="好"/>
    <tableColumn id="8" xr3:uid="{00000000-0010-0000-0000-000008000000}" name="列8" headerRowDxfId="170" headerRowCellStyle="好" dataCellStyle="好"/>
    <tableColumn id="9" xr3:uid="{00000000-0010-0000-0000-000009000000}" name="列9" headerRowDxfId="169" headerRowCellStyle="好" dataCellStyle="好"/>
    <tableColumn id="10" xr3:uid="{00000000-0010-0000-0000-00000A000000}" name="列10" headerRowDxfId="168" headerRowCellStyle="好" dataCellStyle="好"/>
    <tableColumn id="11" xr3:uid="{00000000-0010-0000-0000-00000B000000}" name="列11" headerRowDxfId="167" headerRowCellStyle="好" dataCellStyle="好"/>
    <tableColumn id="12" xr3:uid="{00000000-0010-0000-0000-00000C000000}" name="列12" headerRowDxfId="166" headerRowCellStyle="好" dataCellStyle="好"/>
    <tableColumn id="13" xr3:uid="{00000000-0010-0000-0000-00000D000000}" name="列13" headerRowDxfId="165" headerRowCellStyle="好" dataCellStyle="好"/>
    <tableColumn id="14" xr3:uid="{00000000-0010-0000-0000-00000E000000}" name="列14" headerRowDxfId="164" headerRowCellStyle="好" dataCellStyle="好"/>
    <tableColumn id="15" xr3:uid="{00000000-0010-0000-0000-00000F000000}" name="列15" headerRowDxfId="163" headerRowCellStyle="好" dataCellStyle="好"/>
    <tableColumn id="16" xr3:uid="{00000000-0010-0000-0000-000010000000}" name="列16" headerRowDxfId="162" headerRowCellStyle="好" dataCellStyle="好"/>
    <tableColumn id="17" xr3:uid="{00000000-0010-0000-0000-000011000000}" name="列17" headerRowDxfId="161" headerRowCellStyle="好" dataCellStyle="好"/>
    <tableColumn id="18" xr3:uid="{00000000-0010-0000-0000-000012000000}" name="列18" headerRowDxfId="160" headerRowCellStyle="好" dataCellStyle="好"/>
    <tableColumn id="19" xr3:uid="{00000000-0010-0000-0000-000013000000}" name="列19" headerRowDxfId="159" headerRowCellStyle="好" dataCellStyle="好"/>
    <tableColumn id="20" xr3:uid="{00000000-0010-0000-0000-000014000000}" name="列20" headerRowDxfId="158" headerRowCellStyle="好" dataCellStyle="好"/>
    <tableColumn id="21" xr3:uid="{00000000-0010-0000-0000-000015000000}" name="列21" headerRowDxfId="157" headerRowCellStyle="好" dataCellStyle="好"/>
    <tableColumn id="22" xr3:uid="{00000000-0010-0000-0000-000016000000}" name="列22" headerRowDxfId="156" headerRowCellStyle="好" dataCellStyle="好"/>
    <tableColumn id="23" xr3:uid="{00000000-0010-0000-0000-000017000000}" name="列23" headerRowDxfId="155" headerRowCellStyle="好" dataCellStyle="好"/>
    <tableColumn id="24" xr3:uid="{00000000-0010-0000-0000-000018000000}" name="列24" headerRowDxfId="154" headerRowCellStyle="好" dataCellStyle="好"/>
    <tableColumn id="25" xr3:uid="{00000000-0010-0000-0000-000019000000}" name="列25" headerRowDxfId="153" headerRowCellStyle="好" dataCellStyle="好"/>
    <tableColumn id="26" xr3:uid="{00000000-0010-0000-0000-00001A000000}" name="列26" headerRowDxfId="152" headerRowCellStyle="好" dataCellStyle="好"/>
    <tableColumn id="27" xr3:uid="{00000000-0010-0000-0000-00001B000000}" name="列27" headerRowDxfId="151" headerRowCellStyle="好" dataCellStyle="好"/>
    <tableColumn id="28" xr3:uid="{00000000-0010-0000-0000-00001C000000}" name="列28" headerRowDxfId="150" headerRowCellStyle="好" dataCellStyle="好"/>
    <tableColumn id="29" xr3:uid="{00000000-0010-0000-0000-00001D000000}" name="列29" headerRowDxfId="149" headerRowCellStyle="好" dataCellStyle="好"/>
    <tableColumn id="30" xr3:uid="{00000000-0010-0000-0000-00001E000000}" name="列30" headerRowDxfId="148" headerRowCellStyle="好" dataCellStyle="好"/>
    <tableColumn id="31" xr3:uid="{00000000-0010-0000-0000-00001F000000}" name="列31" headerRowDxfId="147" headerRowCellStyle="好" dataCellStyle="好"/>
    <tableColumn id="32" xr3:uid="{00000000-0010-0000-0000-000020000000}" name="列32" headerRowDxfId="146" headerRowCellStyle="好" dataCellStyle="好"/>
    <tableColumn id="33" xr3:uid="{00000000-0010-0000-0000-000021000000}" name="列33" headerRowDxfId="145" headerRowCellStyle="好" dataCellStyle="好"/>
    <tableColumn id="34" xr3:uid="{00000000-0010-0000-0000-000022000000}" name="列34" headerRowDxfId="144" headerRowCellStyle="好" dataCellStyle="好"/>
    <tableColumn id="35" xr3:uid="{00000000-0010-0000-0000-000023000000}" name="列35" headerRowDxfId="143" headerRowCellStyle="好" dataCellStyle="好"/>
    <tableColumn id="36" xr3:uid="{00000000-0010-0000-0000-000024000000}" name="列36" headerRowDxfId="142" headerRowCellStyle="好" dataCellStyle="好"/>
    <tableColumn id="37" xr3:uid="{00000000-0010-0000-0000-000025000000}" name="列37" headerRowDxfId="141" headerRowCellStyle="好" dataCellStyle="好"/>
    <tableColumn id="38" xr3:uid="{00000000-0010-0000-0000-000026000000}" name="列38" headerRowDxfId="140" headerRowCellStyle="好" dataCellStyle="好"/>
    <tableColumn id="39" xr3:uid="{00000000-0010-0000-0000-000027000000}" name="列39" headerRowDxfId="139" headerRowCellStyle="好" dataCellStyle="好"/>
    <tableColumn id="40" xr3:uid="{00000000-0010-0000-0000-000028000000}" name="列40" headerRowDxfId="138" headerRowCellStyle="好" dataCellStyle="好"/>
    <tableColumn id="41" xr3:uid="{00000000-0010-0000-0000-000029000000}" name="列41" headerRowDxfId="137" headerRowCellStyle="好" dataCellStyle="好"/>
    <tableColumn id="42" xr3:uid="{00000000-0010-0000-0000-00002A000000}" name="列42" headerRowDxfId="136" headerRowCellStyle="好" dataCellStyle="好"/>
    <tableColumn id="43" xr3:uid="{00000000-0010-0000-0000-00002B000000}" name="列43" headerRowDxfId="135" headerRowCellStyle="好" dataCellStyle="好"/>
    <tableColumn id="44" xr3:uid="{00000000-0010-0000-0000-00002C000000}" name="列44" headerRowDxfId="134" headerRowCellStyle="好" dataCellStyle="好"/>
    <tableColumn id="45" xr3:uid="{00000000-0010-0000-0000-00002D000000}" name="列45" headerRowDxfId="133" headerRowCellStyle="好" dataCellStyle="好"/>
    <tableColumn id="46" xr3:uid="{00000000-0010-0000-0000-00002E000000}" name="列46" headerRowDxfId="132" headerRowCellStyle="好" dataCellStyle="好"/>
    <tableColumn id="47" xr3:uid="{00000000-0010-0000-0000-00002F000000}" name="列47" headerRowDxfId="131" headerRowCellStyle="好" dataCellStyle="好"/>
    <tableColumn id="48" xr3:uid="{00000000-0010-0000-0000-000030000000}" name="列48" headerRowDxfId="130" headerRowCellStyle="好" dataCellStyle="好"/>
    <tableColumn id="49" xr3:uid="{00000000-0010-0000-0000-000031000000}" name="列49" headerRowDxfId="129" headerRowCellStyle="好" dataCellStyle="好"/>
    <tableColumn id="50" xr3:uid="{00000000-0010-0000-0000-000032000000}" name="列50" headerRowDxfId="128" headerRowCellStyle="好" dataCellStyle="好"/>
    <tableColumn id="51" xr3:uid="{00000000-0010-0000-0000-000033000000}" name="列51" headerRowDxfId="127" headerRowCellStyle="好" dataCellStyle="好"/>
    <tableColumn id="52" xr3:uid="{00000000-0010-0000-0000-000034000000}" name="列52" headerRowDxfId="126" headerRowCellStyle="好" dataCellStyle="好"/>
    <tableColumn id="53" xr3:uid="{00000000-0010-0000-0000-000035000000}" name="列53" headerRowDxfId="125" headerRowCellStyle="好" dataCellStyle="好"/>
    <tableColumn id="54" xr3:uid="{00000000-0010-0000-0000-000036000000}" name="列54" headerRowDxfId="124" headerRowCellStyle="好" dataCellStyle="好"/>
    <tableColumn id="55" xr3:uid="{00000000-0010-0000-0000-000037000000}" name="列55" headerRowDxfId="123" headerRowCellStyle="好" dataCellStyle="好"/>
    <tableColumn id="56" xr3:uid="{00000000-0010-0000-0000-000038000000}" name="列56" headerRowDxfId="122" headerRowCellStyle="好" dataCellStyle="好"/>
    <tableColumn id="57" xr3:uid="{00000000-0010-0000-0000-000039000000}" name="列57" headerRowDxfId="121" headerRowCellStyle="好" dataCellStyle="好"/>
    <tableColumn id="58" xr3:uid="{00000000-0010-0000-0000-00003A000000}" name="列58" headerRowDxfId="120" headerRowCellStyle="好" dataCellStyle="好"/>
    <tableColumn id="59" xr3:uid="{00000000-0010-0000-0000-00003B000000}" name="列59" headerRowDxfId="119" headerRowCellStyle="好" dataCellStyle="好"/>
    <tableColumn id="60" xr3:uid="{00000000-0010-0000-0000-00003C000000}" name="列60" headerRowDxfId="118" headerRowCellStyle="好" dataCellStyle="好"/>
    <tableColumn id="61" xr3:uid="{00000000-0010-0000-0000-00003D000000}" name="列61" headerRowDxfId="117" headerRowCellStyle="好" dataCellStyle="好"/>
    <tableColumn id="62" xr3:uid="{00000000-0010-0000-0000-00003E000000}" name="列62" headerRowDxfId="116" headerRowCellStyle="好" dataCellStyle="好"/>
    <tableColumn id="63" xr3:uid="{00000000-0010-0000-0000-00003F000000}" name="列63" headerRowDxfId="115" headerRowCellStyle="好" dataCellStyle="好"/>
    <tableColumn id="64" xr3:uid="{00000000-0010-0000-0000-000040000000}" name="列64" headerRowDxfId="114" headerRowCellStyle="好" dataCellStyle="好"/>
    <tableColumn id="65" xr3:uid="{00000000-0010-0000-0000-000041000000}" name="列65" headerRowDxfId="113" headerRowCellStyle="好" dataCellStyle="好"/>
    <tableColumn id="66" xr3:uid="{00000000-0010-0000-0000-000042000000}" name="列66" headerRowDxfId="112" headerRowCellStyle="好" dataCellStyle="好"/>
    <tableColumn id="67" xr3:uid="{00000000-0010-0000-0000-000043000000}" name="列67" headerRowDxfId="111" headerRowCellStyle="好" dataCellStyle="好"/>
    <tableColumn id="68" xr3:uid="{00000000-0010-0000-0000-000044000000}" name="列68" headerRowDxfId="110" headerRowCellStyle="好" dataCellStyle="好"/>
    <tableColumn id="69" xr3:uid="{00000000-0010-0000-0000-000045000000}" name="列69" headerRowDxfId="109" headerRowCellStyle="好" dataCellStyle="好"/>
    <tableColumn id="70" xr3:uid="{00000000-0010-0000-0000-000046000000}" name="列70" headerRowDxfId="108" headerRowCellStyle="好" dataCellStyle="好"/>
    <tableColumn id="71" xr3:uid="{00000000-0010-0000-0000-000047000000}" name="列71" headerRowDxfId="107" headerRowCellStyle="好" dataCellStyle="好"/>
    <tableColumn id="72" xr3:uid="{00000000-0010-0000-0000-000048000000}" name="列72" headerRowDxfId="106" headerRowCellStyle="好" dataCellStyle="好"/>
    <tableColumn id="73" xr3:uid="{00000000-0010-0000-0000-000049000000}" name="列73" headerRowDxfId="105" headerRowCellStyle="好" dataCellStyle="好"/>
    <tableColumn id="74" xr3:uid="{00000000-0010-0000-0000-00004A000000}" name="列74" headerRowDxfId="104" headerRowCellStyle="好" dataCellStyle="好"/>
    <tableColumn id="75" xr3:uid="{00000000-0010-0000-0000-00004B000000}" name="列75" headerRowDxfId="103" headerRowCellStyle="好" dataCellStyle="好"/>
    <tableColumn id="76" xr3:uid="{00000000-0010-0000-0000-00004C000000}" name="列76" headerRowDxfId="102" headerRowCellStyle="好" dataCellStyle="好"/>
    <tableColumn id="77" xr3:uid="{00000000-0010-0000-0000-00004D000000}" name="列77" headerRowDxfId="101" headerRowCellStyle="好" dataCellStyle="好"/>
    <tableColumn id="78" xr3:uid="{00000000-0010-0000-0000-00004E000000}" name="列78" headerRowDxfId="100" headerRowCellStyle="好" dataCellStyle="好"/>
    <tableColumn id="79" xr3:uid="{00000000-0010-0000-0000-00004F000000}" name="列79" headerRowDxfId="99" headerRowCellStyle="好" dataCellStyle="好"/>
    <tableColumn id="80" xr3:uid="{00000000-0010-0000-0000-000050000000}" name="列80" headerRowDxfId="98" headerRowCellStyle="好" dataCellStyle="好"/>
    <tableColumn id="81" xr3:uid="{00000000-0010-0000-0000-000051000000}" name="列81" headerRowDxfId="97" headerRowCellStyle="好" dataCellStyle="好"/>
    <tableColumn id="82" xr3:uid="{00000000-0010-0000-0000-000052000000}" name="列82" headerRowDxfId="96" headerRowCellStyle="好" dataCellStyle="好"/>
    <tableColumn id="83" xr3:uid="{00000000-0010-0000-0000-000053000000}" name="列83" headerRowDxfId="95" headerRowCellStyle="好" dataCellStyle="好"/>
    <tableColumn id="84" xr3:uid="{00000000-0010-0000-0000-000054000000}" name="列84" headerRowDxfId="94" headerRowCellStyle="好" dataCellStyle="好"/>
    <tableColumn id="85" xr3:uid="{00000000-0010-0000-0000-000055000000}" name="列85" headerRowDxfId="93" headerRowCellStyle="好" dataCellStyle="好"/>
    <tableColumn id="86" xr3:uid="{00000000-0010-0000-0000-000056000000}" name="列86" headerRowDxfId="92" headerRowCellStyle="好" dataCellStyle="好"/>
    <tableColumn id="87" xr3:uid="{00000000-0010-0000-0000-000057000000}" name="列87" headerRowDxfId="91" headerRowCellStyle="好" dataCellStyle="好"/>
    <tableColumn id="88" xr3:uid="{00000000-0010-0000-0000-000058000000}" name="列88" headerRowDxfId="90" headerRowCellStyle="好" dataCellStyle="好"/>
    <tableColumn id="89" xr3:uid="{00000000-0010-0000-0000-000059000000}" name="列89" headerRowDxfId="89" headerRowCellStyle="好" dataCellStyle="好"/>
  </tableColumns>
  <tableStyleInfo name="TableStyleLight1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表2" displayName="表2" ref="A59:CK62" headerRowCount="0" totalsRowShown="0">
  <tableColumns count="89">
    <tableColumn id="1" xr3:uid="{00000000-0010-0000-0100-000001000000}" name="列1" headerRowDxfId="88" dataDxfId="87" dataCellStyle="好"/>
    <tableColumn id="2" xr3:uid="{00000000-0010-0000-0100-000002000000}" name="列2" dataCellStyle="好"/>
    <tableColumn id="3" xr3:uid="{00000000-0010-0000-0100-000003000000}" name="列3" dataCellStyle="好"/>
    <tableColumn id="4" xr3:uid="{00000000-0010-0000-0100-000004000000}" name="列4" dataCellStyle="好"/>
    <tableColumn id="5" xr3:uid="{00000000-0010-0000-0100-000005000000}" name="列5" dataDxfId="86" dataCellStyle="好"/>
    <tableColumn id="6" xr3:uid="{00000000-0010-0000-0100-000006000000}" name="列6" dataDxfId="85" dataCellStyle="好"/>
    <tableColumn id="7" xr3:uid="{00000000-0010-0000-0100-000007000000}" name="列7" dataDxfId="84" dataCellStyle="好"/>
    <tableColumn id="8" xr3:uid="{00000000-0010-0000-0100-000008000000}" name="列8" dataDxfId="83" dataCellStyle="好"/>
    <tableColumn id="9" xr3:uid="{00000000-0010-0000-0100-000009000000}" name="列9" dataDxfId="82" dataCellStyle="好"/>
    <tableColumn id="10" xr3:uid="{00000000-0010-0000-0100-00000A000000}" name="列10" dataDxfId="81" dataCellStyle="好"/>
    <tableColumn id="11" xr3:uid="{00000000-0010-0000-0100-00000B000000}" name="列11" dataDxfId="80" dataCellStyle="好"/>
    <tableColumn id="12" xr3:uid="{00000000-0010-0000-0100-00000C000000}" name="列12" dataDxfId="79" dataCellStyle="好"/>
    <tableColumn id="13" xr3:uid="{00000000-0010-0000-0100-00000D000000}" name="列13" dataDxfId="78" dataCellStyle="好"/>
    <tableColumn id="14" xr3:uid="{00000000-0010-0000-0100-00000E000000}" name="列14" dataDxfId="77" dataCellStyle="好"/>
    <tableColumn id="15" xr3:uid="{00000000-0010-0000-0100-00000F000000}" name="列15" dataDxfId="76" dataCellStyle="好"/>
    <tableColumn id="16" xr3:uid="{00000000-0010-0000-0100-000010000000}" name="列16" dataDxfId="75" dataCellStyle="好"/>
    <tableColumn id="17" xr3:uid="{00000000-0010-0000-0100-000011000000}" name="列17" dataDxfId="74" dataCellStyle="好"/>
    <tableColumn id="18" xr3:uid="{00000000-0010-0000-0100-000012000000}" name="列18" dataDxfId="73" dataCellStyle="好"/>
    <tableColumn id="19" xr3:uid="{00000000-0010-0000-0100-000013000000}" name="列19" dataDxfId="72" dataCellStyle="好"/>
    <tableColumn id="20" xr3:uid="{00000000-0010-0000-0100-000014000000}" name="列20" dataDxfId="71" dataCellStyle="好"/>
    <tableColumn id="21" xr3:uid="{00000000-0010-0000-0100-000015000000}" name="列21" dataDxfId="70" dataCellStyle="好"/>
    <tableColumn id="22" xr3:uid="{00000000-0010-0000-0100-000016000000}" name="列22" dataDxfId="69" dataCellStyle="好"/>
    <tableColumn id="23" xr3:uid="{00000000-0010-0000-0100-000017000000}" name="列23" dataDxfId="68" dataCellStyle="好"/>
    <tableColumn id="24" xr3:uid="{00000000-0010-0000-0100-000018000000}" name="列24" dataDxfId="67" dataCellStyle="好"/>
    <tableColumn id="25" xr3:uid="{00000000-0010-0000-0100-000019000000}" name="列25" dataDxfId="66" dataCellStyle="好"/>
    <tableColumn id="26" xr3:uid="{00000000-0010-0000-0100-00001A000000}" name="列26" dataDxfId="65" dataCellStyle="好"/>
    <tableColumn id="27" xr3:uid="{00000000-0010-0000-0100-00001B000000}" name="列27" dataDxfId="64" dataCellStyle="好"/>
    <tableColumn id="28" xr3:uid="{00000000-0010-0000-0100-00001C000000}" name="列28" dataDxfId="63" dataCellStyle="好"/>
    <tableColumn id="29" xr3:uid="{00000000-0010-0000-0100-00001D000000}" name="列29" dataDxfId="62" dataCellStyle="好"/>
    <tableColumn id="30" xr3:uid="{00000000-0010-0000-0100-00001E000000}" name="列30" dataDxfId="61" dataCellStyle="好"/>
    <tableColumn id="31" xr3:uid="{00000000-0010-0000-0100-00001F000000}" name="列31" dataDxfId="60" dataCellStyle="好"/>
    <tableColumn id="32" xr3:uid="{00000000-0010-0000-0100-000020000000}" name="列32" dataDxfId="59" dataCellStyle="好"/>
    <tableColumn id="33" xr3:uid="{00000000-0010-0000-0100-000021000000}" name="列33" dataDxfId="58" dataCellStyle="好"/>
    <tableColumn id="34" xr3:uid="{00000000-0010-0000-0100-000022000000}" name="列34" dataDxfId="57" dataCellStyle="好"/>
    <tableColumn id="35" xr3:uid="{00000000-0010-0000-0100-000023000000}" name="列35" dataDxfId="56" dataCellStyle="好"/>
    <tableColumn id="36" xr3:uid="{00000000-0010-0000-0100-000024000000}" name="列36" dataDxfId="55" dataCellStyle="好"/>
    <tableColumn id="37" xr3:uid="{00000000-0010-0000-0100-000025000000}" name="列37" dataDxfId="54" dataCellStyle="好"/>
    <tableColumn id="38" xr3:uid="{00000000-0010-0000-0100-000026000000}" name="列38" dataDxfId="53" dataCellStyle="好"/>
    <tableColumn id="39" xr3:uid="{00000000-0010-0000-0100-000027000000}" name="列39" dataDxfId="52" dataCellStyle="好"/>
    <tableColumn id="40" xr3:uid="{00000000-0010-0000-0100-000028000000}" name="列40" dataDxfId="51" dataCellStyle="好"/>
    <tableColumn id="41" xr3:uid="{00000000-0010-0000-0100-000029000000}" name="列41" dataDxfId="50" dataCellStyle="好"/>
    <tableColumn id="42" xr3:uid="{00000000-0010-0000-0100-00002A000000}" name="列42" dataDxfId="49" dataCellStyle="好"/>
    <tableColumn id="43" xr3:uid="{00000000-0010-0000-0100-00002B000000}" name="列43" dataDxfId="48" dataCellStyle="好"/>
    <tableColumn id="44" xr3:uid="{00000000-0010-0000-0100-00002C000000}" name="列44" dataDxfId="47" dataCellStyle="好"/>
    <tableColumn id="45" xr3:uid="{00000000-0010-0000-0100-00002D000000}" name="列45" dataDxfId="46" dataCellStyle="好"/>
    <tableColumn id="46" xr3:uid="{00000000-0010-0000-0100-00002E000000}" name="列46" dataDxfId="45" dataCellStyle="好"/>
    <tableColumn id="47" xr3:uid="{00000000-0010-0000-0100-00002F000000}" name="列47" dataDxfId="44" dataCellStyle="好"/>
    <tableColumn id="48" xr3:uid="{00000000-0010-0000-0100-000030000000}" name="列48" dataDxfId="43" dataCellStyle="好"/>
    <tableColumn id="49" xr3:uid="{00000000-0010-0000-0100-000031000000}" name="列49" dataDxfId="42" dataCellStyle="好"/>
    <tableColumn id="50" xr3:uid="{00000000-0010-0000-0100-000032000000}" name="列50" dataDxfId="41" dataCellStyle="好"/>
    <tableColumn id="51" xr3:uid="{00000000-0010-0000-0100-000033000000}" name="列51" dataDxfId="40" dataCellStyle="好"/>
    <tableColumn id="52" xr3:uid="{00000000-0010-0000-0100-000034000000}" name="列52" dataDxfId="39" dataCellStyle="好"/>
    <tableColumn id="53" xr3:uid="{00000000-0010-0000-0100-000035000000}" name="列53" dataDxfId="38" dataCellStyle="好"/>
    <tableColumn id="54" xr3:uid="{00000000-0010-0000-0100-000036000000}" name="列54" dataDxfId="37" dataCellStyle="好"/>
    <tableColumn id="55" xr3:uid="{00000000-0010-0000-0100-000037000000}" name="列55" dataDxfId="36" dataCellStyle="好"/>
    <tableColumn id="56" xr3:uid="{00000000-0010-0000-0100-000038000000}" name="列56" dataDxfId="35" dataCellStyle="好"/>
    <tableColumn id="57" xr3:uid="{00000000-0010-0000-0100-000039000000}" name="列57" dataDxfId="34" dataCellStyle="好"/>
    <tableColumn id="58" xr3:uid="{00000000-0010-0000-0100-00003A000000}" name="列58" dataDxfId="33" dataCellStyle="好"/>
    <tableColumn id="59" xr3:uid="{00000000-0010-0000-0100-00003B000000}" name="列59" dataDxfId="32" dataCellStyle="好"/>
    <tableColumn id="60" xr3:uid="{00000000-0010-0000-0100-00003C000000}" name="列60" dataDxfId="31" dataCellStyle="好"/>
    <tableColumn id="61" xr3:uid="{00000000-0010-0000-0100-00003D000000}" name="列61" dataDxfId="30" dataCellStyle="好"/>
    <tableColumn id="62" xr3:uid="{00000000-0010-0000-0100-00003E000000}" name="列62" dataDxfId="29" dataCellStyle="好"/>
    <tableColumn id="63" xr3:uid="{00000000-0010-0000-0100-00003F000000}" name="列63" dataDxfId="28" dataCellStyle="好"/>
    <tableColumn id="64" xr3:uid="{00000000-0010-0000-0100-000040000000}" name="列64" dataDxfId="27" dataCellStyle="好"/>
    <tableColumn id="65" xr3:uid="{00000000-0010-0000-0100-000041000000}" name="列65" dataDxfId="26" dataCellStyle="好"/>
    <tableColumn id="66" xr3:uid="{00000000-0010-0000-0100-000042000000}" name="列66" dataDxfId="25" dataCellStyle="好"/>
    <tableColumn id="67" xr3:uid="{00000000-0010-0000-0100-000043000000}" name="列67" dataDxfId="24" dataCellStyle="好"/>
    <tableColumn id="68" xr3:uid="{00000000-0010-0000-0100-000044000000}" name="列68" dataDxfId="23" dataCellStyle="好"/>
    <tableColumn id="69" xr3:uid="{00000000-0010-0000-0100-000045000000}" name="列69" dataDxfId="22" dataCellStyle="好"/>
    <tableColumn id="70" xr3:uid="{00000000-0010-0000-0100-000046000000}" name="列70" dataDxfId="21" dataCellStyle="好"/>
    <tableColumn id="71" xr3:uid="{00000000-0010-0000-0100-000047000000}" name="列71" dataDxfId="20" dataCellStyle="好"/>
    <tableColumn id="72" xr3:uid="{00000000-0010-0000-0100-000048000000}" name="列72" dataDxfId="19" dataCellStyle="好"/>
    <tableColumn id="73" xr3:uid="{00000000-0010-0000-0100-000049000000}" name="列73" dataDxfId="18" dataCellStyle="好"/>
    <tableColumn id="74" xr3:uid="{00000000-0010-0000-0100-00004A000000}" name="列74" dataDxfId="17" dataCellStyle="好"/>
    <tableColumn id="75" xr3:uid="{00000000-0010-0000-0100-00004B000000}" name="列75" dataDxfId="16" dataCellStyle="好"/>
    <tableColumn id="76" xr3:uid="{00000000-0010-0000-0100-00004C000000}" name="列76" dataDxfId="15" dataCellStyle="好"/>
    <tableColumn id="77" xr3:uid="{00000000-0010-0000-0100-00004D000000}" name="列77" dataDxfId="14" dataCellStyle="好"/>
    <tableColumn id="78" xr3:uid="{00000000-0010-0000-0100-00004E000000}" name="列78" dataDxfId="13" dataCellStyle="好"/>
    <tableColumn id="79" xr3:uid="{00000000-0010-0000-0100-00004F000000}" name="列79" dataDxfId="12" dataCellStyle="好"/>
    <tableColumn id="80" xr3:uid="{00000000-0010-0000-0100-000050000000}" name="列80" dataDxfId="11" dataCellStyle="好"/>
    <tableColumn id="81" xr3:uid="{00000000-0010-0000-0100-000051000000}" name="列81" dataDxfId="10" dataCellStyle="好"/>
    <tableColumn id="82" xr3:uid="{00000000-0010-0000-0100-000052000000}" name="列82" dataDxfId="9" dataCellStyle="好"/>
    <tableColumn id="83" xr3:uid="{00000000-0010-0000-0100-000053000000}" name="列83" dataDxfId="8" dataCellStyle="好"/>
    <tableColumn id="84" xr3:uid="{00000000-0010-0000-0100-000054000000}" name="列84" dataDxfId="7" dataCellStyle="好"/>
    <tableColumn id="85" xr3:uid="{00000000-0010-0000-0100-000055000000}" name="列85" dataDxfId="6" dataCellStyle="好"/>
    <tableColumn id="86" xr3:uid="{00000000-0010-0000-0100-000056000000}" name="列86" dataDxfId="5" dataCellStyle="好"/>
    <tableColumn id="87" xr3:uid="{00000000-0010-0000-0100-000057000000}" name="列87" dataDxfId="4" dataCellStyle="好"/>
    <tableColumn id="88" xr3:uid="{00000000-0010-0000-0100-000058000000}" name="列88" dataDxfId="3" dataCellStyle="好"/>
    <tableColumn id="89" xr3:uid="{00000000-0010-0000-0100-000059000000}" name="列89" dataDxfId="2" dataCellStyle="好"/>
  </tableColumns>
  <tableStyleInfo name="TableStyleLight2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表3" displayName="表3" ref="A65:CK70" headerRowCount="0" totalsRowShown="0" headerRowCellStyle="好" dataCellStyle="好">
  <tableColumns count="89">
    <tableColumn id="1" xr3:uid="{00000000-0010-0000-0200-000001000000}" name="列1" headerRowDxfId="1" dataDxfId="0" headerRowCellStyle="好" dataCellStyle="好"/>
    <tableColumn id="2" xr3:uid="{00000000-0010-0000-0200-000002000000}" name="列2" headerRowCellStyle="好" dataCellStyle="好"/>
    <tableColumn id="3" xr3:uid="{00000000-0010-0000-0200-000003000000}" name="列3" headerRowCellStyle="好" dataCellStyle="好"/>
    <tableColumn id="4" xr3:uid="{00000000-0010-0000-0200-000004000000}" name="列4" headerRowCellStyle="好" dataCellStyle="好"/>
    <tableColumn id="5" xr3:uid="{00000000-0010-0000-0200-000005000000}" name="列5" headerRowCellStyle="好" dataCellStyle="好"/>
    <tableColumn id="6" xr3:uid="{00000000-0010-0000-0200-000006000000}" name="列6" headerRowCellStyle="好" dataCellStyle="好"/>
    <tableColumn id="7" xr3:uid="{00000000-0010-0000-0200-000007000000}" name="列7" headerRowCellStyle="好" dataCellStyle="好"/>
    <tableColumn id="8" xr3:uid="{00000000-0010-0000-0200-000008000000}" name="列8" headerRowCellStyle="好" dataCellStyle="好"/>
    <tableColumn id="9" xr3:uid="{00000000-0010-0000-0200-000009000000}" name="列9" headerRowCellStyle="好" dataCellStyle="好"/>
    <tableColumn id="10" xr3:uid="{00000000-0010-0000-0200-00000A000000}" name="列10" headerRowCellStyle="好" dataCellStyle="好"/>
    <tableColumn id="11" xr3:uid="{00000000-0010-0000-0200-00000B000000}" name="列11" headerRowCellStyle="好" dataCellStyle="好"/>
    <tableColumn id="12" xr3:uid="{00000000-0010-0000-0200-00000C000000}" name="列12" headerRowCellStyle="好" dataCellStyle="好"/>
    <tableColumn id="13" xr3:uid="{00000000-0010-0000-0200-00000D000000}" name="列13" headerRowCellStyle="好" dataCellStyle="好"/>
    <tableColumn id="14" xr3:uid="{00000000-0010-0000-0200-00000E000000}" name="列14" headerRowCellStyle="好" dataCellStyle="好"/>
    <tableColumn id="15" xr3:uid="{00000000-0010-0000-0200-00000F000000}" name="列15" headerRowCellStyle="好" dataCellStyle="好"/>
    <tableColumn id="16" xr3:uid="{00000000-0010-0000-0200-000010000000}" name="列16" headerRowCellStyle="好" dataCellStyle="好"/>
    <tableColumn id="17" xr3:uid="{00000000-0010-0000-0200-000011000000}" name="列17" headerRowCellStyle="好" dataCellStyle="好"/>
    <tableColumn id="18" xr3:uid="{00000000-0010-0000-0200-000012000000}" name="列18" headerRowCellStyle="好" dataCellStyle="好"/>
    <tableColumn id="19" xr3:uid="{00000000-0010-0000-0200-000013000000}" name="列19" headerRowCellStyle="好" dataCellStyle="好"/>
    <tableColumn id="20" xr3:uid="{00000000-0010-0000-0200-000014000000}" name="列20" headerRowCellStyle="好" dataCellStyle="好"/>
    <tableColumn id="21" xr3:uid="{00000000-0010-0000-0200-000015000000}" name="列21" headerRowCellStyle="好" dataCellStyle="好"/>
    <tableColumn id="22" xr3:uid="{00000000-0010-0000-0200-000016000000}" name="列22" headerRowCellStyle="好" dataCellStyle="好"/>
    <tableColumn id="23" xr3:uid="{00000000-0010-0000-0200-000017000000}" name="列23" headerRowCellStyle="好" dataCellStyle="好"/>
    <tableColumn id="24" xr3:uid="{00000000-0010-0000-0200-000018000000}" name="列24" headerRowCellStyle="好" dataCellStyle="好"/>
    <tableColumn id="25" xr3:uid="{00000000-0010-0000-0200-000019000000}" name="列25" headerRowCellStyle="好" dataCellStyle="好"/>
    <tableColumn id="26" xr3:uid="{00000000-0010-0000-0200-00001A000000}" name="列26" headerRowCellStyle="好" dataCellStyle="好"/>
    <tableColumn id="27" xr3:uid="{00000000-0010-0000-0200-00001B000000}" name="列27" headerRowCellStyle="好" dataCellStyle="好"/>
    <tableColumn id="28" xr3:uid="{00000000-0010-0000-0200-00001C000000}" name="列28" headerRowCellStyle="好" dataCellStyle="好"/>
    <tableColumn id="29" xr3:uid="{00000000-0010-0000-0200-00001D000000}" name="列29" headerRowCellStyle="好" dataCellStyle="好"/>
    <tableColumn id="30" xr3:uid="{00000000-0010-0000-0200-00001E000000}" name="列30" headerRowCellStyle="好" dataCellStyle="好"/>
    <tableColumn id="31" xr3:uid="{00000000-0010-0000-0200-00001F000000}" name="列31" headerRowCellStyle="好" dataCellStyle="好"/>
    <tableColumn id="32" xr3:uid="{00000000-0010-0000-0200-000020000000}" name="列32" headerRowCellStyle="好" dataCellStyle="好"/>
    <tableColumn id="33" xr3:uid="{00000000-0010-0000-0200-000021000000}" name="列33" headerRowCellStyle="好" dataCellStyle="好"/>
    <tableColumn id="34" xr3:uid="{00000000-0010-0000-0200-000022000000}" name="列34" headerRowCellStyle="好" dataCellStyle="好"/>
    <tableColumn id="35" xr3:uid="{00000000-0010-0000-0200-000023000000}" name="列35" headerRowCellStyle="好" dataCellStyle="好"/>
    <tableColumn id="36" xr3:uid="{00000000-0010-0000-0200-000024000000}" name="列36" headerRowCellStyle="好" dataCellStyle="好"/>
    <tableColumn id="37" xr3:uid="{00000000-0010-0000-0200-000025000000}" name="列37" headerRowCellStyle="好" dataCellStyle="好"/>
    <tableColumn id="38" xr3:uid="{00000000-0010-0000-0200-000026000000}" name="列38" headerRowCellStyle="好" dataCellStyle="好"/>
    <tableColumn id="39" xr3:uid="{00000000-0010-0000-0200-000027000000}" name="列39" headerRowCellStyle="好" dataCellStyle="好"/>
    <tableColumn id="40" xr3:uid="{00000000-0010-0000-0200-000028000000}" name="列40" headerRowCellStyle="好" dataCellStyle="好"/>
    <tableColumn id="41" xr3:uid="{00000000-0010-0000-0200-000029000000}" name="列41" headerRowCellStyle="好" dataCellStyle="好"/>
    <tableColumn id="42" xr3:uid="{00000000-0010-0000-0200-00002A000000}" name="列42" headerRowCellStyle="好" dataCellStyle="好"/>
    <tableColumn id="43" xr3:uid="{00000000-0010-0000-0200-00002B000000}" name="列43" headerRowCellStyle="好" dataCellStyle="好"/>
    <tableColumn id="44" xr3:uid="{00000000-0010-0000-0200-00002C000000}" name="列44" headerRowCellStyle="好" dataCellStyle="好"/>
    <tableColumn id="45" xr3:uid="{00000000-0010-0000-0200-00002D000000}" name="列45" headerRowCellStyle="好" dataCellStyle="好"/>
    <tableColumn id="46" xr3:uid="{00000000-0010-0000-0200-00002E000000}" name="列46" headerRowCellStyle="好" dataCellStyle="好"/>
    <tableColumn id="47" xr3:uid="{00000000-0010-0000-0200-00002F000000}" name="列47" headerRowCellStyle="好" dataCellStyle="好"/>
    <tableColumn id="48" xr3:uid="{00000000-0010-0000-0200-000030000000}" name="列48" headerRowCellStyle="好" dataCellStyle="好"/>
    <tableColumn id="49" xr3:uid="{00000000-0010-0000-0200-000031000000}" name="列49" headerRowCellStyle="好" dataCellStyle="好"/>
    <tableColumn id="50" xr3:uid="{00000000-0010-0000-0200-000032000000}" name="列50" headerRowCellStyle="好" dataCellStyle="好"/>
    <tableColumn id="51" xr3:uid="{00000000-0010-0000-0200-000033000000}" name="列51" headerRowCellStyle="好" dataCellStyle="好"/>
    <tableColumn id="52" xr3:uid="{00000000-0010-0000-0200-000034000000}" name="列52" headerRowCellStyle="好" dataCellStyle="好"/>
    <tableColumn id="53" xr3:uid="{00000000-0010-0000-0200-000035000000}" name="列53" headerRowCellStyle="好" dataCellStyle="好"/>
    <tableColumn id="54" xr3:uid="{00000000-0010-0000-0200-000036000000}" name="列54" headerRowCellStyle="好" dataCellStyle="好"/>
    <tableColumn id="55" xr3:uid="{00000000-0010-0000-0200-000037000000}" name="列55" headerRowCellStyle="好" dataCellStyle="好"/>
    <tableColumn id="56" xr3:uid="{00000000-0010-0000-0200-000038000000}" name="列56" headerRowCellStyle="好" dataCellStyle="好"/>
    <tableColumn id="57" xr3:uid="{00000000-0010-0000-0200-000039000000}" name="列57" headerRowCellStyle="好" dataCellStyle="好"/>
    <tableColumn id="58" xr3:uid="{00000000-0010-0000-0200-00003A000000}" name="列58" headerRowCellStyle="好" dataCellStyle="好"/>
    <tableColumn id="59" xr3:uid="{00000000-0010-0000-0200-00003B000000}" name="列59" headerRowCellStyle="好" dataCellStyle="好"/>
    <tableColumn id="60" xr3:uid="{00000000-0010-0000-0200-00003C000000}" name="列60" headerRowCellStyle="好" dataCellStyle="好"/>
    <tableColumn id="61" xr3:uid="{00000000-0010-0000-0200-00003D000000}" name="列61" headerRowCellStyle="好" dataCellStyle="好"/>
    <tableColumn id="62" xr3:uid="{00000000-0010-0000-0200-00003E000000}" name="列62" headerRowCellStyle="好" dataCellStyle="好"/>
    <tableColumn id="63" xr3:uid="{00000000-0010-0000-0200-00003F000000}" name="列63" headerRowCellStyle="好" dataCellStyle="好"/>
    <tableColumn id="64" xr3:uid="{00000000-0010-0000-0200-000040000000}" name="列64" headerRowCellStyle="好" dataCellStyle="好"/>
    <tableColumn id="65" xr3:uid="{00000000-0010-0000-0200-000041000000}" name="列65" headerRowCellStyle="好" dataCellStyle="好"/>
    <tableColumn id="66" xr3:uid="{00000000-0010-0000-0200-000042000000}" name="列66" headerRowCellStyle="好" dataCellStyle="好"/>
    <tableColumn id="67" xr3:uid="{00000000-0010-0000-0200-000043000000}" name="列67" headerRowCellStyle="好" dataCellStyle="好"/>
    <tableColumn id="68" xr3:uid="{00000000-0010-0000-0200-000044000000}" name="列68" headerRowCellStyle="好" dataCellStyle="好"/>
    <tableColumn id="69" xr3:uid="{00000000-0010-0000-0200-000045000000}" name="列69" headerRowCellStyle="好" dataCellStyle="好"/>
    <tableColumn id="70" xr3:uid="{00000000-0010-0000-0200-000046000000}" name="列70" headerRowCellStyle="好" dataCellStyle="好"/>
    <tableColumn id="71" xr3:uid="{00000000-0010-0000-0200-000047000000}" name="列71" headerRowCellStyle="好" dataCellStyle="好"/>
    <tableColumn id="72" xr3:uid="{00000000-0010-0000-0200-000048000000}" name="列72" headerRowCellStyle="好" dataCellStyle="好"/>
    <tableColumn id="73" xr3:uid="{00000000-0010-0000-0200-000049000000}" name="列73" headerRowCellStyle="好" dataCellStyle="好"/>
    <tableColumn id="74" xr3:uid="{00000000-0010-0000-0200-00004A000000}" name="列74" headerRowCellStyle="好" dataCellStyle="好"/>
    <tableColumn id="75" xr3:uid="{00000000-0010-0000-0200-00004B000000}" name="列75" headerRowCellStyle="好" dataCellStyle="好"/>
    <tableColumn id="76" xr3:uid="{00000000-0010-0000-0200-00004C000000}" name="列76" headerRowCellStyle="好" dataCellStyle="好"/>
    <tableColumn id="77" xr3:uid="{00000000-0010-0000-0200-00004D000000}" name="列77" headerRowCellStyle="好" dataCellStyle="好"/>
    <tableColumn id="78" xr3:uid="{00000000-0010-0000-0200-00004E000000}" name="列78" headerRowCellStyle="好" dataCellStyle="好"/>
    <tableColumn id="79" xr3:uid="{00000000-0010-0000-0200-00004F000000}" name="列79" headerRowCellStyle="好" dataCellStyle="好"/>
    <tableColumn id="80" xr3:uid="{00000000-0010-0000-0200-000050000000}" name="列80" headerRowCellStyle="好" dataCellStyle="好"/>
    <tableColumn id="81" xr3:uid="{00000000-0010-0000-0200-000051000000}" name="列81" headerRowCellStyle="好" dataCellStyle="好"/>
    <tableColumn id="82" xr3:uid="{00000000-0010-0000-0200-000052000000}" name="列82" headerRowCellStyle="好" dataCellStyle="好"/>
    <tableColumn id="83" xr3:uid="{00000000-0010-0000-0200-000053000000}" name="列83" headerRowCellStyle="好" dataCellStyle="好"/>
    <tableColumn id="84" xr3:uid="{00000000-0010-0000-0200-000054000000}" name="列84" headerRowCellStyle="好" dataCellStyle="好"/>
    <tableColumn id="85" xr3:uid="{00000000-0010-0000-0200-000055000000}" name="列85" headerRowCellStyle="好" dataCellStyle="好"/>
    <tableColumn id="86" xr3:uid="{00000000-0010-0000-0200-000056000000}" name="列86" headerRowCellStyle="好" dataCellStyle="好"/>
    <tableColumn id="87" xr3:uid="{00000000-0010-0000-0200-000057000000}" name="列87" headerRowCellStyle="好" dataCellStyle="好"/>
    <tableColumn id="88" xr3:uid="{00000000-0010-0000-0200-000058000000}" name="列88" headerRowCellStyle="好" dataCellStyle="好"/>
    <tableColumn id="89" xr3:uid="{00000000-0010-0000-0200-000059000000}" name="列89" headerRowCellStyle="好" dataCellStyle="好"/>
  </tableColumns>
  <tableStyleInfo name="TableStyleLight18"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table" Target="../tables/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资产负债表"/>
  <dimension ref="A1:AQ85"/>
  <sheetViews>
    <sheetView workbookViewId="0">
      <selection activeCell="Y25" sqref="Y25"/>
    </sheetView>
  </sheetViews>
  <sheetFormatPr defaultRowHeight="14.4" x14ac:dyDescent="0.25"/>
  <cols>
    <col min="1" max="1" width="35.88671875" style="190" bestFit="1" customWidth="1"/>
    <col min="2" max="2" width="12.77734375" style="190" hidden="1" customWidth="1"/>
    <col min="3" max="4" width="13.88671875" style="190" hidden="1" customWidth="1"/>
    <col min="5" max="5" width="13.88671875" style="190" bestFit="1" customWidth="1"/>
    <col min="6" max="6" width="13.88671875" style="190" hidden="1" customWidth="1"/>
    <col min="7" max="8" width="12.77734375" style="190" hidden="1" customWidth="1"/>
    <col min="9" max="9" width="12.77734375" style="190" bestFit="1" customWidth="1"/>
    <col min="10" max="12" width="12.77734375" style="190" hidden="1" customWidth="1"/>
    <col min="13" max="13" width="12.77734375" style="190" bestFit="1" customWidth="1"/>
    <col min="14" max="16" width="12.77734375" style="190" hidden="1" customWidth="1"/>
    <col min="17" max="17" width="12.77734375" style="190" bestFit="1" customWidth="1"/>
    <col min="18" max="20" width="12.77734375" style="190" hidden="1" customWidth="1"/>
    <col min="21" max="21" width="12.77734375" style="190" bestFit="1" customWidth="1"/>
    <col min="22" max="22" width="12.77734375" style="190" hidden="1" customWidth="1"/>
    <col min="23" max="23" width="13.88671875" style="190" hidden="1" customWidth="1"/>
    <col min="24" max="24" width="12.77734375" style="190" hidden="1" customWidth="1"/>
    <col min="25" max="25" width="12.77734375" style="190" bestFit="1" customWidth="1"/>
    <col min="26" max="28" width="12.77734375" style="190" hidden="1" customWidth="1"/>
    <col min="29" max="29" width="12.77734375" style="190" bestFit="1" customWidth="1"/>
    <col min="30" max="30" width="12.77734375" style="190" hidden="1" customWidth="1"/>
    <col min="31" max="31" width="13.88671875" style="190" hidden="1" customWidth="1"/>
    <col min="32" max="32" width="12.77734375" style="190" hidden="1" customWidth="1"/>
    <col min="33" max="33" width="12.77734375" style="190" bestFit="1" customWidth="1"/>
    <col min="34" max="36" width="12.77734375" style="190" hidden="1" customWidth="1"/>
    <col min="37" max="37" width="12.77734375" style="190" bestFit="1" customWidth="1"/>
    <col min="38" max="39" width="12.77734375" style="190" hidden="1" customWidth="1"/>
    <col min="40" max="42" width="12.77734375" style="190" bestFit="1" customWidth="1"/>
    <col min="43" max="43" width="9.5546875" style="190" hidden="1" customWidth="1"/>
    <col min="44" max="16384" width="8.88671875" style="190"/>
  </cols>
  <sheetData>
    <row r="1" spans="1:43" x14ac:dyDescent="0.25">
      <c r="A1" s="190">
        <v>2293</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20081231</v>
      </c>
      <c r="AO1" s="190">
        <v>20071231</v>
      </c>
      <c r="AP1" s="190">
        <v>20061231</v>
      </c>
      <c r="AQ1" s="190">
        <v>19700101</v>
      </c>
    </row>
    <row r="2" spans="1:43" x14ac:dyDescent="0.25">
      <c r="A2" s="190" t="s">
        <v>105</v>
      </c>
      <c r="B2" s="190" t="s">
        <v>106</v>
      </c>
      <c r="C2" s="190" t="s">
        <v>106</v>
      </c>
      <c r="D2" s="190" t="s">
        <v>106</v>
      </c>
      <c r="E2" s="190" t="s">
        <v>106</v>
      </c>
      <c r="F2" s="190" t="s">
        <v>106</v>
      </c>
      <c r="G2" s="190" t="s">
        <v>106</v>
      </c>
      <c r="H2" s="190" t="s">
        <v>106</v>
      </c>
      <c r="I2" s="190" t="s">
        <v>106</v>
      </c>
      <c r="J2" s="190" t="s">
        <v>106</v>
      </c>
      <c r="K2" s="190" t="s">
        <v>106</v>
      </c>
      <c r="L2" s="190" t="s">
        <v>106</v>
      </c>
      <c r="M2" s="190" t="s">
        <v>106</v>
      </c>
      <c r="N2" s="190" t="s">
        <v>106</v>
      </c>
      <c r="O2" s="190" t="s">
        <v>106</v>
      </c>
      <c r="P2" s="190" t="s">
        <v>106</v>
      </c>
      <c r="Q2" s="190" t="s">
        <v>106</v>
      </c>
      <c r="R2" s="190" t="s">
        <v>106</v>
      </c>
      <c r="S2" s="190" t="s">
        <v>106</v>
      </c>
      <c r="T2" s="190" t="s">
        <v>106</v>
      </c>
      <c r="U2" s="190" t="s">
        <v>106</v>
      </c>
      <c r="V2" s="190" t="s">
        <v>106</v>
      </c>
      <c r="W2" s="190" t="s">
        <v>106</v>
      </c>
      <c r="X2" s="190" t="s">
        <v>106</v>
      </c>
      <c r="Y2" s="190" t="s">
        <v>106</v>
      </c>
      <c r="Z2" s="190" t="s">
        <v>106</v>
      </c>
      <c r="AA2" s="190" t="s">
        <v>106</v>
      </c>
      <c r="AB2" s="190" t="s">
        <v>106</v>
      </c>
      <c r="AC2" s="190" t="s">
        <v>106</v>
      </c>
      <c r="AD2" s="190" t="s">
        <v>106</v>
      </c>
      <c r="AE2" s="190" t="s">
        <v>106</v>
      </c>
      <c r="AF2" s="190" t="s">
        <v>106</v>
      </c>
      <c r="AG2" s="190" t="s">
        <v>106</v>
      </c>
      <c r="AH2" s="190" t="s">
        <v>106</v>
      </c>
      <c r="AI2" s="190" t="s">
        <v>106</v>
      </c>
      <c r="AJ2" s="190" t="s">
        <v>106</v>
      </c>
      <c r="AK2" s="190" t="s">
        <v>106</v>
      </c>
      <c r="AL2" s="190" t="s">
        <v>106</v>
      </c>
      <c r="AM2" s="190" t="s">
        <v>106</v>
      </c>
      <c r="AN2" s="190" t="s">
        <v>106</v>
      </c>
      <c r="AO2" s="190" t="s">
        <v>106</v>
      </c>
      <c r="AP2" s="190" t="s">
        <v>106</v>
      </c>
    </row>
    <row r="3" spans="1:43" x14ac:dyDescent="0.25">
      <c r="A3" s="190" t="s">
        <v>107</v>
      </c>
    </row>
    <row r="4" spans="1:43" x14ac:dyDescent="0.25">
      <c r="A4" s="190" t="s">
        <v>108</v>
      </c>
      <c r="B4" s="190">
        <v>710118691.26999998</v>
      </c>
      <c r="C4" s="190">
        <v>770050427.76999998</v>
      </c>
      <c r="D4" s="190">
        <v>920634080.02999997</v>
      </c>
      <c r="E4" s="190">
        <v>430523371.25999999</v>
      </c>
      <c r="F4" s="190">
        <v>352507611.31</v>
      </c>
      <c r="G4" s="190">
        <v>602354687.92999995</v>
      </c>
      <c r="H4" s="190">
        <v>676673658.49000001</v>
      </c>
      <c r="I4" s="190">
        <v>1158545020.5699999</v>
      </c>
      <c r="J4" s="190">
        <v>528927546.98000002</v>
      </c>
      <c r="K4" s="190">
        <v>566329470.64999998</v>
      </c>
      <c r="L4" s="190">
        <v>692567896.78999996</v>
      </c>
      <c r="M4" s="190">
        <v>589602793.25999999</v>
      </c>
      <c r="N4" s="190">
        <v>736928180.35000002</v>
      </c>
      <c r="O4" s="190">
        <v>619994822.77999997</v>
      </c>
      <c r="P4" s="190">
        <v>669893756.87</v>
      </c>
      <c r="Q4" s="190">
        <v>647204677.45000005</v>
      </c>
      <c r="R4" s="190">
        <v>629117054.61000001</v>
      </c>
      <c r="S4" s="190">
        <v>835542721.87</v>
      </c>
      <c r="T4" s="190">
        <v>884858061.70000005</v>
      </c>
      <c r="U4" s="190">
        <v>932276706.14999998</v>
      </c>
      <c r="V4" s="190">
        <v>902923862.08000004</v>
      </c>
      <c r="W4" s="190">
        <v>668725962.38</v>
      </c>
      <c r="X4" s="190">
        <v>841093308.09000003</v>
      </c>
      <c r="Y4" s="190">
        <v>956043885.24000001</v>
      </c>
      <c r="Z4" s="190">
        <v>803173622.38</v>
      </c>
      <c r="AA4" s="190">
        <v>667828913.97000003</v>
      </c>
      <c r="AB4" s="190">
        <v>1014024416.74</v>
      </c>
      <c r="AC4" s="190">
        <v>1002302902.5700001</v>
      </c>
      <c r="AD4" s="190">
        <v>982362386.38999999</v>
      </c>
      <c r="AE4" s="190">
        <v>862194779.22000003</v>
      </c>
      <c r="AF4" s="190">
        <v>1151874426.3</v>
      </c>
      <c r="AG4" s="190">
        <v>1057191976.45</v>
      </c>
      <c r="AH4" s="190">
        <v>960610001.01999998</v>
      </c>
      <c r="AI4" s="190">
        <v>930790908.42999995</v>
      </c>
      <c r="AJ4" s="190">
        <v>1127355392.73</v>
      </c>
      <c r="AK4" s="190">
        <v>1066884381.7</v>
      </c>
      <c r="AL4" s="190">
        <v>1057983159.11</v>
      </c>
      <c r="AM4" s="190">
        <v>74808751.980000004</v>
      </c>
      <c r="AN4" s="190">
        <v>78505801.079999998</v>
      </c>
      <c r="AO4" s="190">
        <v>45134760.259999998</v>
      </c>
      <c r="AP4" s="190">
        <v>52609626.460000001</v>
      </c>
      <c r="AQ4" s="190">
        <v>0</v>
      </c>
    </row>
    <row r="5" spans="1:43" x14ac:dyDescent="0.25">
      <c r="A5" s="190" t="s">
        <v>109</v>
      </c>
      <c r="B5" s="190">
        <v>0</v>
      </c>
      <c r="C5" s="190">
        <v>0</v>
      </c>
      <c r="D5" s="190">
        <v>0</v>
      </c>
      <c r="E5" s="190">
        <v>0</v>
      </c>
      <c r="F5" s="190">
        <v>0</v>
      </c>
      <c r="G5" s="190">
        <v>0</v>
      </c>
      <c r="H5" s="190">
        <v>0</v>
      </c>
      <c r="I5" s="190">
        <v>0</v>
      </c>
      <c r="J5" s="190">
        <v>0</v>
      </c>
      <c r="K5" s="190">
        <v>0</v>
      </c>
      <c r="L5" s="190">
        <v>0</v>
      </c>
      <c r="M5" s="190">
        <v>0</v>
      </c>
      <c r="N5" s="190">
        <v>0</v>
      </c>
      <c r="O5" s="190">
        <v>0</v>
      </c>
      <c r="P5" s="190">
        <v>0</v>
      </c>
      <c r="Q5" s="190">
        <v>0</v>
      </c>
      <c r="R5" s="190">
        <v>0</v>
      </c>
      <c r="S5" s="190">
        <v>0</v>
      </c>
      <c r="T5" s="190">
        <v>0</v>
      </c>
      <c r="U5" s="190">
        <v>0</v>
      </c>
      <c r="V5" s="190">
        <v>0</v>
      </c>
      <c r="W5" s="190">
        <v>0</v>
      </c>
      <c r="X5" s="190">
        <v>0</v>
      </c>
      <c r="Y5" s="190">
        <v>0</v>
      </c>
      <c r="Z5" s="190">
        <v>0</v>
      </c>
      <c r="AA5" s="190">
        <v>0</v>
      </c>
      <c r="AB5" s="190">
        <v>0</v>
      </c>
      <c r="AC5" s="190">
        <v>0</v>
      </c>
      <c r="AD5" s="190">
        <v>0</v>
      </c>
      <c r="AE5" s="190">
        <v>0</v>
      </c>
      <c r="AF5" s="190">
        <v>0</v>
      </c>
      <c r="AG5" s="190">
        <v>0</v>
      </c>
      <c r="AH5" s="190">
        <v>0</v>
      </c>
      <c r="AI5" s="190">
        <v>0</v>
      </c>
      <c r="AJ5" s="190">
        <v>0</v>
      </c>
      <c r="AK5" s="190">
        <v>0</v>
      </c>
      <c r="AL5" s="190">
        <v>0</v>
      </c>
      <c r="AM5" s="190">
        <v>0</v>
      </c>
      <c r="AN5" s="190">
        <v>0</v>
      </c>
      <c r="AO5" s="190">
        <v>0</v>
      </c>
      <c r="AP5" s="190">
        <v>0</v>
      </c>
      <c r="AQ5" s="190">
        <v>0</v>
      </c>
    </row>
    <row r="6" spans="1:43" x14ac:dyDescent="0.25">
      <c r="A6" s="190" t="s">
        <v>110</v>
      </c>
      <c r="B6" s="190">
        <v>0</v>
      </c>
      <c r="C6" s="190">
        <v>0</v>
      </c>
      <c r="D6" s="190">
        <v>0</v>
      </c>
      <c r="E6" s="190">
        <v>0</v>
      </c>
      <c r="F6" s="190">
        <v>0</v>
      </c>
      <c r="G6" s="190">
        <v>0</v>
      </c>
      <c r="H6" s="190">
        <v>0</v>
      </c>
      <c r="I6" s="190">
        <v>0</v>
      </c>
      <c r="J6" s="190">
        <v>0</v>
      </c>
      <c r="K6" s="190">
        <v>0</v>
      </c>
      <c r="L6" s="190">
        <v>0</v>
      </c>
      <c r="M6" s="190">
        <v>0</v>
      </c>
      <c r="N6" s="190">
        <v>0</v>
      </c>
      <c r="O6" s="190">
        <v>0</v>
      </c>
      <c r="P6" s="190">
        <v>0</v>
      </c>
      <c r="Q6" s="190">
        <v>0</v>
      </c>
      <c r="R6" s="190">
        <v>0</v>
      </c>
      <c r="S6" s="190">
        <v>0</v>
      </c>
      <c r="T6" s="190">
        <v>0</v>
      </c>
      <c r="U6" s="190">
        <v>0</v>
      </c>
      <c r="V6" s="190">
        <v>0</v>
      </c>
      <c r="W6" s="190">
        <v>0</v>
      </c>
      <c r="X6" s="190">
        <v>0</v>
      </c>
      <c r="Y6" s="190">
        <v>0</v>
      </c>
      <c r="Z6" s="190">
        <v>0</v>
      </c>
      <c r="AA6" s="190">
        <v>0</v>
      </c>
      <c r="AB6" s="190">
        <v>0</v>
      </c>
      <c r="AC6" s="190">
        <v>0</v>
      </c>
      <c r="AD6" s="190">
        <v>0</v>
      </c>
      <c r="AE6" s="190">
        <v>0</v>
      </c>
      <c r="AF6" s="190">
        <v>0</v>
      </c>
      <c r="AG6" s="190">
        <v>0</v>
      </c>
      <c r="AH6" s="190">
        <v>0</v>
      </c>
      <c r="AI6" s="190">
        <v>0</v>
      </c>
      <c r="AJ6" s="190">
        <v>0</v>
      </c>
      <c r="AK6" s="190">
        <v>0</v>
      </c>
      <c r="AL6" s="190">
        <v>0</v>
      </c>
      <c r="AM6" s="190">
        <v>0</v>
      </c>
      <c r="AN6" s="190">
        <v>0</v>
      </c>
      <c r="AO6" s="190">
        <v>0</v>
      </c>
      <c r="AP6" s="190">
        <v>0</v>
      </c>
      <c r="AQ6" s="190">
        <v>0</v>
      </c>
    </row>
    <row r="7" spans="1:43" x14ac:dyDescent="0.25">
      <c r="A7" s="190" t="s">
        <v>111</v>
      </c>
      <c r="B7" s="190">
        <v>2091940</v>
      </c>
      <c r="C7" s="190">
        <v>12188750.060000001</v>
      </c>
      <c r="D7" s="190">
        <v>12253833.02</v>
      </c>
      <c r="E7" s="190">
        <v>3849740</v>
      </c>
      <c r="F7" s="190">
        <v>2270355</v>
      </c>
      <c r="G7" s="190">
        <v>410000</v>
      </c>
      <c r="H7" s="190">
        <v>260000</v>
      </c>
      <c r="I7" s="190">
        <v>1745397.86</v>
      </c>
      <c r="J7" s="190">
        <v>1670538.45</v>
      </c>
      <c r="K7" s="190">
        <v>1901931.76</v>
      </c>
      <c r="L7" s="190">
        <v>1621023.8</v>
      </c>
      <c r="M7" s="190">
        <v>1172800</v>
      </c>
      <c r="N7" s="190">
        <v>960000</v>
      </c>
      <c r="O7" s="190">
        <v>642464.94999999995</v>
      </c>
      <c r="P7" s="190">
        <v>714615.16</v>
      </c>
      <c r="Q7" s="190">
        <v>989915.78</v>
      </c>
      <c r="R7" s="190">
        <v>1037190.86</v>
      </c>
      <c r="S7" s="190">
        <v>3400644.27</v>
      </c>
      <c r="T7" s="190">
        <v>2306793.2999999998</v>
      </c>
      <c r="U7" s="190">
        <v>1548416.19</v>
      </c>
      <c r="V7" s="190">
        <v>6040809</v>
      </c>
      <c r="W7" s="190">
        <v>564541.11</v>
      </c>
      <c r="X7" s="190">
        <v>1149010.01</v>
      </c>
      <c r="Y7" s="190">
        <v>270236.12</v>
      </c>
      <c r="Z7" s="190">
        <v>409012.88</v>
      </c>
      <c r="AA7" s="190">
        <v>105891.24</v>
      </c>
      <c r="AB7" s="190">
        <v>775288.63</v>
      </c>
      <c r="AC7" s="190">
        <v>193838.98</v>
      </c>
      <c r="AD7" s="190">
        <v>79436.14</v>
      </c>
      <c r="AE7" s="190">
        <v>409616.21</v>
      </c>
      <c r="AF7" s="190">
        <v>4603722.82</v>
      </c>
      <c r="AG7" s="190">
        <v>11958225.689999999</v>
      </c>
      <c r="AH7" s="190">
        <v>0</v>
      </c>
      <c r="AI7" s="190">
        <v>513410.17</v>
      </c>
      <c r="AJ7" s="190">
        <v>572196.31999999995</v>
      </c>
      <c r="AK7" s="190">
        <v>2245820.88</v>
      </c>
      <c r="AL7" s="190">
        <v>661669.98</v>
      </c>
      <c r="AM7" s="190">
        <v>636142.48</v>
      </c>
      <c r="AN7" s="190">
        <v>649386.37</v>
      </c>
      <c r="AO7" s="190">
        <v>0</v>
      </c>
      <c r="AP7" s="190">
        <v>0</v>
      </c>
      <c r="AQ7" s="190">
        <v>0</v>
      </c>
    </row>
    <row r="8" spans="1:43" x14ac:dyDescent="0.25">
      <c r="A8" s="190" t="s">
        <v>112</v>
      </c>
      <c r="B8" s="190">
        <v>580853983.89999998</v>
      </c>
      <c r="C8" s="190">
        <v>438138467.91000003</v>
      </c>
      <c r="D8" s="190">
        <v>460113507.56</v>
      </c>
      <c r="E8" s="190">
        <v>480808686.57999998</v>
      </c>
      <c r="F8" s="190">
        <v>445741889.49000001</v>
      </c>
      <c r="G8" s="190">
        <v>382694965.16000003</v>
      </c>
      <c r="H8" s="190">
        <v>398118229.81</v>
      </c>
      <c r="I8" s="190">
        <v>292689716.82999998</v>
      </c>
      <c r="J8" s="190">
        <v>330087803.26999998</v>
      </c>
      <c r="K8" s="190">
        <v>298798072.86000001</v>
      </c>
      <c r="L8" s="190">
        <v>338224879.04000002</v>
      </c>
      <c r="M8" s="190">
        <v>268050567.55000001</v>
      </c>
      <c r="N8" s="190">
        <v>240127970.28999999</v>
      </c>
      <c r="O8" s="190">
        <v>221055510.58000001</v>
      </c>
      <c r="P8" s="190">
        <v>180887944.47</v>
      </c>
      <c r="Q8" s="190">
        <v>156591378.72</v>
      </c>
      <c r="R8" s="190">
        <v>152840645.81999999</v>
      </c>
      <c r="S8" s="190">
        <v>134532205.19</v>
      </c>
      <c r="T8" s="190">
        <v>130972515.98</v>
      </c>
      <c r="U8" s="190">
        <v>132063513.7</v>
      </c>
      <c r="V8" s="190">
        <v>124871179.90000001</v>
      </c>
      <c r="W8" s="190">
        <v>141457222.31999999</v>
      </c>
      <c r="X8" s="190">
        <v>163110571.53999999</v>
      </c>
      <c r="Y8" s="190">
        <v>159483692.58000001</v>
      </c>
      <c r="Z8" s="190">
        <v>165683910.00999999</v>
      </c>
      <c r="AA8" s="190">
        <v>115874864.73</v>
      </c>
      <c r="AB8" s="190">
        <v>132265022.66</v>
      </c>
      <c r="AC8" s="190">
        <v>153660489.46000001</v>
      </c>
      <c r="AD8" s="190">
        <v>126832137.70999999</v>
      </c>
      <c r="AE8" s="190">
        <v>84022778.739999995</v>
      </c>
      <c r="AF8" s="190">
        <v>86961545.939999998</v>
      </c>
      <c r="AG8" s="190">
        <v>99426063.010000005</v>
      </c>
      <c r="AH8" s="190">
        <v>75509383.540000007</v>
      </c>
      <c r="AI8" s="190">
        <v>52645021.25</v>
      </c>
      <c r="AJ8" s="190">
        <v>55236444.68</v>
      </c>
      <c r="AK8" s="190">
        <v>66426527.350000001</v>
      </c>
      <c r="AL8" s="190">
        <v>60291407.140000001</v>
      </c>
      <c r="AM8" s="190">
        <v>39063226.340000004</v>
      </c>
      <c r="AN8" s="190">
        <v>38675860.380000003</v>
      </c>
      <c r="AO8" s="190">
        <v>28767328.260000002</v>
      </c>
      <c r="AP8" s="190">
        <v>11045312.02</v>
      </c>
      <c r="AQ8" s="190">
        <v>0</v>
      </c>
    </row>
    <row r="9" spans="1:43" x14ac:dyDescent="0.25">
      <c r="A9" s="190" t="s">
        <v>113</v>
      </c>
      <c r="B9" s="190">
        <v>157071278.47999999</v>
      </c>
      <c r="C9" s="190">
        <v>132211765.58</v>
      </c>
      <c r="D9" s="190">
        <v>134453571.00999999</v>
      </c>
      <c r="E9" s="190">
        <v>73868976.25</v>
      </c>
      <c r="F9" s="190">
        <v>172279007.19999999</v>
      </c>
      <c r="G9" s="190">
        <v>131829615.06999999</v>
      </c>
      <c r="H9" s="190">
        <v>117784622.39</v>
      </c>
      <c r="I9" s="190">
        <v>100072947.19</v>
      </c>
      <c r="J9" s="190">
        <v>103049985.63</v>
      </c>
      <c r="K9" s="190">
        <v>133853356.81999999</v>
      </c>
      <c r="L9" s="190">
        <v>161630190.78</v>
      </c>
      <c r="M9" s="190">
        <v>103972259.95</v>
      </c>
      <c r="N9" s="190">
        <v>109776822.94</v>
      </c>
      <c r="O9" s="190">
        <v>81482699.400000006</v>
      </c>
      <c r="P9" s="190">
        <v>71800718.560000002</v>
      </c>
      <c r="Q9" s="190">
        <v>44531778.509999998</v>
      </c>
      <c r="R9" s="190">
        <v>49124891.990000002</v>
      </c>
      <c r="S9" s="190">
        <v>49707263.079999998</v>
      </c>
      <c r="T9" s="190">
        <v>41434499.039999999</v>
      </c>
      <c r="U9" s="190">
        <v>40227425.159999996</v>
      </c>
      <c r="V9" s="190">
        <v>54840704.670000002</v>
      </c>
      <c r="W9" s="190">
        <v>75498363.569999993</v>
      </c>
      <c r="X9" s="190">
        <v>66621828.310000002</v>
      </c>
      <c r="Y9" s="190">
        <v>65789624.579999998</v>
      </c>
      <c r="Z9" s="190">
        <v>86594855.659999996</v>
      </c>
      <c r="AA9" s="190">
        <v>100884181.02</v>
      </c>
      <c r="AB9" s="190">
        <v>54122787.810000002</v>
      </c>
      <c r="AC9" s="190">
        <v>40548494.140000001</v>
      </c>
      <c r="AD9" s="190">
        <v>46639715</v>
      </c>
      <c r="AE9" s="190">
        <v>36061124.840000004</v>
      </c>
      <c r="AF9" s="190">
        <v>24205182.16</v>
      </c>
      <c r="AG9" s="190">
        <v>25141448.399999999</v>
      </c>
      <c r="AH9" s="190">
        <v>24313994.920000002</v>
      </c>
      <c r="AI9" s="190">
        <v>17714076.780000001</v>
      </c>
      <c r="AJ9" s="190">
        <v>15301435.41</v>
      </c>
      <c r="AK9" s="190">
        <v>17069909.039999999</v>
      </c>
      <c r="AL9" s="190">
        <v>22248730.899999999</v>
      </c>
      <c r="AM9" s="190">
        <v>15215885.380000001</v>
      </c>
      <c r="AN9" s="190">
        <v>19104243.850000001</v>
      </c>
      <c r="AO9" s="190">
        <v>17911488.699999999</v>
      </c>
      <c r="AP9" s="190">
        <v>13983529.800000001</v>
      </c>
      <c r="AQ9" s="190">
        <v>0</v>
      </c>
    </row>
    <row r="10" spans="1:43" x14ac:dyDescent="0.25">
      <c r="A10" s="190" t="s">
        <v>114</v>
      </c>
      <c r="B10" s="190">
        <v>0</v>
      </c>
      <c r="C10" s="190">
        <v>0</v>
      </c>
      <c r="D10" s="190">
        <v>0</v>
      </c>
      <c r="E10" s="190">
        <v>0</v>
      </c>
      <c r="F10" s="190">
        <v>0</v>
      </c>
      <c r="G10" s="190">
        <v>0</v>
      </c>
      <c r="H10" s="190">
        <v>0</v>
      </c>
      <c r="I10" s="190">
        <v>0</v>
      </c>
      <c r="J10" s="190">
        <v>0</v>
      </c>
      <c r="K10" s="190">
        <v>0</v>
      </c>
      <c r="L10" s="190">
        <v>0</v>
      </c>
      <c r="M10" s="190">
        <v>0</v>
      </c>
      <c r="N10" s="190">
        <v>0</v>
      </c>
      <c r="O10" s="190">
        <v>0</v>
      </c>
      <c r="P10" s="190">
        <v>0</v>
      </c>
      <c r="Q10" s="190">
        <v>0</v>
      </c>
      <c r="R10" s="190">
        <v>0</v>
      </c>
      <c r="S10" s="190">
        <v>0</v>
      </c>
      <c r="T10" s="190">
        <v>0</v>
      </c>
      <c r="U10" s="190">
        <v>0</v>
      </c>
      <c r="V10" s="190">
        <v>0</v>
      </c>
      <c r="W10" s="190">
        <v>0</v>
      </c>
      <c r="X10" s="190">
        <v>0</v>
      </c>
      <c r="Y10" s="190">
        <v>0</v>
      </c>
      <c r="Z10" s="190">
        <v>0</v>
      </c>
      <c r="AA10" s="190">
        <v>0</v>
      </c>
      <c r="AB10" s="190">
        <v>0</v>
      </c>
      <c r="AC10" s="190">
        <v>0</v>
      </c>
      <c r="AD10" s="190">
        <v>0</v>
      </c>
      <c r="AE10" s="190">
        <v>0</v>
      </c>
      <c r="AF10" s="190">
        <v>0</v>
      </c>
      <c r="AG10" s="190">
        <v>0</v>
      </c>
      <c r="AH10" s="190">
        <v>0</v>
      </c>
      <c r="AI10" s="190">
        <v>0</v>
      </c>
      <c r="AJ10" s="190">
        <v>0</v>
      </c>
      <c r="AK10" s="190">
        <v>0</v>
      </c>
      <c r="AL10" s="190">
        <v>0</v>
      </c>
      <c r="AM10" s="190">
        <v>0</v>
      </c>
      <c r="AN10" s="190">
        <v>0</v>
      </c>
      <c r="AO10" s="190">
        <v>0</v>
      </c>
      <c r="AP10" s="190">
        <v>0</v>
      </c>
      <c r="AQ10" s="190">
        <v>0</v>
      </c>
    </row>
    <row r="11" spans="1:43" x14ac:dyDescent="0.25">
      <c r="A11" s="190" t="s">
        <v>115</v>
      </c>
      <c r="B11" s="190">
        <v>0</v>
      </c>
      <c r="C11" s="190">
        <v>0</v>
      </c>
      <c r="D11" s="190">
        <v>0</v>
      </c>
      <c r="E11" s="190">
        <v>0</v>
      </c>
      <c r="F11" s="190">
        <v>0</v>
      </c>
      <c r="G11" s="190">
        <v>0</v>
      </c>
      <c r="H11" s="190">
        <v>0</v>
      </c>
      <c r="I11" s="190">
        <v>0</v>
      </c>
      <c r="J11" s="190">
        <v>0</v>
      </c>
      <c r="K11" s="190">
        <v>0</v>
      </c>
      <c r="L11" s="190">
        <v>0</v>
      </c>
      <c r="M11" s="190">
        <v>0</v>
      </c>
      <c r="N11" s="190">
        <v>0</v>
      </c>
      <c r="O11" s="190">
        <v>0</v>
      </c>
      <c r="P11" s="190">
        <v>0</v>
      </c>
      <c r="Q11" s="190">
        <v>0</v>
      </c>
      <c r="R11" s="190">
        <v>0</v>
      </c>
      <c r="S11" s="190">
        <v>0</v>
      </c>
      <c r="T11" s="190">
        <v>0</v>
      </c>
      <c r="U11" s="190">
        <v>0</v>
      </c>
      <c r="V11" s="190">
        <v>0</v>
      </c>
      <c r="W11" s="190">
        <v>0</v>
      </c>
      <c r="X11" s="190">
        <v>0</v>
      </c>
      <c r="Y11" s="190">
        <v>0</v>
      </c>
      <c r="Z11" s="190">
        <v>0</v>
      </c>
      <c r="AA11" s="190">
        <v>0</v>
      </c>
      <c r="AB11" s="190">
        <v>0</v>
      </c>
      <c r="AC11" s="190">
        <v>0</v>
      </c>
      <c r="AD11" s="190">
        <v>0</v>
      </c>
      <c r="AE11" s="190">
        <v>0</v>
      </c>
      <c r="AF11" s="190">
        <v>0</v>
      </c>
      <c r="AG11" s="190">
        <v>0</v>
      </c>
      <c r="AH11" s="190">
        <v>0</v>
      </c>
      <c r="AI11" s="190">
        <v>0</v>
      </c>
      <c r="AJ11" s="190">
        <v>0</v>
      </c>
      <c r="AK11" s="190">
        <v>0</v>
      </c>
      <c r="AL11" s="190">
        <v>0</v>
      </c>
      <c r="AM11" s="190">
        <v>0</v>
      </c>
      <c r="AN11" s="190">
        <v>0</v>
      </c>
      <c r="AO11" s="190">
        <v>0</v>
      </c>
      <c r="AP11" s="190">
        <v>0</v>
      </c>
      <c r="AQ11" s="190">
        <v>0</v>
      </c>
    </row>
    <row r="12" spans="1:43" x14ac:dyDescent="0.25">
      <c r="A12" s="190" t="s">
        <v>116</v>
      </c>
      <c r="B12" s="190">
        <v>72333306.409999996</v>
      </c>
      <c r="C12" s="190">
        <v>60571840.270000003</v>
      </c>
      <c r="D12" s="190">
        <v>63883762.060000002</v>
      </c>
      <c r="E12" s="190">
        <v>54915603.759999998</v>
      </c>
      <c r="F12" s="190">
        <v>83254020.299999997</v>
      </c>
      <c r="G12" s="190">
        <v>83958635.420000002</v>
      </c>
      <c r="H12" s="190">
        <v>102139132.78</v>
      </c>
      <c r="I12" s="190">
        <v>135673836.22999999</v>
      </c>
      <c r="J12" s="190">
        <v>107919476.52</v>
      </c>
      <c r="K12" s="190">
        <v>133934201.04000001</v>
      </c>
      <c r="L12" s="190">
        <v>61009903.200000003</v>
      </c>
      <c r="M12" s="190">
        <v>66982741.729999997</v>
      </c>
      <c r="N12" s="190">
        <v>110849517.84999999</v>
      </c>
      <c r="O12" s="190">
        <v>62287042.759999998</v>
      </c>
      <c r="P12" s="190">
        <v>68114577.540000007</v>
      </c>
      <c r="Q12" s="190">
        <v>58085235.229999997</v>
      </c>
      <c r="R12" s="190">
        <v>24182803.25</v>
      </c>
      <c r="S12" s="190">
        <v>19479590.800000001</v>
      </c>
      <c r="T12" s="190">
        <v>21916426.41</v>
      </c>
      <c r="U12" s="190">
        <v>16440066.15</v>
      </c>
      <c r="V12" s="190">
        <v>22928795.800000001</v>
      </c>
      <c r="W12" s="190">
        <v>31991549.640000001</v>
      </c>
      <c r="X12" s="190">
        <v>35229415.829999998</v>
      </c>
      <c r="Y12" s="190">
        <v>25803231.489999998</v>
      </c>
      <c r="Z12" s="190">
        <v>33648357.420000002</v>
      </c>
      <c r="AA12" s="190">
        <v>23013437.010000002</v>
      </c>
      <c r="AB12" s="190">
        <v>21876070.68</v>
      </c>
      <c r="AC12" s="190">
        <v>16417345.25</v>
      </c>
      <c r="AD12" s="190">
        <v>20371747.120000001</v>
      </c>
      <c r="AE12" s="190">
        <v>15835350.300000001</v>
      </c>
      <c r="AF12" s="190">
        <v>18252320.469999999</v>
      </c>
      <c r="AG12" s="190">
        <v>8972504.1400000006</v>
      </c>
      <c r="AH12" s="190">
        <v>9921024.3599999994</v>
      </c>
      <c r="AI12" s="190">
        <v>7619665.3600000003</v>
      </c>
      <c r="AJ12" s="190">
        <v>7176838.0899999999</v>
      </c>
      <c r="AK12" s="190">
        <v>6090918.6699999999</v>
      </c>
      <c r="AL12" s="190">
        <v>5146872.5</v>
      </c>
      <c r="AM12" s="190">
        <v>6439788.0099999998</v>
      </c>
      <c r="AN12" s="190">
        <v>6630938.0499999998</v>
      </c>
      <c r="AO12" s="190">
        <v>3722592.29</v>
      </c>
      <c r="AP12" s="190">
        <v>6173071.8600000003</v>
      </c>
      <c r="AQ12" s="190">
        <v>0</v>
      </c>
    </row>
    <row r="13" spans="1:43" x14ac:dyDescent="0.25">
      <c r="A13" s="190" t="s">
        <v>117</v>
      </c>
      <c r="B13" s="190">
        <v>0</v>
      </c>
      <c r="C13" s="190">
        <v>0</v>
      </c>
      <c r="D13" s="190">
        <v>0</v>
      </c>
      <c r="E13" s="190">
        <v>0</v>
      </c>
      <c r="F13" s="190">
        <v>0</v>
      </c>
      <c r="G13" s="190">
        <v>0</v>
      </c>
      <c r="H13" s="190">
        <v>0</v>
      </c>
      <c r="I13" s="190">
        <v>0</v>
      </c>
      <c r="J13" s="190">
        <v>0</v>
      </c>
      <c r="K13" s="190">
        <v>0</v>
      </c>
      <c r="L13" s="190">
        <v>0</v>
      </c>
      <c r="M13" s="190">
        <v>0</v>
      </c>
      <c r="N13" s="190">
        <v>0</v>
      </c>
      <c r="O13" s="190">
        <v>0</v>
      </c>
      <c r="P13" s="190">
        <v>0</v>
      </c>
      <c r="Q13" s="190">
        <v>0</v>
      </c>
      <c r="R13" s="190">
        <v>0</v>
      </c>
      <c r="S13" s="190">
        <v>0</v>
      </c>
      <c r="T13" s="190">
        <v>0</v>
      </c>
      <c r="U13" s="190">
        <v>0</v>
      </c>
      <c r="V13" s="190">
        <v>0</v>
      </c>
      <c r="W13" s="190">
        <v>0</v>
      </c>
      <c r="X13" s="190">
        <v>0</v>
      </c>
      <c r="Y13" s="190">
        <v>0</v>
      </c>
      <c r="Z13" s="190">
        <v>0</v>
      </c>
      <c r="AA13" s="190">
        <v>0</v>
      </c>
      <c r="AB13" s="190">
        <v>0</v>
      </c>
      <c r="AC13" s="190">
        <v>0</v>
      </c>
      <c r="AD13" s="190">
        <v>0</v>
      </c>
      <c r="AE13" s="190">
        <v>0</v>
      </c>
      <c r="AF13" s="190">
        <v>0</v>
      </c>
      <c r="AG13" s="190">
        <v>0</v>
      </c>
      <c r="AH13" s="190">
        <v>0</v>
      </c>
      <c r="AI13" s="190">
        <v>0</v>
      </c>
      <c r="AJ13" s="190">
        <v>0</v>
      </c>
      <c r="AK13" s="190">
        <v>0</v>
      </c>
      <c r="AL13" s="190">
        <v>0</v>
      </c>
      <c r="AM13" s="190">
        <v>0</v>
      </c>
      <c r="AN13" s="190">
        <v>0</v>
      </c>
      <c r="AO13" s="190">
        <v>0</v>
      </c>
      <c r="AP13" s="190">
        <v>0</v>
      </c>
      <c r="AQ13" s="190">
        <v>0</v>
      </c>
    </row>
    <row r="14" spans="1:43" x14ac:dyDescent="0.25">
      <c r="A14" s="190" t="s">
        <v>118</v>
      </c>
      <c r="B14" s="190">
        <v>1406649814.5999999</v>
      </c>
      <c r="C14" s="190">
        <v>1277481876.6099999</v>
      </c>
      <c r="D14" s="190">
        <v>1039377680.17</v>
      </c>
      <c r="E14" s="190">
        <v>1006969529.14</v>
      </c>
      <c r="F14" s="190">
        <v>1155240446.72</v>
      </c>
      <c r="G14" s="190">
        <v>1079101133.6400001</v>
      </c>
      <c r="H14" s="190">
        <v>955221936.07000005</v>
      </c>
      <c r="I14" s="190">
        <v>658849754.71000004</v>
      </c>
      <c r="J14" s="190">
        <v>648882684.19000006</v>
      </c>
      <c r="K14" s="190">
        <v>584122349.22000003</v>
      </c>
      <c r="L14" s="190">
        <v>561215080.60000002</v>
      </c>
      <c r="M14" s="190">
        <v>659822679.88999999</v>
      </c>
      <c r="N14" s="190">
        <v>596130321.23000002</v>
      </c>
      <c r="O14" s="190">
        <v>609801140.38999999</v>
      </c>
      <c r="P14" s="190">
        <v>560459480.14999998</v>
      </c>
      <c r="Q14" s="190">
        <v>633174159.28999996</v>
      </c>
      <c r="R14" s="190">
        <v>667486290.90999997</v>
      </c>
      <c r="S14" s="190">
        <v>698269102.41999996</v>
      </c>
      <c r="T14" s="190">
        <v>606326560.25999999</v>
      </c>
      <c r="U14" s="190">
        <v>685201506.19000006</v>
      </c>
      <c r="V14" s="190">
        <v>665815546.09000003</v>
      </c>
      <c r="W14" s="190">
        <v>678268671.26999998</v>
      </c>
      <c r="X14" s="190">
        <v>626612547.63</v>
      </c>
      <c r="Y14" s="190">
        <v>617828802.88</v>
      </c>
      <c r="Z14" s="190">
        <v>684421196.61000001</v>
      </c>
      <c r="AA14" s="190">
        <v>767935065.25999999</v>
      </c>
      <c r="AB14" s="190">
        <v>616708419.55999994</v>
      </c>
      <c r="AC14" s="190">
        <v>517115102.25999999</v>
      </c>
      <c r="AD14" s="190">
        <v>498955231.80000001</v>
      </c>
      <c r="AE14" s="190">
        <v>518664663.74000001</v>
      </c>
      <c r="AF14" s="190">
        <v>433392310.58999997</v>
      </c>
      <c r="AG14" s="190">
        <v>458547043.06999999</v>
      </c>
      <c r="AH14" s="190">
        <v>462790607.91000003</v>
      </c>
      <c r="AI14" s="190">
        <v>392900466.92000002</v>
      </c>
      <c r="AJ14" s="190">
        <v>288797940.39999998</v>
      </c>
      <c r="AK14" s="190">
        <v>260446354.96000001</v>
      </c>
      <c r="AL14" s="190">
        <v>228862805.44999999</v>
      </c>
      <c r="AM14" s="190">
        <v>238414526.06999999</v>
      </c>
      <c r="AN14" s="190">
        <v>212903239.86000001</v>
      </c>
      <c r="AO14" s="190">
        <v>179548764.44</v>
      </c>
      <c r="AP14" s="190">
        <v>151966774.36000001</v>
      </c>
      <c r="AQ14" s="190">
        <v>0</v>
      </c>
    </row>
    <row r="15" spans="1:43" x14ac:dyDescent="0.25">
      <c r="A15" s="190" t="s">
        <v>119</v>
      </c>
      <c r="B15" s="190">
        <v>0</v>
      </c>
      <c r="C15" s="190">
        <v>88855671.209999993</v>
      </c>
      <c r="D15" s="190">
        <v>106598759.26000001</v>
      </c>
      <c r="E15" s="190">
        <v>74189874.799999997</v>
      </c>
      <c r="F15" s="190">
        <v>0</v>
      </c>
      <c r="G15" s="190">
        <v>0</v>
      </c>
      <c r="H15" s="190">
        <v>0</v>
      </c>
      <c r="I15" s="190">
        <v>0</v>
      </c>
      <c r="J15" s="190">
        <v>0</v>
      </c>
      <c r="K15" s="190">
        <v>0</v>
      </c>
      <c r="L15" s="190">
        <v>0</v>
      </c>
      <c r="M15" s="190">
        <v>0</v>
      </c>
      <c r="N15" s="190">
        <v>0</v>
      </c>
      <c r="O15" s="190">
        <v>0</v>
      </c>
      <c r="P15" s="190">
        <v>0</v>
      </c>
      <c r="Q15" s="190">
        <v>0</v>
      </c>
      <c r="R15" s="190">
        <v>0</v>
      </c>
      <c r="S15" s="190">
        <v>0</v>
      </c>
      <c r="T15" s="190">
        <v>0</v>
      </c>
      <c r="U15" s="190">
        <v>0</v>
      </c>
      <c r="V15" s="190">
        <v>0</v>
      </c>
      <c r="W15" s="190">
        <v>0</v>
      </c>
      <c r="X15" s="190">
        <v>0</v>
      </c>
      <c r="Y15" s="190">
        <v>0</v>
      </c>
      <c r="Z15" s="190">
        <v>0</v>
      </c>
      <c r="AA15" s="190">
        <v>0</v>
      </c>
      <c r="AB15" s="190">
        <v>0</v>
      </c>
      <c r="AC15" s="190">
        <v>0</v>
      </c>
      <c r="AD15" s="190">
        <v>0</v>
      </c>
      <c r="AE15" s="190">
        <v>0</v>
      </c>
      <c r="AF15" s="190">
        <v>0</v>
      </c>
      <c r="AG15" s="190">
        <v>0</v>
      </c>
      <c r="AH15" s="190">
        <v>0</v>
      </c>
      <c r="AI15" s="190">
        <v>0</v>
      </c>
      <c r="AJ15" s="190">
        <v>0</v>
      </c>
      <c r="AK15" s="190">
        <v>0</v>
      </c>
      <c r="AL15" s="190">
        <v>0</v>
      </c>
      <c r="AM15" s="190">
        <v>0</v>
      </c>
      <c r="AN15" s="190">
        <v>0</v>
      </c>
      <c r="AO15" s="190">
        <v>0</v>
      </c>
      <c r="AP15" s="190">
        <v>0</v>
      </c>
      <c r="AQ15" s="190">
        <v>0</v>
      </c>
    </row>
    <row r="16" spans="1:43" x14ac:dyDescent="0.25">
      <c r="A16" s="190" t="s">
        <v>120</v>
      </c>
      <c r="B16" s="190">
        <v>0</v>
      </c>
      <c r="C16" s="190">
        <v>0</v>
      </c>
      <c r="D16" s="190">
        <v>0</v>
      </c>
      <c r="E16" s="190">
        <v>0</v>
      </c>
      <c r="F16" s="190">
        <v>3874120.96</v>
      </c>
      <c r="G16" s="190">
        <v>3195054.61</v>
      </c>
      <c r="H16" s="190">
        <v>2781023.33</v>
      </c>
      <c r="I16" s="190">
        <v>3478020.4</v>
      </c>
      <c r="J16" s="190">
        <v>2516777.67</v>
      </c>
      <c r="K16" s="190">
        <v>2516777.67</v>
      </c>
      <c r="L16" s="190">
        <v>2588453.7000000002</v>
      </c>
      <c r="M16" s="190">
        <v>2588453.7000000002</v>
      </c>
      <c r="N16" s="190">
        <v>0</v>
      </c>
      <c r="O16" s="190">
        <v>0</v>
      </c>
      <c r="P16" s="190">
        <v>0</v>
      </c>
      <c r="Q16" s="190">
        <v>1558541.85</v>
      </c>
      <c r="R16" s="190">
        <v>0</v>
      </c>
      <c r="S16" s="190">
        <v>0</v>
      </c>
      <c r="T16" s="190">
        <v>0</v>
      </c>
      <c r="U16" s="190">
        <v>866475.09</v>
      </c>
      <c r="V16" s="190">
        <v>0</v>
      </c>
      <c r="W16" s="190">
        <v>0</v>
      </c>
      <c r="X16" s="190">
        <v>0</v>
      </c>
      <c r="Y16" s="190">
        <v>0</v>
      </c>
      <c r="Z16" s="190">
        <v>0</v>
      </c>
      <c r="AA16" s="190">
        <v>0</v>
      </c>
      <c r="AB16" s="190">
        <v>0</v>
      </c>
      <c r="AC16" s="190">
        <v>0</v>
      </c>
      <c r="AD16" s="190">
        <v>0</v>
      </c>
      <c r="AE16" s="190">
        <v>0</v>
      </c>
      <c r="AF16" s="190">
        <v>0</v>
      </c>
      <c r="AG16" s="190">
        <v>0</v>
      </c>
      <c r="AH16" s="190">
        <v>0</v>
      </c>
      <c r="AI16" s="190">
        <v>0</v>
      </c>
      <c r="AJ16" s="190">
        <v>0</v>
      </c>
      <c r="AK16" s="190">
        <v>0</v>
      </c>
      <c r="AL16" s="190">
        <v>0</v>
      </c>
      <c r="AM16" s="190">
        <v>0</v>
      </c>
      <c r="AN16" s="190">
        <v>0</v>
      </c>
      <c r="AO16" s="190">
        <v>0</v>
      </c>
      <c r="AP16" s="190">
        <v>0</v>
      </c>
      <c r="AQ16" s="190">
        <v>0</v>
      </c>
    </row>
    <row r="17" spans="1:43" x14ac:dyDescent="0.25">
      <c r="A17" s="190" t="s">
        <v>121</v>
      </c>
      <c r="B17" s="190">
        <v>0</v>
      </c>
      <c r="C17" s="190">
        <v>0</v>
      </c>
      <c r="D17" s="190">
        <v>0</v>
      </c>
      <c r="E17" s="190">
        <v>0</v>
      </c>
      <c r="F17" s="190">
        <v>0</v>
      </c>
      <c r="G17" s="190">
        <v>0</v>
      </c>
      <c r="H17" s="190">
        <v>0</v>
      </c>
      <c r="I17" s="190">
        <v>0</v>
      </c>
      <c r="J17" s="190">
        <v>0</v>
      </c>
      <c r="K17" s="190">
        <v>0</v>
      </c>
      <c r="L17" s="190">
        <v>0</v>
      </c>
      <c r="M17" s="190">
        <v>0</v>
      </c>
      <c r="N17" s="190">
        <v>0</v>
      </c>
      <c r="O17" s="190">
        <v>0</v>
      </c>
      <c r="P17" s="190">
        <v>0</v>
      </c>
      <c r="Q17" s="190">
        <v>0</v>
      </c>
      <c r="R17" s="190">
        <v>0</v>
      </c>
      <c r="S17" s="190">
        <v>0</v>
      </c>
      <c r="T17" s="190">
        <v>0</v>
      </c>
      <c r="U17" s="190">
        <v>0</v>
      </c>
      <c r="V17" s="190">
        <v>0</v>
      </c>
      <c r="W17" s="190">
        <v>0</v>
      </c>
      <c r="X17" s="190">
        <v>0</v>
      </c>
      <c r="Y17" s="190">
        <v>0</v>
      </c>
      <c r="Z17" s="190">
        <v>0</v>
      </c>
      <c r="AA17" s="190">
        <v>0</v>
      </c>
      <c r="AB17" s="190">
        <v>0</v>
      </c>
      <c r="AC17" s="190">
        <v>0</v>
      </c>
      <c r="AD17" s="190">
        <v>0</v>
      </c>
      <c r="AE17" s="190">
        <v>0</v>
      </c>
      <c r="AF17" s="190">
        <v>0</v>
      </c>
      <c r="AG17" s="190">
        <v>0</v>
      </c>
      <c r="AH17" s="190">
        <v>0</v>
      </c>
      <c r="AI17" s="190">
        <v>0</v>
      </c>
      <c r="AJ17" s="190">
        <v>0</v>
      </c>
      <c r="AK17" s="190">
        <v>0</v>
      </c>
      <c r="AL17" s="190">
        <v>0</v>
      </c>
      <c r="AM17" s="190">
        <v>0</v>
      </c>
      <c r="AN17" s="190">
        <v>0</v>
      </c>
      <c r="AO17" s="190">
        <v>0</v>
      </c>
      <c r="AP17" s="190">
        <v>0</v>
      </c>
      <c r="AQ17" s="190">
        <v>0</v>
      </c>
    </row>
    <row r="18" spans="1:43" x14ac:dyDescent="0.25">
      <c r="A18" s="190" t="s">
        <v>122</v>
      </c>
      <c r="B18" s="190">
        <v>0</v>
      </c>
      <c r="C18" s="190">
        <v>0</v>
      </c>
      <c r="D18" s="190">
        <v>0</v>
      </c>
      <c r="E18" s="190">
        <v>0</v>
      </c>
      <c r="F18" s="190">
        <v>0</v>
      </c>
      <c r="G18" s="190">
        <v>0</v>
      </c>
      <c r="H18" s="190">
        <v>0</v>
      </c>
      <c r="I18" s="190">
        <v>0</v>
      </c>
      <c r="J18" s="190">
        <v>0</v>
      </c>
      <c r="K18" s="190">
        <v>0</v>
      </c>
      <c r="L18" s="190">
        <v>0</v>
      </c>
      <c r="M18" s="190">
        <v>0</v>
      </c>
      <c r="N18" s="190">
        <v>0</v>
      </c>
      <c r="O18" s="190">
        <v>0</v>
      </c>
      <c r="P18" s="190">
        <v>0</v>
      </c>
      <c r="Q18" s="190">
        <v>0</v>
      </c>
      <c r="R18" s="190">
        <v>0</v>
      </c>
      <c r="S18" s="190">
        <v>0</v>
      </c>
      <c r="T18" s="190">
        <v>0</v>
      </c>
      <c r="U18" s="190">
        <v>0</v>
      </c>
      <c r="V18" s="190">
        <v>0</v>
      </c>
      <c r="W18" s="190">
        <v>0</v>
      </c>
      <c r="X18" s="190">
        <v>0</v>
      </c>
      <c r="Y18" s="190">
        <v>0</v>
      </c>
      <c r="Z18" s="190">
        <v>0</v>
      </c>
      <c r="AA18" s="190">
        <v>0</v>
      </c>
      <c r="AB18" s="190">
        <v>0</v>
      </c>
      <c r="AC18" s="190">
        <v>0</v>
      </c>
      <c r="AD18" s="190">
        <v>0</v>
      </c>
      <c r="AE18" s="190">
        <v>0</v>
      </c>
      <c r="AF18" s="190">
        <v>0</v>
      </c>
      <c r="AG18" s="190">
        <v>0</v>
      </c>
      <c r="AH18" s="190">
        <v>0</v>
      </c>
      <c r="AI18" s="190">
        <v>0</v>
      </c>
      <c r="AJ18" s="190">
        <v>0</v>
      </c>
      <c r="AK18" s="190">
        <v>0</v>
      </c>
      <c r="AL18" s="190">
        <v>0</v>
      </c>
      <c r="AM18" s="190">
        <v>0</v>
      </c>
      <c r="AN18" s="190">
        <v>0</v>
      </c>
      <c r="AO18" s="190">
        <v>0</v>
      </c>
      <c r="AP18" s="190">
        <v>0</v>
      </c>
      <c r="AQ18" s="190">
        <v>0</v>
      </c>
    </row>
    <row r="19" spans="1:43" x14ac:dyDescent="0.25">
      <c r="A19" s="190" t="s">
        <v>123</v>
      </c>
      <c r="B19" s="190">
        <v>814926691.53999996</v>
      </c>
      <c r="C19" s="190">
        <v>916547631.28999996</v>
      </c>
      <c r="D19" s="190">
        <v>1014352444.61</v>
      </c>
      <c r="E19" s="190">
        <v>1095643948.1400001</v>
      </c>
      <c r="F19" s="190">
        <v>925125720.74000001</v>
      </c>
      <c r="G19" s="190">
        <v>593180734.69000006</v>
      </c>
      <c r="H19" s="190">
        <v>637128087.65999997</v>
      </c>
      <c r="I19" s="190">
        <v>584581346.38999999</v>
      </c>
      <c r="J19" s="190">
        <v>813801452.42999995</v>
      </c>
      <c r="K19" s="190">
        <v>775103623.03999996</v>
      </c>
      <c r="L19" s="190">
        <v>746830445.29999995</v>
      </c>
      <c r="M19" s="190">
        <v>767963823.16999996</v>
      </c>
      <c r="N19" s="190">
        <v>506545516.94999999</v>
      </c>
      <c r="O19" s="190">
        <v>568763666.89999998</v>
      </c>
      <c r="P19" s="190">
        <v>803338772.63999999</v>
      </c>
      <c r="Q19" s="190">
        <v>747217859.52999997</v>
      </c>
      <c r="R19" s="190">
        <v>712687015.44000006</v>
      </c>
      <c r="S19" s="190">
        <v>277089955.38</v>
      </c>
      <c r="T19" s="190">
        <v>401756461.29000002</v>
      </c>
      <c r="U19" s="190">
        <v>190540000</v>
      </c>
      <c r="V19" s="190">
        <v>0</v>
      </c>
      <c r="W19" s="190">
        <v>0</v>
      </c>
      <c r="X19" s="190">
        <v>0</v>
      </c>
      <c r="Y19" s="190">
        <v>0</v>
      </c>
      <c r="Z19" s="190">
        <v>0</v>
      </c>
      <c r="AA19" s="190">
        <v>24214750.989999998</v>
      </c>
      <c r="AB19" s="190">
        <v>6661888.6100000003</v>
      </c>
      <c r="AC19" s="190">
        <v>16691542.939999999</v>
      </c>
      <c r="AD19" s="190">
        <v>0</v>
      </c>
      <c r="AE19" s="190">
        <v>0</v>
      </c>
      <c r="AF19" s="190">
        <v>0</v>
      </c>
      <c r="AG19" s="190">
        <v>0</v>
      </c>
      <c r="AH19" s="190">
        <v>0</v>
      </c>
      <c r="AI19" s="190">
        <v>424473.89</v>
      </c>
      <c r="AJ19" s="190">
        <v>477514.43</v>
      </c>
      <c r="AK19" s="190">
        <v>416221.88</v>
      </c>
      <c r="AL19" s="190">
        <v>0</v>
      </c>
      <c r="AM19" s="190">
        <v>0</v>
      </c>
      <c r="AN19" s="190">
        <v>0</v>
      </c>
      <c r="AO19" s="190">
        <v>0</v>
      </c>
      <c r="AP19" s="190">
        <v>0</v>
      </c>
      <c r="AQ19" s="190">
        <v>0</v>
      </c>
    </row>
    <row r="20" spans="1:43" x14ac:dyDescent="0.25">
      <c r="A20" s="190" t="s">
        <v>124</v>
      </c>
      <c r="B20" s="190">
        <v>3744045706.1999998</v>
      </c>
      <c r="C20" s="190">
        <v>3696046430.6999998</v>
      </c>
      <c r="D20" s="190">
        <v>3751667637.7199998</v>
      </c>
      <c r="E20" s="190">
        <v>3220769729.9299998</v>
      </c>
      <c r="F20" s="190">
        <v>3140293171.7199998</v>
      </c>
      <c r="G20" s="190">
        <v>2876724826.52</v>
      </c>
      <c r="H20" s="190">
        <v>2890106690.5300002</v>
      </c>
      <c r="I20" s="190">
        <v>2935636040.1799998</v>
      </c>
      <c r="J20" s="190">
        <v>2536856265.1399999</v>
      </c>
      <c r="K20" s="190">
        <v>2496559783.0599999</v>
      </c>
      <c r="L20" s="190">
        <v>2565687873.21</v>
      </c>
      <c r="M20" s="190">
        <v>2460156119.25</v>
      </c>
      <c r="N20" s="190">
        <v>2301318329.6100001</v>
      </c>
      <c r="O20" s="190">
        <v>2164027347.7600002</v>
      </c>
      <c r="P20" s="190">
        <v>2355209865.3899999</v>
      </c>
      <c r="Q20" s="190">
        <v>2289353546.3600001</v>
      </c>
      <c r="R20" s="190">
        <v>2236475892.8800001</v>
      </c>
      <c r="S20" s="190">
        <v>2018021483.01</v>
      </c>
      <c r="T20" s="190">
        <v>2089571317.98</v>
      </c>
      <c r="U20" s="190">
        <v>1999164108.6300001</v>
      </c>
      <c r="V20" s="190">
        <v>1777420897.54</v>
      </c>
      <c r="W20" s="190">
        <v>1596506310.29</v>
      </c>
      <c r="X20" s="190">
        <v>1733816681.4100001</v>
      </c>
      <c r="Y20" s="190">
        <v>1825219472.8900001</v>
      </c>
      <c r="Z20" s="190">
        <v>1773930954.96</v>
      </c>
      <c r="AA20" s="190">
        <v>1699857104.22</v>
      </c>
      <c r="AB20" s="190">
        <v>1846433894.6900001</v>
      </c>
      <c r="AC20" s="190">
        <v>1746929715.5999999</v>
      </c>
      <c r="AD20" s="190">
        <v>1675240654.1600001</v>
      </c>
      <c r="AE20" s="190">
        <v>1517188313.05</v>
      </c>
      <c r="AF20" s="190">
        <v>1719289508.28</v>
      </c>
      <c r="AG20" s="190">
        <v>1661237260.76</v>
      </c>
      <c r="AH20" s="190">
        <v>1533145011.75</v>
      </c>
      <c r="AI20" s="190">
        <v>1402608022.8</v>
      </c>
      <c r="AJ20" s="190">
        <v>1494917762.0599999</v>
      </c>
      <c r="AK20" s="190">
        <v>1419580134.48</v>
      </c>
      <c r="AL20" s="190">
        <v>1375194645.0799999</v>
      </c>
      <c r="AM20" s="190">
        <v>374578320.25999999</v>
      </c>
      <c r="AN20" s="190">
        <v>356469469.58999997</v>
      </c>
      <c r="AO20" s="190">
        <v>275084933.94999999</v>
      </c>
      <c r="AP20" s="190">
        <v>235778314.5</v>
      </c>
      <c r="AQ20" s="190">
        <v>0</v>
      </c>
    </row>
    <row r="21" spans="1:43" x14ac:dyDescent="0.25">
      <c r="A21" s="190" t="s">
        <v>125</v>
      </c>
    </row>
    <row r="22" spans="1:43" x14ac:dyDescent="0.25">
      <c r="A22" s="190" t="s">
        <v>126</v>
      </c>
      <c r="B22" s="190">
        <v>0</v>
      </c>
      <c r="C22" s="190">
        <v>0</v>
      </c>
      <c r="D22" s="190">
        <v>0</v>
      </c>
      <c r="E22" s="190">
        <v>0</v>
      </c>
      <c r="F22" s="190">
        <v>0</v>
      </c>
      <c r="G22" s="190">
        <v>0</v>
      </c>
      <c r="H22" s="190">
        <v>0</v>
      </c>
      <c r="I22" s="190">
        <v>0</v>
      </c>
      <c r="J22" s="190">
        <v>0</v>
      </c>
      <c r="K22" s="190">
        <v>0</v>
      </c>
      <c r="L22" s="190">
        <v>0</v>
      </c>
      <c r="M22" s="190">
        <v>0</v>
      </c>
      <c r="N22" s="190">
        <v>0</v>
      </c>
      <c r="O22" s="190">
        <v>0</v>
      </c>
      <c r="P22" s="190">
        <v>0</v>
      </c>
      <c r="Q22" s="190">
        <v>0</v>
      </c>
      <c r="R22" s="190">
        <v>0</v>
      </c>
      <c r="S22" s="190">
        <v>0</v>
      </c>
      <c r="T22" s="190">
        <v>0</v>
      </c>
      <c r="U22" s="190">
        <v>0</v>
      </c>
      <c r="V22" s="190">
        <v>0</v>
      </c>
      <c r="W22" s="190">
        <v>0</v>
      </c>
      <c r="X22" s="190">
        <v>0</v>
      </c>
      <c r="Y22" s="190">
        <v>0</v>
      </c>
      <c r="Z22" s="190">
        <v>0</v>
      </c>
      <c r="AA22" s="190">
        <v>0</v>
      </c>
      <c r="AB22" s="190">
        <v>0</v>
      </c>
      <c r="AC22" s="190">
        <v>0</v>
      </c>
      <c r="AD22" s="190">
        <v>0</v>
      </c>
      <c r="AE22" s="190">
        <v>0</v>
      </c>
      <c r="AF22" s="190">
        <v>0</v>
      </c>
      <c r="AG22" s="190">
        <v>0</v>
      </c>
      <c r="AH22" s="190">
        <v>0</v>
      </c>
      <c r="AI22" s="190">
        <v>0</v>
      </c>
      <c r="AJ22" s="190">
        <v>0</v>
      </c>
      <c r="AK22" s="190">
        <v>0</v>
      </c>
      <c r="AL22" s="190">
        <v>0</v>
      </c>
      <c r="AM22" s="190">
        <v>0</v>
      </c>
      <c r="AN22" s="190">
        <v>0</v>
      </c>
      <c r="AO22" s="190">
        <v>0</v>
      </c>
      <c r="AP22" s="190">
        <v>0</v>
      </c>
      <c r="AQ22" s="190">
        <v>0</v>
      </c>
    </row>
    <row r="23" spans="1:43" x14ac:dyDescent="0.25">
      <c r="A23" s="190" t="s">
        <v>127</v>
      </c>
      <c r="B23" s="190">
        <v>227475238.28</v>
      </c>
      <c r="C23" s="190">
        <v>224516989.86000001</v>
      </c>
      <c r="D23" s="190">
        <v>204255161.68000001</v>
      </c>
      <c r="E23" s="190">
        <v>228463347.99000001</v>
      </c>
      <c r="F23" s="190">
        <v>189611525</v>
      </c>
      <c r="G23" s="190">
        <v>190034675</v>
      </c>
      <c r="H23" s="190">
        <v>388188950</v>
      </c>
      <c r="I23" s="190">
        <v>388797125</v>
      </c>
      <c r="J23" s="190">
        <v>406326690</v>
      </c>
      <c r="K23" s="190">
        <v>160371775</v>
      </c>
      <c r="L23" s="190">
        <v>103916150</v>
      </c>
      <c r="M23" s="190">
        <v>103985900</v>
      </c>
      <c r="N23" s="190">
        <v>60741278.399999999</v>
      </c>
      <c r="O23" s="190">
        <v>0</v>
      </c>
      <c r="P23" s="190">
        <v>0</v>
      </c>
      <c r="Q23" s="190">
        <v>0</v>
      </c>
      <c r="R23" s="190">
        <v>0</v>
      </c>
      <c r="S23" s="190">
        <v>0</v>
      </c>
      <c r="T23" s="190">
        <v>0</v>
      </c>
      <c r="U23" s="190">
        <v>0</v>
      </c>
      <c r="V23" s="190">
        <v>0</v>
      </c>
      <c r="W23" s="190">
        <v>0</v>
      </c>
      <c r="X23" s="190">
        <v>0</v>
      </c>
      <c r="Y23" s="190">
        <v>0</v>
      </c>
      <c r="Z23" s="190">
        <v>0</v>
      </c>
      <c r="AA23" s="190">
        <v>0</v>
      </c>
      <c r="AB23" s="190">
        <v>0</v>
      </c>
      <c r="AC23" s="190">
        <v>0</v>
      </c>
      <c r="AD23" s="190">
        <v>0</v>
      </c>
      <c r="AE23" s="190">
        <v>0</v>
      </c>
      <c r="AF23" s="190">
        <v>0</v>
      </c>
      <c r="AG23" s="190">
        <v>0</v>
      </c>
      <c r="AH23" s="190">
        <v>0</v>
      </c>
      <c r="AI23" s="190">
        <v>0</v>
      </c>
      <c r="AJ23" s="190">
        <v>0</v>
      </c>
      <c r="AK23" s="190">
        <v>0</v>
      </c>
      <c r="AL23" s="190">
        <v>0</v>
      </c>
      <c r="AM23" s="190">
        <v>0</v>
      </c>
      <c r="AN23" s="190">
        <v>0</v>
      </c>
      <c r="AO23" s="190">
        <v>0</v>
      </c>
      <c r="AP23" s="190">
        <v>0</v>
      </c>
      <c r="AQ23" s="190">
        <v>0</v>
      </c>
    </row>
    <row r="24" spans="1:43" x14ac:dyDescent="0.25">
      <c r="A24" s="190" t="s">
        <v>128</v>
      </c>
      <c r="B24" s="190">
        <v>0</v>
      </c>
      <c r="C24" s="190">
        <v>0</v>
      </c>
      <c r="D24" s="190">
        <v>0</v>
      </c>
      <c r="E24" s="190">
        <v>0</v>
      </c>
      <c r="F24" s="190">
        <v>0</v>
      </c>
      <c r="G24" s="190">
        <v>0</v>
      </c>
      <c r="H24" s="190">
        <v>0</v>
      </c>
      <c r="I24" s="190">
        <v>0</v>
      </c>
      <c r="J24" s="190">
        <v>0</v>
      </c>
      <c r="K24" s="190">
        <v>0</v>
      </c>
      <c r="L24" s="190">
        <v>0</v>
      </c>
      <c r="M24" s="190">
        <v>0</v>
      </c>
      <c r="N24" s="190">
        <v>0</v>
      </c>
      <c r="O24" s="190">
        <v>0</v>
      </c>
      <c r="P24" s="190">
        <v>0</v>
      </c>
      <c r="Q24" s="190">
        <v>0</v>
      </c>
      <c r="R24" s="190">
        <v>0</v>
      </c>
      <c r="S24" s="190">
        <v>0</v>
      </c>
      <c r="T24" s="190">
        <v>0</v>
      </c>
      <c r="U24" s="190">
        <v>0</v>
      </c>
      <c r="V24" s="190">
        <v>50000000</v>
      </c>
      <c r="W24" s="190">
        <v>100431200</v>
      </c>
      <c r="X24" s="190">
        <v>150670577.77000001</v>
      </c>
      <c r="Y24" s="190">
        <v>0</v>
      </c>
      <c r="Z24" s="190">
        <v>0</v>
      </c>
      <c r="AA24" s="190">
        <v>0</v>
      </c>
      <c r="AB24" s="190">
        <v>0</v>
      </c>
      <c r="AC24" s="190">
        <v>0</v>
      </c>
      <c r="AD24" s="190">
        <v>0</v>
      </c>
      <c r="AE24" s="190">
        <v>0</v>
      </c>
      <c r="AF24" s="190">
        <v>0</v>
      </c>
      <c r="AG24" s="190">
        <v>0</v>
      </c>
      <c r="AH24" s="190">
        <v>0</v>
      </c>
      <c r="AI24" s="190">
        <v>0</v>
      </c>
      <c r="AJ24" s="190">
        <v>0</v>
      </c>
      <c r="AK24" s="190">
        <v>0</v>
      </c>
      <c r="AL24" s="190">
        <v>0</v>
      </c>
      <c r="AM24" s="190">
        <v>0</v>
      </c>
      <c r="AN24" s="190">
        <v>0</v>
      </c>
      <c r="AO24" s="190">
        <v>5010356.16</v>
      </c>
      <c r="AP24" s="190">
        <v>0</v>
      </c>
      <c r="AQ24" s="190">
        <v>0</v>
      </c>
    </row>
    <row r="25" spans="1:43" x14ac:dyDescent="0.25">
      <c r="A25" s="190" t="s">
        <v>129</v>
      </c>
      <c r="B25" s="190">
        <v>0</v>
      </c>
      <c r="C25" s="190">
        <v>0</v>
      </c>
      <c r="D25" s="190">
        <v>0</v>
      </c>
      <c r="E25" s="190">
        <v>0</v>
      </c>
      <c r="F25" s="190">
        <v>0</v>
      </c>
      <c r="G25" s="190">
        <v>0</v>
      </c>
      <c r="H25" s="190">
        <v>0</v>
      </c>
      <c r="I25" s="190">
        <v>0</v>
      </c>
      <c r="J25" s="190">
        <v>0</v>
      </c>
      <c r="K25" s="190">
        <v>0</v>
      </c>
      <c r="L25" s="190">
        <v>0</v>
      </c>
      <c r="M25" s="190">
        <v>0</v>
      </c>
      <c r="N25" s="190">
        <v>0</v>
      </c>
      <c r="O25" s="190">
        <v>0</v>
      </c>
      <c r="P25" s="190">
        <v>0</v>
      </c>
      <c r="Q25" s="190">
        <v>0</v>
      </c>
      <c r="R25" s="190">
        <v>0</v>
      </c>
      <c r="S25" s="190">
        <v>0</v>
      </c>
      <c r="T25" s="190">
        <v>0</v>
      </c>
      <c r="U25" s="190">
        <v>0</v>
      </c>
      <c r="V25" s="190">
        <v>0</v>
      </c>
      <c r="W25" s="190">
        <v>0</v>
      </c>
      <c r="X25" s="190">
        <v>0</v>
      </c>
      <c r="Y25" s="190">
        <v>0</v>
      </c>
      <c r="Z25" s="190">
        <v>0</v>
      </c>
      <c r="AA25" s="190">
        <v>0</v>
      </c>
      <c r="AB25" s="190">
        <v>0</v>
      </c>
      <c r="AC25" s="190">
        <v>0</v>
      </c>
      <c r="AD25" s="190">
        <v>0</v>
      </c>
      <c r="AE25" s="190">
        <v>0</v>
      </c>
      <c r="AF25" s="190">
        <v>0</v>
      </c>
      <c r="AG25" s="190">
        <v>0</v>
      </c>
      <c r="AH25" s="190">
        <v>0</v>
      </c>
      <c r="AI25" s="190">
        <v>0</v>
      </c>
      <c r="AJ25" s="190">
        <v>0</v>
      </c>
      <c r="AK25" s="190">
        <v>0</v>
      </c>
      <c r="AL25" s="190">
        <v>0</v>
      </c>
      <c r="AM25" s="190">
        <v>0</v>
      </c>
      <c r="AN25" s="190">
        <v>0</v>
      </c>
      <c r="AO25" s="190">
        <v>0</v>
      </c>
      <c r="AP25" s="190">
        <v>0</v>
      </c>
      <c r="AQ25" s="190">
        <v>0</v>
      </c>
    </row>
    <row r="26" spans="1:43" x14ac:dyDescent="0.25">
      <c r="A26" s="190" t="s">
        <v>130</v>
      </c>
      <c r="B26" s="190">
        <v>2103461.14</v>
      </c>
      <c r="C26" s="190">
        <v>2260588.16</v>
      </c>
      <c r="D26" s="190">
        <v>2681764.62</v>
      </c>
      <c r="E26" s="190">
        <v>2681764.62</v>
      </c>
      <c r="F26" s="190">
        <v>36554845.829999998</v>
      </c>
      <c r="G26" s="190">
        <v>37301246.560000002</v>
      </c>
      <c r="H26" s="190">
        <v>44582193.149999999</v>
      </c>
      <c r="I26" s="190">
        <v>44208476.719999999</v>
      </c>
      <c r="J26" s="190">
        <v>46497065.140000001</v>
      </c>
      <c r="K26" s="190">
        <v>48418056.219999999</v>
      </c>
      <c r="L26" s="190">
        <v>47013607.68</v>
      </c>
      <c r="M26" s="190">
        <v>48378901.780000001</v>
      </c>
      <c r="N26" s="190">
        <v>0</v>
      </c>
      <c r="O26" s="190">
        <v>0</v>
      </c>
      <c r="P26" s="190">
        <v>0</v>
      </c>
      <c r="Q26" s="190">
        <v>0</v>
      </c>
      <c r="R26" s="190">
        <v>0</v>
      </c>
      <c r="S26" s="190">
        <v>0</v>
      </c>
      <c r="T26" s="190">
        <v>0</v>
      </c>
      <c r="U26" s="190">
        <v>0</v>
      </c>
      <c r="V26" s="190">
        <v>0</v>
      </c>
      <c r="W26" s="190">
        <v>0</v>
      </c>
      <c r="X26" s="190">
        <v>0</v>
      </c>
      <c r="Y26" s="190">
        <v>0</v>
      </c>
      <c r="Z26" s="190">
        <v>0</v>
      </c>
      <c r="AA26" s="190">
        <v>0</v>
      </c>
      <c r="AB26" s="190">
        <v>0</v>
      </c>
      <c r="AC26" s="190">
        <v>0</v>
      </c>
      <c r="AD26" s="190">
        <v>0</v>
      </c>
      <c r="AE26" s="190">
        <v>0</v>
      </c>
      <c r="AF26" s="190">
        <v>0</v>
      </c>
      <c r="AG26" s="190">
        <v>0</v>
      </c>
      <c r="AH26" s="190">
        <v>0</v>
      </c>
      <c r="AI26" s="190">
        <v>0</v>
      </c>
      <c r="AJ26" s="190">
        <v>0</v>
      </c>
      <c r="AK26" s="190">
        <v>0</v>
      </c>
      <c r="AL26" s="190">
        <v>0</v>
      </c>
      <c r="AM26" s="190">
        <v>0</v>
      </c>
      <c r="AN26" s="190">
        <v>0</v>
      </c>
      <c r="AO26" s="190">
        <v>0</v>
      </c>
      <c r="AP26" s="190">
        <v>0</v>
      </c>
      <c r="AQ26" s="190">
        <v>0</v>
      </c>
    </row>
    <row r="27" spans="1:43" x14ac:dyDescent="0.25">
      <c r="A27" s="190" t="s">
        <v>131</v>
      </c>
      <c r="B27" s="190">
        <v>0</v>
      </c>
      <c r="C27" s="190">
        <v>0</v>
      </c>
      <c r="D27" s="190">
        <v>0</v>
      </c>
      <c r="E27" s="190">
        <v>0</v>
      </c>
      <c r="F27" s="190">
        <v>0</v>
      </c>
      <c r="G27" s="190">
        <v>0</v>
      </c>
      <c r="H27" s="190">
        <v>0</v>
      </c>
      <c r="I27" s="190">
        <v>0</v>
      </c>
      <c r="J27" s="190">
        <v>0</v>
      </c>
      <c r="K27" s="190">
        <v>0</v>
      </c>
      <c r="L27" s="190">
        <v>0</v>
      </c>
      <c r="M27" s="190">
        <v>0</v>
      </c>
      <c r="N27" s="190">
        <v>0</v>
      </c>
      <c r="O27" s="190">
        <v>0</v>
      </c>
      <c r="P27" s="190">
        <v>0</v>
      </c>
      <c r="Q27" s="190">
        <v>0</v>
      </c>
      <c r="R27" s="190">
        <v>0</v>
      </c>
      <c r="S27" s="190">
        <v>0</v>
      </c>
      <c r="T27" s="190">
        <v>0</v>
      </c>
      <c r="U27" s="190">
        <v>0</v>
      </c>
      <c r="V27" s="190">
        <v>0</v>
      </c>
      <c r="W27" s="190">
        <v>0</v>
      </c>
      <c r="X27" s="190">
        <v>0</v>
      </c>
      <c r="Y27" s="190">
        <v>0</v>
      </c>
      <c r="Z27" s="190">
        <v>0</v>
      </c>
      <c r="AA27" s="190">
        <v>0</v>
      </c>
      <c r="AB27" s="190">
        <v>0</v>
      </c>
      <c r="AC27" s="190">
        <v>0</v>
      </c>
      <c r="AD27" s="190">
        <v>0</v>
      </c>
      <c r="AE27" s="190">
        <v>0</v>
      </c>
      <c r="AF27" s="190">
        <v>0</v>
      </c>
      <c r="AG27" s="190">
        <v>0</v>
      </c>
      <c r="AH27" s="190">
        <v>0</v>
      </c>
      <c r="AI27" s="190">
        <v>0</v>
      </c>
      <c r="AJ27" s="190">
        <v>0</v>
      </c>
      <c r="AK27" s="190">
        <v>0</v>
      </c>
      <c r="AL27" s="190">
        <v>0</v>
      </c>
      <c r="AM27" s="190">
        <v>0</v>
      </c>
      <c r="AN27" s="190">
        <v>0</v>
      </c>
      <c r="AO27" s="190">
        <v>0</v>
      </c>
      <c r="AP27" s="190">
        <v>0</v>
      </c>
      <c r="AQ27" s="190">
        <v>0</v>
      </c>
    </row>
    <row r="28" spans="1:43" x14ac:dyDescent="0.25">
      <c r="A28" s="190" t="s">
        <v>132</v>
      </c>
      <c r="B28" s="190">
        <v>372172620.89999998</v>
      </c>
      <c r="C28" s="190">
        <v>367124049.68000001</v>
      </c>
      <c r="D28" s="190">
        <v>371395847.38999999</v>
      </c>
      <c r="E28" s="190">
        <v>381088077.97000003</v>
      </c>
      <c r="F28" s="190">
        <v>381539162.49000001</v>
      </c>
      <c r="G28" s="190">
        <v>390950110.38999999</v>
      </c>
      <c r="H28" s="190">
        <v>397152171</v>
      </c>
      <c r="I28" s="190">
        <v>386784475.27999997</v>
      </c>
      <c r="J28" s="190">
        <v>392012152.26999998</v>
      </c>
      <c r="K28" s="190">
        <v>381374642.98000002</v>
      </c>
      <c r="L28" s="190">
        <v>388749418.19999999</v>
      </c>
      <c r="M28" s="190">
        <v>393127990.83999997</v>
      </c>
      <c r="N28" s="190">
        <v>390402293.52999997</v>
      </c>
      <c r="O28" s="190">
        <v>395693007.80000001</v>
      </c>
      <c r="P28" s="190">
        <v>390946237.61000001</v>
      </c>
      <c r="Q28" s="190">
        <v>397503360.81999999</v>
      </c>
      <c r="R28" s="190">
        <v>392443251.63</v>
      </c>
      <c r="S28" s="190">
        <v>397521952.61000001</v>
      </c>
      <c r="T28" s="190">
        <v>403387978.83999997</v>
      </c>
      <c r="U28" s="190">
        <v>407928568.80000001</v>
      </c>
      <c r="V28" s="190">
        <v>325765584.14999998</v>
      </c>
      <c r="W28" s="190">
        <v>328137977.91000003</v>
      </c>
      <c r="X28" s="190">
        <v>328664938.44999999</v>
      </c>
      <c r="Y28" s="190">
        <v>334824871.51999998</v>
      </c>
      <c r="Z28" s="190">
        <v>332916373.94</v>
      </c>
      <c r="AA28" s="190">
        <v>248829080.34</v>
      </c>
      <c r="AB28" s="190">
        <v>248914102.15000001</v>
      </c>
      <c r="AC28" s="190">
        <v>249966842.94</v>
      </c>
      <c r="AD28" s="190">
        <v>125511902.36</v>
      </c>
      <c r="AE28" s="190">
        <v>86220540.829999998</v>
      </c>
      <c r="AF28" s="190">
        <v>84605227.299999997</v>
      </c>
      <c r="AG28" s="190">
        <v>84235402.629999995</v>
      </c>
      <c r="AH28" s="190">
        <v>77945026.120000005</v>
      </c>
      <c r="AI28" s="190">
        <v>77504194.579999998</v>
      </c>
      <c r="AJ28" s="190">
        <v>77668880.290000007</v>
      </c>
      <c r="AK28" s="190">
        <v>78949390.819999993</v>
      </c>
      <c r="AL28" s="190">
        <v>79720945.200000003</v>
      </c>
      <c r="AM28" s="190">
        <v>80968896.030000001</v>
      </c>
      <c r="AN28" s="190">
        <v>82222263.489999995</v>
      </c>
      <c r="AO28" s="190">
        <v>60766014.450000003</v>
      </c>
      <c r="AP28" s="190">
        <v>47596871.630000003</v>
      </c>
      <c r="AQ28" s="190">
        <v>0</v>
      </c>
    </row>
    <row r="29" spans="1:43" x14ac:dyDescent="0.25">
      <c r="A29" s="190" t="s">
        <v>133</v>
      </c>
      <c r="B29" s="190">
        <v>23682948.329999998</v>
      </c>
      <c r="C29" s="190">
        <v>26006424.219999999</v>
      </c>
      <c r="D29" s="190">
        <v>15601822.970000001</v>
      </c>
      <c r="E29" s="190">
        <v>8989773.8000000007</v>
      </c>
      <c r="F29" s="190">
        <v>25669698.649999999</v>
      </c>
      <c r="G29" s="190">
        <v>21599109.84</v>
      </c>
      <c r="H29" s="190">
        <v>20240701.100000001</v>
      </c>
      <c r="I29" s="190">
        <v>7884796.1200000001</v>
      </c>
      <c r="J29" s="190">
        <v>15397381.529999999</v>
      </c>
      <c r="K29" s="190">
        <v>13701536.6</v>
      </c>
      <c r="L29" s="190">
        <v>12874743.26</v>
      </c>
      <c r="M29" s="190">
        <v>11604165.609999999</v>
      </c>
      <c r="N29" s="190">
        <v>20430685.149999999</v>
      </c>
      <c r="O29" s="190">
        <v>12776418.76</v>
      </c>
      <c r="P29" s="190">
        <v>21241440.440000001</v>
      </c>
      <c r="Q29" s="190">
        <v>9578658.2200000007</v>
      </c>
      <c r="R29" s="190">
        <v>15817383.17</v>
      </c>
      <c r="S29" s="190">
        <v>6650276.6200000001</v>
      </c>
      <c r="T29" s="190">
        <v>2547847.0499999998</v>
      </c>
      <c r="U29" s="190">
        <v>2050000</v>
      </c>
      <c r="V29" s="190">
        <v>82286664.459999993</v>
      </c>
      <c r="W29" s="190">
        <v>49111965.100000001</v>
      </c>
      <c r="X29" s="190">
        <v>38208937.420000002</v>
      </c>
      <c r="Y29" s="190">
        <v>29105269.140000001</v>
      </c>
      <c r="Z29" s="190">
        <v>17622460.850000001</v>
      </c>
      <c r="AA29" s="190">
        <v>49511361.219999999</v>
      </c>
      <c r="AB29" s="190">
        <v>42077971.189999998</v>
      </c>
      <c r="AC29" s="190">
        <v>23413300.07</v>
      </c>
      <c r="AD29" s="190">
        <v>70618503.939999998</v>
      </c>
      <c r="AE29" s="190">
        <v>64998837.409999996</v>
      </c>
      <c r="AF29" s="190">
        <v>59754084.57</v>
      </c>
      <c r="AG29" s="190">
        <v>46221172.68</v>
      </c>
      <c r="AH29" s="190">
        <v>10074928</v>
      </c>
      <c r="AI29" s="190">
        <v>3126577.64</v>
      </c>
      <c r="AJ29" s="190">
        <v>1725129.21</v>
      </c>
      <c r="AK29" s="190">
        <v>24062856.719999999</v>
      </c>
      <c r="AL29" s="190">
        <v>0</v>
      </c>
      <c r="AM29" s="190">
        <v>0</v>
      </c>
      <c r="AN29" s="190">
        <v>799996.06</v>
      </c>
      <c r="AO29" s="190">
        <v>0</v>
      </c>
      <c r="AP29" s="190">
        <v>442457.92</v>
      </c>
      <c r="AQ29" s="190">
        <v>0</v>
      </c>
    </row>
    <row r="30" spans="1:43" x14ac:dyDescent="0.25">
      <c r="A30" s="190" t="s">
        <v>134</v>
      </c>
      <c r="B30" s="190">
        <v>0</v>
      </c>
      <c r="C30" s="190">
        <v>0</v>
      </c>
      <c r="D30" s="190">
        <v>0</v>
      </c>
      <c r="E30" s="190">
        <v>0</v>
      </c>
      <c r="F30" s="190">
        <v>0</v>
      </c>
      <c r="G30" s="190">
        <v>0</v>
      </c>
      <c r="H30" s="190">
        <v>0</v>
      </c>
      <c r="I30" s="190">
        <v>0</v>
      </c>
      <c r="J30" s="190">
        <v>0</v>
      </c>
      <c r="K30" s="190">
        <v>0</v>
      </c>
      <c r="L30" s="190">
        <v>0</v>
      </c>
      <c r="M30" s="190">
        <v>0</v>
      </c>
      <c r="N30" s="190">
        <v>0</v>
      </c>
      <c r="O30" s="190">
        <v>0</v>
      </c>
      <c r="P30" s="190">
        <v>0</v>
      </c>
      <c r="Q30" s="190">
        <v>0</v>
      </c>
      <c r="R30" s="190">
        <v>0</v>
      </c>
      <c r="S30" s="190">
        <v>0</v>
      </c>
      <c r="T30" s="190">
        <v>0</v>
      </c>
      <c r="U30" s="190">
        <v>0</v>
      </c>
      <c r="V30" s="190">
        <v>0</v>
      </c>
      <c r="W30" s="190">
        <v>0</v>
      </c>
      <c r="X30" s="190">
        <v>0</v>
      </c>
      <c r="Y30" s="190">
        <v>0</v>
      </c>
      <c r="Z30" s="190">
        <v>0</v>
      </c>
      <c r="AA30" s="190">
        <v>0</v>
      </c>
      <c r="AB30" s="190">
        <v>0</v>
      </c>
      <c r="AC30" s="190">
        <v>0</v>
      </c>
      <c r="AD30" s="190">
        <v>0</v>
      </c>
      <c r="AE30" s="190">
        <v>0</v>
      </c>
      <c r="AF30" s="190">
        <v>0</v>
      </c>
      <c r="AG30" s="190">
        <v>0</v>
      </c>
      <c r="AH30" s="190">
        <v>0</v>
      </c>
      <c r="AI30" s="190">
        <v>0</v>
      </c>
      <c r="AJ30" s="190">
        <v>0</v>
      </c>
      <c r="AK30" s="190">
        <v>0</v>
      </c>
      <c r="AL30" s="190">
        <v>0</v>
      </c>
      <c r="AM30" s="190">
        <v>0</v>
      </c>
      <c r="AN30" s="190">
        <v>0</v>
      </c>
      <c r="AO30" s="190">
        <v>0</v>
      </c>
      <c r="AP30" s="190">
        <v>0</v>
      </c>
      <c r="AQ30" s="190">
        <v>0</v>
      </c>
    </row>
    <row r="31" spans="1:43" x14ac:dyDescent="0.25">
      <c r="A31" s="190" t="s">
        <v>135</v>
      </c>
      <c r="B31" s="190">
        <v>0</v>
      </c>
      <c r="C31" s="190">
        <v>0</v>
      </c>
      <c r="D31" s="190">
        <v>0</v>
      </c>
      <c r="E31" s="190">
        <v>0</v>
      </c>
      <c r="F31" s="190">
        <v>0</v>
      </c>
      <c r="G31" s="190">
        <v>0</v>
      </c>
      <c r="H31" s="190">
        <v>0</v>
      </c>
      <c r="I31" s="190">
        <v>0</v>
      </c>
      <c r="J31" s="190">
        <v>0</v>
      </c>
      <c r="K31" s="190">
        <v>0</v>
      </c>
      <c r="L31" s="190">
        <v>0</v>
      </c>
      <c r="M31" s="190">
        <v>0</v>
      </c>
      <c r="N31" s="190">
        <v>0</v>
      </c>
      <c r="O31" s="190">
        <v>0</v>
      </c>
      <c r="P31" s="190">
        <v>0</v>
      </c>
      <c r="Q31" s="190">
        <v>0</v>
      </c>
      <c r="R31" s="190">
        <v>0</v>
      </c>
      <c r="S31" s="190">
        <v>0</v>
      </c>
      <c r="T31" s="190">
        <v>0</v>
      </c>
      <c r="U31" s="190">
        <v>0</v>
      </c>
      <c r="V31" s="190">
        <v>0</v>
      </c>
      <c r="W31" s="190">
        <v>0</v>
      </c>
      <c r="X31" s="190">
        <v>0</v>
      </c>
      <c r="Y31" s="190">
        <v>0</v>
      </c>
      <c r="Z31" s="190">
        <v>0</v>
      </c>
      <c r="AA31" s="190">
        <v>0</v>
      </c>
      <c r="AB31" s="190">
        <v>0</v>
      </c>
      <c r="AC31" s="190">
        <v>0</v>
      </c>
      <c r="AD31" s="190">
        <v>0</v>
      </c>
      <c r="AE31" s="190">
        <v>0</v>
      </c>
      <c r="AF31" s="190">
        <v>0</v>
      </c>
      <c r="AG31" s="190">
        <v>0</v>
      </c>
      <c r="AH31" s="190">
        <v>0</v>
      </c>
      <c r="AI31" s="190">
        <v>0</v>
      </c>
      <c r="AJ31" s="190">
        <v>0</v>
      </c>
      <c r="AK31" s="190">
        <v>0</v>
      </c>
      <c r="AL31" s="190">
        <v>0</v>
      </c>
      <c r="AM31" s="190">
        <v>0</v>
      </c>
      <c r="AN31" s="190">
        <v>0</v>
      </c>
      <c r="AO31" s="190">
        <v>0</v>
      </c>
      <c r="AP31" s="190">
        <v>0</v>
      </c>
      <c r="AQ31" s="190">
        <v>0</v>
      </c>
    </row>
    <row r="32" spans="1:43" x14ac:dyDescent="0.25">
      <c r="A32" s="190" t="s">
        <v>136</v>
      </c>
      <c r="B32" s="190">
        <v>0</v>
      </c>
      <c r="C32" s="190">
        <v>0</v>
      </c>
      <c r="D32" s="190">
        <v>0</v>
      </c>
      <c r="E32" s="190">
        <v>0</v>
      </c>
      <c r="F32" s="190">
        <v>0</v>
      </c>
      <c r="G32" s="190">
        <v>0</v>
      </c>
      <c r="H32" s="190">
        <v>0</v>
      </c>
      <c r="I32" s="190">
        <v>0</v>
      </c>
      <c r="J32" s="190">
        <v>0</v>
      </c>
      <c r="K32" s="190">
        <v>0</v>
      </c>
      <c r="L32" s="190">
        <v>0</v>
      </c>
      <c r="M32" s="190">
        <v>0</v>
      </c>
      <c r="N32" s="190">
        <v>0</v>
      </c>
      <c r="O32" s="190">
        <v>0</v>
      </c>
      <c r="P32" s="190">
        <v>0</v>
      </c>
      <c r="Q32" s="190">
        <v>0</v>
      </c>
      <c r="R32" s="190">
        <v>0</v>
      </c>
      <c r="S32" s="190">
        <v>0</v>
      </c>
      <c r="T32" s="190">
        <v>0</v>
      </c>
      <c r="U32" s="190">
        <v>0</v>
      </c>
      <c r="V32" s="190">
        <v>0</v>
      </c>
      <c r="W32" s="190">
        <v>0</v>
      </c>
      <c r="X32" s="190">
        <v>0</v>
      </c>
      <c r="Y32" s="190">
        <v>0</v>
      </c>
      <c r="Z32" s="190">
        <v>0</v>
      </c>
      <c r="AA32" s="190">
        <v>0</v>
      </c>
      <c r="AB32" s="190">
        <v>0</v>
      </c>
      <c r="AC32" s="190">
        <v>0</v>
      </c>
      <c r="AD32" s="190">
        <v>0</v>
      </c>
      <c r="AE32" s="190">
        <v>0</v>
      </c>
      <c r="AF32" s="190">
        <v>0</v>
      </c>
      <c r="AG32" s="190">
        <v>0</v>
      </c>
      <c r="AH32" s="190">
        <v>0</v>
      </c>
      <c r="AI32" s="190">
        <v>0</v>
      </c>
      <c r="AJ32" s="190">
        <v>0</v>
      </c>
      <c r="AK32" s="190">
        <v>0</v>
      </c>
      <c r="AL32" s="190">
        <v>0</v>
      </c>
      <c r="AM32" s="190">
        <v>0</v>
      </c>
      <c r="AN32" s="190">
        <v>0</v>
      </c>
      <c r="AO32" s="190">
        <v>0</v>
      </c>
      <c r="AP32" s="190">
        <v>0</v>
      </c>
      <c r="AQ32" s="190">
        <v>0</v>
      </c>
    </row>
    <row r="33" spans="1:43" x14ac:dyDescent="0.25">
      <c r="A33" s="190" t="s">
        <v>137</v>
      </c>
      <c r="B33" s="190">
        <v>0</v>
      </c>
      <c r="C33" s="190">
        <v>0</v>
      </c>
      <c r="D33" s="190">
        <v>0</v>
      </c>
      <c r="E33" s="190">
        <v>0</v>
      </c>
      <c r="F33" s="190">
        <v>0</v>
      </c>
      <c r="G33" s="190">
        <v>0</v>
      </c>
      <c r="H33" s="190">
        <v>0</v>
      </c>
      <c r="I33" s="190">
        <v>0</v>
      </c>
      <c r="J33" s="190">
        <v>0</v>
      </c>
      <c r="K33" s="190">
        <v>0</v>
      </c>
      <c r="L33" s="190">
        <v>0</v>
      </c>
      <c r="M33" s="190">
        <v>0</v>
      </c>
      <c r="N33" s="190">
        <v>0</v>
      </c>
      <c r="O33" s="190">
        <v>0</v>
      </c>
      <c r="P33" s="190">
        <v>0</v>
      </c>
      <c r="Q33" s="190">
        <v>0</v>
      </c>
      <c r="R33" s="190">
        <v>0</v>
      </c>
      <c r="S33" s="190">
        <v>0</v>
      </c>
      <c r="T33" s="190">
        <v>0</v>
      </c>
      <c r="U33" s="190">
        <v>0</v>
      </c>
      <c r="V33" s="190">
        <v>0</v>
      </c>
      <c r="W33" s="190">
        <v>0</v>
      </c>
      <c r="X33" s="190">
        <v>0</v>
      </c>
      <c r="Y33" s="190">
        <v>0</v>
      </c>
      <c r="Z33" s="190">
        <v>0</v>
      </c>
      <c r="AA33" s="190">
        <v>0</v>
      </c>
      <c r="AB33" s="190">
        <v>0</v>
      </c>
      <c r="AC33" s="190">
        <v>0</v>
      </c>
      <c r="AD33" s="190">
        <v>0</v>
      </c>
      <c r="AE33" s="190">
        <v>0</v>
      </c>
      <c r="AF33" s="190">
        <v>0</v>
      </c>
      <c r="AG33" s="190">
        <v>0</v>
      </c>
      <c r="AH33" s="190">
        <v>0</v>
      </c>
      <c r="AI33" s="190">
        <v>0</v>
      </c>
      <c r="AJ33" s="190">
        <v>0</v>
      </c>
      <c r="AK33" s="190">
        <v>0</v>
      </c>
      <c r="AL33" s="190">
        <v>0</v>
      </c>
      <c r="AM33" s="190">
        <v>0</v>
      </c>
      <c r="AN33" s="190">
        <v>0</v>
      </c>
      <c r="AO33" s="190">
        <v>0</v>
      </c>
      <c r="AP33" s="190">
        <v>0</v>
      </c>
      <c r="AQ33" s="190">
        <v>0</v>
      </c>
    </row>
    <row r="34" spans="1:43" x14ac:dyDescent="0.25">
      <c r="A34" s="190" t="s">
        <v>138</v>
      </c>
      <c r="B34" s="190">
        <v>0</v>
      </c>
      <c r="C34" s="190">
        <v>0</v>
      </c>
      <c r="D34" s="190">
        <v>0</v>
      </c>
      <c r="E34" s="190">
        <v>0</v>
      </c>
      <c r="F34" s="190">
        <v>0</v>
      </c>
      <c r="G34" s="190">
        <v>0</v>
      </c>
      <c r="H34" s="190">
        <v>0</v>
      </c>
      <c r="I34" s="190">
        <v>0</v>
      </c>
      <c r="J34" s="190">
        <v>0</v>
      </c>
      <c r="K34" s="190">
        <v>0</v>
      </c>
      <c r="L34" s="190">
        <v>0</v>
      </c>
      <c r="M34" s="190">
        <v>0</v>
      </c>
      <c r="N34" s="190">
        <v>0</v>
      </c>
      <c r="O34" s="190">
        <v>0</v>
      </c>
      <c r="P34" s="190">
        <v>0</v>
      </c>
      <c r="Q34" s="190">
        <v>0</v>
      </c>
      <c r="R34" s="190">
        <v>0</v>
      </c>
      <c r="S34" s="190">
        <v>0</v>
      </c>
      <c r="T34" s="190">
        <v>0</v>
      </c>
      <c r="U34" s="190">
        <v>0</v>
      </c>
      <c r="V34" s="190">
        <v>0</v>
      </c>
      <c r="W34" s="190">
        <v>0</v>
      </c>
      <c r="X34" s="190">
        <v>0</v>
      </c>
      <c r="Y34" s="190">
        <v>0</v>
      </c>
      <c r="Z34" s="190">
        <v>0</v>
      </c>
      <c r="AA34" s="190">
        <v>0</v>
      </c>
      <c r="AB34" s="190">
        <v>0</v>
      </c>
      <c r="AC34" s="190">
        <v>0</v>
      </c>
      <c r="AD34" s="190">
        <v>0</v>
      </c>
      <c r="AE34" s="190">
        <v>0</v>
      </c>
      <c r="AF34" s="190">
        <v>0</v>
      </c>
      <c r="AG34" s="190">
        <v>0</v>
      </c>
      <c r="AH34" s="190">
        <v>0</v>
      </c>
      <c r="AI34" s="190">
        <v>0</v>
      </c>
      <c r="AJ34" s="190">
        <v>0</v>
      </c>
      <c r="AK34" s="190">
        <v>0</v>
      </c>
      <c r="AL34" s="190">
        <v>0</v>
      </c>
      <c r="AM34" s="190">
        <v>0</v>
      </c>
      <c r="AN34" s="190">
        <v>0</v>
      </c>
      <c r="AO34" s="190">
        <v>0</v>
      </c>
      <c r="AP34" s="190">
        <v>0</v>
      </c>
      <c r="AQ34" s="190">
        <v>0</v>
      </c>
    </row>
    <row r="35" spans="1:43" x14ac:dyDescent="0.25">
      <c r="A35" s="190" t="s">
        <v>139</v>
      </c>
      <c r="B35" s="190">
        <v>308191331.69</v>
      </c>
      <c r="C35" s="190">
        <v>302341982.07999998</v>
      </c>
      <c r="D35" s="190">
        <v>295395421.49000001</v>
      </c>
      <c r="E35" s="190">
        <v>306530006.25</v>
      </c>
      <c r="F35" s="190">
        <v>323481827.06</v>
      </c>
      <c r="G35" s="190">
        <v>332029194.92000002</v>
      </c>
      <c r="H35" s="190">
        <v>331416349.85000002</v>
      </c>
      <c r="I35" s="190">
        <v>118170720.79000001</v>
      </c>
      <c r="J35" s="190">
        <v>111435999.70999999</v>
      </c>
      <c r="K35" s="190">
        <v>113087078.09</v>
      </c>
      <c r="L35" s="190">
        <v>114290815.06999999</v>
      </c>
      <c r="M35" s="190">
        <v>115277269.56999999</v>
      </c>
      <c r="N35" s="190">
        <v>101655338.19</v>
      </c>
      <c r="O35" s="190">
        <v>102732342.14</v>
      </c>
      <c r="P35" s="190">
        <v>103485214.91</v>
      </c>
      <c r="Q35" s="190">
        <v>104149223.65000001</v>
      </c>
      <c r="R35" s="190">
        <v>104006611.81999999</v>
      </c>
      <c r="S35" s="190">
        <v>104953963.73999999</v>
      </c>
      <c r="T35" s="190">
        <v>105966556.81999999</v>
      </c>
      <c r="U35" s="190">
        <v>107131650.09</v>
      </c>
      <c r="V35" s="190">
        <v>105477980.48999999</v>
      </c>
      <c r="W35" s="190">
        <v>76697891.120000005</v>
      </c>
      <c r="X35" s="190">
        <v>77512018.849999994</v>
      </c>
      <c r="Y35" s="190">
        <v>78511748.140000001</v>
      </c>
      <c r="Z35" s="190">
        <v>75008661.75</v>
      </c>
      <c r="AA35" s="190">
        <v>75533792.769999996</v>
      </c>
      <c r="AB35" s="190">
        <v>76417045.849999994</v>
      </c>
      <c r="AC35" s="190">
        <v>77223131.420000002</v>
      </c>
      <c r="AD35" s="190">
        <v>49561700.560000002</v>
      </c>
      <c r="AE35" s="190">
        <v>48784322.049999997</v>
      </c>
      <c r="AF35" s="190">
        <v>37756780.240000002</v>
      </c>
      <c r="AG35" s="190">
        <v>37874398.460000001</v>
      </c>
      <c r="AH35" s="190">
        <v>35041483.909999996</v>
      </c>
      <c r="AI35" s="190">
        <v>35254621.369999997</v>
      </c>
      <c r="AJ35" s="190">
        <v>35448231.049999997</v>
      </c>
      <c r="AK35" s="190">
        <v>12441501.48</v>
      </c>
      <c r="AL35" s="190">
        <v>12567010.58</v>
      </c>
      <c r="AM35" s="190">
        <v>12702441.859999999</v>
      </c>
      <c r="AN35" s="190">
        <v>12773722.76</v>
      </c>
      <c r="AO35" s="190">
        <v>13253983.52</v>
      </c>
      <c r="AP35" s="190">
        <v>13373966.359999999</v>
      </c>
      <c r="AQ35" s="190">
        <v>0</v>
      </c>
    </row>
    <row r="36" spans="1:43" x14ac:dyDescent="0.25">
      <c r="A36" s="190" t="s">
        <v>140</v>
      </c>
      <c r="B36" s="190">
        <v>0</v>
      </c>
      <c r="C36" s="190">
        <v>0</v>
      </c>
      <c r="D36" s="190">
        <v>0</v>
      </c>
      <c r="E36" s="190">
        <v>0</v>
      </c>
      <c r="F36" s="190">
        <v>0</v>
      </c>
      <c r="G36" s="190">
        <v>0</v>
      </c>
      <c r="H36" s="190">
        <v>0</v>
      </c>
      <c r="I36" s="190">
        <v>0</v>
      </c>
      <c r="J36" s="190">
        <v>0</v>
      </c>
      <c r="K36" s="190">
        <v>0</v>
      </c>
      <c r="L36" s="190">
        <v>0</v>
      </c>
      <c r="M36" s="190">
        <v>0</v>
      </c>
      <c r="N36" s="190">
        <v>0</v>
      </c>
      <c r="O36" s="190">
        <v>0</v>
      </c>
      <c r="P36" s="190">
        <v>0</v>
      </c>
      <c r="Q36" s="190">
        <v>0</v>
      </c>
      <c r="R36" s="190">
        <v>0</v>
      </c>
      <c r="S36" s="190">
        <v>0</v>
      </c>
      <c r="T36" s="190">
        <v>0</v>
      </c>
      <c r="U36" s="190">
        <v>0</v>
      </c>
      <c r="V36" s="190">
        <v>0</v>
      </c>
      <c r="W36" s="190">
        <v>0</v>
      </c>
      <c r="X36" s="190">
        <v>0</v>
      </c>
      <c r="Y36" s="190">
        <v>0</v>
      </c>
      <c r="Z36" s="190">
        <v>0</v>
      </c>
      <c r="AA36" s="190">
        <v>0</v>
      </c>
      <c r="AB36" s="190">
        <v>0</v>
      </c>
      <c r="AC36" s="190">
        <v>0</v>
      </c>
      <c r="AD36" s="190">
        <v>0</v>
      </c>
      <c r="AE36" s="190">
        <v>0</v>
      </c>
      <c r="AF36" s="190">
        <v>0</v>
      </c>
      <c r="AG36" s="190">
        <v>0</v>
      </c>
      <c r="AH36" s="190">
        <v>0</v>
      </c>
      <c r="AI36" s="190">
        <v>0</v>
      </c>
      <c r="AJ36" s="190">
        <v>0</v>
      </c>
      <c r="AK36" s="190">
        <v>0</v>
      </c>
      <c r="AL36" s="190">
        <v>0</v>
      </c>
      <c r="AM36" s="190">
        <v>0</v>
      </c>
      <c r="AN36" s="190">
        <v>0</v>
      </c>
      <c r="AO36" s="190">
        <v>0</v>
      </c>
      <c r="AP36" s="190">
        <v>0</v>
      </c>
      <c r="AQ36" s="190">
        <v>0</v>
      </c>
    </row>
    <row r="37" spans="1:43" x14ac:dyDescent="0.25">
      <c r="A37" s="190" t="s">
        <v>141</v>
      </c>
      <c r="B37" s="190">
        <v>243655266.56</v>
      </c>
      <c r="C37" s="190">
        <v>243655266.56</v>
      </c>
      <c r="D37" s="190">
        <v>235212831.53</v>
      </c>
      <c r="E37" s="190">
        <v>242110082.27000001</v>
      </c>
      <c r="F37" s="190">
        <v>316329792.22000003</v>
      </c>
      <c r="G37" s="190">
        <v>319336551.69</v>
      </c>
      <c r="H37" s="190">
        <v>321700134.58999997</v>
      </c>
      <c r="I37" s="190">
        <v>171198432.88999999</v>
      </c>
      <c r="J37" s="190">
        <v>196618493.28999999</v>
      </c>
      <c r="K37" s="190">
        <v>196618493.28999999</v>
      </c>
      <c r="L37" s="190">
        <v>196618493.28999999</v>
      </c>
      <c r="M37" s="190">
        <v>196618493.28999999</v>
      </c>
      <c r="N37" s="190">
        <v>169278079.88999999</v>
      </c>
      <c r="O37" s="190">
        <v>167731606.88999999</v>
      </c>
      <c r="P37" s="190">
        <v>167731606.88999999</v>
      </c>
      <c r="Q37" s="190">
        <v>167731606.88999999</v>
      </c>
      <c r="R37" s="190">
        <v>0</v>
      </c>
      <c r="S37" s="190">
        <v>0</v>
      </c>
      <c r="T37" s="190">
        <v>0</v>
      </c>
      <c r="U37" s="190">
        <v>0</v>
      </c>
      <c r="V37" s="190">
        <v>0</v>
      </c>
      <c r="W37" s="190">
        <v>0</v>
      </c>
      <c r="X37" s="190">
        <v>0</v>
      </c>
      <c r="Y37" s="190">
        <v>0</v>
      </c>
      <c r="Z37" s="190">
        <v>0</v>
      </c>
      <c r="AA37" s="190">
        <v>0</v>
      </c>
      <c r="AB37" s="190">
        <v>0</v>
      </c>
      <c r="AC37" s="190">
        <v>0</v>
      </c>
      <c r="AD37" s="190">
        <v>0</v>
      </c>
      <c r="AE37" s="190">
        <v>0</v>
      </c>
      <c r="AF37" s="190">
        <v>0</v>
      </c>
      <c r="AG37" s="190">
        <v>0</v>
      </c>
      <c r="AH37" s="190">
        <v>21180.67</v>
      </c>
      <c r="AI37" s="190">
        <v>21180.67</v>
      </c>
      <c r="AJ37" s="190">
        <v>21180.67</v>
      </c>
      <c r="AK37" s="190">
        <v>21180.67</v>
      </c>
      <c r="AL37" s="190">
        <v>21180.67</v>
      </c>
      <c r="AM37" s="190">
        <v>21180.67</v>
      </c>
      <c r="AN37" s="190">
        <v>21180.67</v>
      </c>
      <c r="AO37" s="190">
        <v>0</v>
      </c>
      <c r="AP37" s="190">
        <v>0</v>
      </c>
      <c r="AQ37" s="190">
        <v>0</v>
      </c>
    </row>
    <row r="38" spans="1:43" x14ac:dyDescent="0.25">
      <c r="A38" s="190" t="s">
        <v>142</v>
      </c>
      <c r="B38" s="190">
        <v>43475749.869999997</v>
      </c>
      <c r="C38" s="190">
        <v>33872230.049999997</v>
      </c>
      <c r="D38" s="190">
        <v>44410205.869999997</v>
      </c>
      <c r="E38" s="190">
        <v>45947172.509999998</v>
      </c>
      <c r="F38" s="190">
        <v>29544182.129999999</v>
      </c>
      <c r="G38" s="190">
        <v>33023768.449999999</v>
      </c>
      <c r="H38" s="190">
        <v>41923633.200000003</v>
      </c>
      <c r="I38" s="190">
        <v>43253422.079999998</v>
      </c>
      <c r="J38" s="190">
        <v>48680532.130000003</v>
      </c>
      <c r="K38" s="190">
        <v>51199288.490000002</v>
      </c>
      <c r="L38" s="190">
        <v>50568500.950000003</v>
      </c>
      <c r="M38" s="190">
        <v>50655055.060000002</v>
      </c>
      <c r="N38" s="190">
        <v>53577405.07</v>
      </c>
      <c r="O38" s="190">
        <v>55914826.670000002</v>
      </c>
      <c r="P38" s="190">
        <v>59083791.030000001</v>
      </c>
      <c r="Q38" s="190">
        <v>60762776.060000002</v>
      </c>
      <c r="R38" s="190">
        <v>63982086.710000001</v>
      </c>
      <c r="S38" s="190">
        <v>67359719.879999995</v>
      </c>
      <c r="T38" s="190">
        <v>69801468.840000004</v>
      </c>
      <c r="U38" s="190">
        <v>70760454.409999996</v>
      </c>
      <c r="V38" s="190">
        <v>56419955.990000002</v>
      </c>
      <c r="W38" s="190">
        <v>39435138.039999999</v>
      </c>
      <c r="X38" s="190">
        <v>29161215.899999999</v>
      </c>
      <c r="Y38" s="190">
        <v>17715115.059999999</v>
      </c>
      <c r="Z38" s="190">
        <v>17778744.809999999</v>
      </c>
      <c r="AA38" s="190">
        <v>15884098.449999999</v>
      </c>
      <c r="AB38" s="190">
        <v>14905670.91</v>
      </c>
      <c r="AC38" s="190">
        <v>12321576.76</v>
      </c>
      <c r="AD38" s="190">
        <v>10256905.619999999</v>
      </c>
      <c r="AE38" s="190">
        <v>7566624.9100000001</v>
      </c>
      <c r="AF38" s="190">
        <v>7658282.04</v>
      </c>
      <c r="AG38" s="190">
        <v>6663584</v>
      </c>
      <c r="AH38" s="190">
        <v>5604783.4100000001</v>
      </c>
      <c r="AI38" s="190">
        <v>5014467.38</v>
      </c>
      <c r="AJ38" s="190">
        <v>5238906.71</v>
      </c>
      <c r="AK38" s="190">
        <v>4722656.8099999996</v>
      </c>
      <c r="AL38" s="190">
        <v>0</v>
      </c>
      <c r="AM38" s="190">
        <v>0</v>
      </c>
      <c r="AN38" s="190">
        <v>0</v>
      </c>
      <c r="AO38" s="190">
        <v>0</v>
      </c>
      <c r="AP38" s="190">
        <v>0</v>
      </c>
      <c r="AQ38" s="190">
        <v>0</v>
      </c>
    </row>
    <row r="39" spans="1:43" x14ac:dyDescent="0.25">
      <c r="A39" s="190" t="s">
        <v>143</v>
      </c>
      <c r="B39" s="190">
        <v>123180603.91</v>
      </c>
      <c r="C39" s="190">
        <v>121891447.79000001</v>
      </c>
      <c r="D39" s="190">
        <v>113050132.55</v>
      </c>
      <c r="E39" s="190">
        <v>131652044.88</v>
      </c>
      <c r="F39" s="190">
        <v>128957242.54000001</v>
      </c>
      <c r="G39" s="190">
        <v>132821350.84</v>
      </c>
      <c r="H39" s="190">
        <v>124728664.06999999</v>
      </c>
      <c r="I39" s="190">
        <v>96568754.730000004</v>
      </c>
      <c r="J39" s="190">
        <v>97988507.489999995</v>
      </c>
      <c r="K39" s="190">
        <v>98726880.129999995</v>
      </c>
      <c r="L39" s="190">
        <v>106206337.41</v>
      </c>
      <c r="M39" s="190">
        <v>105045408.40000001</v>
      </c>
      <c r="N39" s="190">
        <v>94036413.329999998</v>
      </c>
      <c r="O39" s="190">
        <v>87281212.469999999</v>
      </c>
      <c r="P39" s="190">
        <v>82842026.349999994</v>
      </c>
      <c r="Q39" s="190">
        <v>85776389.219999999</v>
      </c>
      <c r="R39" s="190">
        <v>82492392.150000006</v>
      </c>
      <c r="S39" s="190">
        <v>66264750.82</v>
      </c>
      <c r="T39" s="190">
        <v>56403144.689999998</v>
      </c>
      <c r="U39" s="190">
        <v>58415483.549999997</v>
      </c>
      <c r="V39" s="190">
        <v>67799202.469999999</v>
      </c>
      <c r="W39" s="190">
        <v>62611670.850000001</v>
      </c>
      <c r="X39" s="190">
        <v>51492596.219999999</v>
      </c>
      <c r="Y39" s="190">
        <v>54394134.75</v>
      </c>
      <c r="Z39" s="190">
        <v>53462105.979999997</v>
      </c>
      <c r="AA39" s="190">
        <v>48277776.359999999</v>
      </c>
      <c r="AB39" s="190">
        <v>42246032.509999998</v>
      </c>
      <c r="AC39" s="190">
        <v>43324488.460000001</v>
      </c>
      <c r="AD39" s="190">
        <v>57206608.259999998</v>
      </c>
      <c r="AE39" s="190">
        <v>48133149.729999997</v>
      </c>
      <c r="AF39" s="190">
        <v>44207607.390000001</v>
      </c>
      <c r="AG39" s="190">
        <v>39821139.329999998</v>
      </c>
      <c r="AH39" s="190">
        <v>6938403.5800000001</v>
      </c>
      <c r="AI39" s="190">
        <v>6785539.7000000002</v>
      </c>
      <c r="AJ39" s="190">
        <v>8018973.6100000003</v>
      </c>
      <c r="AK39" s="190">
        <v>7742787.0199999996</v>
      </c>
      <c r="AL39" s="190">
        <v>4851029.58</v>
      </c>
      <c r="AM39" s="190">
        <v>4560809.71</v>
      </c>
      <c r="AN39" s="190">
        <v>6155362.0300000003</v>
      </c>
      <c r="AO39" s="190">
        <v>3866563.8</v>
      </c>
      <c r="AP39" s="190">
        <v>2783130.85</v>
      </c>
      <c r="AQ39" s="190">
        <v>0</v>
      </c>
    </row>
    <row r="40" spans="1:43" x14ac:dyDescent="0.25">
      <c r="A40" s="190" t="s">
        <v>144</v>
      </c>
      <c r="B40" s="190">
        <v>11472387.039999999</v>
      </c>
      <c r="C40" s="190">
        <v>11399767.140000001</v>
      </c>
      <c r="D40" s="190">
        <v>11985893.65</v>
      </c>
      <c r="E40" s="190">
        <v>19932301.280000001</v>
      </c>
      <c r="F40" s="190">
        <v>11551859.84</v>
      </c>
      <c r="G40" s="190">
        <v>11592919.029999999</v>
      </c>
      <c r="H40" s="190">
        <v>15785000</v>
      </c>
      <c r="I40" s="190">
        <v>15785000</v>
      </c>
      <c r="J40" s="190">
        <v>0</v>
      </c>
      <c r="K40" s="190">
        <v>0</v>
      </c>
      <c r="L40" s="190">
        <v>0</v>
      </c>
      <c r="M40" s="190">
        <v>0</v>
      </c>
      <c r="N40" s="190">
        <v>0</v>
      </c>
      <c r="O40" s="190">
        <v>0</v>
      </c>
      <c r="P40" s="190">
        <v>0</v>
      </c>
      <c r="Q40" s="190">
        <v>0</v>
      </c>
      <c r="R40" s="190">
        <v>0</v>
      </c>
      <c r="S40" s="190">
        <v>0</v>
      </c>
      <c r="T40" s="190">
        <v>0</v>
      </c>
      <c r="U40" s="190">
        <v>0</v>
      </c>
      <c r="V40" s="190">
        <v>0</v>
      </c>
      <c r="W40" s="190">
        <v>0</v>
      </c>
      <c r="X40" s="190">
        <v>0</v>
      </c>
      <c r="Y40" s="190">
        <v>0</v>
      </c>
      <c r="Z40" s="190">
        <v>0</v>
      </c>
      <c r="AA40" s="190">
        <v>0</v>
      </c>
      <c r="AB40" s="190">
        <v>0</v>
      </c>
      <c r="AC40" s="190">
        <v>0</v>
      </c>
      <c r="AD40" s="190">
        <v>0</v>
      </c>
      <c r="AE40" s="190">
        <v>0</v>
      </c>
      <c r="AF40" s="190">
        <v>0</v>
      </c>
      <c r="AG40" s="190">
        <v>0</v>
      </c>
      <c r="AH40" s="190">
        <v>0</v>
      </c>
      <c r="AI40" s="190">
        <v>0</v>
      </c>
      <c r="AJ40" s="190">
        <v>0</v>
      </c>
      <c r="AK40" s="190">
        <v>0</v>
      </c>
      <c r="AL40" s="190">
        <v>0</v>
      </c>
      <c r="AM40" s="190">
        <v>0</v>
      </c>
      <c r="AN40" s="190">
        <v>0</v>
      </c>
      <c r="AO40" s="190">
        <v>0</v>
      </c>
      <c r="AP40" s="190">
        <v>0</v>
      </c>
      <c r="AQ40" s="190">
        <v>0</v>
      </c>
    </row>
    <row r="41" spans="1:43" x14ac:dyDescent="0.25">
      <c r="A41" s="190" t="s">
        <v>145</v>
      </c>
      <c r="B41" s="190">
        <v>1355409607.72</v>
      </c>
      <c r="C41" s="190">
        <v>1333068745.54</v>
      </c>
      <c r="D41" s="190">
        <v>1293989081.75</v>
      </c>
      <c r="E41" s="190">
        <v>1367394571.5699999</v>
      </c>
      <c r="F41" s="190">
        <v>1443240135.76</v>
      </c>
      <c r="G41" s="190">
        <v>1468688926.72</v>
      </c>
      <c r="H41" s="190">
        <v>1685717796.96</v>
      </c>
      <c r="I41" s="190">
        <v>1272651203.6099999</v>
      </c>
      <c r="J41" s="190">
        <v>1314956821.5599999</v>
      </c>
      <c r="K41" s="190">
        <v>1063497750.8</v>
      </c>
      <c r="L41" s="190">
        <v>1020238065.86</v>
      </c>
      <c r="M41" s="190">
        <v>1024693184.55</v>
      </c>
      <c r="N41" s="190">
        <v>890121493.55999994</v>
      </c>
      <c r="O41" s="190">
        <v>822129414.73000002</v>
      </c>
      <c r="P41" s="190">
        <v>825330317.23000002</v>
      </c>
      <c r="Q41" s="190">
        <v>825502014.86000001</v>
      </c>
      <c r="R41" s="190">
        <v>658741725.48000002</v>
      </c>
      <c r="S41" s="190">
        <v>642750663.66999996</v>
      </c>
      <c r="T41" s="190">
        <v>638106996.24000001</v>
      </c>
      <c r="U41" s="190">
        <v>646286156.85000002</v>
      </c>
      <c r="V41" s="190">
        <v>687749387.55999994</v>
      </c>
      <c r="W41" s="190">
        <v>656425843.01999998</v>
      </c>
      <c r="X41" s="190">
        <v>675710284.61000001</v>
      </c>
      <c r="Y41" s="190">
        <v>514551138.61000001</v>
      </c>
      <c r="Z41" s="190">
        <v>496788347.32999998</v>
      </c>
      <c r="AA41" s="190">
        <v>438036109.13999999</v>
      </c>
      <c r="AB41" s="190">
        <v>424560822.61000001</v>
      </c>
      <c r="AC41" s="190">
        <v>406249339.64999998</v>
      </c>
      <c r="AD41" s="190">
        <v>313155620.74000001</v>
      </c>
      <c r="AE41" s="190">
        <v>255703474.93000001</v>
      </c>
      <c r="AF41" s="190">
        <v>233981981.53999999</v>
      </c>
      <c r="AG41" s="190">
        <v>214815697.09999999</v>
      </c>
      <c r="AH41" s="190">
        <v>135625805.69</v>
      </c>
      <c r="AI41" s="190">
        <v>127706581.34</v>
      </c>
      <c r="AJ41" s="190">
        <v>128121301.54000001</v>
      </c>
      <c r="AK41" s="190">
        <v>127940373.52</v>
      </c>
      <c r="AL41" s="190">
        <v>97160166.030000001</v>
      </c>
      <c r="AM41" s="190">
        <v>98253328.269999996</v>
      </c>
      <c r="AN41" s="190">
        <v>101972525.01000001</v>
      </c>
      <c r="AO41" s="190">
        <v>82896917.930000007</v>
      </c>
      <c r="AP41" s="190">
        <v>64196426.759999998</v>
      </c>
      <c r="AQ41" s="190">
        <v>0</v>
      </c>
    </row>
    <row r="42" spans="1:43" x14ac:dyDescent="0.25">
      <c r="A42" s="190" t="s">
        <v>146</v>
      </c>
      <c r="B42" s="190">
        <v>5099455313.9200001</v>
      </c>
      <c r="C42" s="190">
        <v>5029115176.2399998</v>
      </c>
      <c r="D42" s="190">
        <v>5045656719.4700003</v>
      </c>
      <c r="E42" s="190">
        <v>4588164301.5</v>
      </c>
      <c r="F42" s="190">
        <v>4583533307.4799995</v>
      </c>
      <c r="G42" s="190">
        <v>4345413753.2399998</v>
      </c>
      <c r="H42" s="190">
        <v>4575824487.4899998</v>
      </c>
      <c r="I42" s="190">
        <v>4208287243.79</v>
      </c>
      <c r="J42" s="190">
        <v>3851813086.6999998</v>
      </c>
      <c r="K42" s="190">
        <v>3560057533.8600001</v>
      </c>
      <c r="L42" s="190">
        <v>3585925939.0700002</v>
      </c>
      <c r="M42" s="190">
        <v>3484849303.8000002</v>
      </c>
      <c r="N42" s="190">
        <v>3191439823.1700001</v>
      </c>
      <c r="O42" s="190">
        <v>2986156762.4899998</v>
      </c>
      <c r="P42" s="190">
        <v>3180540182.6199999</v>
      </c>
      <c r="Q42" s="190">
        <v>3114855561.2199998</v>
      </c>
      <c r="R42" s="190">
        <v>2895217618.3600001</v>
      </c>
      <c r="S42" s="190">
        <v>2660772146.6799998</v>
      </c>
      <c r="T42" s="190">
        <v>2727678314.2199998</v>
      </c>
      <c r="U42" s="190">
        <v>2645450265.48</v>
      </c>
      <c r="V42" s="190">
        <v>2465170285.0999999</v>
      </c>
      <c r="W42" s="190">
        <v>2252932153.3099999</v>
      </c>
      <c r="X42" s="190">
        <v>2409526966.02</v>
      </c>
      <c r="Y42" s="190">
        <v>2339770611.5</v>
      </c>
      <c r="Z42" s="190">
        <v>2270719302.29</v>
      </c>
      <c r="AA42" s="190">
        <v>2137893213.3599999</v>
      </c>
      <c r="AB42" s="190">
        <v>2270994717.3000002</v>
      </c>
      <c r="AC42" s="190">
        <v>2153179055.25</v>
      </c>
      <c r="AD42" s="190">
        <v>1988396274.9000001</v>
      </c>
      <c r="AE42" s="190">
        <v>1772891787.98</v>
      </c>
      <c r="AF42" s="190">
        <v>1953271489.8199999</v>
      </c>
      <c r="AG42" s="190">
        <v>1876052957.8599999</v>
      </c>
      <c r="AH42" s="190">
        <v>1668770817.4400001</v>
      </c>
      <c r="AI42" s="190">
        <v>1530314604.1400001</v>
      </c>
      <c r="AJ42" s="190">
        <v>1623039063.5999999</v>
      </c>
      <c r="AK42" s="190">
        <v>1547520508</v>
      </c>
      <c r="AL42" s="190">
        <v>1472354811.1099999</v>
      </c>
      <c r="AM42" s="190">
        <v>472831648.52999997</v>
      </c>
      <c r="AN42" s="190">
        <v>458441994.60000002</v>
      </c>
      <c r="AO42" s="190">
        <v>357981851.88</v>
      </c>
      <c r="AP42" s="190">
        <v>299974741.25999999</v>
      </c>
      <c r="AQ42" s="190">
        <v>0</v>
      </c>
    </row>
    <row r="43" spans="1:43" x14ac:dyDescent="0.25">
      <c r="A43" s="190" t="s">
        <v>147</v>
      </c>
    </row>
    <row r="44" spans="1:43" x14ac:dyDescent="0.25">
      <c r="A44" s="190" t="s">
        <v>148</v>
      </c>
      <c r="B44" s="190">
        <v>188948864.02000001</v>
      </c>
      <c r="C44" s="190">
        <v>188460025.30000001</v>
      </c>
      <c r="D44" s="190">
        <v>197086499.49000001</v>
      </c>
      <c r="E44" s="190">
        <v>190000000</v>
      </c>
      <c r="F44" s="190">
        <v>347918379.06999999</v>
      </c>
      <c r="G44" s="190">
        <v>346399456.67000002</v>
      </c>
      <c r="H44" s="190">
        <v>376062024.37</v>
      </c>
      <c r="I44" s="190">
        <v>400000000</v>
      </c>
      <c r="J44" s="190">
        <v>240000000</v>
      </c>
      <c r="K44" s="190">
        <v>270000000</v>
      </c>
      <c r="L44" s="190">
        <v>100000000</v>
      </c>
      <c r="M44" s="190">
        <v>100000000</v>
      </c>
      <c r="N44" s="190">
        <v>0</v>
      </c>
      <c r="O44" s="190">
        <v>0</v>
      </c>
      <c r="P44" s="190">
        <v>0</v>
      </c>
      <c r="Q44" s="190">
        <v>0</v>
      </c>
      <c r="R44" s="190">
        <v>0</v>
      </c>
      <c r="S44" s="190">
        <v>0</v>
      </c>
      <c r="T44" s="190">
        <v>0</v>
      </c>
      <c r="U44" s="190">
        <v>0</v>
      </c>
      <c r="V44" s="190">
        <v>0</v>
      </c>
      <c r="W44" s="190">
        <v>0</v>
      </c>
      <c r="X44" s="190">
        <v>0</v>
      </c>
      <c r="Y44" s="190">
        <v>0</v>
      </c>
      <c r="Z44" s="190">
        <v>0</v>
      </c>
      <c r="AA44" s="190">
        <v>0</v>
      </c>
      <c r="AB44" s="190">
        <v>0</v>
      </c>
      <c r="AC44" s="190">
        <v>0</v>
      </c>
      <c r="AD44" s="190">
        <v>0</v>
      </c>
      <c r="AE44" s="190">
        <v>0</v>
      </c>
      <c r="AF44" s="190">
        <v>0</v>
      </c>
      <c r="AG44" s="190">
        <v>0</v>
      </c>
      <c r="AH44" s="190">
        <v>0</v>
      </c>
      <c r="AI44" s="190">
        <v>0</v>
      </c>
      <c r="AJ44" s="190">
        <v>0</v>
      </c>
      <c r="AK44" s="190">
        <v>0</v>
      </c>
      <c r="AL44" s="190">
        <v>0</v>
      </c>
      <c r="AM44" s="190">
        <v>0</v>
      </c>
      <c r="AN44" s="190">
        <v>0</v>
      </c>
      <c r="AO44" s="190">
        <v>5000000</v>
      </c>
      <c r="AP44" s="190">
        <v>28000000</v>
      </c>
      <c r="AQ44" s="190">
        <v>0</v>
      </c>
    </row>
    <row r="45" spans="1:43" x14ac:dyDescent="0.25">
      <c r="A45" s="190" t="s">
        <v>149</v>
      </c>
      <c r="B45" s="190">
        <v>0</v>
      </c>
      <c r="C45" s="190">
        <v>0</v>
      </c>
      <c r="D45" s="190">
        <v>0</v>
      </c>
      <c r="E45" s="190">
        <v>0</v>
      </c>
      <c r="F45" s="190">
        <v>0</v>
      </c>
      <c r="G45" s="190">
        <v>0</v>
      </c>
      <c r="H45" s="190">
        <v>0</v>
      </c>
      <c r="I45" s="190">
        <v>0</v>
      </c>
      <c r="J45" s="190">
        <v>0</v>
      </c>
      <c r="K45" s="190">
        <v>0</v>
      </c>
      <c r="L45" s="190">
        <v>0</v>
      </c>
      <c r="M45" s="190">
        <v>0</v>
      </c>
      <c r="N45" s="190">
        <v>0</v>
      </c>
      <c r="O45" s="190">
        <v>0</v>
      </c>
      <c r="P45" s="190">
        <v>0</v>
      </c>
      <c r="Q45" s="190">
        <v>0</v>
      </c>
      <c r="R45" s="190">
        <v>0</v>
      </c>
      <c r="S45" s="190">
        <v>0</v>
      </c>
      <c r="T45" s="190">
        <v>0</v>
      </c>
      <c r="U45" s="190">
        <v>0</v>
      </c>
      <c r="V45" s="190">
        <v>0</v>
      </c>
      <c r="W45" s="190">
        <v>0</v>
      </c>
      <c r="X45" s="190">
        <v>0</v>
      </c>
      <c r="Y45" s="190">
        <v>0</v>
      </c>
      <c r="Z45" s="190">
        <v>0</v>
      </c>
      <c r="AA45" s="190">
        <v>0</v>
      </c>
      <c r="AB45" s="190">
        <v>0</v>
      </c>
      <c r="AC45" s="190">
        <v>0</v>
      </c>
      <c r="AD45" s="190">
        <v>0</v>
      </c>
      <c r="AE45" s="190">
        <v>0</v>
      </c>
      <c r="AF45" s="190">
        <v>0</v>
      </c>
      <c r="AG45" s="190">
        <v>0</v>
      </c>
      <c r="AH45" s="190">
        <v>0</v>
      </c>
      <c r="AI45" s="190">
        <v>0</v>
      </c>
      <c r="AJ45" s="190">
        <v>0</v>
      </c>
      <c r="AK45" s="190">
        <v>0</v>
      </c>
      <c r="AL45" s="190">
        <v>0</v>
      </c>
      <c r="AM45" s="190">
        <v>0</v>
      </c>
      <c r="AN45" s="190">
        <v>0</v>
      </c>
      <c r="AO45" s="190">
        <v>0</v>
      </c>
      <c r="AP45" s="190">
        <v>0</v>
      </c>
      <c r="AQ45" s="190">
        <v>0</v>
      </c>
    </row>
    <row r="46" spans="1:43" x14ac:dyDescent="0.25">
      <c r="A46" s="190" t="s">
        <v>150</v>
      </c>
      <c r="B46" s="190">
        <v>0</v>
      </c>
      <c r="C46" s="190">
        <v>84226759.390000001</v>
      </c>
      <c r="D46" s="190">
        <v>76500924.930000007</v>
      </c>
      <c r="E46" s="190">
        <v>78023266.099999994</v>
      </c>
      <c r="F46" s="190">
        <v>72564162.640000001</v>
      </c>
      <c r="G46" s="190">
        <v>73348377.950000003</v>
      </c>
      <c r="H46" s="190">
        <v>61195376.789999999</v>
      </c>
      <c r="I46" s="190">
        <v>50783142.990000002</v>
      </c>
      <c r="J46" s="190">
        <v>60054536.219999999</v>
      </c>
      <c r="K46" s="190">
        <v>37699330.850000001</v>
      </c>
      <c r="L46" s="190">
        <v>50967182.450000003</v>
      </c>
      <c r="M46" s="190">
        <v>15129844.289999999</v>
      </c>
      <c r="N46" s="190">
        <v>61247366.950000003</v>
      </c>
      <c r="O46" s="190">
        <v>51070730.969999999</v>
      </c>
      <c r="P46" s="190">
        <v>40869975.25</v>
      </c>
      <c r="Q46" s="190">
        <v>40077508.780000001</v>
      </c>
      <c r="R46" s="190">
        <v>51659930.859999999</v>
      </c>
      <c r="S46" s="190">
        <v>51032185.659999996</v>
      </c>
      <c r="T46" s="190">
        <v>33940991.850000001</v>
      </c>
      <c r="U46" s="190">
        <v>50244501.109999999</v>
      </c>
      <c r="V46" s="190">
        <v>33982268.030000001</v>
      </c>
      <c r="W46" s="190">
        <v>32067281.440000001</v>
      </c>
      <c r="X46" s="190">
        <v>33988610.57</v>
      </c>
      <c r="Y46" s="190">
        <v>32049651.059999999</v>
      </c>
      <c r="Z46" s="190">
        <v>30591922.75</v>
      </c>
      <c r="AA46" s="190">
        <v>38170116.299999997</v>
      </c>
      <c r="AB46" s="190">
        <v>28615139.530000001</v>
      </c>
      <c r="AC46" s="190">
        <v>34862777.979999997</v>
      </c>
      <c r="AD46" s="190">
        <v>20039063.359999999</v>
      </c>
      <c r="AE46" s="190">
        <v>35145214.579999998</v>
      </c>
      <c r="AF46" s="190">
        <v>16758909.880000001</v>
      </c>
      <c r="AG46" s="190">
        <v>23246829.98</v>
      </c>
      <c r="AH46" s="190">
        <v>16106627.73</v>
      </c>
      <c r="AI46" s="190">
        <v>5804375.8300000001</v>
      </c>
      <c r="AJ46" s="190">
        <v>4787213.41</v>
      </c>
      <c r="AK46" s="190">
        <v>4791876.92</v>
      </c>
      <c r="AL46" s="190">
        <v>26027954.710000001</v>
      </c>
      <c r="AM46" s="190">
        <v>29868093.559999999</v>
      </c>
      <c r="AN46" s="190">
        <v>19168816</v>
      </c>
      <c r="AO46" s="190">
        <v>0</v>
      </c>
      <c r="AP46" s="190">
        <v>0</v>
      </c>
      <c r="AQ46" s="190">
        <v>0</v>
      </c>
    </row>
    <row r="47" spans="1:43" x14ac:dyDescent="0.25">
      <c r="A47" s="190" t="s">
        <v>151</v>
      </c>
      <c r="B47" s="190">
        <v>0</v>
      </c>
      <c r="C47" s="190">
        <v>492622176.07999998</v>
      </c>
      <c r="D47" s="190">
        <v>425389738.02999997</v>
      </c>
      <c r="E47" s="190">
        <v>416408376.41000003</v>
      </c>
      <c r="F47" s="190">
        <v>467584495.98000002</v>
      </c>
      <c r="G47" s="190">
        <v>408007274.42000002</v>
      </c>
      <c r="H47" s="190">
        <v>369147111.12</v>
      </c>
      <c r="I47" s="190">
        <v>337499520.91000003</v>
      </c>
      <c r="J47" s="190">
        <v>284092374.5</v>
      </c>
      <c r="K47" s="190">
        <v>208422647.28999999</v>
      </c>
      <c r="L47" s="190">
        <v>248861390.71000001</v>
      </c>
      <c r="M47" s="190">
        <v>300605223.86000001</v>
      </c>
      <c r="N47" s="190">
        <v>282071544.69</v>
      </c>
      <c r="O47" s="190">
        <v>270614379.23000002</v>
      </c>
      <c r="P47" s="190">
        <v>179275966.55000001</v>
      </c>
      <c r="Q47" s="190">
        <v>252086816.63999999</v>
      </c>
      <c r="R47" s="190">
        <v>346521310.00999999</v>
      </c>
      <c r="S47" s="190">
        <v>261050690.30000001</v>
      </c>
      <c r="T47" s="190">
        <v>239726079.91999999</v>
      </c>
      <c r="U47" s="190">
        <v>281249128.88999999</v>
      </c>
      <c r="V47" s="190">
        <v>199573936.55000001</v>
      </c>
      <c r="W47" s="190">
        <v>166426948.56999999</v>
      </c>
      <c r="X47" s="190">
        <v>187236688.43000001</v>
      </c>
      <c r="Y47" s="190">
        <v>257643763.53999999</v>
      </c>
      <c r="Z47" s="190">
        <v>264734459.97</v>
      </c>
      <c r="AA47" s="190">
        <v>299308562.82999998</v>
      </c>
      <c r="AB47" s="190">
        <v>274168394.76999998</v>
      </c>
      <c r="AC47" s="190">
        <v>298354085.85000002</v>
      </c>
      <c r="AD47" s="190">
        <v>220005852.24000001</v>
      </c>
      <c r="AE47" s="190">
        <v>200850439.75999999</v>
      </c>
      <c r="AF47" s="190">
        <v>194130373.44</v>
      </c>
      <c r="AG47" s="190">
        <v>268714371.08999997</v>
      </c>
      <c r="AH47" s="190">
        <v>128429378.42</v>
      </c>
      <c r="AI47" s="190">
        <v>117828842.56</v>
      </c>
      <c r="AJ47" s="190">
        <v>82202291.599999994</v>
      </c>
      <c r="AK47" s="190">
        <v>94609888.870000005</v>
      </c>
      <c r="AL47" s="190">
        <v>62949499.850000001</v>
      </c>
      <c r="AM47" s="190">
        <v>60735366.170000002</v>
      </c>
      <c r="AN47" s="190">
        <v>70897740.730000004</v>
      </c>
      <c r="AO47" s="190">
        <v>55779746.740000002</v>
      </c>
      <c r="AP47" s="190">
        <v>45415547.68</v>
      </c>
      <c r="AQ47" s="190">
        <v>0</v>
      </c>
    </row>
    <row r="48" spans="1:43" x14ac:dyDescent="0.25">
      <c r="A48" s="190" t="s">
        <v>152</v>
      </c>
      <c r="B48" s="190">
        <v>83278080.769999996</v>
      </c>
      <c r="C48" s="190">
        <v>85489388.390000001</v>
      </c>
      <c r="D48" s="190">
        <v>80754979.599999994</v>
      </c>
      <c r="E48" s="190">
        <v>89406648.530000001</v>
      </c>
      <c r="F48" s="190">
        <v>66724826.969999999</v>
      </c>
      <c r="G48" s="190">
        <v>71419339.900000006</v>
      </c>
      <c r="H48" s="190">
        <v>126694703.09</v>
      </c>
      <c r="I48" s="190">
        <v>109366676.15000001</v>
      </c>
      <c r="J48" s="190">
        <v>108058264.70999999</v>
      </c>
      <c r="K48" s="190">
        <v>109826640.25</v>
      </c>
      <c r="L48" s="190">
        <v>95622000.510000005</v>
      </c>
      <c r="M48" s="190">
        <v>80881599.680000007</v>
      </c>
      <c r="N48" s="190">
        <v>64036596.079999998</v>
      </c>
      <c r="O48" s="190">
        <v>68431755.129999995</v>
      </c>
      <c r="P48" s="190">
        <v>101102031.11</v>
      </c>
      <c r="Q48" s="190">
        <v>86092671.120000005</v>
      </c>
      <c r="R48" s="190">
        <v>45971429.380000003</v>
      </c>
      <c r="S48" s="190">
        <v>53110942.130000003</v>
      </c>
      <c r="T48" s="190">
        <v>74396737.290000007</v>
      </c>
      <c r="U48" s="190">
        <v>74121513.219999999</v>
      </c>
      <c r="V48" s="190">
        <v>54660257.630000003</v>
      </c>
      <c r="W48" s="190">
        <v>43111362.920000002</v>
      </c>
      <c r="X48" s="190">
        <v>66104440.909999996</v>
      </c>
      <c r="Y48" s="190">
        <v>55619716.280000001</v>
      </c>
      <c r="Z48" s="190">
        <v>55302377.479999997</v>
      </c>
      <c r="AA48" s="190">
        <v>53244998.289999999</v>
      </c>
      <c r="AB48" s="190">
        <v>73085304.019999996</v>
      </c>
      <c r="AC48" s="190">
        <v>83410023.870000005</v>
      </c>
      <c r="AD48" s="190">
        <v>64216356.18</v>
      </c>
      <c r="AE48" s="190">
        <v>62080895.219999999</v>
      </c>
      <c r="AF48" s="190">
        <v>86486174.939999998</v>
      </c>
      <c r="AG48" s="190">
        <v>44715330.340000004</v>
      </c>
      <c r="AH48" s="190">
        <v>48447355.82</v>
      </c>
      <c r="AI48" s="190">
        <v>27729649.68</v>
      </c>
      <c r="AJ48" s="190">
        <v>57222327.399999999</v>
      </c>
      <c r="AK48" s="190">
        <v>34172534.549999997</v>
      </c>
      <c r="AL48" s="190">
        <v>24045552.960000001</v>
      </c>
      <c r="AM48" s="190">
        <v>17196785.210000001</v>
      </c>
      <c r="AN48" s="190">
        <v>22351928.379999999</v>
      </c>
      <c r="AO48" s="190">
        <v>14776370.939999999</v>
      </c>
      <c r="AP48" s="190">
        <v>41165866.700000003</v>
      </c>
      <c r="AQ48" s="190">
        <v>0</v>
      </c>
    </row>
    <row r="49" spans="1:43" x14ac:dyDescent="0.25">
      <c r="A49" s="190" t="s">
        <v>153</v>
      </c>
      <c r="B49" s="190">
        <v>0</v>
      </c>
      <c r="C49" s="190">
        <v>0</v>
      </c>
      <c r="D49" s="190">
        <v>0</v>
      </c>
      <c r="E49" s="190">
        <v>0</v>
      </c>
      <c r="F49" s="190">
        <v>0</v>
      </c>
      <c r="G49" s="190">
        <v>0</v>
      </c>
      <c r="H49" s="190">
        <v>0</v>
      </c>
      <c r="I49" s="190">
        <v>0</v>
      </c>
      <c r="J49" s="190">
        <v>0</v>
      </c>
      <c r="K49" s="190">
        <v>0</v>
      </c>
      <c r="L49" s="190">
        <v>0</v>
      </c>
      <c r="M49" s="190">
        <v>0</v>
      </c>
      <c r="N49" s="190">
        <v>0</v>
      </c>
      <c r="O49" s="190">
        <v>0</v>
      </c>
      <c r="P49" s="190">
        <v>0</v>
      </c>
      <c r="Q49" s="190">
        <v>0</v>
      </c>
      <c r="R49" s="190">
        <v>0</v>
      </c>
      <c r="S49" s="190">
        <v>0</v>
      </c>
      <c r="T49" s="190">
        <v>0</v>
      </c>
      <c r="U49" s="190">
        <v>0</v>
      </c>
      <c r="V49" s="190">
        <v>0</v>
      </c>
      <c r="W49" s="190">
        <v>0</v>
      </c>
      <c r="X49" s="190">
        <v>0</v>
      </c>
      <c r="Y49" s="190">
        <v>0</v>
      </c>
      <c r="Z49" s="190">
        <v>0</v>
      </c>
      <c r="AA49" s="190">
        <v>0</v>
      </c>
      <c r="AB49" s="190">
        <v>0</v>
      </c>
      <c r="AC49" s="190">
        <v>0</v>
      </c>
      <c r="AD49" s="190">
        <v>0</v>
      </c>
      <c r="AE49" s="190">
        <v>0</v>
      </c>
      <c r="AF49" s="190">
        <v>0</v>
      </c>
      <c r="AG49" s="190">
        <v>0</v>
      </c>
      <c r="AH49" s="190">
        <v>0</v>
      </c>
      <c r="AI49" s="190">
        <v>0</v>
      </c>
      <c r="AJ49" s="190">
        <v>0</v>
      </c>
      <c r="AK49" s="190">
        <v>0</v>
      </c>
      <c r="AL49" s="190">
        <v>0</v>
      </c>
      <c r="AM49" s="190">
        <v>0</v>
      </c>
      <c r="AN49" s="190">
        <v>0</v>
      </c>
      <c r="AO49" s="190">
        <v>0</v>
      </c>
      <c r="AP49" s="190">
        <v>0</v>
      </c>
      <c r="AQ49" s="190">
        <v>0</v>
      </c>
    </row>
    <row r="50" spans="1:43" x14ac:dyDescent="0.25">
      <c r="A50" s="190" t="s">
        <v>154</v>
      </c>
      <c r="B50" s="190">
        <v>104130213.66</v>
      </c>
      <c r="C50" s="190">
        <v>97147973.239999995</v>
      </c>
      <c r="D50" s="190">
        <v>93912128.540000007</v>
      </c>
      <c r="E50" s="190">
        <v>135547115.13</v>
      </c>
      <c r="F50" s="190">
        <v>100544218.75</v>
      </c>
      <c r="G50" s="190">
        <v>93461848.829999998</v>
      </c>
      <c r="H50" s="190">
        <v>86808048.439999998</v>
      </c>
      <c r="I50" s="190">
        <v>80932813</v>
      </c>
      <c r="J50" s="190">
        <v>68768972.730000004</v>
      </c>
      <c r="K50" s="190">
        <v>55714609.840000004</v>
      </c>
      <c r="L50" s="190">
        <v>58263035.460000001</v>
      </c>
      <c r="M50" s="190">
        <v>76185233.560000002</v>
      </c>
      <c r="N50" s="190">
        <v>49758768.649999999</v>
      </c>
      <c r="O50" s="190">
        <v>46661668.469999999</v>
      </c>
      <c r="P50" s="190">
        <v>60107491.990000002</v>
      </c>
      <c r="Q50" s="190">
        <v>79111287.549999997</v>
      </c>
      <c r="R50" s="190">
        <v>39617969.299999997</v>
      </c>
      <c r="S50" s="190">
        <v>39278805.990000002</v>
      </c>
      <c r="T50" s="190">
        <v>40689188.799999997</v>
      </c>
      <c r="U50" s="190">
        <v>51711912.359999999</v>
      </c>
      <c r="V50" s="190">
        <v>35628761.850000001</v>
      </c>
      <c r="W50" s="190">
        <v>36679253.609999999</v>
      </c>
      <c r="X50" s="190">
        <v>37666978.210000001</v>
      </c>
      <c r="Y50" s="190">
        <v>38118554.369999997</v>
      </c>
      <c r="Z50" s="190">
        <v>35005535.740000002</v>
      </c>
      <c r="AA50" s="190">
        <v>33044291.079999998</v>
      </c>
      <c r="AB50" s="190">
        <v>44217530.359999999</v>
      </c>
      <c r="AC50" s="190">
        <v>27448505.84</v>
      </c>
      <c r="AD50" s="190">
        <v>32205329.43</v>
      </c>
      <c r="AE50" s="190">
        <v>28266261.68</v>
      </c>
      <c r="AF50" s="190">
        <v>26236854.23</v>
      </c>
      <c r="AG50" s="190">
        <v>26515652.41</v>
      </c>
      <c r="AH50" s="190">
        <v>23367527.800000001</v>
      </c>
      <c r="AI50" s="190">
        <v>23133468.34</v>
      </c>
      <c r="AJ50" s="190">
        <v>22235477.079999998</v>
      </c>
      <c r="AK50" s="190">
        <v>21491475.84</v>
      </c>
      <c r="AL50" s="190">
        <v>18336221.640000001</v>
      </c>
      <c r="AM50" s="190">
        <v>18160939.329999998</v>
      </c>
      <c r="AN50" s="190">
        <v>17922939.960000001</v>
      </c>
      <c r="AO50" s="190">
        <v>11511182.060000001</v>
      </c>
      <c r="AP50" s="190">
        <v>9490197.3499999996</v>
      </c>
      <c r="AQ50" s="190">
        <v>0</v>
      </c>
    </row>
    <row r="51" spans="1:43" x14ac:dyDescent="0.25">
      <c r="A51" s="190" t="s">
        <v>155</v>
      </c>
      <c r="B51" s="190">
        <v>49256570.710000001</v>
      </c>
      <c r="C51" s="190">
        <v>17783746.57</v>
      </c>
      <c r="D51" s="190">
        <v>60808421.219999999</v>
      </c>
      <c r="E51" s="190">
        <v>131691760.77</v>
      </c>
      <c r="F51" s="190">
        <v>101470001.01000001</v>
      </c>
      <c r="G51" s="190">
        <v>49689860.100000001</v>
      </c>
      <c r="H51" s="190">
        <v>99807050.629999995</v>
      </c>
      <c r="I51" s="190">
        <v>85532965.549999997</v>
      </c>
      <c r="J51" s="190">
        <v>29874534.41</v>
      </c>
      <c r="K51" s="190">
        <v>35734010.189999998</v>
      </c>
      <c r="L51" s="190">
        <v>73108978.579999998</v>
      </c>
      <c r="M51" s="190">
        <v>71462721.680000007</v>
      </c>
      <c r="N51" s="190">
        <v>48669585.399999999</v>
      </c>
      <c r="O51" s="190">
        <v>16038021.939999999</v>
      </c>
      <c r="P51" s="190">
        <v>53331382.43</v>
      </c>
      <c r="Q51" s="190">
        <v>30321686.989999998</v>
      </c>
      <c r="R51" s="190">
        <v>24257149.670000002</v>
      </c>
      <c r="S51" s="190">
        <v>-9157544.9900000002</v>
      </c>
      <c r="T51" s="190">
        <v>41703844.950000003</v>
      </c>
      <c r="U51" s="190">
        <v>-10207223.199999999</v>
      </c>
      <c r="V51" s="190">
        <v>40001809.07</v>
      </c>
      <c r="W51" s="190">
        <v>-21850069.050000001</v>
      </c>
      <c r="X51" s="190">
        <v>44482766.740000002</v>
      </c>
      <c r="Y51" s="190">
        <v>2729424.25</v>
      </c>
      <c r="Z51" s="190">
        <v>53764057.170000002</v>
      </c>
      <c r="AA51" s="190">
        <v>21253800.059999999</v>
      </c>
      <c r="AB51" s="190">
        <v>40855204.450000003</v>
      </c>
      <c r="AC51" s="190">
        <v>12959396.76</v>
      </c>
      <c r="AD51" s="190">
        <v>39239445.759999998</v>
      </c>
      <c r="AE51" s="190">
        <v>-48668986.020000003</v>
      </c>
      <c r="AF51" s="190">
        <v>54805025.219999999</v>
      </c>
      <c r="AG51" s="190">
        <v>2720795.11</v>
      </c>
      <c r="AH51" s="190">
        <v>35918893</v>
      </c>
      <c r="AI51" s="190">
        <v>6870827.6100000003</v>
      </c>
      <c r="AJ51" s="190">
        <v>42105458.289999999</v>
      </c>
      <c r="AK51" s="190">
        <v>30683200.640000001</v>
      </c>
      <c r="AL51" s="190">
        <v>26515087.09</v>
      </c>
      <c r="AM51" s="190">
        <v>-2708796.52</v>
      </c>
      <c r="AN51" s="190">
        <v>8780899.7200000007</v>
      </c>
      <c r="AO51" s="190">
        <v>20337137.77</v>
      </c>
      <c r="AP51" s="190">
        <v>3308743.89</v>
      </c>
      <c r="AQ51" s="190">
        <v>0</v>
      </c>
    </row>
    <row r="52" spans="1:43" x14ac:dyDescent="0.25">
      <c r="A52" s="190" t="s">
        <v>156</v>
      </c>
      <c r="B52" s="190">
        <v>0</v>
      </c>
      <c r="C52" s="190">
        <v>120284.89</v>
      </c>
      <c r="D52" s="190">
        <v>92918.44</v>
      </c>
      <c r="E52" s="190">
        <v>378668.3</v>
      </c>
      <c r="F52" s="190">
        <v>93686.35</v>
      </c>
      <c r="G52" s="190">
        <v>262805.84000000003</v>
      </c>
      <c r="H52" s="190">
        <v>526149.98</v>
      </c>
      <c r="I52" s="190">
        <v>690979.23</v>
      </c>
      <c r="J52" s="190">
        <v>0</v>
      </c>
      <c r="K52" s="190">
        <v>0</v>
      </c>
      <c r="L52" s="190">
        <v>0</v>
      </c>
      <c r="M52" s="190">
        <v>302083.33</v>
      </c>
      <c r="N52" s="190">
        <v>0</v>
      </c>
      <c r="O52" s="190">
        <v>0</v>
      </c>
      <c r="P52" s="190">
        <v>0</v>
      </c>
      <c r="Q52" s="190">
        <v>0</v>
      </c>
      <c r="R52" s="190">
        <v>0</v>
      </c>
      <c r="S52" s="190">
        <v>0</v>
      </c>
      <c r="T52" s="190">
        <v>0</v>
      </c>
      <c r="U52" s="190">
        <v>0</v>
      </c>
      <c r="V52" s="190">
        <v>0</v>
      </c>
      <c r="W52" s="190">
        <v>0</v>
      </c>
      <c r="X52" s="190">
        <v>0</v>
      </c>
      <c r="Y52" s="190">
        <v>0</v>
      </c>
      <c r="Z52" s="190">
        <v>0</v>
      </c>
      <c r="AA52" s="190">
        <v>0</v>
      </c>
      <c r="AB52" s="190">
        <v>0</v>
      </c>
      <c r="AC52" s="190">
        <v>0</v>
      </c>
      <c r="AD52" s="190">
        <v>0</v>
      </c>
      <c r="AE52" s="190">
        <v>0</v>
      </c>
      <c r="AF52" s="190">
        <v>0</v>
      </c>
      <c r="AG52" s="190">
        <v>0</v>
      </c>
      <c r="AH52" s="190">
        <v>0</v>
      </c>
      <c r="AI52" s="190">
        <v>0</v>
      </c>
      <c r="AJ52" s="190">
        <v>0</v>
      </c>
      <c r="AK52" s="190">
        <v>0</v>
      </c>
      <c r="AL52" s="190">
        <v>0</v>
      </c>
      <c r="AM52" s="190">
        <v>0</v>
      </c>
      <c r="AN52" s="190">
        <v>0</v>
      </c>
      <c r="AO52" s="190">
        <v>10444.44</v>
      </c>
      <c r="AP52" s="190">
        <v>49021.5</v>
      </c>
      <c r="AQ52" s="190">
        <v>0</v>
      </c>
    </row>
    <row r="53" spans="1:43" x14ac:dyDescent="0.25">
      <c r="A53" s="190" t="s">
        <v>157</v>
      </c>
      <c r="B53" s="190">
        <v>0</v>
      </c>
      <c r="C53" s="190">
        <v>0</v>
      </c>
      <c r="D53" s="190">
        <v>0</v>
      </c>
      <c r="E53" s="190">
        <v>0</v>
      </c>
      <c r="F53" s="190">
        <v>0</v>
      </c>
      <c r="G53" s="190">
        <v>0</v>
      </c>
      <c r="H53" s="190">
        <v>0</v>
      </c>
      <c r="I53" s="190">
        <v>0</v>
      </c>
      <c r="J53" s="190">
        <v>0</v>
      </c>
      <c r="K53" s="190">
        <v>0</v>
      </c>
      <c r="L53" s="190">
        <v>0</v>
      </c>
      <c r="M53" s="190">
        <v>0</v>
      </c>
      <c r="N53" s="190">
        <v>0</v>
      </c>
      <c r="O53" s="190">
        <v>0</v>
      </c>
      <c r="P53" s="190">
        <v>0</v>
      </c>
      <c r="Q53" s="190">
        <v>0</v>
      </c>
      <c r="R53" s="190">
        <v>0</v>
      </c>
      <c r="S53" s="190">
        <v>0</v>
      </c>
      <c r="T53" s="190">
        <v>0</v>
      </c>
      <c r="U53" s="190">
        <v>0</v>
      </c>
      <c r="V53" s="190">
        <v>0</v>
      </c>
      <c r="W53" s="190">
        <v>0</v>
      </c>
      <c r="X53" s="190">
        <v>0</v>
      </c>
      <c r="Y53" s="190">
        <v>0</v>
      </c>
      <c r="Z53" s="190">
        <v>0</v>
      </c>
      <c r="AA53" s="190">
        <v>0</v>
      </c>
      <c r="AB53" s="190">
        <v>0</v>
      </c>
      <c r="AC53" s="190">
        <v>0</v>
      </c>
      <c r="AD53" s="190">
        <v>0</v>
      </c>
      <c r="AE53" s="190">
        <v>0</v>
      </c>
      <c r="AF53" s="190">
        <v>0</v>
      </c>
      <c r="AG53" s="190">
        <v>0</v>
      </c>
      <c r="AH53" s="190">
        <v>0</v>
      </c>
      <c r="AI53" s="190">
        <v>0</v>
      </c>
      <c r="AJ53" s="190">
        <v>0</v>
      </c>
      <c r="AK53" s="190">
        <v>0</v>
      </c>
      <c r="AL53" s="190">
        <v>0</v>
      </c>
      <c r="AM53" s="190">
        <v>0</v>
      </c>
      <c r="AN53" s="190">
        <v>0</v>
      </c>
      <c r="AO53" s="190">
        <v>0</v>
      </c>
      <c r="AP53" s="190">
        <v>0</v>
      </c>
      <c r="AQ53" s="190">
        <v>0</v>
      </c>
    </row>
    <row r="54" spans="1:43" x14ac:dyDescent="0.25">
      <c r="A54" s="190" t="s">
        <v>158</v>
      </c>
      <c r="B54" s="190">
        <v>174174387.56</v>
      </c>
      <c r="C54" s="190">
        <v>267720764.88999999</v>
      </c>
      <c r="D54" s="190">
        <v>183636152.00999999</v>
      </c>
      <c r="E54" s="190">
        <v>155387998.97999999</v>
      </c>
      <c r="F54" s="190">
        <v>167096257.28</v>
      </c>
      <c r="G54" s="190">
        <v>166326681.74000001</v>
      </c>
      <c r="H54" s="190">
        <v>108461313.58</v>
      </c>
      <c r="I54" s="190">
        <v>119459262.78</v>
      </c>
      <c r="J54" s="190">
        <v>129096474.2</v>
      </c>
      <c r="K54" s="190">
        <v>111889529.72</v>
      </c>
      <c r="L54" s="190">
        <v>121785876.54000001</v>
      </c>
      <c r="M54" s="190">
        <v>119385398.15000001</v>
      </c>
      <c r="N54" s="190">
        <v>100043179.77</v>
      </c>
      <c r="O54" s="190">
        <v>96573186.959999993</v>
      </c>
      <c r="P54" s="190">
        <v>104737772.03</v>
      </c>
      <c r="Q54" s="190">
        <v>109431899.19</v>
      </c>
      <c r="R54" s="190">
        <v>58058523.149999999</v>
      </c>
      <c r="S54" s="190">
        <v>54359344.32</v>
      </c>
      <c r="T54" s="190">
        <v>54478386.140000001</v>
      </c>
      <c r="U54" s="190">
        <v>54160633.229999997</v>
      </c>
      <c r="V54" s="190">
        <v>50845067.060000002</v>
      </c>
      <c r="W54" s="190">
        <v>48802486.119999997</v>
      </c>
      <c r="X54" s="190">
        <v>50456499.079999998</v>
      </c>
      <c r="Y54" s="190">
        <v>49101698.909999996</v>
      </c>
      <c r="Z54" s="190">
        <v>57593452.100000001</v>
      </c>
      <c r="AA54" s="190">
        <v>45895756.600000001</v>
      </c>
      <c r="AB54" s="190">
        <v>44705798.020000003</v>
      </c>
      <c r="AC54" s="190">
        <v>36922110.979999997</v>
      </c>
      <c r="AD54" s="190">
        <v>36867844.240000002</v>
      </c>
      <c r="AE54" s="190">
        <v>35010155.009999998</v>
      </c>
      <c r="AF54" s="190">
        <v>30047017.890000001</v>
      </c>
      <c r="AG54" s="190">
        <v>27006431.969999999</v>
      </c>
      <c r="AH54" s="190">
        <v>28097199.600000001</v>
      </c>
      <c r="AI54" s="190">
        <v>32160007.850000001</v>
      </c>
      <c r="AJ54" s="190">
        <v>26460314</v>
      </c>
      <c r="AK54" s="190">
        <v>23631955.23</v>
      </c>
      <c r="AL54" s="190">
        <v>24340520.57</v>
      </c>
      <c r="AM54" s="190">
        <v>17204835.57</v>
      </c>
      <c r="AN54" s="190">
        <v>15642743.189999999</v>
      </c>
      <c r="AO54" s="190">
        <v>14240405.210000001</v>
      </c>
      <c r="AP54" s="190">
        <v>43058601.479999997</v>
      </c>
      <c r="AQ54" s="190">
        <v>0</v>
      </c>
    </row>
    <row r="55" spans="1:43" x14ac:dyDescent="0.25">
      <c r="A55" s="190" t="s">
        <v>159</v>
      </c>
      <c r="B55" s="190">
        <v>0</v>
      </c>
      <c r="C55" s="190">
        <v>0</v>
      </c>
      <c r="D55" s="190">
        <v>0</v>
      </c>
      <c r="E55" s="190">
        <v>0</v>
      </c>
      <c r="F55" s="190">
        <v>0</v>
      </c>
      <c r="G55" s="190">
        <v>0</v>
      </c>
      <c r="H55" s="190">
        <v>0</v>
      </c>
      <c r="I55" s="190">
        <v>0</v>
      </c>
      <c r="J55" s="190">
        <v>0</v>
      </c>
      <c r="K55" s="190">
        <v>0</v>
      </c>
      <c r="L55" s="190">
        <v>0</v>
      </c>
      <c r="M55" s="190">
        <v>0</v>
      </c>
      <c r="N55" s="190">
        <v>0</v>
      </c>
      <c r="O55" s="190">
        <v>0</v>
      </c>
      <c r="P55" s="190">
        <v>0</v>
      </c>
      <c r="Q55" s="190">
        <v>0</v>
      </c>
      <c r="R55" s="190">
        <v>0</v>
      </c>
      <c r="S55" s="190">
        <v>0</v>
      </c>
      <c r="T55" s="190">
        <v>0</v>
      </c>
      <c r="U55" s="190">
        <v>0</v>
      </c>
      <c r="V55" s="190">
        <v>0</v>
      </c>
      <c r="W55" s="190">
        <v>0</v>
      </c>
      <c r="X55" s="190">
        <v>0</v>
      </c>
      <c r="Y55" s="190">
        <v>0</v>
      </c>
      <c r="Z55" s="190">
        <v>0</v>
      </c>
      <c r="AA55" s="190">
        <v>0</v>
      </c>
      <c r="AB55" s="190">
        <v>0</v>
      </c>
      <c r="AC55" s="190">
        <v>0</v>
      </c>
      <c r="AD55" s="190">
        <v>0</v>
      </c>
      <c r="AE55" s="190">
        <v>0</v>
      </c>
      <c r="AF55" s="190">
        <v>0</v>
      </c>
      <c r="AG55" s="190">
        <v>0</v>
      </c>
      <c r="AH55" s="190">
        <v>0</v>
      </c>
      <c r="AI55" s="190">
        <v>0</v>
      </c>
      <c r="AJ55" s="190">
        <v>0</v>
      </c>
      <c r="AK55" s="190">
        <v>0</v>
      </c>
      <c r="AL55" s="190">
        <v>0</v>
      </c>
      <c r="AM55" s="190">
        <v>0</v>
      </c>
      <c r="AN55" s="190">
        <v>0</v>
      </c>
      <c r="AO55" s="190">
        <v>0</v>
      </c>
      <c r="AP55" s="190">
        <v>0</v>
      </c>
      <c r="AQ55" s="190">
        <v>0</v>
      </c>
    </row>
    <row r="56" spans="1:43" x14ac:dyDescent="0.25">
      <c r="A56" s="190" t="s">
        <v>160</v>
      </c>
      <c r="B56" s="190">
        <v>0</v>
      </c>
      <c r="C56" s="190">
        <v>0</v>
      </c>
      <c r="D56" s="190">
        <v>0</v>
      </c>
      <c r="E56" s="190">
        <v>0</v>
      </c>
      <c r="F56" s="190">
        <v>0</v>
      </c>
      <c r="G56" s="190">
        <v>0</v>
      </c>
      <c r="H56" s="190">
        <v>0</v>
      </c>
      <c r="I56" s="190">
        <v>0</v>
      </c>
      <c r="J56" s="190">
        <v>0</v>
      </c>
      <c r="K56" s="190">
        <v>0</v>
      </c>
      <c r="L56" s="190">
        <v>0</v>
      </c>
      <c r="M56" s="190">
        <v>0</v>
      </c>
      <c r="N56" s="190">
        <v>0</v>
      </c>
      <c r="O56" s="190">
        <v>0</v>
      </c>
      <c r="P56" s="190">
        <v>0</v>
      </c>
      <c r="Q56" s="190">
        <v>0</v>
      </c>
      <c r="R56" s="190">
        <v>0</v>
      </c>
      <c r="S56" s="190">
        <v>0</v>
      </c>
      <c r="T56" s="190">
        <v>0</v>
      </c>
      <c r="U56" s="190">
        <v>0</v>
      </c>
      <c r="V56" s="190">
        <v>0</v>
      </c>
      <c r="W56" s="190">
        <v>0</v>
      </c>
      <c r="X56" s="190">
        <v>0</v>
      </c>
      <c r="Y56" s="190">
        <v>0</v>
      </c>
      <c r="Z56" s="190">
        <v>0</v>
      </c>
      <c r="AA56" s="190">
        <v>0</v>
      </c>
      <c r="AB56" s="190">
        <v>0</v>
      </c>
      <c r="AC56" s="190">
        <v>0</v>
      </c>
      <c r="AD56" s="190">
        <v>0</v>
      </c>
      <c r="AE56" s="190">
        <v>0</v>
      </c>
      <c r="AF56" s="190">
        <v>0</v>
      </c>
      <c r="AG56" s="190">
        <v>0</v>
      </c>
      <c r="AH56" s="190">
        <v>0</v>
      </c>
      <c r="AI56" s="190">
        <v>0</v>
      </c>
      <c r="AJ56" s="190">
        <v>0</v>
      </c>
      <c r="AK56" s="190">
        <v>0</v>
      </c>
      <c r="AL56" s="190">
        <v>0</v>
      </c>
      <c r="AM56" s="190">
        <v>0</v>
      </c>
      <c r="AN56" s="190">
        <v>0</v>
      </c>
      <c r="AO56" s="190">
        <v>0</v>
      </c>
      <c r="AP56" s="190">
        <v>0</v>
      </c>
      <c r="AQ56" s="190">
        <v>0</v>
      </c>
    </row>
    <row r="57" spans="1:43" x14ac:dyDescent="0.25">
      <c r="A57" s="190" t="s">
        <v>161</v>
      </c>
      <c r="B57" s="190">
        <v>0</v>
      </c>
      <c r="C57" s="190">
        <v>0</v>
      </c>
      <c r="D57" s="190">
        <v>0</v>
      </c>
      <c r="E57" s="190">
        <v>0</v>
      </c>
      <c r="F57" s="190">
        <v>0</v>
      </c>
      <c r="G57" s="190">
        <v>0</v>
      </c>
      <c r="H57" s="190">
        <v>0</v>
      </c>
      <c r="I57" s="190">
        <v>0</v>
      </c>
      <c r="J57" s="190">
        <v>0</v>
      </c>
      <c r="K57" s="190">
        <v>0</v>
      </c>
      <c r="L57" s="190">
        <v>0</v>
      </c>
      <c r="M57" s="190">
        <v>0</v>
      </c>
      <c r="N57" s="190">
        <v>0</v>
      </c>
      <c r="O57" s="190">
        <v>0</v>
      </c>
      <c r="P57" s="190">
        <v>0</v>
      </c>
      <c r="Q57" s="190">
        <v>0</v>
      </c>
      <c r="R57" s="190">
        <v>0</v>
      </c>
      <c r="S57" s="190">
        <v>0</v>
      </c>
      <c r="T57" s="190">
        <v>0</v>
      </c>
      <c r="U57" s="190">
        <v>0</v>
      </c>
      <c r="V57" s="190">
        <v>0</v>
      </c>
      <c r="W57" s="190">
        <v>0</v>
      </c>
      <c r="X57" s="190">
        <v>0</v>
      </c>
      <c r="Y57" s="190">
        <v>0</v>
      </c>
      <c r="Z57" s="190">
        <v>0</v>
      </c>
      <c r="AA57" s="190">
        <v>0</v>
      </c>
      <c r="AB57" s="190">
        <v>0</v>
      </c>
      <c r="AC57" s="190">
        <v>0</v>
      </c>
      <c r="AD57" s="190">
        <v>0</v>
      </c>
      <c r="AE57" s="190">
        <v>0</v>
      </c>
      <c r="AF57" s="190">
        <v>0</v>
      </c>
      <c r="AG57" s="190">
        <v>0</v>
      </c>
      <c r="AH57" s="190">
        <v>0</v>
      </c>
      <c r="AI57" s="190">
        <v>0</v>
      </c>
      <c r="AJ57" s="190">
        <v>0</v>
      </c>
      <c r="AK57" s="190">
        <v>0</v>
      </c>
      <c r="AL57" s="190">
        <v>0</v>
      </c>
      <c r="AM57" s="190">
        <v>0</v>
      </c>
      <c r="AN57" s="190">
        <v>0</v>
      </c>
      <c r="AO57" s="190">
        <v>0</v>
      </c>
      <c r="AP57" s="190">
        <v>0</v>
      </c>
      <c r="AQ57" s="190">
        <v>0</v>
      </c>
    </row>
    <row r="58" spans="1:43" x14ac:dyDescent="0.25">
      <c r="A58" s="190" t="s">
        <v>162</v>
      </c>
      <c r="B58" s="190">
        <v>0</v>
      </c>
      <c r="C58" s="190">
        <v>7278260</v>
      </c>
      <c r="D58" s="190">
        <v>6916910</v>
      </c>
      <c r="E58" s="190">
        <v>7187620</v>
      </c>
      <c r="F58" s="190">
        <v>14601180</v>
      </c>
      <c r="G58" s="190">
        <v>14903680</v>
      </c>
      <c r="H58" s="190">
        <v>15178460</v>
      </c>
      <c r="I58" s="190">
        <v>0</v>
      </c>
      <c r="J58" s="190">
        <v>0</v>
      </c>
      <c r="K58" s="190">
        <v>0</v>
      </c>
      <c r="L58" s="190">
        <v>0</v>
      </c>
      <c r="M58" s="190">
        <v>0</v>
      </c>
      <c r="N58" s="190">
        <v>0</v>
      </c>
      <c r="O58" s="190">
        <v>0</v>
      </c>
      <c r="P58" s="190">
        <v>0</v>
      </c>
      <c r="Q58" s="190">
        <v>0</v>
      </c>
      <c r="R58" s="190">
        <v>0</v>
      </c>
      <c r="S58" s="190">
        <v>0</v>
      </c>
      <c r="T58" s="190">
        <v>0</v>
      </c>
      <c r="U58" s="190">
        <v>0</v>
      </c>
      <c r="V58" s="190">
        <v>0</v>
      </c>
      <c r="W58" s="190">
        <v>0</v>
      </c>
      <c r="X58" s="190">
        <v>0</v>
      </c>
      <c r="Y58" s="190">
        <v>0</v>
      </c>
      <c r="Z58" s="190">
        <v>0</v>
      </c>
      <c r="AA58" s="190">
        <v>0</v>
      </c>
      <c r="AB58" s="190">
        <v>0</v>
      </c>
      <c r="AC58" s="190">
        <v>0</v>
      </c>
      <c r="AD58" s="190">
        <v>0</v>
      </c>
      <c r="AE58" s="190">
        <v>0</v>
      </c>
      <c r="AF58" s="190">
        <v>0</v>
      </c>
      <c r="AG58" s="190">
        <v>0</v>
      </c>
      <c r="AH58" s="190">
        <v>0</v>
      </c>
      <c r="AI58" s="190">
        <v>0</v>
      </c>
      <c r="AJ58" s="190">
        <v>0</v>
      </c>
      <c r="AK58" s="190">
        <v>0</v>
      </c>
      <c r="AL58" s="190">
        <v>0</v>
      </c>
      <c r="AM58" s="190">
        <v>0</v>
      </c>
      <c r="AN58" s="190">
        <v>0</v>
      </c>
      <c r="AO58" s="190">
        <v>0</v>
      </c>
      <c r="AP58" s="190">
        <v>0</v>
      </c>
      <c r="AQ58" s="190">
        <v>0</v>
      </c>
    </row>
    <row r="59" spans="1:43" x14ac:dyDescent="0.25">
      <c r="A59" s="190" t="s">
        <v>163</v>
      </c>
      <c r="B59" s="190">
        <v>75095008.400000006</v>
      </c>
      <c r="C59" s="190">
        <v>64834268.609999999</v>
      </c>
      <c r="D59" s="190">
        <v>67258993.180000007</v>
      </c>
      <c r="E59" s="190">
        <v>84207625.390000001</v>
      </c>
      <c r="F59" s="190">
        <v>27900982.940000001</v>
      </c>
      <c r="G59" s="190">
        <v>32053640.420000002</v>
      </c>
      <c r="H59" s="190">
        <v>55326668.07</v>
      </c>
      <c r="I59" s="190">
        <v>37467238.380000003</v>
      </c>
      <c r="J59" s="190">
        <v>27487049.420000002</v>
      </c>
      <c r="K59" s="190">
        <v>35839293.82</v>
      </c>
      <c r="L59" s="190">
        <v>54584831.789999999</v>
      </c>
      <c r="M59" s="190">
        <v>49807448.399999999</v>
      </c>
      <c r="N59" s="190">
        <v>39211393</v>
      </c>
      <c r="O59" s="190">
        <v>33895804.149999999</v>
      </c>
      <c r="P59" s="190">
        <v>32714815.600000001</v>
      </c>
      <c r="Q59" s="190">
        <v>24818085.18</v>
      </c>
      <c r="R59" s="190">
        <v>20643154.260000002</v>
      </c>
      <c r="S59" s="190">
        <v>18885327.989999998</v>
      </c>
      <c r="T59" s="190">
        <v>13061850.189999999</v>
      </c>
      <c r="U59" s="190">
        <v>10863390.52</v>
      </c>
      <c r="V59" s="190">
        <v>19792689.98</v>
      </c>
      <c r="W59" s="190">
        <v>16985933.010000002</v>
      </c>
      <c r="X59" s="190">
        <v>11694968.01</v>
      </c>
      <c r="Y59" s="190">
        <v>12287200.359999999</v>
      </c>
      <c r="Z59" s="190">
        <v>10307350.710000001</v>
      </c>
      <c r="AA59" s="190">
        <v>3066819.13</v>
      </c>
      <c r="AB59" s="190">
        <v>8512379.5099999998</v>
      </c>
      <c r="AC59" s="190">
        <v>8728575.6999999993</v>
      </c>
      <c r="AD59" s="190">
        <v>19071215.530000001</v>
      </c>
      <c r="AE59" s="190">
        <v>20889846.449999999</v>
      </c>
      <c r="AF59" s="190">
        <v>10930391.85</v>
      </c>
      <c r="AG59" s="190">
        <v>6627962.0499999998</v>
      </c>
      <c r="AH59" s="190">
        <v>10161251.76</v>
      </c>
      <c r="AI59" s="190">
        <v>5455317.2000000002</v>
      </c>
      <c r="AJ59" s="190">
        <v>5626052.2000000002</v>
      </c>
      <c r="AK59" s="190">
        <v>5891067.8200000003</v>
      </c>
      <c r="AL59" s="190">
        <v>1387908.21</v>
      </c>
      <c r="AM59" s="190">
        <v>1365946.28</v>
      </c>
      <c r="AN59" s="190">
        <v>2339075.14</v>
      </c>
      <c r="AO59" s="190">
        <v>3039475.51</v>
      </c>
      <c r="AP59" s="190">
        <v>1778889.15</v>
      </c>
      <c r="AQ59" s="190">
        <v>0</v>
      </c>
    </row>
    <row r="60" spans="1:43" x14ac:dyDescent="0.25">
      <c r="A60" s="190" t="s">
        <v>164</v>
      </c>
      <c r="B60" s="190">
        <v>1296998698.1700001</v>
      </c>
      <c r="C60" s="190">
        <v>1315868740.54</v>
      </c>
      <c r="D60" s="190">
        <v>1192357665.4400001</v>
      </c>
      <c r="E60" s="190">
        <v>1298086438.76</v>
      </c>
      <c r="F60" s="190">
        <v>1366498190.99</v>
      </c>
      <c r="G60" s="190">
        <v>1255872965.8699999</v>
      </c>
      <c r="H60" s="190">
        <v>1299206906.0699999</v>
      </c>
      <c r="I60" s="190">
        <v>1221732598.99</v>
      </c>
      <c r="J60" s="190">
        <v>947432206.19000006</v>
      </c>
      <c r="K60" s="190">
        <v>865126061.96000004</v>
      </c>
      <c r="L60" s="190">
        <v>803193296.03999996</v>
      </c>
      <c r="M60" s="190">
        <v>813759552.95000005</v>
      </c>
      <c r="N60" s="190">
        <v>645038434.53999996</v>
      </c>
      <c r="O60" s="190">
        <v>583285546.85000002</v>
      </c>
      <c r="P60" s="190">
        <v>572139434.96000004</v>
      </c>
      <c r="Q60" s="190">
        <v>621939955.45000005</v>
      </c>
      <c r="R60" s="190">
        <v>586729466.63</v>
      </c>
      <c r="S60" s="190">
        <v>468559751.39999998</v>
      </c>
      <c r="T60" s="190">
        <v>497997079.13999999</v>
      </c>
      <c r="U60" s="190">
        <v>512143856.13</v>
      </c>
      <c r="V60" s="190">
        <v>434484790.17000002</v>
      </c>
      <c r="W60" s="190">
        <v>322223196.62</v>
      </c>
      <c r="X60" s="190">
        <v>431630951.94999999</v>
      </c>
      <c r="Y60" s="190">
        <v>447550008.76999998</v>
      </c>
      <c r="Z60" s="190">
        <v>507299155.92000002</v>
      </c>
      <c r="AA60" s="190">
        <v>493984344.29000002</v>
      </c>
      <c r="AB60" s="190">
        <v>514159750.66000003</v>
      </c>
      <c r="AC60" s="190">
        <v>502685476.98000002</v>
      </c>
      <c r="AD60" s="190">
        <v>431645106.74000001</v>
      </c>
      <c r="AE60" s="190">
        <v>333573826.68000001</v>
      </c>
      <c r="AF60" s="190">
        <v>419394747.44999999</v>
      </c>
      <c r="AG60" s="190">
        <v>399547372.94999999</v>
      </c>
      <c r="AH60" s="190">
        <v>290528234.13</v>
      </c>
      <c r="AI60" s="190">
        <v>218982489.06999999</v>
      </c>
      <c r="AJ60" s="190">
        <v>240639133.97999999</v>
      </c>
      <c r="AK60" s="190">
        <v>215271999.87</v>
      </c>
      <c r="AL60" s="190">
        <v>183602745.03</v>
      </c>
      <c r="AM60" s="190">
        <v>141823169.59999999</v>
      </c>
      <c r="AN60" s="190">
        <v>157104143.12</v>
      </c>
      <c r="AO60" s="190">
        <v>124694762.67</v>
      </c>
      <c r="AP60" s="190">
        <v>172266867.75</v>
      </c>
      <c r="AQ60" s="190">
        <v>0</v>
      </c>
    </row>
    <row r="61" spans="1:43" x14ac:dyDescent="0.25">
      <c r="A61" s="190" t="s">
        <v>165</v>
      </c>
    </row>
    <row r="62" spans="1:43" x14ac:dyDescent="0.25">
      <c r="A62" s="190" t="s">
        <v>166</v>
      </c>
      <c r="B62" s="190">
        <v>0</v>
      </c>
      <c r="C62" s="190">
        <v>43669560</v>
      </c>
      <c r="D62" s="190">
        <v>48418370</v>
      </c>
      <c r="E62" s="190">
        <v>50313340</v>
      </c>
      <c r="F62" s="190">
        <v>58404720</v>
      </c>
      <c r="G62" s="190">
        <v>59614720</v>
      </c>
      <c r="H62" s="190">
        <v>148610922</v>
      </c>
      <c r="I62" s="190">
        <v>88377380</v>
      </c>
      <c r="J62" s="190">
        <v>84840756</v>
      </c>
      <c r="K62" s="190">
        <v>0</v>
      </c>
      <c r="L62" s="190">
        <v>0</v>
      </c>
      <c r="M62" s="190">
        <v>0</v>
      </c>
      <c r="N62" s="190">
        <v>0</v>
      </c>
      <c r="O62" s="190">
        <v>0</v>
      </c>
      <c r="P62" s="190">
        <v>0</v>
      </c>
      <c r="Q62" s="190">
        <v>0</v>
      </c>
      <c r="R62" s="190">
        <v>0</v>
      </c>
      <c r="S62" s="190">
        <v>0</v>
      </c>
      <c r="T62" s="190">
        <v>0</v>
      </c>
      <c r="U62" s="190">
        <v>0</v>
      </c>
      <c r="V62" s="190">
        <v>0</v>
      </c>
      <c r="W62" s="190">
        <v>0</v>
      </c>
      <c r="X62" s="190">
        <v>0</v>
      </c>
      <c r="Y62" s="190">
        <v>0</v>
      </c>
      <c r="Z62" s="190">
        <v>0</v>
      </c>
      <c r="AA62" s="190">
        <v>0</v>
      </c>
      <c r="AB62" s="190">
        <v>0</v>
      </c>
      <c r="AC62" s="190">
        <v>0</v>
      </c>
      <c r="AD62" s="190">
        <v>0</v>
      </c>
      <c r="AE62" s="190">
        <v>0</v>
      </c>
      <c r="AF62" s="190">
        <v>0</v>
      </c>
      <c r="AG62" s="190">
        <v>0</v>
      </c>
      <c r="AH62" s="190">
        <v>0</v>
      </c>
      <c r="AI62" s="190">
        <v>0</v>
      </c>
      <c r="AJ62" s="190">
        <v>0</v>
      </c>
      <c r="AK62" s="190">
        <v>0</v>
      </c>
      <c r="AL62" s="190">
        <v>0</v>
      </c>
      <c r="AM62" s="190">
        <v>0</v>
      </c>
      <c r="AN62" s="190">
        <v>0</v>
      </c>
      <c r="AO62" s="190">
        <v>0</v>
      </c>
      <c r="AP62" s="190">
        <v>0</v>
      </c>
      <c r="AQ62" s="190">
        <v>0</v>
      </c>
    </row>
    <row r="63" spans="1:43" x14ac:dyDescent="0.25">
      <c r="A63" s="190" t="s">
        <v>167</v>
      </c>
      <c r="B63" s="190">
        <v>0</v>
      </c>
      <c r="C63" s="190">
        <v>0</v>
      </c>
      <c r="D63" s="190">
        <v>0</v>
      </c>
      <c r="E63" s="190">
        <v>0</v>
      </c>
      <c r="F63" s="190">
        <v>0</v>
      </c>
      <c r="G63" s="190">
        <v>0</v>
      </c>
      <c r="H63" s="190">
        <v>0</v>
      </c>
      <c r="I63" s="190">
        <v>0</v>
      </c>
      <c r="J63" s="190">
        <v>0</v>
      </c>
      <c r="K63" s="190">
        <v>0</v>
      </c>
      <c r="L63" s="190">
        <v>0</v>
      </c>
      <c r="M63" s="190">
        <v>0</v>
      </c>
      <c r="N63" s="190">
        <v>0</v>
      </c>
      <c r="O63" s="190">
        <v>0</v>
      </c>
      <c r="P63" s="190">
        <v>0</v>
      </c>
      <c r="Q63" s="190">
        <v>0</v>
      </c>
      <c r="R63" s="190">
        <v>0</v>
      </c>
      <c r="S63" s="190">
        <v>0</v>
      </c>
      <c r="T63" s="190">
        <v>0</v>
      </c>
      <c r="U63" s="190">
        <v>0</v>
      </c>
      <c r="V63" s="190">
        <v>0</v>
      </c>
      <c r="W63" s="190">
        <v>0</v>
      </c>
      <c r="X63" s="190">
        <v>0</v>
      </c>
      <c r="Y63" s="190">
        <v>0</v>
      </c>
      <c r="Z63" s="190">
        <v>0</v>
      </c>
      <c r="AA63" s="190">
        <v>0</v>
      </c>
      <c r="AB63" s="190">
        <v>0</v>
      </c>
      <c r="AC63" s="190">
        <v>0</v>
      </c>
      <c r="AD63" s="190">
        <v>0</v>
      </c>
      <c r="AE63" s="190">
        <v>0</v>
      </c>
      <c r="AF63" s="190">
        <v>0</v>
      </c>
      <c r="AG63" s="190">
        <v>0</v>
      </c>
      <c r="AH63" s="190">
        <v>0</v>
      </c>
      <c r="AI63" s="190">
        <v>0</v>
      </c>
      <c r="AJ63" s="190">
        <v>0</v>
      </c>
      <c r="AK63" s="190">
        <v>0</v>
      </c>
      <c r="AL63" s="190">
        <v>0</v>
      </c>
      <c r="AM63" s="190">
        <v>0</v>
      </c>
      <c r="AN63" s="190">
        <v>0</v>
      </c>
      <c r="AO63" s="190">
        <v>0</v>
      </c>
      <c r="AP63" s="190">
        <v>0</v>
      </c>
      <c r="AQ63" s="190">
        <v>0</v>
      </c>
    </row>
    <row r="64" spans="1:43" x14ac:dyDescent="0.25">
      <c r="A64" s="190" t="s">
        <v>168</v>
      </c>
      <c r="B64" s="190">
        <v>0</v>
      </c>
      <c r="C64" s="190">
        <v>0</v>
      </c>
      <c r="D64" s="190">
        <v>0</v>
      </c>
      <c r="E64" s="190">
        <v>0</v>
      </c>
      <c r="F64" s="190">
        <v>0</v>
      </c>
      <c r="G64" s="190">
        <v>0</v>
      </c>
      <c r="H64" s="190">
        <v>0</v>
      </c>
      <c r="I64" s="190">
        <v>0</v>
      </c>
      <c r="J64" s="190">
        <v>0</v>
      </c>
      <c r="K64" s="190">
        <v>0</v>
      </c>
      <c r="L64" s="190">
        <v>0</v>
      </c>
      <c r="M64" s="190">
        <v>0</v>
      </c>
      <c r="N64" s="190">
        <v>0</v>
      </c>
      <c r="O64" s="190">
        <v>0</v>
      </c>
      <c r="P64" s="190">
        <v>0</v>
      </c>
      <c r="Q64" s="190">
        <v>0</v>
      </c>
      <c r="R64" s="190">
        <v>0</v>
      </c>
      <c r="S64" s="190">
        <v>0</v>
      </c>
      <c r="T64" s="190">
        <v>0</v>
      </c>
      <c r="U64" s="190">
        <v>0</v>
      </c>
      <c r="V64" s="190">
        <v>0</v>
      </c>
      <c r="W64" s="190">
        <v>0</v>
      </c>
      <c r="X64" s="190">
        <v>0</v>
      </c>
      <c r="Y64" s="190">
        <v>0</v>
      </c>
      <c r="Z64" s="190">
        <v>0</v>
      </c>
      <c r="AA64" s="190">
        <v>0</v>
      </c>
      <c r="AB64" s="190">
        <v>0</v>
      </c>
      <c r="AC64" s="190">
        <v>0</v>
      </c>
      <c r="AD64" s="190">
        <v>0</v>
      </c>
      <c r="AE64" s="190">
        <v>0</v>
      </c>
      <c r="AF64" s="190">
        <v>0</v>
      </c>
      <c r="AG64" s="190">
        <v>0</v>
      </c>
      <c r="AH64" s="190">
        <v>0</v>
      </c>
      <c r="AI64" s="190">
        <v>0</v>
      </c>
      <c r="AJ64" s="190">
        <v>0</v>
      </c>
      <c r="AK64" s="190">
        <v>0</v>
      </c>
      <c r="AL64" s="190">
        <v>0</v>
      </c>
      <c r="AM64" s="190">
        <v>0</v>
      </c>
      <c r="AN64" s="190">
        <v>0</v>
      </c>
      <c r="AO64" s="190">
        <v>0</v>
      </c>
      <c r="AP64" s="190">
        <v>0</v>
      </c>
      <c r="AQ64" s="190">
        <v>0</v>
      </c>
    </row>
    <row r="65" spans="1:43" x14ac:dyDescent="0.25">
      <c r="A65" s="190" t="s">
        <v>169</v>
      </c>
      <c r="B65" s="190">
        <v>15765867.51</v>
      </c>
      <c r="C65" s="190">
        <v>16554964.779999999</v>
      </c>
      <c r="D65" s="190">
        <v>15733046.279999999</v>
      </c>
      <c r="E65" s="190">
        <v>16782981.620000001</v>
      </c>
      <c r="F65" s="190">
        <v>18750304.399999999</v>
      </c>
      <c r="G65" s="190">
        <v>20425933.780000001</v>
      </c>
      <c r="H65" s="190">
        <v>20242601.390000001</v>
      </c>
      <c r="I65" s="190">
        <v>0</v>
      </c>
      <c r="J65" s="190">
        <v>0</v>
      </c>
      <c r="K65" s="190">
        <v>0</v>
      </c>
      <c r="L65" s="190">
        <v>0</v>
      </c>
      <c r="M65" s="190">
        <v>0</v>
      </c>
      <c r="N65" s="190">
        <v>0</v>
      </c>
      <c r="O65" s="190">
        <v>0</v>
      </c>
      <c r="P65" s="190">
        <v>0</v>
      </c>
      <c r="Q65" s="190">
        <v>0</v>
      </c>
      <c r="R65" s="190">
        <v>0</v>
      </c>
      <c r="S65" s="190">
        <v>0</v>
      </c>
      <c r="T65" s="190">
        <v>0</v>
      </c>
      <c r="U65" s="190">
        <v>0</v>
      </c>
      <c r="V65" s="190">
        <v>0</v>
      </c>
      <c r="W65" s="190">
        <v>0</v>
      </c>
      <c r="X65" s="190">
        <v>0</v>
      </c>
      <c r="Y65" s="190">
        <v>0</v>
      </c>
      <c r="Z65" s="190">
        <v>0</v>
      </c>
      <c r="AA65" s="190">
        <v>0</v>
      </c>
      <c r="AB65" s="190">
        <v>0</v>
      </c>
      <c r="AC65" s="190">
        <v>0</v>
      </c>
      <c r="AD65" s="190">
        <v>0</v>
      </c>
      <c r="AE65" s="190">
        <v>0</v>
      </c>
      <c r="AF65" s="190">
        <v>0</v>
      </c>
      <c r="AG65" s="190">
        <v>0</v>
      </c>
      <c r="AH65" s="190">
        <v>0</v>
      </c>
      <c r="AI65" s="190">
        <v>0</v>
      </c>
      <c r="AJ65" s="190">
        <v>0</v>
      </c>
      <c r="AK65" s="190">
        <v>0</v>
      </c>
      <c r="AL65" s="190">
        <v>0</v>
      </c>
      <c r="AM65" s="190">
        <v>0</v>
      </c>
      <c r="AN65" s="190">
        <v>0</v>
      </c>
      <c r="AO65" s="190">
        <v>0</v>
      </c>
      <c r="AP65" s="190">
        <v>0</v>
      </c>
      <c r="AQ65" s="190">
        <v>0</v>
      </c>
    </row>
    <row r="66" spans="1:43" x14ac:dyDescent="0.25">
      <c r="A66" s="190" t="s">
        <v>170</v>
      </c>
      <c r="B66" s="190">
        <v>0</v>
      </c>
      <c r="C66" s="190">
        <v>0</v>
      </c>
      <c r="D66" s="190">
        <v>0</v>
      </c>
      <c r="E66" s="190">
        <v>0</v>
      </c>
      <c r="F66" s="190">
        <v>0</v>
      </c>
      <c r="G66" s="190">
        <v>0</v>
      </c>
      <c r="H66" s="190">
        <v>0</v>
      </c>
      <c r="I66" s="190">
        <v>0</v>
      </c>
      <c r="J66" s="190">
        <v>0</v>
      </c>
      <c r="K66" s="190">
        <v>0</v>
      </c>
      <c r="L66" s="190">
        <v>0</v>
      </c>
      <c r="M66" s="190">
        <v>0</v>
      </c>
      <c r="N66" s="190">
        <v>0</v>
      </c>
      <c r="O66" s="190">
        <v>0</v>
      </c>
      <c r="P66" s="190">
        <v>0</v>
      </c>
      <c r="Q66" s="190">
        <v>0</v>
      </c>
      <c r="R66" s="190">
        <v>0</v>
      </c>
      <c r="S66" s="190">
        <v>0</v>
      </c>
      <c r="T66" s="190">
        <v>0</v>
      </c>
      <c r="U66" s="190">
        <v>0</v>
      </c>
      <c r="V66" s="190">
        <v>0</v>
      </c>
      <c r="W66" s="190">
        <v>0</v>
      </c>
      <c r="X66" s="190">
        <v>0</v>
      </c>
      <c r="Y66" s="190">
        <v>0</v>
      </c>
      <c r="Z66" s="190">
        <v>0</v>
      </c>
      <c r="AA66" s="190">
        <v>0</v>
      </c>
      <c r="AB66" s="190">
        <v>0</v>
      </c>
      <c r="AC66" s="190">
        <v>0</v>
      </c>
      <c r="AD66" s="190">
        <v>0</v>
      </c>
      <c r="AE66" s="190">
        <v>0</v>
      </c>
      <c r="AF66" s="190">
        <v>0</v>
      </c>
      <c r="AG66" s="190">
        <v>0</v>
      </c>
      <c r="AH66" s="190">
        <v>0</v>
      </c>
      <c r="AI66" s="190">
        <v>0</v>
      </c>
      <c r="AJ66" s="190">
        <v>0</v>
      </c>
      <c r="AK66" s="190">
        <v>0</v>
      </c>
      <c r="AL66" s="190">
        <v>0</v>
      </c>
      <c r="AM66" s="190">
        <v>0</v>
      </c>
      <c r="AN66" s="190">
        <v>0</v>
      </c>
      <c r="AO66" s="190">
        <v>0</v>
      </c>
      <c r="AP66" s="190">
        <v>0</v>
      </c>
      <c r="AQ66" s="190">
        <v>0</v>
      </c>
    </row>
    <row r="67" spans="1:43" x14ac:dyDescent="0.25">
      <c r="A67" s="190" t="s">
        <v>171</v>
      </c>
      <c r="B67" s="190">
        <v>0</v>
      </c>
      <c r="C67" s="190">
        <v>0</v>
      </c>
      <c r="D67" s="190">
        <v>0</v>
      </c>
      <c r="E67" s="190">
        <v>0</v>
      </c>
      <c r="F67" s="190">
        <v>0</v>
      </c>
      <c r="G67" s="190">
        <v>0</v>
      </c>
      <c r="H67" s="190">
        <v>0</v>
      </c>
      <c r="I67" s="190">
        <v>0</v>
      </c>
      <c r="J67" s="190">
        <v>0</v>
      </c>
      <c r="K67" s="190">
        <v>0</v>
      </c>
      <c r="L67" s="190">
        <v>0</v>
      </c>
      <c r="M67" s="190">
        <v>0</v>
      </c>
      <c r="N67" s="190">
        <v>0</v>
      </c>
      <c r="O67" s="190">
        <v>0</v>
      </c>
      <c r="P67" s="190">
        <v>0</v>
      </c>
      <c r="Q67" s="190">
        <v>0</v>
      </c>
      <c r="R67" s="190">
        <v>0</v>
      </c>
      <c r="S67" s="190">
        <v>0</v>
      </c>
      <c r="T67" s="190">
        <v>0</v>
      </c>
      <c r="U67" s="190">
        <v>0</v>
      </c>
      <c r="V67" s="190">
        <v>0</v>
      </c>
      <c r="W67" s="190">
        <v>0</v>
      </c>
      <c r="X67" s="190">
        <v>0</v>
      </c>
      <c r="Y67" s="190">
        <v>0</v>
      </c>
      <c r="Z67" s="190">
        <v>0</v>
      </c>
      <c r="AA67" s="190">
        <v>0</v>
      </c>
      <c r="AB67" s="190">
        <v>0</v>
      </c>
      <c r="AC67" s="190">
        <v>0</v>
      </c>
      <c r="AD67" s="190">
        <v>0</v>
      </c>
      <c r="AE67" s="190">
        <v>0</v>
      </c>
      <c r="AF67" s="190">
        <v>0</v>
      </c>
      <c r="AG67" s="190">
        <v>0</v>
      </c>
      <c r="AH67" s="190">
        <v>0</v>
      </c>
      <c r="AI67" s="190">
        <v>0</v>
      </c>
      <c r="AJ67" s="190">
        <v>0</v>
      </c>
      <c r="AK67" s="190">
        <v>0</v>
      </c>
      <c r="AL67" s="190">
        <v>0</v>
      </c>
      <c r="AM67" s="190">
        <v>0</v>
      </c>
      <c r="AN67" s="190">
        <v>0</v>
      </c>
      <c r="AO67" s="190">
        <v>0</v>
      </c>
      <c r="AP67" s="190">
        <v>0</v>
      </c>
      <c r="AQ67" s="190">
        <v>0</v>
      </c>
    </row>
    <row r="68" spans="1:43" x14ac:dyDescent="0.25">
      <c r="A68" s="190" t="s">
        <v>172</v>
      </c>
      <c r="B68" s="190">
        <v>59138703.289999999</v>
      </c>
      <c r="C68" s="190">
        <v>57105693.060000002</v>
      </c>
      <c r="D68" s="190">
        <v>53020453.700000003</v>
      </c>
      <c r="E68" s="190">
        <v>53232849.850000001</v>
      </c>
      <c r="F68" s="190">
        <v>81163867.950000003</v>
      </c>
      <c r="G68" s="190">
        <v>86052130.519999996</v>
      </c>
      <c r="H68" s="190">
        <v>88037017.060000002</v>
      </c>
      <c r="I68" s="190">
        <v>1125000</v>
      </c>
      <c r="J68" s="190">
        <v>1250000</v>
      </c>
      <c r="K68" s="190">
        <v>1250000</v>
      </c>
      <c r="L68" s="190">
        <v>1250000</v>
      </c>
      <c r="M68" s="190">
        <v>1250000</v>
      </c>
      <c r="N68" s="190">
        <v>0</v>
      </c>
      <c r="O68" s="190">
        <v>0</v>
      </c>
      <c r="P68" s="190">
        <v>0</v>
      </c>
      <c r="Q68" s="190">
        <v>0</v>
      </c>
      <c r="R68" s="190">
        <v>0</v>
      </c>
      <c r="S68" s="190">
        <v>0</v>
      </c>
      <c r="T68" s="190">
        <v>0</v>
      </c>
      <c r="U68" s="190">
        <v>0</v>
      </c>
      <c r="V68" s="190">
        <v>0</v>
      </c>
      <c r="W68" s="190">
        <v>0</v>
      </c>
      <c r="X68" s="190">
        <v>0</v>
      </c>
      <c r="Y68" s="190">
        <v>0</v>
      </c>
      <c r="Z68" s="190">
        <v>0</v>
      </c>
      <c r="AA68" s="190">
        <v>0</v>
      </c>
      <c r="AB68" s="190">
        <v>0</v>
      </c>
      <c r="AC68" s="190">
        <v>0</v>
      </c>
      <c r="AD68" s="190">
        <v>0</v>
      </c>
      <c r="AE68" s="190">
        <v>0</v>
      </c>
      <c r="AF68" s="190">
        <v>0</v>
      </c>
      <c r="AG68" s="190">
        <v>0</v>
      </c>
      <c r="AH68" s="190">
        <v>0</v>
      </c>
      <c r="AI68" s="190">
        <v>0</v>
      </c>
      <c r="AJ68" s="190">
        <v>0</v>
      </c>
      <c r="AK68" s="190">
        <v>0</v>
      </c>
      <c r="AL68" s="190">
        <v>0</v>
      </c>
      <c r="AM68" s="190">
        <v>0</v>
      </c>
      <c r="AN68" s="190">
        <v>0</v>
      </c>
      <c r="AO68" s="190">
        <v>0</v>
      </c>
      <c r="AP68" s="190">
        <v>0</v>
      </c>
      <c r="AQ68" s="190">
        <v>0</v>
      </c>
    </row>
    <row r="69" spans="1:43" x14ac:dyDescent="0.25">
      <c r="A69" s="190" t="s">
        <v>173</v>
      </c>
      <c r="B69" s="190">
        <v>12000000</v>
      </c>
      <c r="C69" s="190">
        <v>12000000</v>
      </c>
      <c r="D69" s="190">
        <v>11500000</v>
      </c>
      <c r="E69" s="190">
        <v>11500000</v>
      </c>
      <c r="F69" s="190">
        <v>10500000</v>
      </c>
      <c r="G69" s="190">
        <v>10500000</v>
      </c>
      <c r="H69" s="190">
        <v>7000000</v>
      </c>
      <c r="I69" s="190">
        <v>7000000</v>
      </c>
      <c r="J69" s="190">
        <v>0</v>
      </c>
      <c r="K69" s="190">
        <v>0</v>
      </c>
      <c r="L69" s="190">
        <v>0</v>
      </c>
      <c r="M69" s="190">
        <v>0</v>
      </c>
      <c r="N69" s="190">
        <v>0</v>
      </c>
      <c r="O69" s="190">
        <v>0</v>
      </c>
      <c r="P69" s="190">
        <v>0</v>
      </c>
      <c r="Q69" s="190">
        <v>0</v>
      </c>
      <c r="R69" s="190">
        <v>0</v>
      </c>
      <c r="S69" s="190">
        <v>0</v>
      </c>
      <c r="T69" s="190">
        <v>0</v>
      </c>
      <c r="U69" s="190">
        <v>0</v>
      </c>
      <c r="V69" s="190">
        <v>0</v>
      </c>
      <c r="W69" s="190">
        <v>0</v>
      </c>
      <c r="X69" s="190">
        <v>0</v>
      </c>
      <c r="Y69" s="190">
        <v>0</v>
      </c>
      <c r="Z69" s="190">
        <v>0</v>
      </c>
      <c r="AA69" s="190">
        <v>0</v>
      </c>
      <c r="AB69" s="190">
        <v>0</v>
      </c>
      <c r="AC69" s="190">
        <v>0</v>
      </c>
      <c r="AD69" s="190">
        <v>0</v>
      </c>
      <c r="AE69" s="190">
        <v>0</v>
      </c>
      <c r="AF69" s="190">
        <v>0</v>
      </c>
      <c r="AG69" s="190">
        <v>0</v>
      </c>
      <c r="AH69" s="190">
        <v>0</v>
      </c>
      <c r="AI69" s="190">
        <v>0</v>
      </c>
      <c r="AJ69" s="190">
        <v>0</v>
      </c>
      <c r="AK69" s="190">
        <v>0</v>
      </c>
      <c r="AL69" s="190">
        <v>0</v>
      </c>
      <c r="AM69" s="190">
        <v>0</v>
      </c>
      <c r="AN69" s="190">
        <v>0</v>
      </c>
      <c r="AO69" s="190">
        <v>0</v>
      </c>
      <c r="AP69" s="190">
        <v>0</v>
      </c>
      <c r="AQ69" s="190">
        <v>0</v>
      </c>
    </row>
    <row r="70" spans="1:43" x14ac:dyDescent="0.25">
      <c r="A70" s="190" t="s">
        <v>174</v>
      </c>
      <c r="B70" s="190">
        <v>753429.11</v>
      </c>
      <c r="C70" s="190">
        <v>3245885.74</v>
      </c>
      <c r="D70" s="190">
        <v>2932846.91</v>
      </c>
      <c r="E70" s="190">
        <v>5523434.1399999997</v>
      </c>
      <c r="F70" s="190">
        <v>4666311.3099999996</v>
      </c>
      <c r="G70" s="190">
        <v>8005496.9699999997</v>
      </c>
      <c r="H70" s="190">
        <v>6684277.6100000003</v>
      </c>
      <c r="I70" s="190">
        <v>9794093.1400000006</v>
      </c>
      <c r="J70" s="190">
        <v>8250221.9000000004</v>
      </c>
      <c r="K70" s="190">
        <v>17439146.66</v>
      </c>
      <c r="L70" s="190">
        <v>10690043.33</v>
      </c>
      <c r="M70" s="190">
        <v>14380137.460000001</v>
      </c>
      <c r="N70" s="190">
        <v>0</v>
      </c>
      <c r="O70" s="190">
        <v>3913327.12</v>
      </c>
      <c r="P70" s="190">
        <v>2666935.96</v>
      </c>
      <c r="Q70" s="190">
        <v>5587351.7300000004</v>
      </c>
      <c r="R70" s="190">
        <v>4419412.5999999996</v>
      </c>
      <c r="S70" s="190">
        <v>7430086.4699999997</v>
      </c>
      <c r="T70" s="190">
        <v>5284150.0999999996</v>
      </c>
      <c r="U70" s="190">
        <v>7877039.8899999997</v>
      </c>
      <c r="V70" s="190">
        <v>0</v>
      </c>
      <c r="W70" s="190">
        <v>0</v>
      </c>
      <c r="X70" s="190">
        <v>0</v>
      </c>
      <c r="Y70" s="190">
        <v>0</v>
      </c>
      <c r="Z70" s="190">
        <v>0</v>
      </c>
      <c r="AA70" s="190">
        <v>0</v>
      </c>
      <c r="AB70" s="190">
        <v>0</v>
      </c>
      <c r="AC70" s="190">
        <v>0</v>
      </c>
      <c r="AD70" s="190">
        <v>0</v>
      </c>
      <c r="AE70" s="190">
        <v>0</v>
      </c>
      <c r="AF70" s="190">
        <v>0</v>
      </c>
      <c r="AG70" s="190">
        <v>0</v>
      </c>
      <c r="AH70" s="190">
        <v>0</v>
      </c>
      <c r="AI70" s="190">
        <v>0</v>
      </c>
      <c r="AJ70" s="190">
        <v>0</v>
      </c>
      <c r="AK70" s="190">
        <v>0</v>
      </c>
      <c r="AL70" s="190">
        <v>0</v>
      </c>
      <c r="AM70" s="190">
        <v>0</v>
      </c>
      <c r="AN70" s="190">
        <v>0</v>
      </c>
      <c r="AO70" s="190">
        <v>0</v>
      </c>
      <c r="AP70" s="190">
        <v>0</v>
      </c>
      <c r="AQ70" s="190">
        <v>0</v>
      </c>
    </row>
    <row r="71" spans="1:43" x14ac:dyDescent="0.25">
      <c r="A71" s="190" t="s">
        <v>175</v>
      </c>
      <c r="B71" s="190">
        <v>87657999.909999996</v>
      </c>
      <c r="C71" s="190">
        <v>132576103.58</v>
      </c>
      <c r="D71" s="190">
        <v>131604716.89</v>
      </c>
      <c r="E71" s="190">
        <v>137352605.61000001</v>
      </c>
      <c r="F71" s="190">
        <v>173485203.66</v>
      </c>
      <c r="G71" s="190">
        <v>184598281.27000001</v>
      </c>
      <c r="H71" s="190">
        <v>270574818.06</v>
      </c>
      <c r="I71" s="190">
        <v>106296473.14</v>
      </c>
      <c r="J71" s="190">
        <v>94340977.900000006</v>
      </c>
      <c r="K71" s="190">
        <v>18689146.66</v>
      </c>
      <c r="L71" s="190">
        <v>11940043.33</v>
      </c>
      <c r="M71" s="190">
        <v>15630137.460000001</v>
      </c>
      <c r="N71" s="190">
        <v>0</v>
      </c>
      <c r="O71" s="190">
        <v>3913327.12</v>
      </c>
      <c r="P71" s="190">
        <v>2666935.96</v>
      </c>
      <c r="Q71" s="190">
        <v>5587351.7300000004</v>
      </c>
      <c r="R71" s="190">
        <v>4419412.5999999996</v>
      </c>
      <c r="S71" s="190">
        <v>7430086.4699999997</v>
      </c>
      <c r="T71" s="190">
        <v>5284150.0999999996</v>
      </c>
      <c r="U71" s="190">
        <v>7877039.8899999997</v>
      </c>
      <c r="V71" s="190">
        <v>0</v>
      </c>
      <c r="W71" s="190">
        <v>0</v>
      </c>
      <c r="X71" s="190">
        <v>0</v>
      </c>
      <c r="Y71" s="190">
        <v>0</v>
      </c>
      <c r="Z71" s="190">
        <v>0</v>
      </c>
      <c r="AA71" s="190">
        <v>0</v>
      </c>
      <c r="AB71" s="190">
        <v>0</v>
      </c>
      <c r="AC71" s="190">
        <v>0</v>
      </c>
      <c r="AD71" s="190">
        <v>0</v>
      </c>
      <c r="AE71" s="190">
        <v>0</v>
      </c>
      <c r="AF71" s="190">
        <v>0</v>
      </c>
      <c r="AG71" s="190">
        <v>0</v>
      </c>
      <c r="AH71" s="190">
        <v>0</v>
      </c>
      <c r="AI71" s="190">
        <v>0</v>
      </c>
      <c r="AJ71" s="190">
        <v>0</v>
      </c>
      <c r="AK71" s="190">
        <v>0</v>
      </c>
      <c r="AL71" s="190">
        <v>0</v>
      </c>
      <c r="AM71" s="190">
        <v>0</v>
      </c>
      <c r="AN71" s="190">
        <v>0</v>
      </c>
      <c r="AO71" s="190">
        <v>0</v>
      </c>
      <c r="AP71" s="190">
        <v>0</v>
      </c>
      <c r="AQ71" s="190">
        <v>0</v>
      </c>
    </row>
    <row r="72" spans="1:43" x14ac:dyDescent="0.25">
      <c r="A72" s="190" t="s">
        <v>176</v>
      </c>
      <c r="B72" s="190">
        <v>1384656698.0799999</v>
      </c>
      <c r="C72" s="190">
        <v>1448444844.1199999</v>
      </c>
      <c r="D72" s="190">
        <v>1323962382.3299999</v>
      </c>
      <c r="E72" s="190">
        <v>1435439044.3699999</v>
      </c>
      <c r="F72" s="190">
        <v>1539983394.6500001</v>
      </c>
      <c r="G72" s="190">
        <v>1440471247.1400001</v>
      </c>
      <c r="H72" s="190">
        <v>1569781724.1300001</v>
      </c>
      <c r="I72" s="190">
        <v>1328029072.1300001</v>
      </c>
      <c r="J72" s="190">
        <v>1041773184.09</v>
      </c>
      <c r="K72" s="190">
        <v>883815208.62</v>
      </c>
      <c r="L72" s="190">
        <v>815133339.37</v>
      </c>
      <c r="M72" s="190">
        <v>829389690.40999997</v>
      </c>
      <c r="N72" s="190">
        <v>645038434.53999996</v>
      </c>
      <c r="O72" s="190">
        <v>587198873.97000003</v>
      </c>
      <c r="P72" s="190">
        <v>574806370.91999996</v>
      </c>
      <c r="Q72" s="190">
        <v>627527307.17999995</v>
      </c>
      <c r="R72" s="190">
        <v>591148879.23000002</v>
      </c>
      <c r="S72" s="190">
        <v>475989837.87</v>
      </c>
      <c r="T72" s="190">
        <v>503281229.24000001</v>
      </c>
      <c r="U72" s="190">
        <v>520020896.01999998</v>
      </c>
      <c r="V72" s="190">
        <v>434484790.17000002</v>
      </c>
      <c r="W72" s="190">
        <v>322223196.62</v>
      </c>
      <c r="X72" s="190">
        <v>431630951.94999999</v>
      </c>
      <c r="Y72" s="190">
        <v>447550008.76999998</v>
      </c>
      <c r="Z72" s="190">
        <v>507299155.92000002</v>
      </c>
      <c r="AA72" s="190">
        <v>493984344.29000002</v>
      </c>
      <c r="AB72" s="190">
        <v>514159750.66000003</v>
      </c>
      <c r="AC72" s="190">
        <v>502685476.98000002</v>
      </c>
      <c r="AD72" s="190">
        <v>431645106.74000001</v>
      </c>
      <c r="AE72" s="190">
        <v>333573826.68000001</v>
      </c>
      <c r="AF72" s="190">
        <v>419394747.44999999</v>
      </c>
      <c r="AG72" s="190">
        <v>399547372.94999999</v>
      </c>
      <c r="AH72" s="190">
        <v>290528234.13</v>
      </c>
      <c r="AI72" s="190">
        <v>218982489.06999999</v>
      </c>
      <c r="AJ72" s="190">
        <v>240639133.97999999</v>
      </c>
      <c r="AK72" s="190">
        <v>215271999.87</v>
      </c>
      <c r="AL72" s="190">
        <v>183602745.03</v>
      </c>
      <c r="AM72" s="190">
        <v>141823169.59999999</v>
      </c>
      <c r="AN72" s="190">
        <v>157104143.12</v>
      </c>
      <c r="AO72" s="190">
        <v>124694762.67</v>
      </c>
      <c r="AP72" s="190">
        <v>172266867.75</v>
      </c>
      <c r="AQ72" s="190">
        <v>0</v>
      </c>
    </row>
    <row r="73" spans="1:43" x14ac:dyDescent="0.25">
      <c r="A73" s="190" t="s">
        <v>177</v>
      </c>
    </row>
    <row r="74" spans="1:43" x14ac:dyDescent="0.25">
      <c r="A74" s="190" t="s">
        <v>178</v>
      </c>
      <c r="B74" s="190">
        <v>744729147</v>
      </c>
      <c r="C74" s="190">
        <v>744729147</v>
      </c>
      <c r="D74" s="190">
        <v>744919147</v>
      </c>
      <c r="E74" s="190">
        <v>704905500</v>
      </c>
      <c r="F74" s="190">
        <v>704905500</v>
      </c>
      <c r="G74" s="190">
        <v>704905500</v>
      </c>
      <c r="H74" s="190">
        <v>701815500</v>
      </c>
      <c r="I74" s="190">
        <v>701815500</v>
      </c>
      <c r="J74" s="190">
        <v>701815500</v>
      </c>
      <c r="K74" s="190">
        <v>701815500</v>
      </c>
      <c r="L74" s="190">
        <v>701815500</v>
      </c>
      <c r="M74" s="190">
        <v>701815500</v>
      </c>
      <c r="N74" s="190">
        <v>701815500</v>
      </c>
      <c r="O74" s="190">
        <v>701815500</v>
      </c>
      <c r="P74" s="190">
        <v>280726200</v>
      </c>
      <c r="Q74" s="190">
        <v>280726200</v>
      </c>
      <c r="R74" s="190">
        <v>280726200</v>
      </c>
      <c r="S74" s="190">
        <v>280726200</v>
      </c>
      <c r="T74" s="190">
        <v>280726200</v>
      </c>
      <c r="U74" s="190">
        <v>280726200</v>
      </c>
      <c r="V74" s="190">
        <v>280726200</v>
      </c>
      <c r="W74" s="190">
        <v>280726200</v>
      </c>
      <c r="X74" s="190">
        <v>140363100</v>
      </c>
      <c r="Y74" s="190">
        <v>140363100</v>
      </c>
      <c r="Z74" s="190">
        <v>140363100</v>
      </c>
      <c r="AA74" s="190">
        <v>140363100</v>
      </c>
      <c r="AB74" s="190">
        <v>140363100</v>
      </c>
      <c r="AC74" s="190">
        <v>140363100</v>
      </c>
      <c r="AD74" s="190">
        <v>140363100</v>
      </c>
      <c r="AE74" s="190">
        <v>140363100</v>
      </c>
      <c r="AF74" s="190">
        <v>140363100</v>
      </c>
      <c r="AG74" s="190">
        <v>140363100</v>
      </c>
      <c r="AH74" s="190">
        <v>140363100</v>
      </c>
      <c r="AI74" s="190">
        <v>140363100</v>
      </c>
      <c r="AJ74" s="190">
        <v>140363100</v>
      </c>
      <c r="AK74" s="190">
        <v>140363100</v>
      </c>
      <c r="AL74" s="190">
        <v>140363100</v>
      </c>
      <c r="AM74" s="190">
        <v>105263100</v>
      </c>
      <c r="AN74" s="190">
        <v>105263100</v>
      </c>
      <c r="AO74" s="190">
        <v>105263100</v>
      </c>
      <c r="AP74" s="190">
        <v>14943456</v>
      </c>
      <c r="AQ74" s="190">
        <v>0</v>
      </c>
    </row>
    <row r="75" spans="1:43" x14ac:dyDescent="0.25">
      <c r="A75" s="190" t="s">
        <v>179</v>
      </c>
      <c r="B75" s="190">
        <v>799073930.01999998</v>
      </c>
      <c r="C75" s="190">
        <v>796160462.83000004</v>
      </c>
      <c r="D75" s="190">
        <v>770521940.25</v>
      </c>
      <c r="E75" s="190">
        <v>370838881.36000001</v>
      </c>
      <c r="F75" s="190">
        <v>367084618.66000003</v>
      </c>
      <c r="G75" s="190">
        <v>365372843.69</v>
      </c>
      <c r="H75" s="190">
        <v>343661998.69999999</v>
      </c>
      <c r="I75" s="190">
        <v>348501443.69</v>
      </c>
      <c r="J75" s="190">
        <v>348501443.69</v>
      </c>
      <c r="K75" s="190">
        <v>348237589.52999997</v>
      </c>
      <c r="L75" s="190">
        <v>345579812.58999997</v>
      </c>
      <c r="M75" s="190">
        <v>345579812.58999997</v>
      </c>
      <c r="N75" s="190">
        <v>345579812.58999997</v>
      </c>
      <c r="O75" s="190">
        <v>345579812.58999997</v>
      </c>
      <c r="P75" s="190">
        <v>766669112.59000003</v>
      </c>
      <c r="Q75" s="190">
        <v>766669112.59000003</v>
      </c>
      <c r="R75" s="190">
        <v>766669112.59000003</v>
      </c>
      <c r="S75" s="190">
        <v>766669112.59000003</v>
      </c>
      <c r="T75" s="190">
        <v>766669112.59000003</v>
      </c>
      <c r="U75" s="190">
        <v>766669112.59000003</v>
      </c>
      <c r="V75" s="190">
        <v>766669112.59000003</v>
      </c>
      <c r="W75" s="190">
        <v>766669112.59000003</v>
      </c>
      <c r="X75" s="190">
        <v>907032212.59000003</v>
      </c>
      <c r="Y75" s="190">
        <v>907032212.59000003</v>
      </c>
      <c r="Z75" s="190">
        <v>907032212.59000003</v>
      </c>
      <c r="AA75" s="190">
        <v>907032212.59000003</v>
      </c>
      <c r="AB75" s="190">
        <v>907032212.59000003</v>
      </c>
      <c r="AC75" s="190">
        <v>907032212.59000003</v>
      </c>
      <c r="AD75" s="190">
        <v>907032212.59000003</v>
      </c>
      <c r="AE75" s="190">
        <v>907032212.59000003</v>
      </c>
      <c r="AF75" s="190">
        <v>907032212.59000003</v>
      </c>
      <c r="AG75" s="190">
        <v>907032212.59000003</v>
      </c>
      <c r="AH75" s="190">
        <v>909088421.73000002</v>
      </c>
      <c r="AI75" s="190">
        <v>909088421.73000002</v>
      </c>
      <c r="AJ75" s="190">
        <v>909088421.73000002</v>
      </c>
      <c r="AK75" s="190">
        <v>909088421.73000002</v>
      </c>
      <c r="AL75" s="190">
        <v>908208321.07000005</v>
      </c>
      <c r="AM75" s="190">
        <v>36175321.07</v>
      </c>
      <c r="AN75" s="190">
        <v>36175321.07</v>
      </c>
      <c r="AO75" s="190">
        <v>36175321.07</v>
      </c>
      <c r="AP75" s="190">
        <v>1758251.73</v>
      </c>
      <c r="AQ75" s="190">
        <v>0</v>
      </c>
    </row>
    <row r="76" spans="1:43" x14ac:dyDescent="0.25">
      <c r="A76" s="190" t="s">
        <v>180</v>
      </c>
      <c r="B76" s="190">
        <v>25622400</v>
      </c>
      <c r="C76" s="190">
        <v>25622400</v>
      </c>
      <c r="D76" s="190">
        <v>25622400</v>
      </c>
      <c r="E76" s="190">
        <v>19961400</v>
      </c>
      <c r="F76" s="190">
        <v>19961400</v>
      </c>
      <c r="G76" s="190">
        <v>19961400</v>
      </c>
      <c r="H76" s="190">
        <v>0</v>
      </c>
      <c r="I76" s="190">
        <v>0</v>
      </c>
      <c r="J76" s="190">
        <v>0</v>
      </c>
      <c r="K76" s="190">
        <v>0</v>
      </c>
      <c r="L76" s="190">
        <v>0</v>
      </c>
      <c r="M76" s="190">
        <v>0</v>
      </c>
      <c r="N76" s="190">
        <v>0</v>
      </c>
      <c r="O76" s="190">
        <v>0</v>
      </c>
      <c r="P76" s="190">
        <v>0</v>
      </c>
      <c r="Q76" s="190">
        <v>0</v>
      </c>
      <c r="R76" s="190">
        <v>0</v>
      </c>
      <c r="S76" s="190">
        <v>0</v>
      </c>
      <c r="T76" s="190">
        <v>0</v>
      </c>
      <c r="U76" s="190">
        <v>0</v>
      </c>
      <c r="V76" s="190">
        <v>0</v>
      </c>
      <c r="W76" s="190">
        <v>0</v>
      </c>
      <c r="X76" s="190">
        <v>0</v>
      </c>
      <c r="Y76" s="190">
        <v>0</v>
      </c>
      <c r="Z76" s="190">
        <v>0</v>
      </c>
      <c r="AA76" s="190">
        <v>0</v>
      </c>
      <c r="AB76" s="190">
        <v>0</v>
      </c>
      <c r="AC76" s="190">
        <v>0</v>
      </c>
      <c r="AD76" s="190">
        <v>0</v>
      </c>
      <c r="AE76" s="190">
        <v>0</v>
      </c>
      <c r="AF76" s="190">
        <v>0</v>
      </c>
      <c r="AG76" s="190">
        <v>0</v>
      </c>
      <c r="AH76" s="190">
        <v>0</v>
      </c>
      <c r="AI76" s="190">
        <v>0</v>
      </c>
      <c r="AJ76" s="190">
        <v>0</v>
      </c>
      <c r="AK76" s="190">
        <v>0</v>
      </c>
      <c r="AL76" s="190">
        <v>0</v>
      </c>
      <c r="AM76" s="190">
        <v>0</v>
      </c>
      <c r="AN76" s="190">
        <v>0</v>
      </c>
      <c r="AO76" s="190">
        <v>0</v>
      </c>
      <c r="AP76" s="190">
        <v>0</v>
      </c>
      <c r="AQ76" s="190">
        <v>0</v>
      </c>
    </row>
    <row r="77" spans="1:43" x14ac:dyDescent="0.25">
      <c r="A77" s="190" t="s">
        <v>181</v>
      </c>
      <c r="B77" s="190">
        <v>2034023.42</v>
      </c>
      <c r="C77" s="190">
        <v>-15462040.77</v>
      </c>
      <c r="D77" s="190">
        <v>-47760818.689999998</v>
      </c>
      <c r="E77" s="190">
        <v>-24230454.379999999</v>
      </c>
      <c r="F77" s="190">
        <v>-18217345.870000001</v>
      </c>
      <c r="G77" s="190">
        <v>-6939857.9900000002</v>
      </c>
      <c r="H77" s="190">
        <v>8285101.3700000001</v>
      </c>
      <c r="I77" s="190">
        <v>2775399.74</v>
      </c>
      <c r="J77" s="190">
        <v>1347499.98</v>
      </c>
      <c r="K77" s="190">
        <v>1044258.23</v>
      </c>
      <c r="L77" s="190">
        <v>25377.54</v>
      </c>
      <c r="M77" s="190">
        <v>29224.77</v>
      </c>
      <c r="N77" s="190">
        <v>-350887.55</v>
      </c>
      <c r="O77" s="190">
        <v>-1738250.4</v>
      </c>
      <c r="P77" s="190">
        <v>-1596939.08</v>
      </c>
      <c r="Q77" s="190">
        <v>-1718413.22</v>
      </c>
      <c r="R77" s="190">
        <v>0</v>
      </c>
      <c r="S77" s="190">
        <v>0</v>
      </c>
      <c r="T77" s="190">
        <v>0</v>
      </c>
      <c r="U77" s="190">
        <v>0</v>
      </c>
      <c r="V77" s="190">
        <v>0</v>
      </c>
      <c r="W77" s="190">
        <v>0</v>
      </c>
      <c r="X77" s="190">
        <v>0</v>
      </c>
      <c r="Y77" s="190">
        <v>0</v>
      </c>
      <c r="Z77" s="190">
        <v>0</v>
      </c>
      <c r="AA77" s="190">
        <v>0</v>
      </c>
      <c r="AB77" s="190">
        <v>0</v>
      </c>
      <c r="AC77" s="190">
        <v>0</v>
      </c>
      <c r="AD77" s="190">
        <v>0</v>
      </c>
      <c r="AE77" s="190">
        <v>0</v>
      </c>
      <c r="AF77" s="190">
        <v>0</v>
      </c>
      <c r="AG77" s="190">
        <v>0</v>
      </c>
      <c r="AH77" s="190">
        <v>0</v>
      </c>
      <c r="AI77" s="190">
        <v>0</v>
      </c>
      <c r="AJ77" s="190">
        <v>0</v>
      </c>
      <c r="AK77" s="190">
        <v>0</v>
      </c>
      <c r="AL77" s="190">
        <v>0</v>
      </c>
      <c r="AM77" s="190">
        <v>0</v>
      </c>
      <c r="AN77" s="190">
        <v>0</v>
      </c>
      <c r="AO77" s="190">
        <v>0</v>
      </c>
      <c r="AP77" s="190">
        <v>0</v>
      </c>
      <c r="AQ77" s="190">
        <v>0</v>
      </c>
    </row>
    <row r="78" spans="1:43" x14ac:dyDescent="0.25">
      <c r="A78" s="190" t="s">
        <v>182</v>
      </c>
      <c r="B78" s="190">
        <v>0</v>
      </c>
      <c r="C78" s="190">
        <v>0</v>
      </c>
      <c r="D78" s="190">
        <v>0</v>
      </c>
      <c r="E78" s="190">
        <v>0</v>
      </c>
      <c r="F78" s="190">
        <v>0</v>
      </c>
      <c r="G78" s="190">
        <v>0</v>
      </c>
      <c r="H78" s="190">
        <v>0</v>
      </c>
      <c r="I78" s="190">
        <v>0</v>
      </c>
      <c r="J78" s="190">
        <v>0</v>
      </c>
      <c r="K78" s="190">
        <v>0</v>
      </c>
      <c r="L78" s="190">
        <v>0</v>
      </c>
      <c r="M78" s="190">
        <v>0</v>
      </c>
      <c r="N78" s="190">
        <v>0</v>
      </c>
      <c r="O78" s="190">
        <v>0</v>
      </c>
      <c r="P78" s="190">
        <v>0</v>
      </c>
      <c r="Q78" s="190">
        <v>0</v>
      </c>
      <c r="R78" s="190">
        <v>0</v>
      </c>
      <c r="S78" s="190">
        <v>0</v>
      </c>
      <c r="T78" s="190">
        <v>0</v>
      </c>
      <c r="U78" s="190">
        <v>0</v>
      </c>
      <c r="V78" s="190">
        <v>0</v>
      </c>
      <c r="W78" s="190">
        <v>0</v>
      </c>
      <c r="X78" s="190">
        <v>0</v>
      </c>
      <c r="Y78" s="190">
        <v>0</v>
      </c>
      <c r="Z78" s="190">
        <v>0</v>
      </c>
      <c r="AA78" s="190">
        <v>0</v>
      </c>
      <c r="AB78" s="190">
        <v>0</v>
      </c>
      <c r="AC78" s="190">
        <v>0</v>
      </c>
      <c r="AD78" s="190">
        <v>0</v>
      </c>
      <c r="AE78" s="190">
        <v>0</v>
      </c>
      <c r="AF78" s="190">
        <v>0</v>
      </c>
      <c r="AG78" s="190">
        <v>0</v>
      </c>
      <c r="AH78" s="190">
        <v>0</v>
      </c>
      <c r="AI78" s="190">
        <v>0</v>
      </c>
      <c r="AJ78" s="190">
        <v>0</v>
      </c>
      <c r="AK78" s="190">
        <v>0</v>
      </c>
      <c r="AL78" s="190">
        <v>0</v>
      </c>
      <c r="AM78" s="190">
        <v>0</v>
      </c>
      <c r="AN78" s="190">
        <v>0</v>
      </c>
      <c r="AO78" s="190">
        <v>0</v>
      </c>
      <c r="AP78" s="190">
        <v>0</v>
      </c>
      <c r="AQ78" s="190">
        <v>0</v>
      </c>
    </row>
    <row r="79" spans="1:43" x14ac:dyDescent="0.25">
      <c r="A79" s="190" t="s">
        <v>183</v>
      </c>
      <c r="B79" s="190">
        <v>333942631.27999997</v>
      </c>
      <c r="C79" s="190">
        <v>333942631.27999997</v>
      </c>
      <c r="D79" s="190">
        <v>333942631.27999997</v>
      </c>
      <c r="E79" s="190">
        <v>333942631.27999997</v>
      </c>
      <c r="F79" s="190">
        <v>286181596.91000003</v>
      </c>
      <c r="G79" s="190">
        <v>286181596.91000003</v>
      </c>
      <c r="H79" s="190">
        <v>286181596.91000003</v>
      </c>
      <c r="I79" s="190">
        <v>286181596.91000003</v>
      </c>
      <c r="J79" s="190">
        <v>258069600.65000001</v>
      </c>
      <c r="K79" s="190">
        <v>258069600.65000001</v>
      </c>
      <c r="L79" s="190">
        <v>258069600.65000001</v>
      </c>
      <c r="M79" s="190">
        <v>258069600.65000001</v>
      </c>
      <c r="N79" s="190">
        <v>214396957.88</v>
      </c>
      <c r="O79" s="190">
        <v>214396957.88</v>
      </c>
      <c r="P79" s="190">
        <v>214396957.88</v>
      </c>
      <c r="Q79" s="190">
        <v>214396957.88</v>
      </c>
      <c r="R79" s="190">
        <v>170059530.44999999</v>
      </c>
      <c r="S79" s="190">
        <v>170059530.44999999</v>
      </c>
      <c r="T79" s="190">
        <v>170059530.44999999</v>
      </c>
      <c r="U79" s="190">
        <v>170059530.44999999</v>
      </c>
      <c r="V79" s="190">
        <v>134414074.22999999</v>
      </c>
      <c r="W79" s="190">
        <v>134414074.22999999</v>
      </c>
      <c r="X79" s="190">
        <v>134414074.22999999</v>
      </c>
      <c r="Y79" s="190">
        <v>134414074.22999999</v>
      </c>
      <c r="Z79" s="190">
        <v>93959960.069999993</v>
      </c>
      <c r="AA79" s="190">
        <v>93959960.069999993</v>
      </c>
      <c r="AB79" s="190">
        <v>93959960.069999993</v>
      </c>
      <c r="AC79" s="190">
        <v>93959960.069999993</v>
      </c>
      <c r="AD79" s="190">
        <v>58711023.469999999</v>
      </c>
      <c r="AE79" s="190">
        <v>58711023.469999999</v>
      </c>
      <c r="AF79" s="190">
        <v>55755062.170000002</v>
      </c>
      <c r="AG79" s="190">
        <v>58711023.469999999</v>
      </c>
      <c r="AH79" s="190">
        <v>33367477.82</v>
      </c>
      <c r="AI79" s="190">
        <v>33367477.82</v>
      </c>
      <c r="AJ79" s="190">
        <v>33367477.82</v>
      </c>
      <c r="AK79" s="190">
        <v>33367477.82</v>
      </c>
      <c r="AL79" s="190">
        <v>22190473.329999998</v>
      </c>
      <c r="AM79" s="190">
        <v>22190473.329999998</v>
      </c>
      <c r="AN79" s="190">
        <v>22190473.329999998</v>
      </c>
      <c r="AO79" s="190">
        <v>10637841.689999999</v>
      </c>
      <c r="AP79" s="190">
        <v>17556289.039999999</v>
      </c>
      <c r="AQ79" s="190">
        <v>0</v>
      </c>
    </row>
    <row r="80" spans="1:43" x14ac:dyDescent="0.25">
      <c r="A80" s="190" t="s">
        <v>184</v>
      </c>
      <c r="B80" s="190">
        <v>0</v>
      </c>
      <c r="C80" s="190">
        <v>0</v>
      </c>
      <c r="D80" s="190">
        <v>0</v>
      </c>
      <c r="E80" s="190">
        <v>0</v>
      </c>
      <c r="F80" s="190">
        <v>0</v>
      </c>
      <c r="G80" s="190">
        <v>0</v>
      </c>
      <c r="H80" s="190">
        <v>0</v>
      </c>
      <c r="I80" s="190">
        <v>0</v>
      </c>
      <c r="J80" s="190">
        <v>0</v>
      </c>
      <c r="K80" s="190">
        <v>0</v>
      </c>
      <c r="L80" s="190">
        <v>0</v>
      </c>
      <c r="M80" s="190">
        <v>0</v>
      </c>
      <c r="N80" s="190">
        <v>0</v>
      </c>
      <c r="O80" s="190">
        <v>0</v>
      </c>
      <c r="P80" s="190">
        <v>0</v>
      </c>
      <c r="Q80" s="190">
        <v>0</v>
      </c>
      <c r="R80" s="190">
        <v>0</v>
      </c>
      <c r="S80" s="190">
        <v>0</v>
      </c>
      <c r="T80" s="190">
        <v>0</v>
      </c>
      <c r="U80" s="190">
        <v>0</v>
      </c>
      <c r="V80" s="190">
        <v>0</v>
      </c>
      <c r="W80" s="190">
        <v>0</v>
      </c>
      <c r="X80" s="190">
        <v>0</v>
      </c>
      <c r="Y80" s="190">
        <v>0</v>
      </c>
      <c r="Z80" s="190">
        <v>0</v>
      </c>
      <c r="AA80" s="190">
        <v>0</v>
      </c>
      <c r="AB80" s="190">
        <v>0</v>
      </c>
      <c r="AC80" s="190">
        <v>0</v>
      </c>
      <c r="AD80" s="190">
        <v>0</v>
      </c>
      <c r="AE80" s="190">
        <v>0</v>
      </c>
      <c r="AF80" s="190">
        <v>0</v>
      </c>
      <c r="AG80" s="190">
        <v>0</v>
      </c>
      <c r="AH80" s="190">
        <v>0</v>
      </c>
      <c r="AI80" s="190">
        <v>0</v>
      </c>
      <c r="AJ80" s="190">
        <v>0</v>
      </c>
      <c r="AK80" s="190">
        <v>0</v>
      </c>
      <c r="AL80" s="190">
        <v>0</v>
      </c>
      <c r="AM80" s="190">
        <v>0</v>
      </c>
      <c r="AN80" s="190">
        <v>0</v>
      </c>
      <c r="AO80" s="190">
        <v>0</v>
      </c>
      <c r="AP80" s="190">
        <v>0</v>
      </c>
      <c r="AQ80" s="190">
        <v>0</v>
      </c>
    </row>
    <row r="81" spans="1:43" x14ac:dyDescent="0.25">
      <c r="A81" s="190" t="s">
        <v>185</v>
      </c>
      <c r="B81" s="190">
        <v>1756122910.02</v>
      </c>
      <c r="C81" s="190">
        <v>1597456143.1700001</v>
      </c>
      <c r="D81" s="190">
        <v>1796004757.3</v>
      </c>
      <c r="E81" s="190">
        <v>1639515988.21</v>
      </c>
      <c r="F81" s="190">
        <v>1569927010.5999999</v>
      </c>
      <c r="G81" s="190">
        <v>1421034201.5899999</v>
      </c>
      <c r="H81" s="190">
        <v>1516602206.3699999</v>
      </c>
      <c r="I81" s="190">
        <v>1399763125.4400001</v>
      </c>
      <c r="J81" s="190">
        <v>1370033724.22</v>
      </c>
      <c r="K81" s="190">
        <v>1261415134.47</v>
      </c>
      <c r="L81" s="190">
        <v>1359753909.76</v>
      </c>
      <c r="M81" s="190">
        <v>1250941350.79</v>
      </c>
      <c r="N81" s="190">
        <v>1208347465.52</v>
      </c>
      <c r="O81" s="190">
        <v>1068295724.63</v>
      </c>
      <c r="P81" s="190">
        <v>1281431019.3199999</v>
      </c>
      <c r="Q81" s="190">
        <v>1165251874.99</v>
      </c>
      <c r="R81" s="190">
        <v>1088200440.6300001</v>
      </c>
      <c r="S81" s="190">
        <v>968867455.89999998</v>
      </c>
      <c r="T81" s="190">
        <v>1008503054.0599999</v>
      </c>
      <c r="U81" s="190">
        <v>909753702.34000003</v>
      </c>
      <c r="V81" s="190">
        <v>850428398.08000004</v>
      </c>
      <c r="W81" s="190">
        <v>750350402.75</v>
      </c>
      <c r="X81" s="190">
        <v>797255248.05999994</v>
      </c>
      <c r="Y81" s="190">
        <v>711498676.40999997</v>
      </c>
      <c r="Z81" s="190">
        <v>623008496.62</v>
      </c>
      <c r="AA81" s="190">
        <v>503552118.06</v>
      </c>
      <c r="AB81" s="190">
        <v>616572912.17999995</v>
      </c>
      <c r="AC81" s="190">
        <v>510229123.81</v>
      </c>
      <c r="AD81" s="190">
        <v>451626737.39999998</v>
      </c>
      <c r="AE81" s="190">
        <v>333903403.31999999</v>
      </c>
      <c r="AF81" s="190">
        <v>431242525.72000003</v>
      </c>
      <c r="AG81" s="190">
        <v>370783524.22000003</v>
      </c>
      <c r="AH81" s="190">
        <v>289614593.99000001</v>
      </c>
      <c r="AI81" s="190">
        <v>223495470.13999999</v>
      </c>
      <c r="AJ81" s="190">
        <v>294620676.75</v>
      </c>
      <c r="AK81" s="190">
        <v>244953989.93000001</v>
      </c>
      <c r="AL81" s="190">
        <v>214216081.68000001</v>
      </c>
      <c r="AM81" s="190">
        <v>164238846.41999999</v>
      </c>
      <c r="AN81" s="190">
        <v>134425609.84</v>
      </c>
      <c r="AO81" s="190">
        <v>78016353.280000001</v>
      </c>
      <c r="AP81" s="190">
        <v>93449876.739999995</v>
      </c>
      <c r="AQ81" s="190">
        <v>0</v>
      </c>
    </row>
    <row r="82" spans="1:43" x14ac:dyDescent="0.25">
      <c r="A82" s="190" t="s">
        <v>186</v>
      </c>
      <c r="B82" s="190">
        <v>3610280241.7399998</v>
      </c>
      <c r="C82" s="190">
        <v>3431203943.5100002</v>
      </c>
      <c r="D82" s="190">
        <v>3572005257.1399999</v>
      </c>
      <c r="E82" s="190">
        <v>3005011146.4699998</v>
      </c>
      <c r="F82" s="190">
        <v>2889919980.3000002</v>
      </c>
      <c r="G82" s="190">
        <v>2750592884.1999998</v>
      </c>
      <c r="H82" s="190">
        <v>2856546403.3499999</v>
      </c>
      <c r="I82" s="190">
        <v>2739037065.7800002</v>
      </c>
      <c r="J82" s="190">
        <v>2679767768.54</v>
      </c>
      <c r="K82" s="190">
        <v>2570582082.8800001</v>
      </c>
      <c r="L82" s="190">
        <v>2665244200.54</v>
      </c>
      <c r="M82" s="190">
        <v>2556435488.8000002</v>
      </c>
      <c r="N82" s="190">
        <v>2469788848.4400001</v>
      </c>
      <c r="O82" s="190">
        <v>2328349744.6999998</v>
      </c>
      <c r="P82" s="190">
        <v>2541626350.71</v>
      </c>
      <c r="Q82" s="190">
        <v>2425325732.2399998</v>
      </c>
      <c r="R82" s="190">
        <v>2304068739.1300001</v>
      </c>
      <c r="S82" s="190">
        <v>2184782308.8099999</v>
      </c>
      <c r="T82" s="190">
        <v>2224397084.98</v>
      </c>
      <c r="U82" s="190">
        <v>2125429369.46</v>
      </c>
      <c r="V82" s="190">
        <v>2030685494.9300001</v>
      </c>
      <c r="W82" s="190">
        <v>1930708956.6900001</v>
      </c>
      <c r="X82" s="190">
        <v>1977896014.0699999</v>
      </c>
      <c r="Y82" s="190">
        <v>1892220602.73</v>
      </c>
      <c r="Z82" s="190">
        <v>1763420146.3699999</v>
      </c>
      <c r="AA82" s="190">
        <v>1643908869.0699999</v>
      </c>
      <c r="AB82" s="190">
        <v>1756834966.6400001</v>
      </c>
      <c r="AC82" s="190">
        <v>1650493578.27</v>
      </c>
      <c r="AD82" s="190">
        <v>1556751168.1600001</v>
      </c>
      <c r="AE82" s="190">
        <v>1439317961.3</v>
      </c>
      <c r="AF82" s="190">
        <v>1533876742.3699999</v>
      </c>
      <c r="AG82" s="190">
        <v>1476505584.9100001</v>
      </c>
      <c r="AH82" s="190">
        <v>1372213383.73</v>
      </c>
      <c r="AI82" s="190">
        <v>1306209020</v>
      </c>
      <c r="AJ82" s="190">
        <v>1377416891.96</v>
      </c>
      <c r="AK82" s="190">
        <v>1327763903.6099999</v>
      </c>
      <c r="AL82" s="190">
        <v>1284977976.0799999</v>
      </c>
      <c r="AM82" s="190">
        <v>327867740.81999999</v>
      </c>
      <c r="AN82" s="190">
        <v>298054504.24000001</v>
      </c>
      <c r="AO82" s="190">
        <v>230092616.03999999</v>
      </c>
      <c r="AP82" s="190">
        <v>127707873.51000001</v>
      </c>
      <c r="AQ82" s="190">
        <v>0</v>
      </c>
    </row>
    <row r="83" spans="1:43" x14ac:dyDescent="0.25">
      <c r="A83" s="190" t="s">
        <v>187</v>
      </c>
      <c r="B83" s="190">
        <v>104518374.09999999</v>
      </c>
      <c r="C83" s="190">
        <v>149466388.61000001</v>
      </c>
      <c r="D83" s="190">
        <v>149689080</v>
      </c>
      <c r="E83" s="190">
        <v>147714110.66</v>
      </c>
      <c r="F83" s="190">
        <v>153629932.53</v>
      </c>
      <c r="G83" s="190">
        <v>154349621.90000001</v>
      </c>
      <c r="H83" s="190">
        <v>149496360.00999999</v>
      </c>
      <c r="I83" s="190">
        <v>141221105.88</v>
      </c>
      <c r="J83" s="190">
        <v>130272134.06999999</v>
      </c>
      <c r="K83" s="190">
        <v>105660242.36</v>
      </c>
      <c r="L83" s="190">
        <v>105548399.16</v>
      </c>
      <c r="M83" s="190">
        <v>99024124.590000004</v>
      </c>
      <c r="N83" s="190">
        <v>76612540.189999998</v>
      </c>
      <c r="O83" s="190">
        <v>70608143.819999993</v>
      </c>
      <c r="P83" s="190">
        <v>64107460.990000002</v>
      </c>
      <c r="Q83" s="190">
        <v>62002521.799999997</v>
      </c>
      <c r="R83" s="190">
        <v>0</v>
      </c>
      <c r="S83" s="190">
        <v>0</v>
      </c>
      <c r="T83" s="190">
        <v>0</v>
      </c>
      <c r="U83" s="190">
        <v>0</v>
      </c>
      <c r="V83" s="190">
        <v>0</v>
      </c>
      <c r="W83" s="190">
        <v>0</v>
      </c>
      <c r="X83" s="190">
        <v>0</v>
      </c>
      <c r="Y83" s="190">
        <v>0</v>
      </c>
      <c r="Z83" s="190">
        <v>0</v>
      </c>
      <c r="AA83" s="190">
        <v>0</v>
      </c>
      <c r="AB83" s="190">
        <v>0</v>
      </c>
      <c r="AC83" s="190">
        <v>0</v>
      </c>
      <c r="AD83" s="190">
        <v>0</v>
      </c>
      <c r="AE83" s="190">
        <v>0</v>
      </c>
      <c r="AF83" s="190">
        <v>0</v>
      </c>
      <c r="AG83" s="190">
        <v>0</v>
      </c>
      <c r="AH83" s="190">
        <v>6029199.5800000001</v>
      </c>
      <c r="AI83" s="190">
        <v>5123095.07</v>
      </c>
      <c r="AJ83" s="190">
        <v>4983037.66</v>
      </c>
      <c r="AK83" s="190">
        <v>4484604.5199999996</v>
      </c>
      <c r="AL83" s="190">
        <v>3774090</v>
      </c>
      <c r="AM83" s="190">
        <v>3140738.11</v>
      </c>
      <c r="AN83" s="190">
        <v>3283347.24</v>
      </c>
      <c r="AO83" s="190">
        <v>3194473.17</v>
      </c>
      <c r="AP83" s="190">
        <v>0</v>
      </c>
      <c r="AQ83" s="190">
        <v>0</v>
      </c>
    </row>
    <row r="84" spans="1:43" x14ac:dyDescent="0.25">
      <c r="A84" s="190" t="s">
        <v>188</v>
      </c>
      <c r="B84" s="190">
        <v>3714798615.8400002</v>
      </c>
      <c r="C84" s="190">
        <v>3580670332.1199999</v>
      </c>
      <c r="D84" s="190">
        <v>3721694337.1399999</v>
      </c>
      <c r="E84" s="190">
        <v>3152725257.1300001</v>
      </c>
      <c r="F84" s="190">
        <v>3043549912.8299999</v>
      </c>
      <c r="G84" s="190">
        <v>2904942506.0999999</v>
      </c>
      <c r="H84" s="190">
        <v>3006042763.3600001</v>
      </c>
      <c r="I84" s="190">
        <v>2880258171.6599998</v>
      </c>
      <c r="J84" s="190">
        <v>2810039902.6100001</v>
      </c>
      <c r="K84" s="190">
        <v>2676242325.2399998</v>
      </c>
      <c r="L84" s="190">
        <v>2770792599.6999998</v>
      </c>
      <c r="M84" s="190">
        <v>2655459613.3899999</v>
      </c>
      <c r="N84" s="190">
        <v>2546401388.6300001</v>
      </c>
      <c r="O84" s="190">
        <v>2398957888.52</v>
      </c>
      <c r="P84" s="190">
        <v>2605733811.6999998</v>
      </c>
      <c r="Q84" s="190">
        <v>2487328254.04</v>
      </c>
      <c r="R84" s="190">
        <v>2304068739.1300001</v>
      </c>
      <c r="S84" s="190">
        <v>2184782308.8099999</v>
      </c>
      <c r="T84" s="190">
        <v>2224397084.98</v>
      </c>
      <c r="U84" s="190">
        <v>2125429369.46</v>
      </c>
      <c r="V84" s="190">
        <v>2030685494.9300001</v>
      </c>
      <c r="W84" s="190">
        <v>1930708956.6900001</v>
      </c>
      <c r="X84" s="190">
        <v>1977896014.0699999</v>
      </c>
      <c r="Y84" s="190">
        <v>1892220602.73</v>
      </c>
      <c r="Z84" s="190">
        <v>1763420146.3699999</v>
      </c>
      <c r="AA84" s="190">
        <v>1643908869.0699999</v>
      </c>
      <c r="AB84" s="190">
        <v>1756834966.6400001</v>
      </c>
      <c r="AC84" s="190">
        <v>1650493578.27</v>
      </c>
      <c r="AD84" s="190">
        <v>1556751168.1600001</v>
      </c>
      <c r="AE84" s="190">
        <v>1439317961.3</v>
      </c>
      <c r="AF84" s="190">
        <v>1533876742.3699999</v>
      </c>
      <c r="AG84" s="190">
        <v>1476505584.9100001</v>
      </c>
      <c r="AH84" s="190">
        <v>1378242583.3099999</v>
      </c>
      <c r="AI84" s="190">
        <v>1311332115.0699999</v>
      </c>
      <c r="AJ84" s="190">
        <v>1382399929.6199999</v>
      </c>
      <c r="AK84" s="190">
        <v>1332248508.1300001</v>
      </c>
      <c r="AL84" s="190">
        <v>1288752066.0799999</v>
      </c>
      <c r="AM84" s="190">
        <v>331008478.93000001</v>
      </c>
      <c r="AN84" s="190">
        <v>301337851.48000002</v>
      </c>
      <c r="AO84" s="190">
        <v>233287089.21000001</v>
      </c>
      <c r="AP84" s="190">
        <v>127707873.51000001</v>
      </c>
      <c r="AQ84" s="190">
        <v>0</v>
      </c>
    </row>
    <row r="85" spans="1:43" x14ac:dyDescent="0.25">
      <c r="A85" s="190" t="s">
        <v>189</v>
      </c>
      <c r="B85" s="190">
        <v>5099455313.9200001</v>
      </c>
      <c r="C85" s="190">
        <v>5029115176.2399998</v>
      </c>
      <c r="D85" s="190">
        <v>5045656719.4700003</v>
      </c>
      <c r="E85" s="190">
        <v>4588164301.5</v>
      </c>
      <c r="F85" s="190">
        <v>4583533307.4799995</v>
      </c>
      <c r="G85" s="190">
        <v>4345413753.2399998</v>
      </c>
      <c r="H85" s="190">
        <v>4575824487.4899998</v>
      </c>
      <c r="I85" s="190">
        <v>4208287243.79</v>
      </c>
      <c r="J85" s="190">
        <v>3851813086.6999998</v>
      </c>
      <c r="K85" s="190">
        <v>3560057533.8600001</v>
      </c>
      <c r="L85" s="190">
        <v>3585925939.0700002</v>
      </c>
      <c r="M85" s="190">
        <v>3484849303.8000002</v>
      </c>
      <c r="N85" s="190">
        <v>3191439823.1700001</v>
      </c>
      <c r="O85" s="190">
        <v>2986156762.4899998</v>
      </c>
      <c r="P85" s="190">
        <v>3180540182.6199999</v>
      </c>
      <c r="Q85" s="190">
        <v>3114855561.2199998</v>
      </c>
      <c r="R85" s="190">
        <v>2895217618.3600001</v>
      </c>
      <c r="S85" s="190">
        <v>2660772146.6799998</v>
      </c>
      <c r="T85" s="190">
        <v>2727678314.2199998</v>
      </c>
      <c r="U85" s="190">
        <v>2645450265.48</v>
      </c>
      <c r="V85" s="190">
        <v>2465170285.0999999</v>
      </c>
      <c r="W85" s="190">
        <v>2252932153.3099999</v>
      </c>
      <c r="X85" s="190">
        <v>2409526966.02</v>
      </c>
      <c r="Y85" s="190">
        <v>2339770611.5</v>
      </c>
      <c r="Z85" s="190">
        <v>2270719302.29</v>
      </c>
      <c r="AA85" s="190">
        <v>2137893213.3599999</v>
      </c>
      <c r="AB85" s="190">
        <v>2270994717.3000002</v>
      </c>
      <c r="AC85" s="190">
        <v>2153179055.25</v>
      </c>
      <c r="AD85" s="190">
        <v>1988396274.9000001</v>
      </c>
      <c r="AE85" s="190">
        <v>1772891787.98</v>
      </c>
      <c r="AF85" s="190">
        <v>1953271489.8199999</v>
      </c>
      <c r="AG85" s="190">
        <v>1876052957.8599999</v>
      </c>
      <c r="AH85" s="190">
        <v>1668770817.4400001</v>
      </c>
      <c r="AI85" s="190">
        <v>1530314604.1400001</v>
      </c>
      <c r="AJ85" s="190">
        <v>1623039063.5999999</v>
      </c>
      <c r="AK85" s="190">
        <v>1547520508</v>
      </c>
      <c r="AL85" s="190">
        <v>1472354811.1099999</v>
      </c>
      <c r="AM85" s="190">
        <v>472831648.52999997</v>
      </c>
      <c r="AN85" s="190">
        <v>458441994.60000002</v>
      </c>
      <c r="AO85" s="190">
        <v>357981851.88</v>
      </c>
      <c r="AP85" s="190">
        <v>299974741.25999999</v>
      </c>
      <c r="AQ85" s="190">
        <v>0</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利润表"/>
  <dimension ref="A1:AS31"/>
  <sheetViews>
    <sheetView workbookViewId="0">
      <selection activeCell="A2" sqref="A2"/>
    </sheetView>
  </sheetViews>
  <sheetFormatPr defaultRowHeight="14.4" x14ac:dyDescent="0.25"/>
  <cols>
    <col min="1" max="1" width="39.109375" style="190" bestFit="1" customWidth="1"/>
    <col min="2" max="3" width="12.77734375" style="190" hidden="1" customWidth="1"/>
    <col min="4" max="4" width="13.88671875" style="190" hidden="1" customWidth="1"/>
    <col min="5" max="5" width="13.88671875" style="190" bestFit="1" customWidth="1"/>
    <col min="6" max="6" width="13.88671875" style="190" hidden="1" customWidth="1"/>
    <col min="7" max="8" width="12.77734375" style="190" hidden="1" customWidth="1"/>
    <col min="9" max="9" width="12.77734375" style="190" bestFit="1" customWidth="1"/>
    <col min="10" max="12" width="12.77734375" style="190" hidden="1" customWidth="1"/>
    <col min="13" max="13" width="13.88671875" style="190" bestFit="1" customWidth="1"/>
    <col min="14" max="14" width="13.88671875" style="190" hidden="1" customWidth="1"/>
    <col min="15" max="16" width="12.77734375" style="190" hidden="1" customWidth="1"/>
    <col min="17" max="17" width="12.77734375" style="190" bestFit="1" customWidth="1"/>
    <col min="18" max="19" width="13.88671875" style="190" hidden="1" customWidth="1"/>
    <col min="20" max="20" width="12.77734375" style="190" hidden="1" customWidth="1"/>
    <col min="21" max="21" width="13.88671875" style="190" bestFit="1" customWidth="1"/>
    <col min="22" max="23" width="13.88671875" style="190" hidden="1" customWidth="1"/>
    <col min="24" max="24" width="12.77734375" style="190" hidden="1" customWidth="1"/>
    <col min="25" max="25" width="13.88671875" style="190" bestFit="1" customWidth="1"/>
    <col min="26" max="27" width="13.88671875" style="190" hidden="1" customWidth="1"/>
    <col min="28" max="28" width="12.77734375" style="190" hidden="1" customWidth="1"/>
    <col min="29" max="29" width="13.88671875" style="190" bestFit="1" customWidth="1"/>
    <col min="30" max="32" width="12.77734375" style="190" hidden="1" customWidth="1"/>
    <col min="33" max="33" width="13.88671875" style="190" bestFit="1" customWidth="1"/>
    <col min="34" max="34" width="13.88671875" style="190" hidden="1" customWidth="1"/>
    <col min="35" max="36" width="12.77734375" style="190" hidden="1" customWidth="1"/>
    <col min="37" max="37" width="12.77734375" style="190" bestFit="1" customWidth="1"/>
    <col min="38" max="40" width="12.77734375" style="190" hidden="1" customWidth="1"/>
    <col min="41" max="41" width="12.77734375" style="190" bestFit="1" customWidth="1"/>
    <col min="42" max="42" width="12.77734375" style="190" hidden="1" customWidth="1"/>
    <col min="43" max="44" width="12.77734375" style="190" bestFit="1" customWidth="1"/>
    <col min="45" max="45" width="9.5546875" style="190" hidden="1" customWidth="1"/>
    <col min="46" max="16384" width="8.88671875" style="190"/>
  </cols>
  <sheetData>
    <row r="1" spans="1:45" x14ac:dyDescent="0.25">
      <c r="A1" s="190">
        <v>2293</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20090331</v>
      </c>
      <c r="AO1" s="190">
        <v>20081231</v>
      </c>
      <c r="AP1" s="190">
        <v>20080930</v>
      </c>
      <c r="AQ1" s="190">
        <v>20071231</v>
      </c>
      <c r="AR1" s="190">
        <v>20061231</v>
      </c>
      <c r="AS1" s="190">
        <v>19700101</v>
      </c>
    </row>
    <row r="2" spans="1:45" x14ac:dyDescent="0.25">
      <c r="A2" s="190" t="s">
        <v>105</v>
      </c>
      <c r="B2" s="190" t="s">
        <v>106</v>
      </c>
      <c r="C2" s="190" t="s">
        <v>106</v>
      </c>
      <c r="D2" s="190" t="s">
        <v>106</v>
      </c>
      <c r="E2" s="190" t="s">
        <v>106</v>
      </c>
      <c r="F2" s="190" t="s">
        <v>106</v>
      </c>
      <c r="G2" s="190" t="s">
        <v>106</v>
      </c>
      <c r="H2" s="190" t="s">
        <v>106</v>
      </c>
      <c r="I2" s="190" t="s">
        <v>106</v>
      </c>
      <c r="J2" s="190" t="s">
        <v>106</v>
      </c>
      <c r="K2" s="190" t="s">
        <v>106</v>
      </c>
      <c r="L2" s="190" t="s">
        <v>106</v>
      </c>
      <c r="M2" s="190" t="s">
        <v>106</v>
      </c>
      <c r="N2" s="190" t="s">
        <v>106</v>
      </c>
      <c r="O2" s="190" t="s">
        <v>106</v>
      </c>
      <c r="P2" s="190" t="s">
        <v>106</v>
      </c>
      <c r="Q2" s="190" t="s">
        <v>106</v>
      </c>
      <c r="R2" s="190" t="s">
        <v>106</v>
      </c>
      <c r="S2" s="190" t="s">
        <v>106</v>
      </c>
      <c r="T2" s="190" t="s">
        <v>106</v>
      </c>
      <c r="U2" s="190" t="s">
        <v>106</v>
      </c>
      <c r="V2" s="190" t="s">
        <v>106</v>
      </c>
      <c r="W2" s="190" t="s">
        <v>106</v>
      </c>
      <c r="X2" s="190" t="s">
        <v>106</v>
      </c>
      <c r="Y2" s="190" t="s">
        <v>106</v>
      </c>
      <c r="Z2" s="190" t="s">
        <v>106</v>
      </c>
      <c r="AA2" s="190" t="s">
        <v>106</v>
      </c>
      <c r="AB2" s="190" t="s">
        <v>106</v>
      </c>
      <c r="AC2" s="190" t="s">
        <v>106</v>
      </c>
      <c r="AD2" s="190" t="s">
        <v>106</v>
      </c>
      <c r="AE2" s="190" t="s">
        <v>106</v>
      </c>
      <c r="AF2" s="190" t="s">
        <v>106</v>
      </c>
      <c r="AG2" s="190" t="s">
        <v>106</v>
      </c>
      <c r="AH2" s="190" t="s">
        <v>106</v>
      </c>
      <c r="AI2" s="190" t="s">
        <v>106</v>
      </c>
      <c r="AJ2" s="190" t="s">
        <v>106</v>
      </c>
      <c r="AK2" s="190" t="s">
        <v>106</v>
      </c>
      <c r="AL2" s="190" t="s">
        <v>106</v>
      </c>
      <c r="AM2" s="190" t="s">
        <v>106</v>
      </c>
      <c r="AN2" s="190" t="s">
        <v>106</v>
      </c>
      <c r="AO2" s="190" t="s">
        <v>106</v>
      </c>
      <c r="AP2" s="190" t="s">
        <v>106</v>
      </c>
      <c r="AQ2" s="190" t="s">
        <v>106</v>
      </c>
      <c r="AR2" s="190" t="s">
        <v>106</v>
      </c>
    </row>
    <row r="3" spans="1:45" x14ac:dyDescent="0.25">
      <c r="A3" s="190" t="s">
        <v>190</v>
      </c>
      <c r="B3" s="190">
        <v>3451681484.4400001</v>
      </c>
      <c r="C3" s="190">
        <v>2196906569.27</v>
      </c>
      <c r="D3" s="190">
        <v>1171508749.5999999</v>
      </c>
      <c r="E3" s="190">
        <v>4661850865.5100002</v>
      </c>
      <c r="F3" s="190">
        <v>3182670009.3200002</v>
      </c>
      <c r="G3" s="190">
        <v>1981435890.6199999</v>
      </c>
      <c r="H3" s="190">
        <v>1057767260.42</v>
      </c>
      <c r="I3" s="190">
        <v>3152216442.1500001</v>
      </c>
      <c r="J3" s="190">
        <v>2155264290.48</v>
      </c>
      <c r="K3" s="190">
        <v>1343083310.6500001</v>
      </c>
      <c r="L3" s="190">
        <v>762846279.96000004</v>
      </c>
      <c r="M3" s="190">
        <v>2915633891.98</v>
      </c>
      <c r="N3" s="190">
        <v>2046094586.02</v>
      </c>
      <c r="O3" s="190">
        <v>1249976092.8499999</v>
      </c>
      <c r="P3" s="190">
        <v>705394935.15999997</v>
      </c>
      <c r="Q3" s="190">
        <v>2761400573.5100002</v>
      </c>
      <c r="R3" s="190">
        <v>1879993912.9100001</v>
      </c>
      <c r="S3" s="190">
        <v>1112279848.48</v>
      </c>
      <c r="T3" s="190">
        <v>657308577.96000004</v>
      </c>
      <c r="U3" s="190">
        <v>2524209416.4000001</v>
      </c>
      <c r="V3" s="190">
        <v>1722646961.76</v>
      </c>
      <c r="W3" s="190">
        <v>1078073329.79</v>
      </c>
      <c r="X3" s="190">
        <v>615351177.55999994</v>
      </c>
      <c r="Y3" s="190">
        <v>2724953861.21</v>
      </c>
      <c r="Z3" s="190">
        <v>1847721787.6600001</v>
      </c>
      <c r="AA3" s="190">
        <v>1036490112.66</v>
      </c>
      <c r="AB3" s="190">
        <v>614320304.89999998</v>
      </c>
      <c r="AC3" s="190">
        <v>2382434788.48</v>
      </c>
      <c r="AD3" s="190">
        <v>1633896787.0999999</v>
      </c>
      <c r="AE3" s="190">
        <v>1003246147.98</v>
      </c>
      <c r="AF3" s="190">
        <v>583149853.35000002</v>
      </c>
      <c r="AG3" s="190">
        <v>1818814620.1400001</v>
      </c>
      <c r="AH3" s="190">
        <v>1145669244.4200001</v>
      </c>
      <c r="AI3" s="190">
        <v>661829336.29999995</v>
      </c>
      <c r="AJ3" s="190">
        <v>359335837.14999998</v>
      </c>
      <c r="AK3" s="190">
        <v>1145306750.3299999</v>
      </c>
      <c r="AL3" s="190">
        <v>723914564.5</v>
      </c>
      <c r="AM3" s="190">
        <v>407570538.00999999</v>
      </c>
      <c r="AN3" s="190">
        <v>255192022.33000001</v>
      </c>
      <c r="AO3" s="190">
        <v>902684684.88</v>
      </c>
      <c r="AP3" s="190">
        <v>632875455.57000005</v>
      </c>
      <c r="AQ3" s="190">
        <v>755362629.51999998</v>
      </c>
      <c r="AR3" s="190">
        <v>552487592.55999994</v>
      </c>
      <c r="AS3" s="190">
        <v>0</v>
      </c>
    </row>
    <row r="4" spans="1:45" x14ac:dyDescent="0.25">
      <c r="A4" s="190" t="s">
        <v>191</v>
      </c>
      <c r="B4" s="190">
        <v>3451681484.4400001</v>
      </c>
      <c r="C4" s="190">
        <v>2196906569.27</v>
      </c>
      <c r="D4" s="190">
        <v>1171508749.5999999</v>
      </c>
      <c r="E4" s="190">
        <v>4661850865.5100002</v>
      </c>
      <c r="F4" s="190">
        <v>3182670009.3200002</v>
      </c>
      <c r="G4" s="190">
        <v>1981435890.6199999</v>
      </c>
      <c r="H4" s="190">
        <v>1057767260.42</v>
      </c>
      <c r="I4" s="190">
        <v>3152216442.1500001</v>
      </c>
      <c r="J4" s="190">
        <v>2155264290.48</v>
      </c>
      <c r="K4" s="190">
        <v>1343083310.6500001</v>
      </c>
      <c r="L4" s="190">
        <v>762846279.96000004</v>
      </c>
      <c r="M4" s="190">
        <v>2915633891.98</v>
      </c>
      <c r="N4" s="190">
        <v>2046094586.02</v>
      </c>
      <c r="O4" s="190">
        <v>1249976092.8499999</v>
      </c>
      <c r="P4" s="190">
        <v>705394935.15999997</v>
      </c>
      <c r="Q4" s="190">
        <v>2761400573.5100002</v>
      </c>
      <c r="R4" s="190">
        <v>1879993912.9100001</v>
      </c>
      <c r="S4" s="190">
        <v>1112279848.48</v>
      </c>
      <c r="T4" s="190">
        <v>657308577.96000004</v>
      </c>
      <c r="U4" s="190">
        <v>2524209416.4000001</v>
      </c>
      <c r="V4" s="190">
        <v>1722646961.76</v>
      </c>
      <c r="W4" s="190">
        <v>1078073329.79</v>
      </c>
      <c r="X4" s="190">
        <v>615351177.55999994</v>
      </c>
      <c r="Y4" s="190">
        <v>2724953861.21</v>
      </c>
      <c r="Z4" s="190">
        <v>1847721787.6600001</v>
      </c>
      <c r="AA4" s="190">
        <v>1036490112.66</v>
      </c>
      <c r="AB4" s="190">
        <v>614320304.89999998</v>
      </c>
      <c r="AC4" s="190">
        <v>2382434788.48</v>
      </c>
      <c r="AD4" s="190">
        <v>1633896787.0999999</v>
      </c>
      <c r="AE4" s="190">
        <v>1003246147.98</v>
      </c>
      <c r="AF4" s="190">
        <v>583149853.35000002</v>
      </c>
      <c r="AG4" s="190">
        <v>1818814620.1400001</v>
      </c>
      <c r="AH4" s="190">
        <v>1145669244.4200001</v>
      </c>
      <c r="AI4" s="190">
        <v>661829336.29999995</v>
      </c>
      <c r="AJ4" s="190">
        <v>359335837.14999998</v>
      </c>
      <c r="AK4" s="190">
        <v>1145306750.3299999</v>
      </c>
      <c r="AL4" s="190">
        <v>723914564.5</v>
      </c>
      <c r="AM4" s="190">
        <v>407570538.00999999</v>
      </c>
      <c r="AN4" s="190">
        <v>255192022.33000001</v>
      </c>
      <c r="AO4" s="190">
        <v>902684684.88</v>
      </c>
      <c r="AP4" s="190">
        <v>632875455.57000005</v>
      </c>
      <c r="AQ4" s="190">
        <v>755362629.51999998</v>
      </c>
      <c r="AR4" s="190">
        <v>552487592.55999994</v>
      </c>
      <c r="AS4" s="190">
        <v>0</v>
      </c>
    </row>
    <row r="5" spans="1:45" x14ac:dyDescent="0.25">
      <c r="A5" s="190" t="s">
        <v>192</v>
      </c>
      <c r="B5" s="190">
        <v>3106371144.1100001</v>
      </c>
      <c r="C5" s="190">
        <v>1963973396.55</v>
      </c>
      <c r="D5" s="190">
        <v>997048149.07000005</v>
      </c>
      <c r="E5" s="190">
        <v>4181386288.5700002</v>
      </c>
      <c r="F5" s="190">
        <v>2799608669.5100002</v>
      </c>
      <c r="G5" s="190">
        <v>1789336137.8199999</v>
      </c>
      <c r="H5" s="190">
        <v>911402697.05999994</v>
      </c>
      <c r="I5" s="190">
        <v>2791712009.0599999</v>
      </c>
      <c r="J5" s="190">
        <v>1854682015.3299999</v>
      </c>
      <c r="K5" s="190">
        <v>1163557128.8</v>
      </c>
      <c r="L5" s="190">
        <v>636570049.78999996</v>
      </c>
      <c r="M5" s="190">
        <v>2488616586.6900001</v>
      </c>
      <c r="N5" s="190">
        <v>1719045407.5799999</v>
      </c>
      <c r="O5" s="190">
        <v>1062740166.39</v>
      </c>
      <c r="P5" s="190">
        <v>568192756.96000004</v>
      </c>
      <c r="Q5" s="190">
        <v>2346455870.0599999</v>
      </c>
      <c r="R5" s="190">
        <v>1587924079.75</v>
      </c>
      <c r="S5" s="190">
        <v>942626881.45000005</v>
      </c>
      <c r="T5" s="190">
        <v>547233509.11000001</v>
      </c>
      <c r="U5" s="190">
        <v>2156528642.8200002</v>
      </c>
      <c r="V5" s="190">
        <v>1470434085.3699999</v>
      </c>
      <c r="W5" s="190">
        <v>929886964.09000003</v>
      </c>
      <c r="X5" s="190">
        <v>511816187.38</v>
      </c>
      <c r="Y5" s="190">
        <v>2306286341.0599999</v>
      </c>
      <c r="Z5" s="190">
        <v>1573973711.73</v>
      </c>
      <c r="AA5" s="190">
        <v>889728695.99000001</v>
      </c>
      <c r="AB5" s="190">
        <v>485542688.94999999</v>
      </c>
      <c r="AC5" s="190">
        <v>1965192184.6099999</v>
      </c>
      <c r="AD5" s="190">
        <v>1329042954.96</v>
      </c>
      <c r="AE5" s="190">
        <v>838484454.04999995</v>
      </c>
      <c r="AF5" s="190">
        <v>474310231.93000001</v>
      </c>
      <c r="AG5" s="190">
        <v>1546409573.4400001</v>
      </c>
      <c r="AH5" s="190">
        <v>940717942.78999996</v>
      </c>
      <c r="AI5" s="190">
        <v>557799897.57000005</v>
      </c>
      <c r="AJ5" s="190">
        <v>290090371.98000002</v>
      </c>
      <c r="AK5" s="190">
        <v>955820089.32000005</v>
      </c>
      <c r="AL5" s="190">
        <v>595602934.60000002</v>
      </c>
      <c r="AM5" s="190">
        <v>345266332.23000002</v>
      </c>
      <c r="AN5" s="190">
        <v>214973907.06</v>
      </c>
      <c r="AO5" s="190">
        <v>765105963.61000001</v>
      </c>
      <c r="AP5" s="190">
        <v>526456283.88999999</v>
      </c>
      <c r="AQ5" s="190">
        <v>643875980.46000004</v>
      </c>
      <c r="AR5" s="190">
        <v>500041093.89999998</v>
      </c>
      <c r="AS5" s="190">
        <v>0</v>
      </c>
    </row>
    <row r="6" spans="1:45" x14ac:dyDescent="0.25">
      <c r="A6" s="190" t="s">
        <v>193</v>
      </c>
      <c r="B6" s="190">
        <v>1953613952.27</v>
      </c>
      <c r="C6" s="190">
        <v>1200957199.22</v>
      </c>
      <c r="D6" s="190">
        <v>666621300.82000005</v>
      </c>
      <c r="E6" s="190">
        <v>2635590846.21</v>
      </c>
      <c r="F6" s="190">
        <v>1773993047.99</v>
      </c>
      <c r="G6" s="190">
        <v>1090223199.48</v>
      </c>
      <c r="H6" s="190">
        <v>586351416.38999999</v>
      </c>
      <c r="I6" s="190">
        <v>1624554797.76</v>
      </c>
      <c r="J6" s="190">
        <v>1105706598.52</v>
      </c>
      <c r="K6" s="190">
        <v>676890906.00999999</v>
      </c>
      <c r="L6" s="190">
        <v>382181848.41000003</v>
      </c>
      <c r="M6" s="190">
        <v>1488077938.76</v>
      </c>
      <c r="N6" s="190">
        <v>1070685858.4</v>
      </c>
      <c r="O6" s="190">
        <v>646044667.88</v>
      </c>
      <c r="P6" s="190">
        <v>368353515.80000001</v>
      </c>
      <c r="Q6" s="190">
        <v>1522590313.74</v>
      </c>
      <c r="R6" s="190">
        <v>1049502064.09</v>
      </c>
      <c r="S6" s="190">
        <v>614113615.22000003</v>
      </c>
      <c r="T6" s="190">
        <v>364584481.94</v>
      </c>
      <c r="U6" s="190">
        <v>1414058164.54</v>
      </c>
      <c r="V6" s="190">
        <v>987390552.35000002</v>
      </c>
      <c r="W6" s="190">
        <v>613641321.99000001</v>
      </c>
      <c r="X6" s="190">
        <v>354907772.18000001</v>
      </c>
      <c r="Y6" s="190">
        <v>1574584274.8199999</v>
      </c>
      <c r="Z6" s="190">
        <v>1075633938.99</v>
      </c>
      <c r="AA6" s="190">
        <v>583133528.04999995</v>
      </c>
      <c r="AB6" s="190">
        <v>327439565.81</v>
      </c>
      <c r="AC6" s="190">
        <v>1377436916.3499999</v>
      </c>
      <c r="AD6" s="190">
        <v>987289834.52999997</v>
      </c>
      <c r="AE6" s="190">
        <v>593673817.29999995</v>
      </c>
      <c r="AF6" s="190">
        <v>349417553.02999997</v>
      </c>
      <c r="AG6" s="190">
        <v>1131280282.5999999</v>
      </c>
      <c r="AH6" s="190">
        <v>712739208.15999997</v>
      </c>
      <c r="AI6" s="190">
        <v>401643789.75</v>
      </c>
      <c r="AJ6" s="190">
        <v>217129319.08000001</v>
      </c>
      <c r="AK6" s="190">
        <v>697436260.83000004</v>
      </c>
      <c r="AL6" s="190">
        <v>441509914.73000002</v>
      </c>
      <c r="AM6" s="190">
        <v>245422172.28</v>
      </c>
      <c r="AN6" s="190">
        <v>160507029.72999999</v>
      </c>
      <c r="AO6" s="190">
        <v>568121133.83000004</v>
      </c>
      <c r="AP6" s="190">
        <v>392963008.33999997</v>
      </c>
      <c r="AQ6" s="190">
        <v>492404923.29000002</v>
      </c>
      <c r="AR6" s="190">
        <v>410889235.10000002</v>
      </c>
      <c r="AS6" s="190">
        <v>0</v>
      </c>
    </row>
    <row r="7" spans="1:45" x14ac:dyDescent="0.25">
      <c r="A7" s="190" t="s">
        <v>194</v>
      </c>
      <c r="B7" s="190">
        <v>29093419.890000001</v>
      </c>
      <c r="C7" s="190">
        <v>19260305.050000001</v>
      </c>
      <c r="D7" s="190">
        <v>13849213.380000001</v>
      </c>
      <c r="E7" s="190">
        <v>32932432.359999999</v>
      </c>
      <c r="F7" s="190">
        <v>24728521.48</v>
      </c>
      <c r="G7" s="190">
        <v>14894526.470000001</v>
      </c>
      <c r="H7" s="190">
        <v>9865506.8200000003</v>
      </c>
      <c r="I7" s="190">
        <v>32879503.960000001</v>
      </c>
      <c r="J7" s="190">
        <v>20342783.280000001</v>
      </c>
      <c r="K7" s="190">
        <v>13315984.83</v>
      </c>
      <c r="L7" s="190">
        <v>7704992.5800000001</v>
      </c>
      <c r="M7" s="190">
        <v>30934802.02</v>
      </c>
      <c r="N7" s="190">
        <v>20220350.57</v>
      </c>
      <c r="O7" s="190">
        <v>12017562.199999999</v>
      </c>
      <c r="P7" s="190">
        <v>7554547.1799999997</v>
      </c>
      <c r="Q7" s="190">
        <v>27435568.34</v>
      </c>
      <c r="R7" s="190">
        <v>17807929.550000001</v>
      </c>
      <c r="S7" s="190">
        <v>11308254.77</v>
      </c>
      <c r="T7" s="190">
        <v>5527106.5300000003</v>
      </c>
      <c r="U7" s="190">
        <v>23672166.359999999</v>
      </c>
      <c r="V7" s="190">
        <v>12926448.15</v>
      </c>
      <c r="W7" s="190">
        <v>9723886.5899999999</v>
      </c>
      <c r="X7" s="190">
        <v>5275688.63</v>
      </c>
      <c r="Y7" s="190">
        <v>22326739.899999999</v>
      </c>
      <c r="Z7" s="190">
        <v>13533150.76</v>
      </c>
      <c r="AA7" s="190">
        <v>7258365.5199999996</v>
      </c>
      <c r="AB7" s="190">
        <v>5066982.6900000004</v>
      </c>
      <c r="AC7" s="190">
        <v>19437504.949999999</v>
      </c>
      <c r="AD7" s="190">
        <v>12671718.359999999</v>
      </c>
      <c r="AE7" s="190">
        <v>7795564.7300000004</v>
      </c>
      <c r="AF7" s="190">
        <v>5459671.6500000004</v>
      </c>
      <c r="AG7" s="190">
        <v>3629038.82</v>
      </c>
      <c r="AH7" s="190">
        <v>1551522</v>
      </c>
      <c r="AI7" s="190">
        <v>1301715.54</v>
      </c>
      <c r="AJ7" s="190">
        <v>769782.76</v>
      </c>
      <c r="AK7" s="190">
        <v>4176943.63</v>
      </c>
      <c r="AL7" s="190">
        <v>2354174.79</v>
      </c>
      <c r="AM7" s="190">
        <v>1255018.1100000001</v>
      </c>
      <c r="AN7" s="190">
        <v>1133909.1599999999</v>
      </c>
      <c r="AO7" s="190">
        <v>2255947.33</v>
      </c>
      <c r="AP7" s="190">
        <v>1536038.19</v>
      </c>
      <c r="AQ7" s="190">
        <v>1488397.64</v>
      </c>
      <c r="AR7" s="190">
        <v>355681.75</v>
      </c>
      <c r="AS7" s="190">
        <v>0</v>
      </c>
    </row>
    <row r="8" spans="1:45" x14ac:dyDescent="0.25">
      <c r="A8" s="190" t="s">
        <v>195</v>
      </c>
      <c r="B8" s="190">
        <v>755046524.91999996</v>
      </c>
      <c r="C8" s="190">
        <v>502691033.01999998</v>
      </c>
      <c r="D8" s="190">
        <v>226395056.80000001</v>
      </c>
      <c r="E8" s="190">
        <v>1007425379.27</v>
      </c>
      <c r="F8" s="190">
        <v>642493739.66999996</v>
      </c>
      <c r="G8" s="190">
        <v>417544038.85000002</v>
      </c>
      <c r="H8" s="190">
        <v>189585387.75999999</v>
      </c>
      <c r="I8" s="190">
        <v>786045478.57000005</v>
      </c>
      <c r="J8" s="190">
        <v>518638726.98000002</v>
      </c>
      <c r="K8" s="190">
        <v>333015243.95999998</v>
      </c>
      <c r="L8" s="190">
        <v>166825730.5</v>
      </c>
      <c r="M8" s="190">
        <v>702088845.51999998</v>
      </c>
      <c r="N8" s="190">
        <v>462448442.44999999</v>
      </c>
      <c r="O8" s="190">
        <v>299124416.25999999</v>
      </c>
      <c r="P8" s="190">
        <v>151757162.58000001</v>
      </c>
      <c r="Q8" s="190">
        <v>602729979.85000002</v>
      </c>
      <c r="R8" s="190">
        <v>405825925.36000001</v>
      </c>
      <c r="S8" s="190">
        <v>244311835.50999999</v>
      </c>
      <c r="T8" s="190">
        <v>144974860.56999999</v>
      </c>
      <c r="U8" s="190">
        <v>555013206.99000001</v>
      </c>
      <c r="V8" s="190">
        <v>365059735.88999999</v>
      </c>
      <c r="W8" s="190">
        <v>236966282.15000001</v>
      </c>
      <c r="X8" s="190">
        <v>117960513.40000001</v>
      </c>
      <c r="Y8" s="190">
        <v>566653559.66999996</v>
      </c>
      <c r="Z8" s="190">
        <v>392084110.52999997</v>
      </c>
      <c r="AA8" s="190">
        <v>240286794.72</v>
      </c>
      <c r="AB8" s="190">
        <v>122620158.45999999</v>
      </c>
      <c r="AC8" s="190">
        <v>441418204.77999997</v>
      </c>
      <c r="AD8" s="190">
        <v>252776641.69999999</v>
      </c>
      <c r="AE8" s="190">
        <v>190131843.62</v>
      </c>
      <c r="AF8" s="190">
        <v>100718712.59</v>
      </c>
      <c r="AG8" s="190">
        <v>342283901.14999998</v>
      </c>
      <c r="AH8" s="190">
        <v>186370356</v>
      </c>
      <c r="AI8" s="190">
        <v>123963819.84999999</v>
      </c>
      <c r="AJ8" s="190">
        <v>59543448.259999998</v>
      </c>
      <c r="AK8" s="190">
        <v>201046926.90000001</v>
      </c>
      <c r="AL8" s="190">
        <v>114316617.67</v>
      </c>
      <c r="AM8" s="190">
        <v>73363262.760000005</v>
      </c>
      <c r="AN8" s="190">
        <v>37534225.119999997</v>
      </c>
      <c r="AO8" s="190">
        <v>136129878.31</v>
      </c>
      <c r="AP8" s="190">
        <v>92577271.849999994</v>
      </c>
      <c r="AQ8" s="190">
        <v>105794634.05</v>
      </c>
      <c r="AR8" s="190">
        <v>63423441.579999998</v>
      </c>
      <c r="AS8" s="190">
        <v>0</v>
      </c>
    </row>
    <row r="9" spans="1:45" x14ac:dyDescent="0.25">
      <c r="A9" s="190" t="s">
        <v>196</v>
      </c>
      <c r="B9" s="190">
        <v>304103117.33999997</v>
      </c>
      <c r="C9" s="190">
        <v>188159567.47</v>
      </c>
      <c r="D9" s="190">
        <v>90367590.790000007</v>
      </c>
      <c r="E9" s="190">
        <v>412185796.76999998</v>
      </c>
      <c r="F9" s="190">
        <v>305179569.81</v>
      </c>
      <c r="G9" s="190">
        <v>217049153.30000001</v>
      </c>
      <c r="H9" s="190">
        <v>126733545.47</v>
      </c>
      <c r="I9" s="190">
        <v>306957023.29000002</v>
      </c>
      <c r="J9" s="190">
        <v>200845799.02000001</v>
      </c>
      <c r="K9" s="190">
        <v>135839900.40000001</v>
      </c>
      <c r="L9" s="190">
        <v>80503404.650000006</v>
      </c>
      <c r="M9" s="190">
        <v>250439497.83000001</v>
      </c>
      <c r="N9" s="190">
        <v>167560243.09</v>
      </c>
      <c r="O9" s="190">
        <v>109574535.88</v>
      </c>
      <c r="P9" s="190">
        <v>44760306.32</v>
      </c>
      <c r="Q9" s="190">
        <v>199260636.24000001</v>
      </c>
      <c r="R9" s="190">
        <v>126303234.48999999</v>
      </c>
      <c r="S9" s="190">
        <v>83119643.409999996</v>
      </c>
      <c r="T9" s="190">
        <v>43236491.380000003</v>
      </c>
      <c r="U9" s="190">
        <v>172813849.13999999</v>
      </c>
      <c r="V9" s="190">
        <v>114401332.89</v>
      </c>
      <c r="W9" s="190">
        <v>78974700.060000002</v>
      </c>
      <c r="X9" s="190">
        <v>42789633.460000001</v>
      </c>
      <c r="Y9" s="190">
        <v>155585073.68000001</v>
      </c>
      <c r="Z9" s="190">
        <v>107818106.62</v>
      </c>
      <c r="AA9" s="190">
        <v>70303997.909999996</v>
      </c>
      <c r="AB9" s="190">
        <v>36267100.840000004</v>
      </c>
      <c r="AC9" s="190">
        <v>145851485.24000001</v>
      </c>
      <c r="AD9" s="190">
        <v>95195047.700000003</v>
      </c>
      <c r="AE9" s="190">
        <v>52930645.890000001</v>
      </c>
      <c r="AF9" s="190">
        <v>22465149.68</v>
      </c>
      <c r="AG9" s="190">
        <v>76624889.430000007</v>
      </c>
      <c r="AH9" s="190">
        <v>49568897</v>
      </c>
      <c r="AI9" s="190">
        <v>31523521.989999998</v>
      </c>
      <c r="AJ9" s="190">
        <v>14004284.33</v>
      </c>
      <c r="AK9" s="190">
        <v>54529063.93</v>
      </c>
      <c r="AL9" s="190">
        <v>36218004.359999999</v>
      </c>
      <c r="AM9" s="190">
        <v>24891093.989999998</v>
      </c>
      <c r="AN9" s="190">
        <v>13710230.73</v>
      </c>
      <c r="AO9" s="190">
        <v>50602456.740000002</v>
      </c>
      <c r="AP9" s="190">
        <v>36383370.460000001</v>
      </c>
      <c r="AQ9" s="190">
        <v>39988361.549999997</v>
      </c>
      <c r="AR9" s="190">
        <v>26062197.600000001</v>
      </c>
      <c r="AS9" s="190">
        <v>0</v>
      </c>
    </row>
    <row r="10" spans="1:45" x14ac:dyDescent="0.25">
      <c r="A10" s="190" t="s">
        <v>197</v>
      </c>
      <c r="B10" s="190">
        <v>-2359221.61</v>
      </c>
      <c r="C10" s="190">
        <v>1307558.08</v>
      </c>
      <c r="D10" s="190">
        <v>260047.72</v>
      </c>
      <c r="E10" s="190">
        <v>27676321.760000002</v>
      </c>
      <c r="F10" s="190">
        <v>23895992.73</v>
      </c>
      <c r="G10" s="190">
        <v>22668170.600000001</v>
      </c>
      <c r="H10" s="190">
        <v>-1043511.73</v>
      </c>
      <c r="I10" s="190">
        <v>-7276604.9100000001</v>
      </c>
      <c r="J10" s="190">
        <v>-1871592.45</v>
      </c>
      <c r="K10" s="190">
        <v>-2154259.86</v>
      </c>
      <c r="L10" s="190">
        <v>-731727.52</v>
      </c>
      <c r="M10" s="190">
        <v>-14226230.67</v>
      </c>
      <c r="N10" s="190">
        <v>-10314957.32</v>
      </c>
      <c r="O10" s="190">
        <v>-7357660</v>
      </c>
      <c r="P10" s="190">
        <v>-4232774.92</v>
      </c>
      <c r="Q10" s="190">
        <v>-21581599.199999999</v>
      </c>
      <c r="R10" s="190">
        <v>-17942236.75</v>
      </c>
      <c r="S10" s="190">
        <v>-12917148.289999999</v>
      </c>
      <c r="T10" s="190">
        <v>-7911472.3899999997</v>
      </c>
      <c r="U10" s="190">
        <v>-20355093.649999999</v>
      </c>
      <c r="V10" s="190">
        <v>-16614304.869999999</v>
      </c>
      <c r="W10" s="190">
        <v>-11733376.039999999</v>
      </c>
      <c r="X10" s="190">
        <v>-5998847.0300000003</v>
      </c>
      <c r="Y10" s="190">
        <v>-20637011.890000001</v>
      </c>
      <c r="Z10" s="190">
        <v>-16272157.35</v>
      </c>
      <c r="AA10" s="190">
        <v>-12430552.390000001</v>
      </c>
      <c r="AB10" s="190">
        <v>-4426213.4400000004</v>
      </c>
      <c r="AC10" s="190">
        <v>-25337302.25</v>
      </c>
      <c r="AD10" s="190">
        <v>-17411511.800000001</v>
      </c>
      <c r="AE10" s="190">
        <v>-7335849.6200000001</v>
      </c>
      <c r="AF10" s="190">
        <v>-5493875.6900000004</v>
      </c>
      <c r="AG10" s="190">
        <v>-19012808.809999999</v>
      </c>
      <c r="AH10" s="190">
        <v>-12888786.66</v>
      </c>
      <c r="AI10" s="190">
        <v>-3392337.25</v>
      </c>
      <c r="AJ10" s="190">
        <v>-2462071.08</v>
      </c>
      <c r="AK10" s="190">
        <v>-1020272.3</v>
      </c>
      <c r="AL10" s="190">
        <v>-806903.54</v>
      </c>
      <c r="AM10" s="190">
        <v>-193051.15</v>
      </c>
      <c r="AN10" s="190">
        <v>-3513.59</v>
      </c>
      <c r="AO10" s="190">
        <v>1374912.33</v>
      </c>
      <c r="AP10" s="190">
        <v>869291.8</v>
      </c>
      <c r="AQ10" s="190">
        <v>2451980.81</v>
      </c>
      <c r="AR10" s="190">
        <v>1449589.11</v>
      </c>
      <c r="AS10" s="190">
        <v>0</v>
      </c>
    </row>
    <row r="11" spans="1:45" x14ac:dyDescent="0.25">
      <c r="A11" s="190" t="s">
        <v>198</v>
      </c>
      <c r="B11" s="190">
        <v>56819551.770000003</v>
      </c>
      <c r="C11" s="190">
        <v>51597733.710000001</v>
      </c>
      <c r="D11" s="190">
        <v>-445060.44</v>
      </c>
      <c r="E11" s="190">
        <v>65575512.200000003</v>
      </c>
      <c r="F11" s="190">
        <v>29317797.829999998</v>
      </c>
      <c r="G11" s="190">
        <v>26957049.120000001</v>
      </c>
      <c r="H11" s="190">
        <v>-89647.65</v>
      </c>
      <c r="I11" s="190">
        <v>48551810.390000001</v>
      </c>
      <c r="J11" s="190">
        <v>11019699.98</v>
      </c>
      <c r="K11" s="190">
        <v>6649353.46</v>
      </c>
      <c r="L11" s="190">
        <v>85801.17</v>
      </c>
      <c r="M11" s="190">
        <v>31301733.23</v>
      </c>
      <c r="N11" s="190">
        <v>8445470.3900000006</v>
      </c>
      <c r="O11" s="190">
        <v>3336644.17</v>
      </c>
      <c r="P11" s="190">
        <v>0</v>
      </c>
      <c r="Q11" s="190">
        <v>16020971.09</v>
      </c>
      <c r="R11" s="190">
        <v>6427163.0099999998</v>
      </c>
      <c r="S11" s="190">
        <v>2690680.83</v>
      </c>
      <c r="T11" s="190">
        <v>-3177958.92</v>
      </c>
      <c r="U11" s="190">
        <v>11326349.439999999</v>
      </c>
      <c r="V11" s="190">
        <v>7270320.96</v>
      </c>
      <c r="W11" s="190">
        <v>2314149.34</v>
      </c>
      <c r="X11" s="190">
        <v>-3118573.26</v>
      </c>
      <c r="Y11" s="190">
        <v>7773704.8799999999</v>
      </c>
      <c r="Z11" s="190">
        <v>1176562.18</v>
      </c>
      <c r="AA11" s="190">
        <v>1176562.18</v>
      </c>
      <c r="AB11" s="190">
        <v>-1424905.41</v>
      </c>
      <c r="AC11" s="190">
        <v>6385375.54</v>
      </c>
      <c r="AD11" s="190">
        <v>-1478775.53</v>
      </c>
      <c r="AE11" s="190">
        <v>1288432.1299999999</v>
      </c>
      <c r="AF11" s="190">
        <v>1743020.67</v>
      </c>
      <c r="AG11" s="190">
        <v>11604270.25</v>
      </c>
      <c r="AH11" s="190">
        <v>3376746.29</v>
      </c>
      <c r="AI11" s="190">
        <v>2759387.69</v>
      </c>
      <c r="AJ11" s="190">
        <v>1105608.6299999999</v>
      </c>
      <c r="AK11" s="190">
        <v>-348833.67</v>
      </c>
      <c r="AL11" s="190">
        <v>2011126.59</v>
      </c>
      <c r="AM11" s="190">
        <v>527836.24</v>
      </c>
      <c r="AN11" s="190">
        <v>2092025.91</v>
      </c>
      <c r="AO11" s="190">
        <v>6621635.0700000003</v>
      </c>
      <c r="AP11" s="190">
        <v>2127303.25</v>
      </c>
      <c r="AQ11" s="190">
        <v>1747683.12</v>
      </c>
      <c r="AR11" s="190">
        <v>-2139051.2400000002</v>
      </c>
      <c r="AS11" s="190">
        <v>0</v>
      </c>
    </row>
    <row r="12" spans="1:45" x14ac:dyDescent="0.25">
      <c r="A12" s="190" t="s">
        <v>199</v>
      </c>
      <c r="B12" s="190">
        <v>0</v>
      </c>
      <c r="C12" s="190">
        <v>0</v>
      </c>
      <c r="D12" s="190">
        <v>0</v>
      </c>
      <c r="E12" s="190">
        <v>0</v>
      </c>
      <c r="F12" s="190">
        <v>0</v>
      </c>
      <c r="G12" s="190">
        <v>0</v>
      </c>
      <c r="H12" s="190">
        <v>0</v>
      </c>
      <c r="I12" s="190">
        <v>0</v>
      </c>
      <c r="J12" s="190">
        <v>0</v>
      </c>
      <c r="K12" s="190">
        <v>0</v>
      </c>
      <c r="L12" s="190">
        <v>0</v>
      </c>
      <c r="M12" s="190">
        <v>0</v>
      </c>
      <c r="N12" s="190">
        <v>0</v>
      </c>
      <c r="O12" s="190">
        <v>0</v>
      </c>
      <c r="P12" s="190">
        <v>0</v>
      </c>
      <c r="Q12" s="190">
        <v>0</v>
      </c>
      <c r="R12" s="190">
        <v>0</v>
      </c>
      <c r="S12" s="190">
        <v>0</v>
      </c>
      <c r="T12" s="190">
        <v>0</v>
      </c>
      <c r="U12" s="190">
        <v>0</v>
      </c>
      <c r="V12" s="190">
        <v>0</v>
      </c>
      <c r="W12" s="190">
        <v>0</v>
      </c>
      <c r="X12" s="190">
        <v>0</v>
      </c>
      <c r="Y12" s="190">
        <v>0</v>
      </c>
      <c r="Z12" s="190">
        <v>0</v>
      </c>
      <c r="AA12" s="190">
        <v>0</v>
      </c>
      <c r="AB12" s="190">
        <v>0</v>
      </c>
      <c r="AC12" s="190">
        <v>0</v>
      </c>
      <c r="AD12" s="190">
        <v>0</v>
      </c>
      <c r="AE12" s="190">
        <v>0</v>
      </c>
      <c r="AF12" s="190">
        <v>0</v>
      </c>
      <c r="AG12" s="190">
        <v>0</v>
      </c>
      <c r="AH12" s="190">
        <v>0</v>
      </c>
      <c r="AI12" s="190">
        <v>0</v>
      </c>
      <c r="AJ12" s="190">
        <v>0</v>
      </c>
      <c r="AK12" s="190">
        <v>0</v>
      </c>
      <c r="AL12" s="190">
        <v>0</v>
      </c>
      <c r="AM12" s="190">
        <v>0</v>
      </c>
      <c r="AN12" s="190">
        <v>0</v>
      </c>
      <c r="AO12" s="190">
        <v>0</v>
      </c>
      <c r="AP12" s="190">
        <v>0</v>
      </c>
      <c r="AQ12" s="190">
        <v>0</v>
      </c>
      <c r="AR12" s="190">
        <v>0</v>
      </c>
      <c r="AS12" s="190">
        <v>0</v>
      </c>
    </row>
    <row r="13" spans="1:45" x14ac:dyDescent="0.25">
      <c r="A13" s="190" t="s">
        <v>200</v>
      </c>
      <c r="B13" s="190">
        <v>95242273.629999995</v>
      </c>
      <c r="C13" s="190">
        <v>28971556.489999998</v>
      </c>
      <c r="D13" s="190">
        <v>10478204.369999999</v>
      </c>
      <c r="E13" s="190">
        <v>46344509.020000003</v>
      </c>
      <c r="F13" s="190">
        <v>27243457.18</v>
      </c>
      <c r="G13" s="190">
        <v>27737580.16</v>
      </c>
      <c r="H13" s="190">
        <v>775003.99</v>
      </c>
      <c r="I13" s="190">
        <v>30518868.780000001</v>
      </c>
      <c r="J13" s="190">
        <v>20610189.93</v>
      </c>
      <c r="K13" s="190">
        <v>14837689.359999999</v>
      </c>
      <c r="L13" s="190">
        <v>10351456.130000001</v>
      </c>
      <c r="M13" s="190">
        <v>54802146.340000004</v>
      </c>
      <c r="N13" s="190">
        <v>32745457.399999999</v>
      </c>
      <c r="O13" s="190">
        <v>18458085.66</v>
      </c>
      <c r="P13" s="190">
        <v>1034260.27</v>
      </c>
      <c r="Q13" s="190">
        <v>17154949.390000001</v>
      </c>
      <c r="R13" s="190">
        <v>12541798.699999999</v>
      </c>
      <c r="S13" s="190">
        <v>8266763.2999999998</v>
      </c>
      <c r="T13" s="190">
        <v>1817612.22</v>
      </c>
      <c r="U13" s="190">
        <v>5457633.1399999997</v>
      </c>
      <c r="V13" s="190">
        <v>4203934.51</v>
      </c>
      <c r="W13" s="190">
        <v>3280088.85</v>
      </c>
      <c r="X13" s="190">
        <v>1638355.54</v>
      </c>
      <c r="Y13" s="190">
        <v>929555.19</v>
      </c>
      <c r="Z13" s="190">
        <v>0</v>
      </c>
      <c r="AA13" s="190">
        <v>0</v>
      </c>
      <c r="AB13" s="190">
        <v>0</v>
      </c>
      <c r="AC13" s="190">
        <v>0</v>
      </c>
      <c r="AD13" s="190">
        <v>0</v>
      </c>
      <c r="AE13" s="190">
        <v>0</v>
      </c>
      <c r="AF13" s="190">
        <v>0</v>
      </c>
      <c r="AG13" s="190">
        <v>0</v>
      </c>
      <c r="AH13" s="190">
        <v>0</v>
      </c>
      <c r="AI13" s="190">
        <v>0</v>
      </c>
      <c r="AJ13" s="190">
        <v>0</v>
      </c>
      <c r="AK13" s="190">
        <v>0</v>
      </c>
      <c r="AL13" s="190">
        <v>0</v>
      </c>
      <c r="AM13" s="190">
        <v>0</v>
      </c>
      <c r="AN13" s="190">
        <v>0</v>
      </c>
      <c r="AO13" s="190">
        <v>3020.54</v>
      </c>
      <c r="AP13" s="190">
        <v>3020.54</v>
      </c>
      <c r="AQ13" s="190">
        <v>10356.16</v>
      </c>
      <c r="AR13" s="190">
        <v>0</v>
      </c>
      <c r="AS13" s="190">
        <v>0</v>
      </c>
    </row>
    <row r="14" spans="1:45" x14ac:dyDescent="0.25">
      <c r="A14" s="190" t="s">
        <v>201</v>
      </c>
      <c r="B14" s="190">
        <v>0</v>
      </c>
      <c r="C14" s="190">
        <v>0</v>
      </c>
      <c r="D14" s="190">
        <v>0</v>
      </c>
      <c r="E14" s="190">
        <v>0</v>
      </c>
      <c r="F14" s="190">
        <v>0</v>
      </c>
      <c r="G14" s="190">
        <v>0</v>
      </c>
      <c r="H14" s="190">
        <v>0</v>
      </c>
      <c r="I14" s="190">
        <v>0</v>
      </c>
      <c r="J14" s="190">
        <v>0</v>
      </c>
      <c r="K14" s="190">
        <v>0</v>
      </c>
      <c r="L14" s="190">
        <v>0</v>
      </c>
      <c r="M14" s="190">
        <v>0</v>
      </c>
      <c r="N14" s="190">
        <v>0</v>
      </c>
      <c r="O14" s="190">
        <v>0</v>
      </c>
      <c r="P14" s="190">
        <v>0</v>
      </c>
      <c r="Q14" s="190">
        <v>0</v>
      </c>
      <c r="R14" s="190">
        <v>0</v>
      </c>
      <c r="S14" s="190">
        <v>0</v>
      </c>
      <c r="T14" s="190">
        <v>0</v>
      </c>
      <c r="U14" s="190">
        <v>0</v>
      </c>
      <c r="V14" s="190">
        <v>0</v>
      </c>
      <c r="W14" s="190">
        <v>0</v>
      </c>
      <c r="X14" s="190">
        <v>0</v>
      </c>
      <c r="Y14" s="190">
        <v>0</v>
      </c>
      <c r="Z14" s="190">
        <v>0</v>
      </c>
      <c r="AA14" s="190">
        <v>0</v>
      </c>
      <c r="AB14" s="190">
        <v>0</v>
      </c>
      <c r="AC14" s="190">
        <v>0</v>
      </c>
      <c r="AD14" s="190">
        <v>0</v>
      </c>
      <c r="AE14" s="190">
        <v>0</v>
      </c>
      <c r="AF14" s="190">
        <v>0</v>
      </c>
      <c r="AG14" s="190">
        <v>0</v>
      </c>
      <c r="AH14" s="190">
        <v>0</v>
      </c>
      <c r="AI14" s="190">
        <v>0</v>
      </c>
      <c r="AJ14" s="190">
        <v>0</v>
      </c>
      <c r="AK14" s="190">
        <v>0</v>
      </c>
      <c r="AL14" s="190">
        <v>0</v>
      </c>
      <c r="AM14" s="190">
        <v>0</v>
      </c>
      <c r="AN14" s="190">
        <v>0</v>
      </c>
      <c r="AO14" s="190">
        <v>0</v>
      </c>
      <c r="AP14" s="190">
        <v>0</v>
      </c>
      <c r="AQ14" s="190">
        <v>0</v>
      </c>
      <c r="AR14" s="190">
        <v>0</v>
      </c>
      <c r="AS14" s="190">
        <v>0</v>
      </c>
    </row>
    <row r="15" spans="1:45" x14ac:dyDescent="0.25">
      <c r="A15" s="190" t="s">
        <v>202</v>
      </c>
      <c r="B15" s="190">
        <v>0</v>
      </c>
      <c r="C15" s="190">
        <v>0</v>
      </c>
      <c r="D15" s="190">
        <v>0</v>
      </c>
      <c r="E15" s="190">
        <v>0</v>
      </c>
      <c r="F15" s="190">
        <v>0</v>
      </c>
      <c r="G15" s="190">
        <v>0</v>
      </c>
      <c r="H15" s="190">
        <v>0</v>
      </c>
      <c r="I15" s="190">
        <v>0</v>
      </c>
      <c r="J15" s="190">
        <v>0</v>
      </c>
      <c r="K15" s="190">
        <v>0</v>
      </c>
      <c r="L15" s="190">
        <v>0</v>
      </c>
      <c r="M15" s="190">
        <v>0</v>
      </c>
      <c r="N15" s="190">
        <v>0</v>
      </c>
      <c r="O15" s="190">
        <v>0</v>
      </c>
      <c r="P15" s="190">
        <v>0</v>
      </c>
      <c r="Q15" s="190">
        <v>0</v>
      </c>
      <c r="R15" s="190">
        <v>0</v>
      </c>
      <c r="S15" s="190">
        <v>0</v>
      </c>
      <c r="T15" s="190">
        <v>0</v>
      </c>
      <c r="U15" s="190">
        <v>0</v>
      </c>
      <c r="V15" s="190">
        <v>0</v>
      </c>
      <c r="W15" s="190">
        <v>0</v>
      </c>
      <c r="X15" s="190">
        <v>0</v>
      </c>
      <c r="Y15" s="190">
        <v>0</v>
      </c>
      <c r="Z15" s="190">
        <v>0</v>
      </c>
      <c r="AA15" s="190">
        <v>0</v>
      </c>
      <c r="AB15" s="190">
        <v>0</v>
      </c>
      <c r="AC15" s="190">
        <v>0</v>
      </c>
      <c r="AD15" s="190">
        <v>0</v>
      </c>
      <c r="AE15" s="190">
        <v>0</v>
      </c>
      <c r="AF15" s="190">
        <v>0</v>
      </c>
      <c r="AG15" s="190">
        <v>0</v>
      </c>
      <c r="AH15" s="190">
        <v>0</v>
      </c>
      <c r="AI15" s="190">
        <v>0</v>
      </c>
      <c r="AJ15" s="190">
        <v>0</v>
      </c>
      <c r="AK15" s="190">
        <v>0</v>
      </c>
      <c r="AL15" s="190">
        <v>0</v>
      </c>
      <c r="AM15" s="190">
        <v>0</v>
      </c>
      <c r="AN15" s="190">
        <v>0</v>
      </c>
      <c r="AO15" s="190">
        <v>0</v>
      </c>
      <c r="AP15" s="190">
        <v>0</v>
      </c>
      <c r="AQ15" s="190">
        <v>0</v>
      </c>
      <c r="AR15" s="190">
        <v>0</v>
      </c>
      <c r="AS15" s="190">
        <v>0</v>
      </c>
    </row>
    <row r="16" spans="1:45" x14ac:dyDescent="0.25">
      <c r="A16" s="190" t="s">
        <v>203</v>
      </c>
      <c r="B16" s="190">
        <v>439778157.26999998</v>
      </c>
      <c r="C16" s="190">
        <v>261376883.84</v>
      </c>
      <c r="D16" s="190">
        <v>184938804.90000001</v>
      </c>
      <c r="E16" s="190">
        <v>526408625.69999999</v>
      </c>
      <c r="F16" s="190">
        <v>410304796.99000001</v>
      </c>
      <c r="G16" s="190">
        <v>219837332.96000001</v>
      </c>
      <c r="H16" s="190">
        <v>147139567.34999999</v>
      </c>
      <c r="I16" s="190">
        <v>391023301.87</v>
      </c>
      <c r="J16" s="190">
        <v>321192465.07999998</v>
      </c>
      <c r="K16" s="190">
        <v>194363871.21000001</v>
      </c>
      <c r="L16" s="190">
        <v>136627686.30000001</v>
      </c>
      <c r="M16" s="190">
        <v>481819451.63</v>
      </c>
      <c r="N16" s="190">
        <v>359794635.83999997</v>
      </c>
      <c r="O16" s="190">
        <v>205694012.12</v>
      </c>
      <c r="P16" s="190">
        <v>138236438.47</v>
      </c>
      <c r="Q16" s="190">
        <v>432099652.83999997</v>
      </c>
      <c r="R16" s="190">
        <v>304611631.86000001</v>
      </c>
      <c r="S16" s="190">
        <v>177919730.33000001</v>
      </c>
      <c r="T16" s="190">
        <v>111892681.06999999</v>
      </c>
      <c r="U16" s="190">
        <v>373138406.72000003</v>
      </c>
      <c r="V16" s="190">
        <v>256416810.90000001</v>
      </c>
      <c r="W16" s="190">
        <v>151466454.55000001</v>
      </c>
      <c r="X16" s="190">
        <v>105173345.72</v>
      </c>
      <c r="Y16" s="190">
        <v>419597075.33999997</v>
      </c>
      <c r="Z16" s="190">
        <v>273748075.93000001</v>
      </c>
      <c r="AA16" s="190">
        <v>146761416.66999999</v>
      </c>
      <c r="AB16" s="190">
        <v>128777615.95</v>
      </c>
      <c r="AC16" s="190">
        <v>417242603.87</v>
      </c>
      <c r="AD16" s="190">
        <v>304853832.13999999</v>
      </c>
      <c r="AE16" s="190">
        <v>164761693.93000001</v>
      </c>
      <c r="AF16" s="190">
        <v>108839621.42</v>
      </c>
      <c r="AG16" s="190">
        <v>272405046.69999999</v>
      </c>
      <c r="AH16" s="190">
        <v>204951301.63</v>
      </c>
      <c r="AI16" s="190">
        <v>104029438.73</v>
      </c>
      <c r="AJ16" s="190">
        <v>69245465.170000002</v>
      </c>
      <c r="AK16" s="190">
        <v>189486661.00999999</v>
      </c>
      <c r="AL16" s="190">
        <v>128311629.90000001</v>
      </c>
      <c r="AM16" s="190">
        <v>62304205.780000001</v>
      </c>
      <c r="AN16" s="190">
        <v>40218115.270000003</v>
      </c>
      <c r="AO16" s="190">
        <v>137581741.81</v>
      </c>
      <c r="AP16" s="190">
        <v>106422192.22</v>
      </c>
      <c r="AQ16" s="190">
        <v>111497005.22</v>
      </c>
      <c r="AR16" s="190">
        <v>52446498.659999996</v>
      </c>
      <c r="AS16" s="190">
        <v>0</v>
      </c>
    </row>
    <row r="17" spans="1:45" x14ac:dyDescent="0.25">
      <c r="A17" s="190" t="s">
        <v>204</v>
      </c>
      <c r="B17" s="190">
        <v>39929318.539999999</v>
      </c>
      <c r="C17" s="190">
        <v>23790936.760000002</v>
      </c>
      <c r="D17" s="190">
        <v>17736596.469999999</v>
      </c>
      <c r="E17" s="190">
        <v>28741647.739999998</v>
      </c>
      <c r="F17" s="190">
        <v>16434561.65</v>
      </c>
      <c r="G17" s="190">
        <v>2835337.11</v>
      </c>
      <c r="H17" s="190">
        <v>1357217.05</v>
      </c>
      <c r="I17" s="190">
        <v>31515785.460000001</v>
      </c>
      <c r="J17" s="190">
        <v>15293382.17</v>
      </c>
      <c r="K17" s="190">
        <v>10253156.76</v>
      </c>
      <c r="L17" s="190">
        <v>1711428.02</v>
      </c>
      <c r="M17" s="190">
        <v>31200038.579999998</v>
      </c>
      <c r="N17" s="190">
        <v>21022194.91</v>
      </c>
      <c r="O17" s="190">
        <v>12411077.710000001</v>
      </c>
      <c r="P17" s="190">
        <v>1262648.01</v>
      </c>
      <c r="Q17" s="190">
        <v>27679898.23</v>
      </c>
      <c r="R17" s="190">
        <v>15925152.66</v>
      </c>
      <c r="S17" s="190">
        <v>5979681.0099999998</v>
      </c>
      <c r="T17" s="190">
        <v>5396342.3499999996</v>
      </c>
      <c r="U17" s="190">
        <v>23036917.629999999</v>
      </c>
      <c r="V17" s="190">
        <v>20315275.600000001</v>
      </c>
      <c r="W17" s="190">
        <v>12402328.41</v>
      </c>
      <c r="X17" s="190">
        <v>1236909.1599999999</v>
      </c>
      <c r="Y17" s="190">
        <v>25725825.120000001</v>
      </c>
      <c r="Z17" s="190">
        <v>22572257.73</v>
      </c>
      <c r="AA17" s="190">
        <v>12541591.51</v>
      </c>
      <c r="AB17" s="190">
        <v>736991.53</v>
      </c>
      <c r="AC17" s="190">
        <v>28791959.940000001</v>
      </c>
      <c r="AD17" s="190">
        <v>23673545.809999999</v>
      </c>
      <c r="AE17" s="190">
        <v>23195170.879999999</v>
      </c>
      <c r="AF17" s="190">
        <v>9335826.3499999996</v>
      </c>
      <c r="AG17" s="190">
        <v>11502189.32</v>
      </c>
      <c r="AH17" s="190">
        <v>11081732.949999999</v>
      </c>
      <c r="AI17" s="190">
        <v>10506330.810000001</v>
      </c>
      <c r="AJ17" s="190">
        <v>306738.96999999997</v>
      </c>
      <c r="AK17" s="190">
        <v>8216882.4100000001</v>
      </c>
      <c r="AL17" s="190">
        <v>5622129.3799999999</v>
      </c>
      <c r="AM17" s="190">
        <v>5011250.08</v>
      </c>
      <c r="AN17" s="190">
        <v>4726096.46</v>
      </c>
      <c r="AO17" s="190">
        <v>2143208.62</v>
      </c>
      <c r="AP17" s="190">
        <v>1094137.28</v>
      </c>
      <c r="AQ17" s="190">
        <v>1305351.04</v>
      </c>
      <c r="AR17" s="190">
        <v>1464492.06</v>
      </c>
      <c r="AS17" s="190">
        <v>0</v>
      </c>
    </row>
    <row r="18" spans="1:45" x14ac:dyDescent="0.25">
      <c r="A18" s="190" t="s">
        <v>205</v>
      </c>
      <c r="B18" s="190">
        <v>3022696.12</v>
      </c>
      <c r="C18" s="190">
        <v>1350430.7</v>
      </c>
      <c r="D18" s="190">
        <v>355095.52</v>
      </c>
      <c r="E18" s="190">
        <v>11267737.029999999</v>
      </c>
      <c r="F18" s="190">
        <v>4310011.5199999996</v>
      </c>
      <c r="G18" s="190">
        <v>3057133.68</v>
      </c>
      <c r="H18" s="190">
        <v>1396838.08</v>
      </c>
      <c r="I18" s="190">
        <v>3016145.22</v>
      </c>
      <c r="J18" s="190">
        <v>2984350.44</v>
      </c>
      <c r="K18" s="190">
        <v>1908565.68</v>
      </c>
      <c r="L18" s="190">
        <v>1375277.48</v>
      </c>
      <c r="M18" s="190">
        <v>1318449.7</v>
      </c>
      <c r="N18" s="190">
        <v>1176236.1599999999</v>
      </c>
      <c r="O18" s="190">
        <v>817793.88</v>
      </c>
      <c r="P18" s="190">
        <v>35695.550000000003</v>
      </c>
      <c r="Q18" s="190">
        <v>7973745.25</v>
      </c>
      <c r="R18" s="190">
        <v>3519236.48</v>
      </c>
      <c r="S18" s="190">
        <v>1197350.04</v>
      </c>
      <c r="T18" s="190">
        <v>837081.26</v>
      </c>
      <c r="U18" s="190">
        <v>4159297.35</v>
      </c>
      <c r="V18" s="190">
        <v>1612090.29</v>
      </c>
      <c r="W18" s="190">
        <v>1509843.43</v>
      </c>
      <c r="X18" s="190">
        <v>1135977.08</v>
      </c>
      <c r="Y18" s="190">
        <v>1285680.17</v>
      </c>
      <c r="Z18" s="190">
        <v>953092.61</v>
      </c>
      <c r="AA18" s="190">
        <v>538791.31000000006</v>
      </c>
      <c r="AB18" s="190">
        <v>181978.5</v>
      </c>
      <c r="AC18" s="190">
        <v>1476315.36</v>
      </c>
      <c r="AD18" s="190">
        <v>433577.68</v>
      </c>
      <c r="AE18" s="190">
        <v>239452.44</v>
      </c>
      <c r="AF18" s="190">
        <v>50942.7</v>
      </c>
      <c r="AG18" s="190">
        <v>715739.19</v>
      </c>
      <c r="AH18" s="190">
        <v>1753115.35</v>
      </c>
      <c r="AI18" s="190">
        <v>1131050.3500000001</v>
      </c>
      <c r="AJ18" s="190">
        <v>12505.05</v>
      </c>
      <c r="AK18" s="190">
        <v>774457.16</v>
      </c>
      <c r="AL18" s="190">
        <v>91949.52</v>
      </c>
      <c r="AM18" s="190">
        <v>22292.07</v>
      </c>
      <c r="AN18" s="190">
        <v>16277.21</v>
      </c>
      <c r="AO18" s="190">
        <v>2531709.37</v>
      </c>
      <c r="AP18" s="190">
        <v>2594789.69</v>
      </c>
      <c r="AQ18" s="190">
        <v>1639750.96</v>
      </c>
      <c r="AR18" s="190">
        <v>339356.86</v>
      </c>
      <c r="AS18" s="190">
        <v>0</v>
      </c>
    </row>
    <row r="19" spans="1:45" x14ac:dyDescent="0.25">
      <c r="A19" s="190" t="s">
        <v>206</v>
      </c>
      <c r="B19" s="190">
        <v>0</v>
      </c>
      <c r="C19" s="190">
        <v>0</v>
      </c>
      <c r="D19" s="190">
        <v>0</v>
      </c>
      <c r="E19" s="190">
        <v>0</v>
      </c>
      <c r="F19" s="190">
        <v>880670.3</v>
      </c>
      <c r="G19" s="190">
        <v>567133.53</v>
      </c>
      <c r="H19" s="190">
        <v>165784.81</v>
      </c>
      <c r="I19" s="190">
        <v>450121.14</v>
      </c>
      <c r="J19" s="190">
        <v>165784.81</v>
      </c>
      <c r="K19" s="190">
        <v>282765.87</v>
      </c>
      <c r="L19" s="190">
        <v>34584.79</v>
      </c>
      <c r="M19" s="190">
        <v>391153.17</v>
      </c>
      <c r="N19" s="190">
        <v>0</v>
      </c>
      <c r="O19" s="190">
        <v>0</v>
      </c>
      <c r="P19" s="190">
        <v>0</v>
      </c>
      <c r="Q19" s="190">
        <v>1056232.54</v>
      </c>
      <c r="R19" s="190">
        <v>0</v>
      </c>
      <c r="S19" s="190">
        <v>0</v>
      </c>
      <c r="T19" s="190">
        <v>0</v>
      </c>
      <c r="U19" s="190">
        <v>246659.68</v>
      </c>
      <c r="V19" s="190">
        <v>0</v>
      </c>
      <c r="W19" s="190">
        <v>0</v>
      </c>
      <c r="X19" s="190">
        <v>0</v>
      </c>
      <c r="Y19" s="190">
        <v>0</v>
      </c>
      <c r="Z19" s="190">
        <v>0</v>
      </c>
      <c r="AA19" s="190">
        <v>355433.64</v>
      </c>
      <c r="AB19" s="190">
        <v>0</v>
      </c>
      <c r="AC19" s="190">
        <v>376627.38</v>
      </c>
      <c r="AD19" s="190">
        <v>0</v>
      </c>
      <c r="AE19" s="190">
        <v>0</v>
      </c>
      <c r="AF19" s="190">
        <v>0</v>
      </c>
      <c r="AG19" s="190">
        <v>102312.77</v>
      </c>
      <c r="AH19" s="190">
        <v>0</v>
      </c>
      <c r="AI19" s="190">
        <v>0</v>
      </c>
      <c r="AJ19" s="190">
        <v>0</v>
      </c>
      <c r="AK19" s="190">
        <v>196954.43</v>
      </c>
      <c r="AL19" s="190">
        <v>0</v>
      </c>
      <c r="AM19" s="190">
        <v>14468.98</v>
      </c>
      <c r="AN19" s="190">
        <v>0</v>
      </c>
      <c r="AO19" s="190">
        <v>169368.56</v>
      </c>
      <c r="AP19" s="190">
        <v>0</v>
      </c>
      <c r="AQ19" s="190">
        <v>1516529.05</v>
      </c>
      <c r="AR19" s="190">
        <v>205485.15</v>
      </c>
      <c r="AS19" s="190">
        <v>0</v>
      </c>
    </row>
    <row r="20" spans="1:45" x14ac:dyDescent="0.25">
      <c r="A20" s="190" t="s">
        <v>207</v>
      </c>
      <c r="B20" s="190">
        <v>476684779.69</v>
      </c>
      <c r="C20" s="190">
        <v>283817389.89999998</v>
      </c>
      <c r="D20" s="190">
        <v>202320305.84999999</v>
      </c>
      <c r="E20" s="190">
        <v>543882536.40999997</v>
      </c>
      <c r="F20" s="190">
        <v>422429347.12</v>
      </c>
      <c r="G20" s="190">
        <v>219615536.38999999</v>
      </c>
      <c r="H20" s="190">
        <v>147099946.31999999</v>
      </c>
      <c r="I20" s="190">
        <v>419522942.11000001</v>
      </c>
      <c r="J20" s="190">
        <v>333501496.81</v>
      </c>
      <c r="K20" s="190">
        <v>202708462.28999999</v>
      </c>
      <c r="L20" s="190">
        <v>136963836.84</v>
      </c>
      <c r="M20" s="190">
        <v>511701040.50999999</v>
      </c>
      <c r="N20" s="190">
        <v>379640594.58999997</v>
      </c>
      <c r="O20" s="190">
        <v>217287295.94999999</v>
      </c>
      <c r="P20" s="190">
        <v>139463390.93000001</v>
      </c>
      <c r="Q20" s="190">
        <v>451805805.81999999</v>
      </c>
      <c r="R20" s="190">
        <v>317017548.04000002</v>
      </c>
      <c r="S20" s="190">
        <v>182702061.30000001</v>
      </c>
      <c r="T20" s="190">
        <v>116451942.16</v>
      </c>
      <c r="U20" s="190">
        <v>392016027</v>
      </c>
      <c r="V20" s="190">
        <v>275119996.20999998</v>
      </c>
      <c r="W20" s="190">
        <v>162358939.53</v>
      </c>
      <c r="X20" s="190">
        <v>105274277.8</v>
      </c>
      <c r="Y20" s="190">
        <v>444037220.29000002</v>
      </c>
      <c r="Z20" s="190">
        <v>295367241.05000001</v>
      </c>
      <c r="AA20" s="190">
        <v>158764216.87</v>
      </c>
      <c r="AB20" s="190">
        <v>129332628.98</v>
      </c>
      <c r="AC20" s="190">
        <v>444558248.44999999</v>
      </c>
      <c r="AD20" s="190">
        <v>328093800.26999998</v>
      </c>
      <c r="AE20" s="190">
        <v>187717412.37</v>
      </c>
      <c r="AF20" s="190">
        <v>118124505.06999999</v>
      </c>
      <c r="AG20" s="190">
        <v>283191496.82999998</v>
      </c>
      <c r="AH20" s="190">
        <v>214279919.22999999</v>
      </c>
      <c r="AI20" s="190">
        <v>113404719.19</v>
      </c>
      <c r="AJ20" s="190">
        <v>69539699.090000004</v>
      </c>
      <c r="AK20" s="190">
        <v>196929086.25999999</v>
      </c>
      <c r="AL20" s="190">
        <v>133841809.76000001</v>
      </c>
      <c r="AM20" s="190">
        <v>67293163.790000007</v>
      </c>
      <c r="AN20" s="190">
        <v>44927934.520000003</v>
      </c>
      <c r="AO20" s="190">
        <v>137193241.06</v>
      </c>
      <c r="AP20" s="190">
        <v>104921539.81</v>
      </c>
      <c r="AQ20" s="190">
        <v>111162605.3</v>
      </c>
      <c r="AR20" s="190">
        <v>53571633.859999999</v>
      </c>
      <c r="AS20" s="190">
        <v>0</v>
      </c>
    </row>
    <row r="21" spans="1:45" x14ac:dyDescent="0.25">
      <c r="A21" s="190" t="s">
        <v>208</v>
      </c>
      <c r="B21" s="190">
        <v>90860108.140000001</v>
      </c>
      <c r="C21" s="190">
        <v>58234003.689999998</v>
      </c>
      <c r="D21" s="190">
        <v>43254573.359999999</v>
      </c>
      <c r="E21" s="190">
        <v>90810907.900000006</v>
      </c>
      <c r="F21" s="190">
        <v>90508988.840000004</v>
      </c>
      <c r="G21" s="190">
        <v>44332038.670000002</v>
      </c>
      <c r="H21" s="190">
        <v>21985611.260000002</v>
      </c>
      <c r="I21" s="190">
        <v>80709681.709999993</v>
      </c>
      <c r="J21" s="190">
        <v>63378605.710000001</v>
      </c>
      <c r="K21" s="190">
        <v>44079906.789999999</v>
      </c>
      <c r="L21" s="190">
        <v>23129226.210000001</v>
      </c>
      <c r="M21" s="190">
        <v>88611971.989999995</v>
      </c>
      <c r="N21" s="190">
        <v>48869485.689999998</v>
      </c>
      <c r="O21" s="190">
        <v>30061624.289999999</v>
      </c>
      <c r="P21" s="190">
        <v>21179307.41</v>
      </c>
      <c r="Q21" s="190">
        <v>53632117.130000003</v>
      </c>
      <c r="R21" s="190">
        <v>40316639.75</v>
      </c>
      <c r="S21" s="190">
        <v>25334137.739999998</v>
      </c>
      <c r="T21" s="190">
        <v>17702590.440000001</v>
      </c>
      <c r="U21" s="190">
        <v>59861374.850000001</v>
      </c>
      <c r="V21" s="190">
        <v>37936104.539999999</v>
      </c>
      <c r="W21" s="190">
        <v>25253043.190000001</v>
      </c>
      <c r="X21" s="190">
        <v>19517706.149999999</v>
      </c>
      <c r="Y21" s="190">
        <v>61950453.530000001</v>
      </c>
      <c r="Z21" s="190">
        <v>42224768.240000002</v>
      </c>
      <c r="AA21" s="190">
        <v>25078122.620000001</v>
      </c>
      <c r="AB21" s="190">
        <v>22988840.609999999</v>
      </c>
      <c r="AC21" s="190">
        <v>70548110.260000005</v>
      </c>
      <c r="AD21" s="190">
        <v>47934985.090000004</v>
      </c>
      <c r="AE21" s="190">
        <v>25281931.27</v>
      </c>
      <c r="AF21" s="190">
        <v>29453283.52</v>
      </c>
      <c r="AG21" s="190">
        <v>71365814.269999996</v>
      </c>
      <c r="AH21" s="190">
        <v>69820550.109999999</v>
      </c>
      <c r="AI21" s="190">
        <v>35970578.43</v>
      </c>
      <c r="AJ21" s="190">
        <v>19374579.129999999</v>
      </c>
      <c r="AK21" s="190">
        <v>50926318.670000002</v>
      </c>
      <c r="AL21" s="190">
        <v>32179640.43</v>
      </c>
      <c r="AM21" s="190">
        <v>16241581.609999999</v>
      </c>
      <c r="AN21" s="190">
        <v>11150238.310000001</v>
      </c>
      <c r="AO21" s="190">
        <v>26161263.460000001</v>
      </c>
      <c r="AP21" s="190">
        <v>20821381.469999999</v>
      </c>
      <c r="AQ21" s="190">
        <v>26024310.539999999</v>
      </c>
      <c r="AR21" s="190">
        <v>4054415.44</v>
      </c>
      <c r="AS21" s="190">
        <v>0</v>
      </c>
    </row>
    <row r="22" spans="1:45" x14ac:dyDescent="0.25">
      <c r="A22" s="190" t="s">
        <v>209</v>
      </c>
      <c r="B22" s="190">
        <v>385824671.55000001</v>
      </c>
      <c r="C22" s="190">
        <v>225583386.21000001</v>
      </c>
      <c r="D22" s="190">
        <v>159065732.49000001</v>
      </c>
      <c r="E22" s="190">
        <v>453071628.50999999</v>
      </c>
      <c r="F22" s="190">
        <v>331920358.27999997</v>
      </c>
      <c r="G22" s="190">
        <v>175283497.72</v>
      </c>
      <c r="H22" s="190">
        <v>125114335.06</v>
      </c>
      <c r="I22" s="190">
        <v>338813260.39999998</v>
      </c>
      <c r="J22" s="190">
        <v>270122891.10000002</v>
      </c>
      <c r="K22" s="190">
        <v>158628555.5</v>
      </c>
      <c r="L22" s="190">
        <v>113834610.63</v>
      </c>
      <c r="M22" s="190">
        <v>423089068.51999998</v>
      </c>
      <c r="N22" s="190">
        <v>330771108.89999998</v>
      </c>
      <c r="O22" s="190">
        <v>187225671.66</v>
      </c>
      <c r="P22" s="190">
        <v>118284083.52</v>
      </c>
      <c r="Q22" s="190">
        <v>398173688.69</v>
      </c>
      <c r="R22" s="190">
        <v>276700908.29000002</v>
      </c>
      <c r="S22" s="190">
        <v>157367923.56</v>
      </c>
      <c r="T22" s="190">
        <v>98749351.719999999</v>
      </c>
      <c r="U22" s="190">
        <v>332154652.14999998</v>
      </c>
      <c r="V22" s="190">
        <v>237183891.66999999</v>
      </c>
      <c r="W22" s="190">
        <v>137105896.34</v>
      </c>
      <c r="X22" s="190">
        <v>85756571.650000006</v>
      </c>
      <c r="Y22" s="190">
        <v>382086766.75999999</v>
      </c>
      <c r="Z22" s="190">
        <v>253142472.81</v>
      </c>
      <c r="AA22" s="190">
        <v>133686094.25</v>
      </c>
      <c r="AB22" s="190">
        <v>106343788.37</v>
      </c>
      <c r="AC22" s="190">
        <v>374010138.19</v>
      </c>
      <c r="AD22" s="190">
        <v>280158815.18000001</v>
      </c>
      <c r="AE22" s="190">
        <v>162435481.09999999</v>
      </c>
      <c r="AF22" s="190">
        <v>88671221.549999997</v>
      </c>
      <c r="AG22" s="190">
        <v>211825682.56</v>
      </c>
      <c r="AH22" s="190">
        <v>144459369.12</v>
      </c>
      <c r="AI22" s="190">
        <v>77434140.760000005</v>
      </c>
      <c r="AJ22" s="190">
        <v>50165119.960000001</v>
      </c>
      <c r="AK22" s="190">
        <v>146002767.59</v>
      </c>
      <c r="AL22" s="190">
        <v>101662169.33</v>
      </c>
      <c r="AM22" s="190">
        <v>51051582.18</v>
      </c>
      <c r="AN22" s="190">
        <v>33777696.210000001</v>
      </c>
      <c r="AO22" s="190">
        <v>111031977.59999999</v>
      </c>
      <c r="AP22" s="190">
        <v>84100158.340000004</v>
      </c>
      <c r="AQ22" s="190">
        <v>85138294.760000005</v>
      </c>
      <c r="AR22" s="190">
        <v>49517218.420000002</v>
      </c>
      <c r="AS22" s="190">
        <v>0</v>
      </c>
    </row>
    <row r="23" spans="1:45" x14ac:dyDescent="0.25">
      <c r="A23" s="190" t="s">
        <v>210</v>
      </c>
      <c r="B23" s="190">
        <v>377094856.52999997</v>
      </c>
      <c r="C23" s="190">
        <v>218428089.68000001</v>
      </c>
      <c r="D23" s="190">
        <v>156488769.09</v>
      </c>
      <c r="E23" s="190">
        <v>427876997.13999999</v>
      </c>
      <c r="F23" s="190">
        <v>310526985.16000003</v>
      </c>
      <c r="G23" s="190">
        <v>161634176.15000001</v>
      </c>
      <c r="H23" s="190">
        <v>116839080.93000001</v>
      </c>
      <c r="I23" s="190">
        <v>317296870.91000003</v>
      </c>
      <c r="J23" s="190">
        <v>259455473.43000001</v>
      </c>
      <c r="K23" s="190">
        <v>150836883.68000001</v>
      </c>
      <c r="L23" s="190">
        <v>108812558.97</v>
      </c>
      <c r="M23" s="190">
        <v>410088318.56999999</v>
      </c>
      <c r="N23" s="190">
        <v>323821790.52999997</v>
      </c>
      <c r="O23" s="190">
        <v>183770049.63999999</v>
      </c>
      <c r="P23" s="190">
        <v>116179144.33</v>
      </c>
      <c r="Q23" s="190">
        <v>398089770.07999998</v>
      </c>
      <c r="R23" s="190">
        <v>276700908.29000002</v>
      </c>
      <c r="S23" s="190">
        <v>157367923.56</v>
      </c>
      <c r="T23" s="190">
        <v>98749351.719999999</v>
      </c>
      <c r="U23" s="190">
        <v>332154652.14999998</v>
      </c>
      <c r="V23" s="190">
        <v>237183891.66999999</v>
      </c>
      <c r="W23" s="190">
        <v>137105896.34</v>
      </c>
      <c r="X23" s="190">
        <v>85756571.650000006</v>
      </c>
      <c r="Y23" s="190">
        <v>382086766.75999999</v>
      </c>
      <c r="Z23" s="190">
        <v>253142472.81</v>
      </c>
      <c r="AA23" s="190">
        <v>133686094.25</v>
      </c>
      <c r="AB23" s="190">
        <v>106343788.37</v>
      </c>
      <c r="AC23" s="190">
        <v>374010138.19</v>
      </c>
      <c r="AD23" s="190">
        <v>280158815.18000001</v>
      </c>
      <c r="AE23" s="190">
        <v>162435481.09999999</v>
      </c>
      <c r="AF23" s="190">
        <v>88671221.549999997</v>
      </c>
      <c r="AG23" s="190">
        <v>209705315.55000001</v>
      </c>
      <c r="AH23" s="190">
        <v>142914774.06</v>
      </c>
      <c r="AI23" s="190">
        <v>76795650.209999993</v>
      </c>
      <c r="AJ23" s="190">
        <v>49666686.82</v>
      </c>
      <c r="AK23" s="190">
        <v>144473175.58000001</v>
      </c>
      <c r="AL23" s="190">
        <v>100843091.84</v>
      </c>
      <c r="AM23" s="190">
        <v>50865856.579999998</v>
      </c>
      <c r="AN23" s="190">
        <v>33532813.120000001</v>
      </c>
      <c r="AO23" s="190">
        <v>110067128.2</v>
      </c>
      <c r="AP23" s="190">
        <v>83336279.640000001</v>
      </c>
      <c r="AQ23" s="190">
        <v>85143821.590000004</v>
      </c>
      <c r="AR23" s="190">
        <v>49249157.25</v>
      </c>
      <c r="AS23" s="190">
        <v>0</v>
      </c>
    </row>
    <row r="24" spans="1:45" x14ac:dyDescent="0.25">
      <c r="A24" s="190" t="s">
        <v>211</v>
      </c>
      <c r="B24" s="190">
        <v>8729815.0199999996</v>
      </c>
      <c r="C24" s="190">
        <v>7155296.5300000003</v>
      </c>
      <c r="D24" s="190">
        <v>2576963.4</v>
      </c>
      <c r="E24" s="190">
        <v>25194631.370000001</v>
      </c>
      <c r="F24" s="190">
        <v>21393373.120000001</v>
      </c>
      <c r="G24" s="190">
        <v>13649321.57</v>
      </c>
      <c r="H24" s="190">
        <v>8275254.1299999999</v>
      </c>
      <c r="I24" s="190">
        <v>21516389.489999998</v>
      </c>
      <c r="J24" s="190">
        <v>10667417.67</v>
      </c>
      <c r="K24" s="190">
        <v>7791671.8200000003</v>
      </c>
      <c r="L24" s="190">
        <v>5022051.66</v>
      </c>
      <c r="M24" s="190">
        <v>13000749.949999999</v>
      </c>
      <c r="N24" s="190">
        <v>6949318.3700000001</v>
      </c>
      <c r="O24" s="190">
        <v>3455622.02</v>
      </c>
      <c r="P24" s="190">
        <v>2104939.19</v>
      </c>
      <c r="Q24" s="190">
        <v>83918.61</v>
      </c>
      <c r="R24" s="190">
        <v>0</v>
      </c>
      <c r="S24" s="190">
        <v>0</v>
      </c>
      <c r="T24" s="190">
        <v>0</v>
      </c>
      <c r="U24" s="190">
        <v>0</v>
      </c>
      <c r="V24" s="190">
        <v>0</v>
      </c>
      <c r="W24" s="190">
        <v>0</v>
      </c>
      <c r="X24" s="190">
        <v>0</v>
      </c>
      <c r="Y24" s="190">
        <v>0</v>
      </c>
      <c r="Z24" s="190">
        <v>0</v>
      </c>
      <c r="AA24" s="190">
        <v>0</v>
      </c>
      <c r="AB24" s="190">
        <v>0</v>
      </c>
      <c r="AC24" s="190">
        <v>0</v>
      </c>
      <c r="AD24" s="190">
        <v>0</v>
      </c>
      <c r="AE24" s="190">
        <v>0</v>
      </c>
      <c r="AF24" s="190">
        <v>0</v>
      </c>
      <c r="AG24" s="190">
        <v>2120367.0099999998</v>
      </c>
      <c r="AH24" s="190">
        <v>1544595.06</v>
      </c>
      <c r="AI24" s="190">
        <v>638490.55000000005</v>
      </c>
      <c r="AJ24" s="190">
        <v>498433.14</v>
      </c>
      <c r="AK24" s="190">
        <v>1529592.01</v>
      </c>
      <c r="AL24" s="190">
        <v>819077.49</v>
      </c>
      <c r="AM24" s="190">
        <v>185725.6</v>
      </c>
      <c r="AN24" s="190">
        <v>244883.09</v>
      </c>
      <c r="AO24" s="190">
        <v>964849.4</v>
      </c>
      <c r="AP24" s="190">
        <v>763878.7</v>
      </c>
      <c r="AQ24" s="190">
        <v>-5526.83</v>
      </c>
      <c r="AR24" s="190">
        <v>0</v>
      </c>
      <c r="AS24" s="190">
        <v>0</v>
      </c>
    </row>
    <row r="25" spans="1:45" x14ac:dyDescent="0.25">
      <c r="A25" s="190" t="s">
        <v>212</v>
      </c>
    </row>
    <row r="26" spans="1:45" x14ac:dyDescent="0.25">
      <c r="A26" s="190" t="s">
        <v>213</v>
      </c>
      <c r="B26" s="190">
        <v>0.51100000000000001</v>
      </c>
      <c r="C26" s="190">
        <v>0.29599999999999999</v>
      </c>
      <c r="D26" s="190">
        <v>0.214</v>
      </c>
      <c r="E26" s="190">
        <v>0.60829999999999995</v>
      </c>
      <c r="F26" s="190">
        <v>0.44180000000000003</v>
      </c>
      <c r="G26" s="190">
        <v>0.2303</v>
      </c>
      <c r="H26" s="190">
        <v>0.16650000000000001</v>
      </c>
      <c r="I26" s="190">
        <v>0.4521</v>
      </c>
      <c r="J26" s="190">
        <v>0.37</v>
      </c>
      <c r="K26" s="190">
        <v>0.21490000000000001</v>
      </c>
      <c r="L26" s="190">
        <v>0.155</v>
      </c>
      <c r="M26" s="190">
        <v>0.57999999999999996</v>
      </c>
      <c r="N26" s="190">
        <v>0.46</v>
      </c>
      <c r="O26" s="190">
        <v>0.26</v>
      </c>
      <c r="P26" s="190">
        <v>0.41</v>
      </c>
      <c r="Q26" s="190">
        <v>1.42</v>
      </c>
      <c r="R26" s="190">
        <v>0.99</v>
      </c>
      <c r="S26" s="190">
        <v>0.56000000000000005</v>
      </c>
      <c r="T26" s="190">
        <v>0.35</v>
      </c>
      <c r="U26" s="190">
        <v>1.18</v>
      </c>
      <c r="V26" s="190">
        <v>0.84</v>
      </c>
      <c r="W26" s="190">
        <v>0.49</v>
      </c>
      <c r="X26" s="190">
        <v>0.61</v>
      </c>
      <c r="Y26" s="190">
        <v>2.72</v>
      </c>
      <c r="Z26" s="190">
        <v>1.8</v>
      </c>
      <c r="AA26" s="190">
        <v>0.95</v>
      </c>
      <c r="AB26" s="190">
        <v>0.76</v>
      </c>
      <c r="AC26" s="190">
        <v>2.66</v>
      </c>
      <c r="AD26" s="190">
        <v>2</v>
      </c>
      <c r="AE26" s="190">
        <v>1.1599999999999999</v>
      </c>
      <c r="AF26" s="190">
        <v>0.63</v>
      </c>
      <c r="AG26" s="190">
        <v>1.49</v>
      </c>
      <c r="AH26" s="190">
        <v>1.02</v>
      </c>
      <c r="AI26" s="190">
        <v>0.55000000000000004</v>
      </c>
      <c r="AJ26" s="190">
        <v>0.35</v>
      </c>
      <c r="AK26" s="190">
        <v>1.27</v>
      </c>
      <c r="AL26" s="190">
        <v>0.96</v>
      </c>
      <c r="AM26" s="190">
        <v>0.48</v>
      </c>
      <c r="AN26" s="190">
        <v>0.32</v>
      </c>
      <c r="AO26" s="190">
        <v>1.05</v>
      </c>
      <c r="AP26" s="190">
        <v>0.79</v>
      </c>
      <c r="AQ26" s="190">
        <v>0.85</v>
      </c>
      <c r="AR26" s="190">
        <v>0.49</v>
      </c>
      <c r="AS26" s="190">
        <v>0</v>
      </c>
    </row>
    <row r="27" spans="1:45" x14ac:dyDescent="0.25">
      <c r="A27" s="190" t="s">
        <v>214</v>
      </c>
      <c r="B27" s="190">
        <v>0.51100000000000001</v>
      </c>
      <c r="C27" s="190">
        <v>0.29599999999999999</v>
      </c>
      <c r="D27" s="190">
        <v>0.214</v>
      </c>
      <c r="E27" s="190">
        <v>0.60829999999999995</v>
      </c>
      <c r="F27" s="190">
        <v>0.44180000000000003</v>
      </c>
      <c r="G27" s="190">
        <v>0.2303</v>
      </c>
      <c r="H27" s="190">
        <v>0.16650000000000001</v>
      </c>
      <c r="I27" s="190">
        <v>0.4521</v>
      </c>
      <c r="J27" s="190">
        <v>0.37</v>
      </c>
      <c r="K27" s="190">
        <v>0.21490000000000001</v>
      </c>
      <c r="L27" s="190">
        <v>0.155</v>
      </c>
      <c r="M27" s="190">
        <v>0.57999999999999996</v>
      </c>
      <c r="N27" s="190">
        <v>0.46</v>
      </c>
      <c r="O27" s="190">
        <v>0.26</v>
      </c>
      <c r="P27" s="190">
        <v>0.41</v>
      </c>
      <c r="Q27" s="190">
        <v>1.42</v>
      </c>
      <c r="R27" s="190">
        <v>0.99</v>
      </c>
      <c r="S27" s="190">
        <v>0.56000000000000005</v>
      </c>
      <c r="T27" s="190">
        <v>0.35</v>
      </c>
      <c r="U27" s="190">
        <v>1.18</v>
      </c>
      <c r="V27" s="190">
        <v>0.84</v>
      </c>
      <c r="W27" s="190">
        <v>0.49</v>
      </c>
      <c r="X27" s="190">
        <v>0.61</v>
      </c>
      <c r="Y27" s="190">
        <v>2.72</v>
      </c>
      <c r="Z27" s="190">
        <v>1.8</v>
      </c>
      <c r="AA27" s="190">
        <v>0.95</v>
      </c>
      <c r="AB27" s="190">
        <v>0.76</v>
      </c>
      <c r="AC27" s="190">
        <v>2.66</v>
      </c>
      <c r="AD27" s="190">
        <v>2</v>
      </c>
      <c r="AE27" s="190">
        <v>1.1599999999999999</v>
      </c>
      <c r="AF27" s="190">
        <v>0.63</v>
      </c>
      <c r="AG27" s="190">
        <v>1.49</v>
      </c>
      <c r="AH27" s="190">
        <v>1.02</v>
      </c>
      <c r="AI27" s="190">
        <v>0.55000000000000004</v>
      </c>
      <c r="AJ27" s="190">
        <v>0.35</v>
      </c>
      <c r="AK27" s="190">
        <v>1.27</v>
      </c>
      <c r="AL27" s="190">
        <v>0.96</v>
      </c>
      <c r="AM27" s="190">
        <v>0.48</v>
      </c>
      <c r="AN27" s="190">
        <v>0.32</v>
      </c>
      <c r="AO27" s="190">
        <v>1.05</v>
      </c>
      <c r="AP27" s="190">
        <v>0.79</v>
      </c>
      <c r="AQ27" s="190">
        <v>0.85</v>
      </c>
      <c r="AR27" s="190">
        <v>0.49</v>
      </c>
      <c r="AS27" s="190">
        <v>0</v>
      </c>
    </row>
    <row r="28" spans="1:45" x14ac:dyDescent="0.25">
      <c r="A28" s="190" t="s">
        <v>215</v>
      </c>
      <c r="B28" s="190">
        <v>26264477.800000001</v>
      </c>
      <c r="C28" s="190">
        <v>8768413.6099999994</v>
      </c>
      <c r="D28" s="190">
        <v>-23530364.309999999</v>
      </c>
      <c r="E28" s="190">
        <v>-27005854.120000001</v>
      </c>
      <c r="F28" s="190">
        <v>-20996537.109999999</v>
      </c>
      <c r="G28" s="190">
        <v>-9716983.2799999993</v>
      </c>
      <c r="H28" s="190">
        <v>267164.26</v>
      </c>
      <c r="I28" s="190">
        <v>2746174.97</v>
      </c>
      <c r="J28" s="190">
        <v>1318275.21</v>
      </c>
      <c r="K28" s="190">
        <v>1015033.46</v>
      </c>
      <c r="L28" s="190">
        <v>-3847.23</v>
      </c>
      <c r="M28" s="190">
        <v>1747637.99</v>
      </c>
      <c r="N28" s="190">
        <v>1367525.67</v>
      </c>
      <c r="O28" s="190">
        <v>-19837.18</v>
      </c>
      <c r="P28" s="190">
        <v>121474.14</v>
      </c>
      <c r="Q28" s="190">
        <v>60762.7</v>
      </c>
      <c r="R28" s="190">
        <v>192631.38</v>
      </c>
      <c r="S28" s="190">
        <v>239185.79</v>
      </c>
      <c r="T28" s="190">
        <v>218363.8</v>
      </c>
      <c r="U28" s="190">
        <v>-691715.42</v>
      </c>
      <c r="V28" s="190">
        <v>-464829.47</v>
      </c>
      <c r="W28" s="190">
        <v>-363372.38</v>
      </c>
      <c r="X28" s="190">
        <v>-81160.31</v>
      </c>
      <c r="Y28" s="190">
        <v>3357.7</v>
      </c>
      <c r="Z28" s="190">
        <v>147195.29</v>
      </c>
      <c r="AA28" s="190">
        <v>92296.55</v>
      </c>
      <c r="AB28" s="190">
        <v>-2400</v>
      </c>
      <c r="AC28" s="190">
        <v>-706542.83</v>
      </c>
      <c r="AD28" s="190">
        <v>-597629.93000000005</v>
      </c>
      <c r="AE28" s="190">
        <v>-307502.71000000002</v>
      </c>
      <c r="AF28" s="190">
        <v>0</v>
      </c>
      <c r="AG28" s="190">
        <v>-375189.5</v>
      </c>
      <c r="AH28" s="190">
        <v>-211123.94</v>
      </c>
      <c r="AI28" s="190">
        <v>-96363.82</v>
      </c>
      <c r="AJ28" s="190">
        <v>0</v>
      </c>
      <c r="AK28" s="190">
        <v>-13205.78</v>
      </c>
      <c r="AL28" s="190">
        <v>0</v>
      </c>
      <c r="AM28" s="190">
        <v>0</v>
      </c>
      <c r="AN28" s="190">
        <v>0</v>
      </c>
      <c r="AO28" s="190">
        <v>0</v>
      </c>
      <c r="AP28" s="190">
        <v>0</v>
      </c>
      <c r="AQ28" s="190">
        <v>0</v>
      </c>
      <c r="AR28" s="190">
        <v>0</v>
      </c>
      <c r="AS28" s="190">
        <v>0</v>
      </c>
    </row>
    <row r="29" spans="1:45" x14ac:dyDescent="0.25">
      <c r="A29" s="190" t="s">
        <v>216</v>
      </c>
      <c r="B29" s="190">
        <v>412089149.35000002</v>
      </c>
      <c r="C29" s="190">
        <v>234351799.81999999</v>
      </c>
      <c r="D29" s="190">
        <v>135535368.18000001</v>
      </c>
      <c r="E29" s="190">
        <v>426065774.38999999</v>
      </c>
      <c r="F29" s="190">
        <v>310923821.17000002</v>
      </c>
      <c r="G29" s="190">
        <v>165566514.44</v>
      </c>
      <c r="H29" s="190">
        <v>125381499.31999999</v>
      </c>
      <c r="I29" s="190">
        <v>341559435.37</v>
      </c>
      <c r="J29" s="190">
        <v>271441166.31</v>
      </c>
      <c r="K29" s="190">
        <v>159643588.96000001</v>
      </c>
      <c r="L29" s="190">
        <v>113830763.40000001</v>
      </c>
      <c r="M29" s="190">
        <v>424836706.50999999</v>
      </c>
      <c r="N29" s="190">
        <v>332138634.56999999</v>
      </c>
      <c r="O29" s="190">
        <v>187205834.47999999</v>
      </c>
      <c r="P29" s="190">
        <v>118405557.66</v>
      </c>
      <c r="Q29" s="190">
        <v>398234451.38999999</v>
      </c>
      <c r="R29" s="190">
        <v>276893539.67000002</v>
      </c>
      <c r="S29" s="190">
        <v>157607109.34999999</v>
      </c>
      <c r="T29" s="190">
        <v>98967715.519999996</v>
      </c>
      <c r="U29" s="190">
        <v>331462936.73000002</v>
      </c>
      <c r="V29" s="190">
        <v>236719062.19999999</v>
      </c>
      <c r="W29" s="190">
        <v>136742523.96000001</v>
      </c>
      <c r="X29" s="190">
        <v>85675411.340000004</v>
      </c>
      <c r="Y29" s="190">
        <v>382090124.45999998</v>
      </c>
      <c r="Z29" s="190">
        <v>253289668.09999999</v>
      </c>
      <c r="AA29" s="190">
        <v>133778390.8</v>
      </c>
      <c r="AB29" s="190">
        <v>106343788.37</v>
      </c>
      <c r="AC29" s="190">
        <v>373303595.36000001</v>
      </c>
      <c r="AD29" s="190">
        <v>279561185.25</v>
      </c>
      <c r="AE29" s="190">
        <v>162127978.38999999</v>
      </c>
      <c r="AF29" s="190">
        <v>88671221.549999997</v>
      </c>
      <c r="AG29" s="190">
        <v>211450493.06</v>
      </c>
      <c r="AH29" s="190">
        <v>144248245.18000001</v>
      </c>
      <c r="AI29" s="190">
        <v>77337776.939999998</v>
      </c>
      <c r="AJ29" s="190">
        <v>50165119.960000001</v>
      </c>
      <c r="AK29" s="190">
        <v>145989561.81</v>
      </c>
      <c r="AL29" s="190">
        <v>101662169.33</v>
      </c>
      <c r="AM29" s="190">
        <v>0</v>
      </c>
      <c r="AN29" s="190">
        <v>33777696.210000001</v>
      </c>
      <c r="AO29" s="190">
        <v>0</v>
      </c>
      <c r="AP29" s="190">
        <v>84100158.340000004</v>
      </c>
      <c r="AQ29" s="190">
        <v>0</v>
      </c>
      <c r="AR29" s="190">
        <v>0</v>
      </c>
      <c r="AS29" s="190">
        <v>0</v>
      </c>
    </row>
    <row r="30" spans="1:45" x14ac:dyDescent="0.25">
      <c r="A30" s="190" t="s">
        <v>217</v>
      </c>
      <c r="B30" s="190">
        <v>403359334.32999998</v>
      </c>
      <c r="C30" s="190">
        <v>227196503.28999999</v>
      </c>
      <c r="D30" s="190">
        <v>132958404.78</v>
      </c>
      <c r="E30" s="190">
        <v>400871143.01999998</v>
      </c>
      <c r="F30" s="190">
        <v>289534239.55000001</v>
      </c>
      <c r="G30" s="190">
        <v>151918918.41999999</v>
      </c>
      <c r="H30" s="190">
        <v>117106245.19</v>
      </c>
      <c r="I30" s="190">
        <v>320043045.88</v>
      </c>
      <c r="J30" s="190">
        <v>260773748.63999999</v>
      </c>
      <c r="K30" s="190">
        <v>151851917.13999999</v>
      </c>
      <c r="L30" s="190">
        <v>108808711.73999999</v>
      </c>
      <c r="M30" s="190">
        <v>411835956.56</v>
      </c>
      <c r="N30" s="190">
        <v>325189316.19999999</v>
      </c>
      <c r="O30" s="190">
        <v>183750212.46000001</v>
      </c>
      <c r="P30" s="190">
        <v>116300618.47</v>
      </c>
      <c r="Q30" s="190">
        <v>398150532.77999997</v>
      </c>
      <c r="R30" s="190">
        <v>276893539.67000002</v>
      </c>
      <c r="S30" s="190">
        <v>157607109.34999999</v>
      </c>
      <c r="T30" s="190">
        <v>98967715.519999996</v>
      </c>
      <c r="U30" s="190">
        <v>331462936.73000002</v>
      </c>
      <c r="V30" s="190">
        <v>236719062.19999999</v>
      </c>
      <c r="W30" s="190">
        <v>136742523.96000001</v>
      </c>
      <c r="X30" s="190">
        <v>85675411.340000004</v>
      </c>
      <c r="Y30" s="190">
        <v>382090124.45999998</v>
      </c>
      <c r="Z30" s="190">
        <v>253289668.09999999</v>
      </c>
      <c r="AA30" s="190">
        <v>133778390.8</v>
      </c>
      <c r="AB30" s="190">
        <v>106343788.37</v>
      </c>
      <c r="AC30" s="190">
        <v>373303595.36000001</v>
      </c>
      <c r="AD30" s="190">
        <v>279561185.25</v>
      </c>
      <c r="AE30" s="190">
        <v>162127978.38999999</v>
      </c>
      <c r="AF30" s="190">
        <v>88671221.549999997</v>
      </c>
      <c r="AG30" s="190">
        <v>209330126.05000001</v>
      </c>
      <c r="AH30" s="190">
        <v>142703650.12</v>
      </c>
      <c r="AI30" s="190">
        <v>76699286.390000001</v>
      </c>
      <c r="AJ30" s="190">
        <v>49666686.82</v>
      </c>
      <c r="AK30" s="190">
        <v>144459969.80000001</v>
      </c>
      <c r="AL30" s="190">
        <v>100843091.84</v>
      </c>
      <c r="AM30" s="190">
        <v>0</v>
      </c>
      <c r="AN30" s="190">
        <v>33532813.120000001</v>
      </c>
      <c r="AO30" s="190">
        <v>0</v>
      </c>
      <c r="AP30" s="190">
        <v>83336279.640000001</v>
      </c>
      <c r="AQ30" s="190">
        <v>0</v>
      </c>
      <c r="AR30" s="190">
        <v>0</v>
      </c>
      <c r="AS30" s="190">
        <v>0</v>
      </c>
    </row>
    <row r="31" spans="1:45" x14ac:dyDescent="0.25">
      <c r="A31" s="190" t="s">
        <v>218</v>
      </c>
      <c r="B31" s="190">
        <v>8729815.0199999996</v>
      </c>
      <c r="C31" s="190">
        <v>7155296.5300000003</v>
      </c>
      <c r="D31" s="190">
        <v>2576963.4</v>
      </c>
      <c r="E31" s="190">
        <v>25194631.370000001</v>
      </c>
      <c r="F31" s="190">
        <v>21389581.620000001</v>
      </c>
      <c r="G31" s="190">
        <v>13647596.02</v>
      </c>
      <c r="H31" s="190">
        <v>8275254.1299999999</v>
      </c>
      <c r="I31" s="190">
        <v>21516389.489999998</v>
      </c>
      <c r="J31" s="190">
        <v>10667417.67</v>
      </c>
      <c r="K31" s="190">
        <v>7791671.8200000003</v>
      </c>
      <c r="L31" s="190">
        <v>5022051.66</v>
      </c>
      <c r="M31" s="190">
        <v>13000749.949999999</v>
      </c>
      <c r="N31" s="190">
        <v>6949318.3700000001</v>
      </c>
      <c r="O31" s="190">
        <v>3455622.02</v>
      </c>
      <c r="P31" s="190">
        <v>2104939.19</v>
      </c>
      <c r="Q31" s="190">
        <v>83918.61</v>
      </c>
      <c r="R31" s="190">
        <v>0</v>
      </c>
      <c r="S31" s="190">
        <v>0</v>
      </c>
      <c r="T31" s="190">
        <v>0</v>
      </c>
      <c r="U31" s="190">
        <v>0</v>
      </c>
      <c r="V31" s="190">
        <v>0</v>
      </c>
      <c r="W31" s="190">
        <v>0</v>
      </c>
      <c r="X31" s="190">
        <v>0</v>
      </c>
      <c r="Y31" s="190">
        <v>0</v>
      </c>
      <c r="Z31" s="190">
        <v>0</v>
      </c>
      <c r="AA31" s="190">
        <v>0</v>
      </c>
      <c r="AB31" s="190">
        <v>0</v>
      </c>
      <c r="AC31" s="190">
        <v>0</v>
      </c>
      <c r="AD31" s="190">
        <v>0</v>
      </c>
      <c r="AE31" s="190">
        <v>0</v>
      </c>
      <c r="AF31" s="190">
        <v>0</v>
      </c>
      <c r="AG31" s="190">
        <v>2120367.0099999998</v>
      </c>
      <c r="AH31" s="190">
        <v>1544595.06</v>
      </c>
      <c r="AI31" s="190">
        <v>638490.55000000005</v>
      </c>
      <c r="AJ31" s="190">
        <v>498433.14</v>
      </c>
      <c r="AK31" s="190">
        <v>1529592.01</v>
      </c>
      <c r="AL31" s="190">
        <v>819077.49</v>
      </c>
      <c r="AM31" s="190">
        <v>0</v>
      </c>
      <c r="AN31" s="190">
        <v>244883.09</v>
      </c>
      <c r="AO31" s="190">
        <v>0</v>
      </c>
      <c r="AP31" s="190">
        <v>763878.7</v>
      </c>
      <c r="AQ31" s="190">
        <v>0</v>
      </c>
      <c r="AR31" s="190">
        <v>0</v>
      </c>
      <c r="AS31" s="190">
        <v>0</v>
      </c>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现金流量表"/>
  <dimension ref="A1:AS77"/>
  <sheetViews>
    <sheetView workbookViewId="0">
      <selection activeCell="A31" sqref="A31"/>
    </sheetView>
  </sheetViews>
  <sheetFormatPr defaultRowHeight="14.4" x14ac:dyDescent="0.25"/>
  <cols>
    <col min="1" max="1" width="57.77734375" style="190" bestFit="1" customWidth="1"/>
    <col min="2" max="3" width="13.88671875" style="190" hidden="1" customWidth="1"/>
    <col min="4" max="4" width="12.77734375" style="190" hidden="1" customWidth="1"/>
    <col min="5" max="5" width="13.88671875" style="190" bestFit="1" customWidth="1"/>
    <col min="6" max="8" width="13.88671875" style="190" hidden="1" customWidth="1"/>
    <col min="9" max="9" width="13.88671875" style="190" bestFit="1" customWidth="1"/>
    <col min="10" max="11" width="13.88671875" style="190" hidden="1" customWidth="1"/>
    <col min="12" max="12" width="12.77734375" style="190" hidden="1" customWidth="1"/>
    <col min="13" max="13" width="13.88671875" style="190" bestFit="1" customWidth="1"/>
    <col min="14" max="14" width="12.77734375" style="190" hidden="1" customWidth="1"/>
    <col min="15" max="16" width="13.88671875" style="190" hidden="1" customWidth="1"/>
    <col min="17" max="17" width="13.88671875" style="190" bestFit="1" customWidth="1"/>
    <col min="18" max="20" width="13.88671875" style="190" hidden="1" customWidth="1"/>
    <col min="21" max="21" width="13.88671875" style="190" bestFit="1" customWidth="1"/>
    <col min="22" max="24" width="13.88671875" style="190" hidden="1" customWidth="1"/>
    <col min="25" max="25" width="13.88671875" style="190" bestFit="1" customWidth="1"/>
    <col min="26" max="28" width="13.88671875" style="190" hidden="1" customWidth="1"/>
    <col min="29" max="29" width="13.88671875" style="190" bestFit="1" customWidth="1"/>
    <col min="30" max="32" width="13.88671875" style="190" hidden="1" customWidth="1"/>
    <col min="33" max="33" width="13.88671875" style="190" bestFit="1" customWidth="1"/>
    <col min="34" max="35" width="13.88671875" style="190" hidden="1" customWidth="1"/>
    <col min="36" max="36" width="12.77734375" style="190" hidden="1" customWidth="1"/>
    <col min="37" max="37" width="13.88671875" style="190" bestFit="1" customWidth="1"/>
    <col min="38" max="38" width="12.77734375" style="190" hidden="1" customWidth="1"/>
    <col min="39" max="39" width="13.88671875" style="190" hidden="1" customWidth="1"/>
    <col min="40" max="40" width="12.77734375" style="190" hidden="1" customWidth="1"/>
    <col min="41" max="41" width="13.88671875" style="190" bestFit="1" customWidth="1"/>
    <col min="42" max="42" width="13.88671875" style="190" hidden="1" customWidth="1"/>
    <col min="43" max="44" width="13.88671875" style="190" bestFit="1" customWidth="1"/>
    <col min="45" max="45" width="9.5546875" style="190" hidden="1" customWidth="1"/>
    <col min="46" max="16384" width="8.88671875" style="190"/>
  </cols>
  <sheetData>
    <row r="1" spans="1:45" x14ac:dyDescent="0.25">
      <c r="A1" s="190">
        <v>2293</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20090331</v>
      </c>
      <c r="AO1" s="190">
        <v>20081231</v>
      </c>
      <c r="AP1" s="190">
        <v>20080930</v>
      </c>
      <c r="AQ1" s="190">
        <v>20071231</v>
      </c>
      <c r="AR1" s="190">
        <v>20061231</v>
      </c>
      <c r="AS1" s="190">
        <v>19700101</v>
      </c>
    </row>
    <row r="2" spans="1:45" x14ac:dyDescent="0.25">
      <c r="A2" s="190" t="s">
        <v>105</v>
      </c>
      <c r="B2" s="190" t="s">
        <v>106</v>
      </c>
      <c r="C2" s="190" t="s">
        <v>106</v>
      </c>
      <c r="D2" s="190" t="s">
        <v>106</v>
      </c>
      <c r="E2" s="190" t="s">
        <v>106</v>
      </c>
      <c r="F2" s="190" t="s">
        <v>106</v>
      </c>
      <c r="G2" s="190" t="s">
        <v>106</v>
      </c>
      <c r="H2" s="190" t="s">
        <v>106</v>
      </c>
      <c r="I2" s="190" t="s">
        <v>106</v>
      </c>
      <c r="J2" s="190" t="s">
        <v>106</v>
      </c>
      <c r="K2" s="190" t="s">
        <v>106</v>
      </c>
      <c r="L2" s="190" t="s">
        <v>106</v>
      </c>
      <c r="M2" s="190" t="s">
        <v>106</v>
      </c>
      <c r="N2" s="190" t="s">
        <v>106</v>
      </c>
      <c r="O2" s="190" t="s">
        <v>106</v>
      </c>
      <c r="P2" s="190" t="s">
        <v>106</v>
      </c>
      <c r="Q2" s="190" t="s">
        <v>106</v>
      </c>
      <c r="R2" s="190" t="s">
        <v>106</v>
      </c>
      <c r="S2" s="190" t="s">
        <v>106</v>
      </c>
      <c r="T2" s="190" t="s">
        <v>106</v>
      </c>
      <c r="U2" s="190" t="s">
        <v>106</v>
      </c>
      <c r="V2" s="190" t="s">
        <v>106</v>
      </c>
      <c r="W2" s="190" t="s">
        <v>106</v>
      </c>
      <c r="X2" s="190" t="s">
        <v>106</v>
      </c>
      <c r="Y2" s="190" t="s">
        <v>106</v>
      </c>
      <c r="Z2" s="190" t="s">
        <v>106</v>
      </c>
      <c r="AA2" s="190" t="s">
        <v>106</v>
      </c>
      <c r="AB2" s="190" t="s">
        <v>106</v>
      </c>
      <c r="AC2" s="190" t="s">
        <v>106</v>
      </c>
      <c r="AD2" s="190" t="s">
        <v>106</v>
      </c>
      <c r="AE2" s="190" t="s">
        <v>106</v>
      </c>
      <c r="AF2" s="190" t="s">
        <v>106</v>
      </c>
      <c r="AG2" s="190" t="s">
        <v>106</v>
      </c>
      <c r="AH2" s="190" t="s">
        <v>106</v>
      </c>
      <c r="AI2" s="190" t="s">
        <v>106</v>
      </c>
      <c r="AJ2" s="190" t="s">
        <v>106</v>
      </c>
      <c r="AK2" s="190" t="s">
        <v>106</v>
      </c>
      <c r="AL2" s="190" t="s">
        <v>106</v>
      </c>
      <c r="AM2" s="190" t="s">
        <v>106</v>
      </c>
      <c r="AN2" s="190" t="s">
        <v>106</v>
      </c>
      <c r="AO2" s="190" t="s">
        <v>106</v>
      </c>
      <c r="AP2" s="190" t="s">
        <v>106</v>
      </c>
      <c r="AQ2" s="190" t="s">
        <v>106</v>
      </c>
      <c r="AR2" s="190" t="s">
        <v>106</v>
      </c>
    </row>
    <row r="3" spans="1:45" x14ac:dyDescent="0.25">
      <c r="A3" s="190" t="s">
        <v>219</v>
      </c>
    </row>
    <row r="4" spans="1:45" x14ac:dyDescent="0.25">
      <c r="A4" s="190" t="s">
        <v>220</v>
      </c>
      <c r="B4" s="190">
        <v>4161288964.8400002</v>
      </c>
      <c r="C4" s="190">
        <v>2722043541.54</v>
      </c>
      <c r="D4" s="190">
        <v>1336331413.25</v>
      </c>
      <c r="E4" s="190">
        <v>5703097066.9099998</v>
      </c>
      <c r="F4" s="190">
        <v>3517644500</v>
      </c>
      <c r="G4" s="190">
        <v>2192498921.1100001</v>
      </c>
      <c r="H4" s="190">
        <v>1220146194.1099999</v>
      </c>
      <c r="I4" s="190">
        <v>3686460242.5900002</v>
      </c>
      <c r="J4" s="190">
        <v>2564846453.2399998</v>
      </c>
      <c r="K4" s="190">
        <v>1590874669.1199999</v>
      </c>
      <c r="L4" s="190">
        <v>869902587.33000004</v>
      </c>
      <c r="M4" s="190">
        <v>3286935630.9499998</v>
      </c>
      <c r="N4" s="190">
        <v>2293032683.1900001</v>
      </c>
      <c r="O4" s="190">
        <v>1385251550.4400001</v>
      </c>
      <c r="P4" s="190">
        <v>814632103.25999999</v>
      </c>
      <c r="Q4" s="190">
        <v>3314035032.6199999</v>
      </c>
      <c r="R4" s="190">
        <v>2243208554.8099999</v>
      </c>
      <c r="S4" s="190">
        <v>1323849741.5799999</v>
      </c>
      <c r="T4" s="190">
        <v>805221687.07000005</v>
      </c>
      <c r="U4" s="190">
        <v>2995795304.5700002</v>
      </c>
      <c r="V4" s="190">
        <v>2119069929.0899999</v>
      </c>
      <c r="W4" s="190">
        <v>1315577679.99</v>
      </c>
      <c r="X4" s="190">
        <v>702968081.51999998</v>
      </c>
      <c r="Y4" s="190">
        <v>3148863796.1500001</v>
      </c>
      <c r="Z4" s="190">
        <v>2120726664.9400001</v>
      </c>
      <c r="AA4" s="190">
        <v>1218831206.3199999</v>
      </c>
      <c r="AB4" s="190">
        <v>730659610.20000005</v>
      </c>
      <c r="AC4" s="190">
        <v>2777690159.8099999</v>
      </c>
      <c r="AD4" s="190">
        <v>1916727969.5599999</v>
      </c>
      <c r="AE4" s="190">
        <v>1217349548.29</v>
      </c>
      <c r="AF4" s="190">
        <v>741075333.60000002</v>
      </c>
      <c r="AG4" s="190">
        <v>2088659586.1199999</v>
      </c>
      <c r="AH4" s="190">
        <v>1343955053.95</v>
      </c>
      <c r="AI4" s="190">
        <v>780113829.26999998</v>
      </c>
      <c r="AJ4" s="190">
        <v>453646157.58999997</v>
      </c>
      <c r="AK4" s="190">
        <v>1317538187.6700001</v>
      </c>
      <c r="AL4" s="190">
        <v>829205973.38999999</v>
      </c>
      <c r="AM4" s="190">
        <v>470456644.57999998</v>
      </c>
      <c r="AN4" s="190">
        <v>298846126.06</v>
      </c>
      <c r="AO4" s="190">
        <v>1049900173.75</v>
      </c>
      <c r="AP4" s="190">
        <v>729885010.66999996</v>
      </c>
      <c r="AQ4" s="190">
        <v>744580968.05999994</v>
      </c>
      <c r="AR4" s="190">
        <v>745665504.97000003</v>
      </c>
      <c r="AS4" s="190">
        <v>0</v>
      </c>
    </row>
    <row r="5" spans="1:45" x14ac:dyDescent="0.25">
      <c r="A5" s="190" t="s">
        <v>221</v>
      </c>
      <c r="B5" s="190">
        <v>0</v>
      </c>
      <c r="C5" s="190">
        <v>0</v>
      </c>
      <c r="D5" s="190">
        <v>0</v>
      </c>
      <c r="E5" s="190">
        <v>0</v>
      </c>
      <c r="F5" s="190">
        <v>0</v>
      </c>
      <c r="G5" s="190">
        <v>0</v>
      </c>
      <c r="H5" s="190">
        <v>0</v>
      </c>
      <c r="I5" s="190">
        <v>0</v>
      </c>
      <c r="J5" s="190">
        <v>0</v>
      </c>
      <c r="K5" s="190">
        <v>0</v>
      </c>
      <c r="L5" s="190">
        <v>0</v>
      </c>
      <c r="M5" s="190">
        <v>69659.199999999997</v>
      </c>
      <c r="N5" s="190">
        <v>552743.74</v>
      </c>
      <c r="O5" s="190">
        <v>0</v>
      </c>
      <c r="P5" s="190">
        <v>0</v>
      </c>
      <c r="Q5" s="190">
        <v>327316.94</v>
      </c>
      <c r="R5" s="190">
        <v>361451.08</v>
      </c>
      <c r="S5" s="190">
        <v>361451.08</v>
      </c>
      <c r="T5" s="190">
        <v>327316.94</v>
      </c>
      <c r="U5" s="190">
        <v>314947.51</v>
      </c>
      <c r="V5" s="190">
        <v>162509.93</v>
      </c>
      <c r="W5" s="190">
        <v>162509.93</v>
      </c>
      <c r="X5" s="190">
        <v>162509.93</v>
      </c>
      <c r="Y5" s="190">
        <v>374865.05</v>
      </c>
      <c r="Z5" s="190">
        <v>374865.05</v>
      </c>
      <c r="AA5" s="190">
        <v>374865.05</v>
      </c>
      <c r="AB5" s="190">
        <v>374865.05</v>
      </c>
      <c r="AC5" s="190">
        <v>1058107.5</v>
      </c>
      <c r="AD5" s="190">
        <v>31497099.68</v>
      </c>
      <c r="AE5" s="190">
        <v>0</v>
      </c>
      <c r="AF5" s="190">
        <v>0</v>
      </c>
      <c r="AG5" s="190">
        <v>528418.12</v>
      </c>
      <c r="AH5" s="190">
        <v>474551.69</v>
      </c>
      <c r="AI5" s="190">
        <v>111675.35</v>
      </c>
      <c r="AJ5" s="190">
        <v>0</v>
      </c>
      <c r="AK5" s="190">
        <v>158035.93</v>
      </c>
      <c r="AL5" s="190">
        <v>0</v>
      </c>
      <c r="AM5" s="190">
        <v>0</v>
      </c>
      <c r="AN5" s="190">
        <v>0</v>
      </c>
      <c r="AO5" s="190">
        <v>0</v>
      </c>
      <c r="AP5" s="190">
        <v>0</v>
      </c>
      <c r="AQ5" s="190">
        <v>0</v>
      </c>
      <c r="AR5" s="190">
        <v>1404669.8</v>
      </c>
      <c r="AS5" s="190">
        <v>0</v>
      </c>
    </row>
    <row r="6" spans="1:45" x14ac:dyDescent="0.25">
      <c r="A6" s="190" t="s">
        <v>222</v>
      </c>
      <c r="B6" s="190">
        <v>69814907.879999995</v>
      </c>
      <c r="C6" s="190">
        <v>109976760.09</v>
      </c>
      <c r="D6" s="190">
        <v>54951311.060000002</v>
      </c>
      <c r="E6" s="190">
        <v>28741647.739999998</v>
      </c>
      <c r="F6" s="190">
        <v>46750094.93</v>
      </c>
      <c r="G6" s="190">
        <v>36030293.270000003</v>
      </c>
      <c r="H6" s="190">
        <v>47742965.689999998</v>
      </c>
      <c r="I6" s="190">
        <v>38381205.759999998</v>
      </c>
      <c r="J6" s="190">
        <v>16024781.41</v>
      </c>
      <c r="K6" s="190">
        <v>10241717.880000001</v>
      </c>
      <c r="L6" s="190">
        <v>6143199.6699999999</v>
      </c>
      <c r="M6" s="190">
        <v>50441392.670000002</v>
      </c>
      <c r="N6" s="190">
        <v>14963146.310000001</v>
      </c>
      <c r="O6" s="190">
        <v>37310762.130000003</v>
      </c>
      <c r="P6" s="190">
        <v>22602369.59</v>
      </c>
      <c r="Q6" s="190">
        <v>32205247.260000002</v>
      </c>
      <c r="R6" s="190">
        <v>22007493.41</v>
      </c>
      <c r="S6" s="190">
        <v>9385239.4000000004</v>
      </c>
      <c r="T6" s="190">
        <v>14890095.699999999</v>
      </c>
      <c r="U6" s="190">
        <v>35703596.939999998</v>
      </c>
      <c r="V6" s="190">
        <v>31252771.780000001</v>
      </c>
      <c r="W6" s="190">
        <v>16356230.49</v>
      </c>
      <c r="X6" s="190">
        <v>11360939.18</v>
      </c>
      <c r="Y6" s="190">
        <v>48013280.420000002</v>
      </c>
      <c r="Z6" s="190">
        <v>37812532.880000003</v>
      </c>
      <c r="AA6" s="190">
        <v>22782121.239999998</v>
      </c>
      <c r="AB6" s="190">
        <v>4680057.4000000004</v>
      </c>
      <c r="AC6" s="190">
        <v>34788528.520000003</v>
      </c>
      <c r="AD6" s="190">
        <v>29902663.66</v>
      </c>
      <c r="AE6" s="190">
        <v>28463377.449999999</v>
      </c>
      <c r="AF6" s="190">
        <v>12685806.57</v>
      </c>
      <c r="AG6" s="190">
        <v>17467261.75</v>
      </c>
      <c r="AH6" s="190">
        <v>13583814.65</v>
      </c>
      <c r="AI6" s="190">
        <v>14046010.779999999</v>
      </c>
      <c r="AJ6" s="190">
        <v>3207747.93</v>
      </c>
      <c r="AK6" s="190">
        <v>13751700.17</v>
      </c>
      <c r="AL6" s="190">
        <v>7764790.2000000002</v>
      </c>
      <c r="AM6" s="190">
        <v>6478633.7800000003</v>
      </c>
      <c r="AN6" s="190">
        <v>6119550.1799999997</v>
      </c>
      <c r="AO6" s="190">
        <v>3938723.52</v>
      </c>
      <c r="AP6" s="190">
        <v>2915850.8</v>
      </c>
      <c r="AQ6" s="190">
        <v>5303693.99</v>
      </c>
      <c r="AR6" s="190">
        <v>6860563.0199999996</v>
      </c>
      <c r="AS6" s="190">
        <v>0</v>
      </c>
    </row>
    <row r="7" spans="1:45" x14ac:dyDescent="0.25">
      <c r="A7" s="190" t="s">
        <v>223</v>
      </c>
      <c r="B7" s="190">
        <v>4231103872.7199998</v>
      </c>
      <c r="C7" s="190">
        <v>2832020301.6300001</v>
      </c>
      <c r="D7" s="190">
        <v>1391282724.3099999</v>
      </c>
      <c r="E7" s="190">
        <v>5731838714.6499996</v>
      </c>
      <c r="F7" s="190">
        <v>3564394594.9299998</v>
      </c>
      <c r="G7" s="190">
        <v>2228529214.3800001</v>
      </c>
      <c r="H7" s="190">
        <v>1267889159.8</v>
      </c>
      <c r="I7" s="190">
        <v>3724841448.3499999</v>
      </c>
      <c r="J7" s="190">
        <v>2580871234.6500001</v>
      </c>
      <c r="K7" s="190">
        <v>1601116387</v>
      </c>
      <c r="L7" s="190">
        <v>876045787</v>
      </c>
      <c r="M7" s="190">
        <v>3337446682.8200002</v>
      </c>
      <c r="N7" s="190">
        <v>2308548573.2399998</v>
      </c>
      <c r="O7" s="190">
        <v>1422562312.5699999</v>
      </c>
      <c r="P7" s="190">
        <v>837234472.85000002</v>
      </c>
      <c r="Q7" s="190">
        <v>3346567596.8200002</v>
      </c>
      <c r="R7" s="190">
        <v>2265577499.3000002</v>
      </c>
      <c r="S7" s="190">
        <v>1333596432.0599999</v>
      </c>
      <c r="T7" s="190">
        <v>820439099.71000004</v>
      </c>
      <c r="U7" s="190">
        <v>3031813849.02</v>
      </c>
      <c r="V7" s="190">
        <v>2150485210.8000002</v>
      </c>
      <c r="W7" s="190">
        <v>1332096420.4100001</v>
      </c>
      <c r="X7" s="190">
        <v>714491530.63</v>
      </c>
      <c r="Y7" s="190">
        <v>3197251941.6199999</v>
      </c>
      <c r="Z7" s="190">
        <v>2158914062.8699999</v>
      </c>
      <c r="AA7" s="190">
        <v>1241988192.6099999</v>
      </c>
      <c r="AB7" s="190">
        <v>735714532.64999998</v>
      </c>
      <c r="AC7" s="190">
        <v>2813536795.8299999</v>
      </c>
      <c r="AD7" s="190">
        <v>1978127732.9000001</v>
      </c>
      <c r="AE7" s="190">
        <v>1245812925.74</v>
      </c>
      <c r="AF7" s="190">
        <v>753761140.16999996</v>
      </c>
      <c r="AG7" s="190">
        <v>2106655265.99</v>
      </c>
      <c r="AH7" s="190">
        <v>1358013420.29</v>
      </c>
      <c r="AI7" s="190">
        <v>794271515.39999998</v>
      </c>
      <c r="AJ7" s="190">
        <v>456853905.51999998</v>
      </c>
      <c r="AK7" s="190">
        <v>1331447923.77</v>
      </c>
      <c r="AL7" s="190">
        <v>836970763.59000003</v>
      </c>
      <c r="AM7" s="190">
        <v>476935278.36000001</v>
      </c>
      <c r="AN7" s="190">
        <v>304965676.24000001</v>
      </c>
      <c r="AO7" s="190">
        <v>1053838897.27</v>
      </c>
      <c r="AP7" s="190">
        <v>732800861.47000003</v>
      </c>
      <c r="AQ7" s="190">
        <v>749884662.04999995</v>
      </c>
      <c r="AR7" s="190">
        <v>753930737.78999996</v>
      </c>
      <c r="AS7" s="190">
        <v>0</v>
      </c>
    </row>
    <row r="8" spans="1:45" x14ac:dyDescent="0.25">
      <c r="A8" s="190" t="s">
        <v>224</v>
      </c>
      <c r="B8" s="190">
        <v>2939502141.7199998</v>
      </c>
      <c r="C8" s="190">
        <v>1860950122.1900001</v>
      </c>
      <c r="D8" s="190">
        <v>837107821.84000003</v>
      </c>
      <c r="E8" s="190">
        <v>3609821600.6999998</v>
      </c>
      <c r="F8" s="190">
        <v>2323071420.4400001</v>
      </c>
      <c r="G8" s="190">
        <v>1492025561.8399999</v>
      </c>
      <c r="H8" s="190">
        <v>688643736.25999999</v>
      </c>
      <c r="I8" s="190">
        <v>1803863738.21</v>
      </c>
      <c r="J8" s="190">
        <v>1264408788.6700001</v>
      </c>
      <c r="K8" s="190">
        <v>801825879.37</v>
      </c>
      <c r="L8" s="190">
        <v>379886905.56999999</v>
      </c>
      <c r="M8" s="190">
        <v>1741353288.3399999</v>
      </c>
      <c r="N8" s="190">
        <v>1103671201.21</v>
      </c>
      <c r="O8" s="190">
        <v>688480396.50999999</v>
      </c>
      <c r="P8" s="190">
        <v>392445189.70999998</v>
      </c>
      <c r="Q8" s="190">
        <v>1720148709.0899999</v>
      </c>
      <c r="R8" s="190">
        <v>1158120394.3699999</v>
      </c>
      <c r="S8" s="190">
        <v>747790322.51999998</v>
      </c>
      <c r="T8" s="190">
        <v>427284503.94</v>
      </c>
      <c r="U8" s="190">
        <v>1614570293.9300001</v>
      </c>
      <c r="V8" s="190">
        <v>1282604995.45</v>
      </c>
      <c r="W8" s="190">
        <v>888757097.39999998</v>
      </c>
      <c r="X8" s="190">
        <v>443559084.66000003</v>
      </c>
      <c r="Y8" s="190">
        <v>1951625661.6300001</v>
      </c>
      <c r="Z8" s="190">
        <v>1482693822.45</v>
      </c>
      <c r="AA8" s="190">
        <v>972415037.48000002</v>
      </c>
      <c r="AB8" s="190">
        <v>499030388.23000002</v>
      </c>
      <c r="AC8" s="190">
        <v>1661510580.8</v>
      </c>
      <c r="AD8" s="190">
        <v>1230350167.1400001</v>
      </c>
      <c r="AE8" s="190">
        <v>817875308.41999996</v>
      </c>
      <c r="AF8" s="190">
        <v>459565632.83999997</v>
      </c>
      <c r="AG8" s="190">
        <v>1375766897.97</v>
      </c>
      <c r="AH8" s="190">
        <v>1015684690.5</v>
      </c>
      <c r="AI8" s="190">
        <v>597309569.08000004</v>
      </c>
      <c r="AJ8" s="190">
        <v>292742398.63</v>
      </c>
      <c r="AK8" s="190">
        <v>825941878.73000002</v>
      </c>
      <c r="AL8" s="190">
        <v>497940815.36000001</v>
      </c>
      <c r="AM8" s="190">
        <v>292176160.31999999</v>
      </c>
      <c r="AN8" s="190">
        <v>170804972.46000001</v>
      </c>
      <c r="AO8" s="190">
        <v>652826308.24000001</v>
      </c>
      <c r="AP8" s="190">
        <v>484156990.38999999</v>
      </c>
      <c r="AQ8" s="190">
        <v>515703590.80000001</v>
      </c>
      <c r="AR8" s="190">
        <v>611151271.71000004</v>
      </c>
      <c r="AS8" s="190">
        <v>0</v>
      </c>
    </row>
    <row r="9" spans="1:45" x14ac:dyDescent="0.25">
      <c r="A9" s="190" t="s">
        <v>225</v>
      </c>
      <c r="B9" s="190">
        <v>497826350.92000002</v>
      </c>
      <c r="C9" s="190">
        <v>350948856.49000001</v>
      </c>
      <c r="D9" s="190">
        <v>157384365.58000001</v>
      </c>
      <c r="E9" s="190">
        <v>682014023.92999995</v>
      </c>
      <c r="F9" s="190">
        <v>528866846.76999998</v>
      </c>
      <c r="G9" s="190">
        <v>308145724.32999998</v>
      </c>
      <c r="H9" s="190">
        <v>192581262.03</v>
      </c>
      <c r="I9" s="190">
        <v>562633225.27999997</v>
      </c>
      <c r="J9" s="190">
        <v>409832250.43000001</v>
      </c>
      <c r="K9" s="190">
        <v>279583692.58999997</v>
      </c>
      <c r="L9" s="190">
        <v>122890858.8</v>
      </c>
      <c r="M9" s="190">
        <v>522729966.67000002</v>
      </c>
      <c r="N9" s="190">
        <v>363246433.61000001</v>
      </c>
      <c r="O9" s="190">
        <v>248495080.11000001</v>
      </c>
      <c r="P9" s="190">
        <v>127429186.08</v>
      </c>
      <c r="Q9" s="190">
        <v>436243663.13999999</v>
      </c>
      <c r="R9" s="190">
        <v>307775670.87</v>
      </c>
      <c r="S9" s="190">
        <v>205648688.61000001</v>
      </c>
      <c r="T9" s="190">
        <v>109160160.56</v>
      </c>
      <c r="U9" s="190">
        <v>427048661.64999998</v>
      </c>
      <c r="V9" s="190">
        <v>295690120.94999999</v>
      </c>
      <c r="W9" s="190">
        <v>204246507.28999999</v>
      </c>
      <c r="X9" s="190">
        <v>109028812.94</v>
      </c>
      <c r="Y9" s="190">
        <v>399667655.35000002</v>
      </c>
      <c r="Z9" s="190">
        <v>277085536.07999998</v>
      </c>
      <c r="AA9" s="190">
        <v>180220595.50999999</v>
      </c>
      <c r="AB9" s="190">
        <v>80729054.810000002</v>
      </c>
      <c r="AC9" s="190">
        <v>283502960.60000002</v>
      </c>
      <c r="AD9" s="190">
        <v>175212650.94999999</v>
      </c>
      <c r="AE9" s="190">
        <v>113024221.92</v>
      </c>
      <c r="AF9" s="190">
        <v>54108054.009999998</v>
      </c>
      <c r="AG9" s="190">
        <v>186294058.69999999</v>
      </c>
      <c r="AH9" s="190">
        <v>125007384.48</v>
      </c>
      <c r="AI9" s="190">
        <v>80022531</v>
      </c>
      <c r="AJ9" s="190">
        <v>38345491.600000001</v>
      </c>
      <c r="AK9" s="190">
        <v>125658221.75</v>
      </c>
      <c r="AL9" s="190">
        <v>82522858.150000006</v>
      </c>
      <c r="AM9" s="190">
        <v>54585919.770000003</v>
      </c>
      <c r="AN9" s="190">
        <v>27680341.079999998</v>
      </c>
      <c r="AO9" s="190">
        <v>83679669.129999995</v>
      </c>
      <c r="AP9" s="190">
        <v>60320684.439999998</v>
      </c>
      <c r="AQ9" s="190">
        <v>50772602.25</v>
      </c>
      <c r="AR9" s="190">
        <v>31357816.780000001</v>
      </c>
      <c r="AS9" s="190">
        <v>0</v>
      </c>
    </row>
    <row r="10" spans="1:45" x14ac:dyDescent="0.25">
      <c r="A10" s="190" t="s">
        <v>226</v>
      </c>
      <c r="B10" s="190">
        <v>352950974.77999997</v>
      </c>
      <c r="C10" s="190">
        <v>276696545.72000003</v>
      </c>
      <c r="D10" s="190">
        <v>191246024.34999999</v>
      </c>
      <c r="E10" s="190">
        <v>290836363.91000003</v>
      </c>
      <c r="F10" s="190">
        <v>278845607.36000001</v>
      </c>
      <c r="G10" s="190">
        <v>209963592.43000001</v>
      </c>
      <c r="H10" s="190">
        <v>99563765.159999996</v>
      </c>
      <c r="I10" s="190">
        <v>327932552.08999997</v>
      </c>
      <c r="J10" s="190">
        <v>289162739.44</v>
      </c>
      <c r="K10" s="190">
        <v>196014438.43000001</v>
      </c>
      <c r="L10" s="190">
        <v>88108039.060000002</v>
      </c>
      <c r="M10" s="190">
        <v>339971704.19</v>
      </c>
      <c r="N10" s="190">
        <v>228510490.00999999</v>
      </c>
      <c r="O10" s="190">
        <v>169389962.11000001</v>
      </c>
      <c r="P10" s="190">
        <v>56994774.659999996</v>
      </c>
      <c r="Q10" s="190">
        <v>348516790.95999998</v>
      </c>
      <c r="R10" s="190">
        <v>236936018.78999999</v>
      </c>
      <c r="S10" s="190">
        <v>151360294.90000001</v>
      </c>
      <c r="T10" s="190">
        <v>44117635.119999997</v>
      </c>
      <c r="U10" s="190">
        <v>284769788.56</v>
      </c>
      <c r="V10" s="190">
        <v>163508464.56999999</v>
      </c>
      <c r="W10" s="190">
        <v>154261321.08000001</v>
      </c>
      <c r="X10" s="190">
        <v>50970863.960000001</v>
      </c>
      <c r="Y10" s="190">
        <v>279759801.14999998</v>
      </c>
      <c r="Z10" s="190">
        <v>136285325.09</v>
      </c>
      <c r="AA10" s="190">
        <v>86790565.700000003</v>
      </c>
      <c r="AB10" s="190">
        <v>30574953.969999999</v>
      </c>
      <c r="AC10" s="190">
        <v>266127976.22999999</v>
      </c>
      <c r="AD10" s="190">
        <v>200750356.81</v>
      </c>
      <c r="AE10" s="190">
        <v>163921376.25</v>
      </c>
      <c r="AF10" s="190">
        <v>68856535.280000001</v>
      </c>
      <c r="AG10" s="190">
        <v>191136028.69999999</v>
      </c>
      <c r="AH10" s="190">
        <v>113139459.09</v>
      </c>
      <c r="AI10" s="190">
        <v>86897699.810000002</v>
      </c>
      <c r="AJ10" s="190">
        <v>28685419.699999999</v>
      </c>
      <c r="AK10" s="190">
        <v>121194587.25</v>
      </c>
      <c r="AL10" s="190">
        <v>72950361.879999995</v>
      </c>
      <c r="AM10" s="190">
        <v>55356849.460000001</v>
      </c>
      <c r="AN10" s="190">
        <v>26356086.48</v>
      </c>
      <c r="AO10" s="190">
        <v>101950252.22</v>
      </c>
      <c r="AP10" s="190">
        <v>73012157.010000005</v>
      </c>
      <c r="AQ10" s="190">
        <v>56555097.539999999</v>
      </c>
      <c r="AR10" s="190">
        <v>29891563.379999999</v>
      </c>
      <c r="AS10" s="190">
        <v>0</v>
      </c>
    </row>
    <row r="11" spans="1:45" x14ac:dyDescent="0.25">
      <c r="A11" s="190" t="s">
        <v>227</v>
      </c>
      <c r="B11" s="190">
        <v>645690207.60000002</v>
      </c>
      <c r="C11" s="190">
        <v>377481174.27999997</v>
      </c>
      <c r="D11" s="190">
        <v>227424740.84</v>
      </c>
      <c r="E11" s="190">
        <v>750836819.39999998</v>
      </c>
      <c r="F11" s="190">
        <v>411552788.95999998</v>
      </c>
      <c r="G11" s="190">
        <v>326441874.16000003</v>
      </c>
      <c r="H11" s="190">
        <v>195903192.47999999</v>
      </c>
      <c r="I11" s="190">
        <v>525065827.88</v>
      </c>
      <c r="J11" s="190">
        <v>394856602.85000002</v>
      </c>
      <c r="K11" s="190">
        <v>271394385.69999999</v>
      </c>
      <c r="L11" s="190">
        <v>204743892.91999999</v>
      </c>
      <c r="M11" s="190">
        <v>393887746.22000003</v>
      </c>
      <c r="N11" s="190">
        <v>422474438.42000002</v>
      </c>
      <c r="O11" s="190">
        <v>245608549.75</v>
      </c>
      <c r="P11" s="190">
        <v>117690135.44</v>
      </c>
      <c r="Q11" s="190">
        <v>333641123.52999997</v>
      </c>
      <c r="R11" s="190">
        <v>241727495.61000001</v>
      </c>
      <c r="S11" s="190">
        <v>144555353.72</v>
      </c>
      <c r="T11" s="190">
        <v>73905541.730000004</v>
      </c>
      <c r="U11" s="190">
        <v>291755366</v>
      </c>
      <c r="V11" s="190">
        <v>232055688.18000001</v>
      </c>
      <c r="W11" s="190">
        <v>148507385.22999999</v>
      </c>
      <c r="X11" s="190">
        <v>73546397.310000002</v>
      </c>
      <c r="Y11" s="190">
        <v>319799928.12</v>
      </c>
      <c r="Z11" s="190">
        <v>242432179.91</v>
      </c>
      <c r="AA11" s="190">
        <v>160300326.22</v>
      </c>
      <c r="AB11" s="190">
        <v>82963405.670000002</v>
      </c>
      <c r="AC11" s="190">
        <v>296099368.13</v>
      </c>
      <c r="AD11" s="190">
        <v>161831527.66999999</v>
      </c>
      <c r="AE11" s="190">
        <v>98593115.519999996</v>
      </c>
      <c r="AF11" s="190">
        <v>46544245.399999999</v>
      </c>
      <c r="AG11" s="190">
        <v>221271208.59999999</v>
      </c>
      <c r="AH11" s="190">
        <v>103501913.72</v>
      </c>
      <c r="AI11" s="190">
        <v>64788133.130000003</v>
      </c>
      <c r="AJ11" s="190">
        <v>35547513.68</v>
      </c>
      <c r="AK11" s="190">
        <v>124447740.73999999</v>
      </c>
      <c r="AL11" s="190">
        <v>93604614.079999998</v>
      </c>
      <c r="AM11" s="190">
        <v>51656900.149999999</v>
      </c>
      <c r="AN11" s="190">
        <v>27595121.879999999</v>
      </c>
      <c r="AO11" s="190">
        <v>107063531.11</v>
      </c>
      <c r="AP11" s="190">
        <v>80582694.760000005</v>
      </c>
      <c r="AQ11" s="190">
        <v>82751132.700000003</v>
      </c>
      <c r="AR11" s="190">
        <v>64474681.060000002</v>
      </c>
      <c r="AS11" s="190">
        <v>0</v>
      </c>
    </row>
    <row r="12" spans="1:45" x14ac:dyDescent="0.25">
      <c r="A12" s="190" t="s">
        <v>228</v>
      </c>
      <c r="B12" s="190">
        <v>4435969675.0200005</v>
      </c>
      <c r="C12" s="190">
        <v>2866076698.6799998</v>
      </c>
      <c r="D12" s="190">
        <v>1413162952.6099999</v>
      </c>
      <c r="E12" s="190">
        <v>5333508807.9399996</v>
      </c>
      <c r="F12" s="190">
        <v>3542336663.5300002</v>
      </c>
      <c r="G12" s="190">
        <v>2336576752.7600002</v>
      </c>
      <c r="H12" s="190">
        <v>1176691955.9300001</v>
      </c>
      <c r="I12" s="190">
        <v>3219495343.46</v>
      </c>
      <c r="J12" s="190">
        <v>2358260381.3899999</v>
      </c>
      <c r="K12" s="190">
        <v>1548818396.0899999</v>
      </c>
      <c r="L12" s="190">
        <v>795629696.35000002</v>
      </c>
      <c r="M12" s="190">
        <v>2997942705.4200001</v>
      </c>
      <c r="N12" s="190">
        <v>2117902563.25</v>
      </c>
      <c r="O12" s="190">
        <v>1351973988.48</v>
      </c>
      <c r="P12" s="190">
        <v>694559285.88999999</v>
      </c>
      <c r="Q12" s="190">
        <v>2838550286.7199998</v>
      </c>
      <c r="R12" s="190">
        <v>1944559579.6400001</v>
      </c>
      <c r="S12" s="190">
        <v>1249354659.75</v>
      </c>
      <c r="T12" s="190">
        <v>654467841.35000002</v>
      </c>
      <c r="U12" s="190">
        <v>2618144110.1399999</v>
      </c>
      <c r="V12" s="190">
        <v>1973859269.1500001</v>
      </c>
      <c r="W12" s="190">
        <v>1395772311</v>
      </c>
      <c r="X12" s="190">
        <v>677105158.87</v>
      </c>
      <c r="Y12" s="190">
        <v>2950853046.25</v>
      </c>
      <c r="Z12" s="190">
        <v>2138496863.53</v>
      </c>
      <c r="AA12" s="190">
        <v>1399726524.9100001</v>
      </c>
      <c r="AB12" s="190">
        <v>693297802.67999995</v>
      </c>
      <c r="AC12" s="190">
        <v>2507240885.75</v>
      </c>
      <c r="AD12" s="190">
        <v>1768144702.5699999</v>
      </c>
      <c r="AE12" s="190">
        <v>1193414022.1099999</v>
      </c>
      <c r="AF12" s="190">
        <v>629074467.52999997</v>
      </c>
      <c r="AG12" s="190">
        <v>1974468193.97</v>
      </c>
      <c r="AH12" s="190">
        <v>1357333447.79</v>
      </c>
      <c r="AI12" s="190">
        <v>829017933.01999998</v>
      </c>
      <c r="AJ12" s="190">
        <v>395320823.61000001</v>
      </c>
      <c r="AK12" s="190">
        <v>1197242428.47</v>
      </c>
      <c r="AL12" s="190">
        <v>747018649.48000002</v>
      </c>
      <c r="AM12" s="190">
        <v>453775829.69999999</v>
      </c>
      <c r="AN12" s="190">
        <v>252436521.90000001</v>
      </c>
      <c r="AO12" s="190">
        <v>945519760.70000005</v>
      </c>
      <c r="AP12" s="190">
        <v>698072526.60000002</v>
      </c>
      <c r="AQ12" s="190">
        <v>705782423.28999996</v>
      </c>
      <c r="AR12" s="190">
        <v>736875332.92999995</v>
      </c>
      <c r="AS12" s="190">
        <v>0</v>
      </c>
    </row>
    <row r="13" spans="1:45" x14ac:dyDescent="0.25">
      <c r="A13" s="190" t="s">
        <v>229</v>
      </c>
      <c r="B13" s="190">
        <v>-204865802.30000001</v>
      </c>
      <c r="C13" s="190">
        <v>-34056397.049999997</v>
      </c>
      <c r="D13" s="190">
        <v>-21880228.300000001</v>
      </c>
      <c r="E13" s="190">
        <v>398329906.70999998</v>
      </c>
      <c r="F13" s="190">
        <v>22057931.399999999</v>
      </c>
      <c r="G13" s="190">
        <v>-108047538.38</v>
      </c>
      <c r="H13" s="190">
        <v>91197203.870000005</v>
      </c>
      <c r="I13" s="190">
        <v>505346104.88999999</v>
      </c>
      <c r="J13" s="190">
        <v>222610853.25999999</v>
      </c>
      <c r="K13" s="190">
        <v>52297990.909999996</v>
      </c>
      <c r="L13" s="190">
        <v>80416090.650000006</v>
      </c>
      <c r="M13" s="190">
        <v>339503977.39999998</v>
      </c>
      <c r="N13" s="190">
        <v>190646009.99000001</v>
      </c>
      <c r="O13" s="190">
        <v>70588324.090000004</v>
      </c>
      <c r="P13" s="190">
        <v>142675186.96000001</v>
      </c>
      <c r="Q13" s="190">
        <v>508017310.10000002</v>
      </c>
      <c r="R13" s="190">
        <v>321017919.66000003</v>
      </c>
      <c r="S13" s="190">
        <v>84241772.310000002</v>
      </c>
      <c r="T13" s="190">
        <v>165971258.36000001</v>
      </c>
      <c r="U13" s="190">
        <v>413669738.88</v>
      </c>
      <c r="V13" s="190">
        <v>176625941.65000001</v>
      </c>
      <c r="W13" s="190">
        <v>-63675890.590000004</v>
      </c>
      <c r="X13" s="190">
        <v>37386371.759999998</v>
      </c>
      <c r="Y13" s="190">
        <v>246398895.37</v>
      </c>
      <c r="Z13" s="190">
        <v>20417199.34</v>
      </c>
      <c r="AA13" s="190">
        <v>-157738332.30000001</v>
      </c>
      <c r="AB13" s="190">
        <v>42416729.969999999</v>
      </c>
      <c r="AC13" s="190">
        <v>306295910.07999998</v>
      </c>
      <c r="AD13" s="190">
        <v>209983030.33000001</v>
      </c>
      <c r="AE13" s="190">
        <v>52398903.630000003</v>
      </c>
      <c r="AF13" s="190">
        <v>124686672.64</v>
      </c>
      <c r="AG13" s="190">
        <v>132187072.02</v>
      </c>
      <c r="AH13" s="190">
        <v>679972.5</v>
      </c>
      <c r="AI13" s="190">
        <v>-34746417.619999997</v>
      </c>
      <c r="AJ13" s="190">
        <v>61533081.909999996</v>
      </c>
      <c r="AK13" s="190">
        <v>134205495.3</v>
      </c>
      <c r="AL13" s="190">
        <v>89952114.109999999</v>
      </c>
      <c r="AM13" s="190">
        <v>23159448.66</v>
      </c>
      <c r="AN13" s="190">
        <v>52529154.340000004</v>
      </c>
      <c r="AO13" s="190">
        <v>108319136.56999999</v>
      </c>
      <c r="AP13" s="190">
        <v>34728334.869999997</v>
      </c>
      <c r="AQ13" s="190">
        <v>44102238.759999998</v>
      </c>
      <c r="AR13" s="190">
        <v>17055404.859999999</v>
      </c>
      <c r="AS13" s="190">
        <v>0</v>
      </c>
    </row>
    <row r="14" spans="1:45" x14ac:dyDescent="0.25">
      <c r="A14" s="190" t="s">
        <v>230</v>
      </c>
    </row>
    <row r="15" spans="1:45" x14ac:dyDescent="0.25">
      <c r="A15" s="190" t="s">
        <v>231</v>
      </c>
      <c r="B15" s="190">
        <v>1804541096.9200001</v>
      </c>
      <c r="C15" s="190">
        <v>1111375176.46</v>
      </c>
      <c r="D15" s="190">
        <v>519453736.31</v>
      </c>
      <c r="E15" s="190">
        <v>160000000</v>
      </c>
      <c r="F15" s="190">
        <v>1215475000</v>
      </c>
      <c r="G15" s="190">
        <v>874575000</v>
      </c>
      <c r="H15" s="190">
        <v>141400000</v>
      </c>
      <c r="I15" s="190">
        <v>1839535840</v>
      </c>
      <c r="J15" s="190">
        <v>1074457920</v>
      </c>
      <c r="K15" s="190">
        <v>974667920</v>
      </c>
      <c r="L15" s="190">
        <v>337267920</v>
      </c>
      <c r="M15" s="190">
        <v>1007062463.98</v>
      </c>
      <c r="N15" s="190">
        <v>698850000</v>
      </c>
      <c r="O15" s="190">
        <v>410950000</v>
      </c>
      <c r="P15" s="190">
        <v>103000000</v>
      </c>
      <c r="Q15" s="190">
        <v>867540000</v>
      </c>
      <c r="R15" s="190">
        <v>644540000</v>
      </c>
      <c r="S15" s="190">
        <v>479000000</v>
      </c>
      <c r="T15" s="190">
        <v>40000000</v>
      </c>
      <c r="U15" s="190">
        <v>801610277.75</v>
      </c>
      <c r="V15" s="190">
        <v>400000000</v>
      </c>
      <c r="W15" s="190">
        <v>300000000</v>
      </c>
      <c r="X15" s="190">
        <v>150000000</v>
      </c>
      <c r="Y15" s="190">
        <v>300000000</v>
      </c>
      <c r="Z15" s="190">
        <v>0</v>
      </c>
      <c r="AA15" s="190">
        <v>0</v>
      </c>
      <c r="AB15" s="190">
        <v>0</v>
      </c>
      <c r="AC15" s="190">
        <v>0</v>
      </c>
      <c r="AD15" s="190">
        <v>0</v>
      </c>
      <c r="AE15" s="190">
        <v>0</v>
      </c>
      <c r="AF15" s="190">
        <v>0</v>
      </c>
      <c r="AG15" s="190">
        <v>0</v>
      </c>
      <c r="AH15" s="190">
        <v>0</v>
      </c>
      <c r="AI15" s="190">
        <v>0</v>
      </c>
      <c r="AJ15" s="190">
        <v>0</v>
      </c>
      <c r="AK15" s="190">
        <v>0</v>
      </c>
      <c r="AL15" s="190">
        <v>0</v>
      </c>
      <c r="AM15" s="190">
        <v>0</v>
      </c>
      <c r="AN15" s="190">
        <v>0</v>
      </c>
      <c r="AO15" s="190">
        <v>5000000</v>
      </c>
      <c r="AP15" s="190">
        <v>196.18</v>
      </c>
      <c r="AQ15" s="190">
        <v>0</v>
      </c>
      <c r="AR15" s="190">
        <v>0</v>
      </c>
      <c r="AS15" s="190">
        <v>0</v>
      </c>
    </row>
    <row r="16" spans="1:45" x14ac:dyDescent="0.25">
      <c r="A16" s="190" t="s">
        <v>232</v>
      </c>
      <c r="B16" s="190">
        <v>38393642.700000003</v>
      </c>
      <c r="C16" s="190">
        <v>28971565.489999998</v>
      </c>
      <c r="D16" s="190">
        <v>10463811.960000001</v>
      </c>
      <c r="E16" s="190">
        <v>24089602.609999999</v>
      </c>
      <c r="F16" s="190">
        <v>39173632.07</v>
      </c>
      <c r="G16" s="190">
        <v>38921356.93</v>
      </c>
      <c r="H16" s="190">
        <v>775003.99</v>
      </c>
      <c r="I16" s="190">
        <v>29280546.920000002</v>
      </c>
      <c r="J16" s="190">
        <v>20610189.93</v>
      </c>
      <c r="K16" s="190">
        <v>14837689.359999999</v>
      </c>
      <c r="L16" s="190">
        <v>11716750.23</v>
      </c>
      <c r="M16" s="190">
        <v>58040123.560000002</v>
      </c>
      <c r="N16" s="190">
        <v>19591213.079999998</v>
      </c>
      <c r="O16" s="190">
        <v>6847066.7599999998</v>
      </c>
      <c r="P16" s="190">
        <v>905742.51</v>
      </c>
      <c r="Q16" s="190">
        <v>17154949.390000001</v>
      </c>
      <c r="R16" s="190">
        <v>12541798.699999999</v>
      </c>
      <c r="S16" s="190">
        <v>8222955.0800000001</v>
      </c>
      <c r="T16" s="190">
        <v>361640</v>
      </c>
      <c r="U16" s="190">
        <v>5457633.1399999997</v>
      </c>
      <c r="V16" s="190">
        <v>4203934.51</v>
      </c>
      <c r="W16" s="190">
        <v>2848888.85</v>
      </c>
      <c r="X16" s="190">
        <v>1078666.6599999999</v>
      </c>
      <c r="Y16" s="190">
        <v>929555.19</v>
      </c>
      <c r="Z16" s="190">
        <v>0</v>
      </c>
      <c r="AA16" s="190">
        <v>0</v>
      </c>
      <c r="AB16" s="190">
        <v>0</v>
      </c>
      <c r="AC16" s="190">
        <v>0</v>
      </c>
      <c r="AD16" s="190">
        <v>0</v>
      </c>
      <c r="AE16" s="190">
        <v>0</v>
      </c>
      <c r="AF16" s="190">
        <v>0</v>
      </c>
      <c r="AG16" s="190">
        <v>0</v>
      </c>
      <c r="AH16" s="190">
        <v>0</v>
      </c>
      <c r="AI16" s="190">
        <v>0</v>
      </c>
      <c r="AJ16" s="190">
        <v>0</v>
      </c>
      <c r="AK16" s="190">
        <v>0</v>
      </c>
      <c r="AL16" s="190">
        <v>0</v>
      </c>
      <c r="AM16" s="190">
        <v>0</v>
      </c>
      <c r="AN16" s="190">
        <v>0</v>
      </c>
      <c r="AO16" s="190">
        <v>13376.7</v>
      </c>
      <c r="AP16" s="190">
        <v>0</v>
      </c>
      <c r="AQ16" s="190">
        <v>0</v>
      </c>
      <c r="AR16" s="190">
        <v>0</v>
      </c>
      <c r="AS16" s="190">
        <v>0</v>
      </c>
    </row>
    <row r="17" spans="1:45" x14ac:dyDescent="0.25">
      <c r="A17" s="190" t="s">
        <v>233</v>
      </c>
      <c r="B17" s="190">
        <v>10241.66</v>
      </c>
      <c r="C17" s="190">
        <v>600</v>
      </c>
      <c r="D17" s="190">
        <v>0</v>
      </c>
      <c r="E17" s="190">
        <v>4970142.3499999996</v>
      </c>
      <c r="F17" s="190">
        <v>16430.900000000001</v>
      </c>
      <c r="G17" s="190">
        <v>16056.83</v>
      </c>
      <c r="H17" s="190">
        <v>-4906.3999999999996</v>
      </c>
      <c r="I17" s="190">
        <v>1855089.14</v>
      </c>
      <c r="J17" s="190">
        <v>156931.23000000001</v>
      </c>
      <c r="K17" s="190">
        <v>134596.9</v>
      </c>
      <c r="L17" s="190">
        <v>64015.67</v>
      </c>
      <c r="M17" s="190">
        <v>322189.39</v>
      </c>
      <c r="N17" s="190">
        <v>1341303.94</v>
      </c>
      <c r="O17" s="190">
        <v>1140990.74</v>
      </c>
      <c r="P17" s="190">
        <v>201441.39</v>
      </c>
      <c r="Q17" s="190">
        <v>767115.55</v>
      </c>
      <c r="R17" s="190">
        <v>292580</v>
      </c>
      <c r="S17" s="190">
        <v>470402.8</v>
      </c>
      <c r="T17" s="190">
        <v>0</v>
      </c>
      <c r="U17" s="190">
        <v>182405.1</v>
      </c>
      <c r="V17" s="190">
        <v>0</v>
      </c>
      <c r="W17" s="190">
        <v>0</v>
      </c>
      <c r="X17" s="190">
        <v>0</v>
      </c>
      <c r="Y17" s="190">
        <v>1292966.78</v>
      </c>
      <c r="Z17" s="190">
        <v>0</v>
      </c>
      <c r="AA17" s="190">
        <v>0</v>
      </c>
      <c r="AB17" s="190">
        <v>0</v>
      </c>
      <c r="AC17" s="190">
        <v>853849.7</v>
      </c>
      <c r="AD17" s="190">
        <v>482261.34</v>
      </c>
      <c r="AE17" s="190">
        <v>325258.98</v>
      </c>
      <c r="AF17" s="190">
        <v>0</v>
      </c>
      <c r="AG17" s="190">
        <v>399690.97</v>
      </c>
      <c r="AH17" s="190">
        <v>130179.67</v>
      </c>
      <c r="AI17" s="190">
        <v>5000</v>
      </c>
      <c r="AJ17" s="190">
        <v>5000</v>
      </c>
      <c r="AK17" s="190">
        <v>75561.5</v>
      </c>
      <c r="AL17" s="190">
        <v>69681.5</v>
      </c>
      <c r="AM17" s="190">
        <v>69681.5</v>
      </c>
      <c r="AN17" s="190">
        <v>69681.5</v>
      </c>
      <c r="AO17" s="190">
        <v>177708.28</v>
      </c>
      <c r="AP17" s="190">
        <v>146608.28</v>
      </c>
      <c r="AQ17" s="190">
        <v>67600</v>
      </c>
      <c r="AR17" s="190">
        <v>83000</v>
      </c>
      <c r="AS17" s="190">
        <v>0</v>
      </c>
    </row>
    <row r="18" spans="1:45" x14ac:dyDescent="0.25">
      <c r="A18" s="190" t="s">
        <v>234</v>
      </c>
      <c r="B18" s="190">
        <v>0</v>
      </c>
      <c r="C18" s="190">
        <v>0</v>
      </c>
      <c r="D18" s="190">
        <v>0</v>
      </c>
      <c r="E18" s="190">
        <v>24066027.059999999</v>
      </c>
      <c r="F18" s="190">
        <v>-109372.6</v>
      </c>
      <c r="G18" s="190">
        <v>-109372.6</v>
      </c>
      <c r="H18" s="190">
        <v>0</v>
      </c>
      <c r="I18" s="190">
        <v>0</v>
      </c>
      <c r="J18" s="190">
        <v>0</v>
      </c>
      <c r="K18" s="190">
        <v>0</v>
      </c>
      <c r="L18" s="190">
        <v>0</v>
      </c>
      <c r="M18" s="190">
        <v>0</v>
      </c>
      <c r="N18" s="190">
        <v>0</v>
      </c>
      <c r="O18" s="190">
        <v>0</v>
      </c>
      <c r="P18" s="190">
        <v>0</v>
      </c>
      <c r="Q18" s="190">
        <v>0</v>
      </c>
      <c r="R18" s="190">
        <v>0</v>
      </c>
      <c r="S18" s="190">
        <v>0</v>
      </c>
      <c r="T18" s="190">
        <v>0</v>
      </c>
      <c r="U18" s="190">
        <v>0</v>
      </c>
      <c r="V18" s="190">
        <v>0</v>
      </c>
      <c r="W18" s="190">
        <v>0</v>
      </c>
      <c r="X18" s="190">
        <v>0</v>
      </c>
      <c r="Y18" s="190">
        <v>0</v>
      </c>
      <c r="Z18" s="190">
        <v>0</v>
      </c>
      <c r="AA18" s="190">
        <v>0</v>
      </c>
      <c r="AB18" s="190">
        <v>0</v>
      </c>
      <c r="AC18" s="190">
        <v>0</v>
      </c>
      <c r="AD18" s="190">
        <v>0</v>
      </c>
      <c r="AE18" s="190">
        <v>0</v>
      </c>
      <c r="AF18" s="190">
        <v>0</v>
      </c>
      <c r="AG18" s="190">
        <v>0</v>
      </c>
      <c r="AH18" s="190">
        <v>0</v>
      </c>
      <c r="AI18" s="190">
        <v>0</v>
      </c>
      <c r="AJ18" s="190">
        <v>0</v>
      </c>
      <c r="AK18" s="190">
        <v>0</v>
      </c>
      <c r="AL18" s="190">
        <v>0</v>
      </c>
      <c r="AM18" s="190">
        <v>0</v>
      </c>
      <c r="AN18" s="190">
        <v>0</v>
      </c>
      <c r="AO18" s="190">
        <v>0</v>
      </c>
      <c r="AP18" s="190">
        <v>0</v>
      </c>
      <c r="AQ18" s="190">
        <v>0</v>
      </c>
      <c r="AR18" s="190">
        <v>0</v>
      </c>
      <c r="AS18" s="190">
        <v>0</v>
      </c>
    </row>
    <row r="19" spans="1:45" x14ac:dyDescent="0.25">
      <c r="A19" s="190" t="s">
        <v>235</v>
      </c>
      <c r="B19" s="190">
        <v>10139651.189999999</v>
      </c>
      <c r="C19" s="190">
        <v>6334385.0199999996</v>
      </c>
      <c r="D19" s="190">
        <v>1059201.21</v>
      </c>
      <c r="E19" s="190">
        <v>10783199.210000001</v>
      </c>
      <c r="F19" s="190">
        <v>8314394.0099999998</v>
      </c>
      <c r="G19" s="190">
        <v>5128441.34</v>
      </c>
      <c r="H19" s="190">
        <v>3025013.07</v>
      </c>
      <c r="I19" s="190">
        <v>11108095.51</v>
      </c>
      <c r="J19" s="190">
        <v>9075814.5800000001</v>
      </c>
      <c r="K19" s="190">
        <v>5556768.0599999996</v>
      </c>
      <c r="L19" s="190">
        <v>2690893.2</v>
      </c>
      <c r="M19" s="190">
        <v>16376067.49</v>
      </c>
      <c r="N19" s="190">
        <v>11161964.449999999</v>
      </c>
      <c r="O19" s="190">
        <v>7815296.0499999998</v>
      </c>
      <c r="P19" s="190">
        <v>4473532.66</v>
      </c>
      <c r="Q19" s="190">
        <v>22965161.149999999</v>
      </c>
      <c r="R19" s="190">
        <v>18841361.899999999</v>
      </c>
      <c r="S19" s="190">
        <v>13568433.449999999</v>
      </c>
      <c r="T19" s="190">
        <v>8215733.4299999997</v>
      </c>
      <c r="U19" s="190">
        <v>21250799.57</v>
      </c>
      <c r="V19" s="190">
        <v>17242614.030000001</v>
      </c>
      <c r="W19" s="190">
        <v>12232482.35</v>
      </c>
      <c r="X19" s="190">
        <v>41366684.850000001</v>
      </c>
      <c r="Y19" s="190">
        <v>21648438.039999999</v>
      </c>
      <c r="Z19" s="190">
        <v>17031128.18</v>
      </c>
      <c r="AA19" s="190">
        <v>13183197.060000001</v>
      </c>
      <c r="AB19" s="190">
        <v>4640980.83</v>
      </c>
      <c r="AC19" s="190">
        <v>26564136.870000001</v>
      </c>
      <c r="AD19" s="190">
        <v>18192528.210000001</v>
      </c>
      <c r="AE19" s="190">
        <v>7726340.1699999999</v>
      </c>
      <c r="AF19" s="190">
        <v>5736684.4199999999</v>
      </c>
      <c r="AG19" s="190">
        <v>19776413.390000001</v>
      </c>
      <c r="AH19" s="190">
        <v>13370038.789999999</v>
      </c>
      <c r="AI19" s="190">
        <v>3767451.67</v>
      </c>
      <c r="AJ19" s="190">
        <v>2156345.4300000002</v>
      </c>
      <c r="AK19" s="190">
        <v>1569307.04</v>
      </c>
      <c r="AL19" s="190">
        <v>1007556.28</v>
      </c>
      <c r="AM19" s="190">
        <v>332757.83</v>
      </c>
      <c r="AN19" s="190">
        <v>124819.55</v>
      </c>
      <c r="AO19" s="190">
        <v>327307.21999999997</v>
      </c>
      <c r="AP19" s="190">
        <v>200528.54</v>
      </c>
      <c r="AQ19" s="190">
        <v>164177.66</v>
      </c>
      <c r="AR19" s="190">
        <v>110048.98</v>
      </c>
      <c r="AS19" s="190">
        <v>0</v>
      </c>
    </row>
    <row r="20" spans="1:45" x14ac:dyDescent="0.25">
      <c r="A20" s="190" t="s">
        <v>236</v>
      </c>
      <c r="B20" s="190">
        <v>1853084632.47</v>
      </c>
      <c r="C20" s="190">
        <v>1146681726.97</v>
      </c>
      <c r="D20" s="190">
        <v>530976749.48000002</v>
      </c>
      <c r="E20" s="190">
        <v>223908971.22999999</v>
      </c>
      <c r="F20" s="190">
        <v>1262870084.3800001</v>
      </c>
      <c r="G20" s="190">
        <v>918531482.5</v>
      </c>
      <c r="H20" s="190">
        <v>145195110.66</v>
      </c>
      <c r="I20" s="190">
        <v>1881779571.5699999</v>
      </c>
      <c r="J20" s="190">
        <v>1104300855.74</v>
      </c>
      <c r="K20" s="190">
        <v>995196974.32000005</v>
      </c>
      <c r="L20" s="190">
        <v>351739579.10000002</v>
      </c>
      <c r="M20" s="190">
        <v>1081800844.4200001</v>
      </c>
      <c r="N20" s="190">
        <v>730944481.47000003</v>
      </c>
      <c r="O20" s="190">
        <v>426753353.55000001</v>
      </c>
      <c r="P20" s="190">
        <v>108580716.56</v>
      </c>
      <c r="Q20" s="190">
        <v>908427226.09000003</v>
      </c>
      <c r="R20" s="190">
        <v>676215740.60000002</v>
      </c>
      <c r="S20" s="190">
        <v>501261791.32999998</v>
      </c>
      <c r="T20" s="190">
        <v>48577373.43</v>
      </c>
      <c r="U20" s="190">
        <v>828501115.55999994</v>
      </c>
      <c r="V20" s="190">
        <v>421446548.54000002</v>
      </c>
      <c r="W20" s="190">
        <v>315081371.19999999</v>
      </c>
      <c r="X20" s="190">
        <v>192445351.50999999</v>
      </c>
      <c r="Y20" s="190">
        <v>323870960.00999999</v>
      </c>
      <c r="Z20" s="190">
        <v>17031128.18</v>
      </c>
      <c r="AA20" s="190">
        <v>13183197.060000001</v>
      </c>
      <c r="AB20" s="190">
        <v>4640980.83</v>
      </c>
      <c r="AC20" s="190">
        <v>27417986.57</v>
      </c>
      <c r="AD20" s="190">
        <v>18674789.550000001</v>
      </c>
      <c r="AE20" s="190">
        <v>8051599.1500000004</v>
      </c>
      <c r="AF20" s="190">
        <v>5736684.4199999999</v>
      </c>
      <c r="AG20" s="190">
        <v>20176104.359999999</v>
      </c>
      <c r="AH20" s="190">
        <v>13500218.460000001</v>
      </c>
      <c r="AI20" s="190">
        <v>3772451.67</v>
      </c>
      <c r="AJ20" s="190">
        <v>2161345.4300000002</v>
      </c>
      <c r="AK20" s="190">
        <v>1644868.54</v>
      </c>
      <c r="AL20" s="190">
        <v>1077237.78</v>
      </c>
      <c r="AM20" s="190">
        <v>402439.33</v>
      </c>
      <c r="AN20" s="190">
        <v>194501.05</v>
      </c>
      <c r="AO20" s="190">
        <v>5518392.2000000002</v>
      </c>
      <c r="AP20" s="190">
        <v>347333</v>
      </c>
      <c r="AQ20" s="190">
        <v>231777.66</v>
      </c>
      <c r="AR20" s="190">
        <v>193048.98</v>
      </c>
      <c r="AS20" s="190">
        <v>0</v>
      </c>
    </row>
    <row r="21" spans="1:45" x14ac:dyDescent="0.25">
      <c r="A21" s="190" t="s">
        <v>237</v>
      </c>
      <c r="B21" s="190">
        <v>60220811.460000001</v>
      </c>
      <c r="C21" s="190">
        <v>24578275.809999999</v>
      </c>
      <c r="D21" s="190">
        <v>17777812.129999999</v>
      </c>
      <c r="E21" s="190">
        <v>28835553.52</v>
      </c>
      <c r="F21" s="190">
        <v>39181672.270000003</v>
      </c>
      <c r="G21" s="190">
        <v>21317356.91</v>
      </c>
      <c r="H21" s="190">
        <v>12171223.18</v>
      </c>
      <c r="I21" s="190">
        <v>63446137.460000001</v>
      </c>
      <c r="J21" s="190">
        <v>52056893.68</v>
      </c>
      <c r="K21" s="190">
        <v>43674678.600000001</v>
      </c>
      <c r="L21" s="190">
        <v>12840007.220000001</v>
      </c>
      <c r="M21" s="190">
        <v>61224048.009999998</v>
      </c>
      <c r="N21" s="190">
        <v>32123532.359999999</v>
      </c>
      <c r="O21" s="190">
        <v>26300609.809999999</v>
      </c>
      <c r="P21" s="190">
        <v>13845204</v>
      </c>
      <c r="Q21" s="190">
        <v>47393806.950000003</v>
      </c>
      <c r="R21" s="190">
        <v>37578946.32</v>
      </c>
      <c r="S21" s="190">
        <v>20172843.32</v>
      </c>
      <c r="T21" s="190">
        <v>12460552.4</v>
      </c>
      <c r="U21" s="190">
        <v>174980422.69999999</v>
      </c>
      <c r="V21" s="190">
        <v>102571002.12</v>
      </c>
      <c r="W21" s="190">
        <v>40184926.649999999</v>
      </c>
      <c r="X21" s="190">
        <v>9600247.1899999995</v>
      </c>
      <c r="Y21" s="190">
        <v>176241441.44999999</v>
      </c>
      <c r="Z21" s="190">
        <v>96368336.950000003</v>
      </c>
      <c r="AA21" s="190">
        <v>49657024.939999998</v>
      </c>
      <c r="AB21" s="190">
        <v>35348778.57</v>
      </c>
      <c r="AC21" s="190">
        <v>188578926.15000001</v>
      </c>
      <c r="AD21" s="190">
        <v>103961370.38</v>
      </c>
      <c r="AE21" s="190">
        <v>56004281.920000002</v>
      </c>
      <c r="AF21" s="190">
        <v>35697092.039999999</v>
      </c>
      <c r="AG21" s="190">
        <v>51934506.200000003</v>
      </c>
      <c r="AH21" s="190">
        <v>20892529.25</v>
      </c>
      <c r="AI21" s="190">
        <v>5646578.3600000003</v>
      </c>
      <c r="AJ21" s="190">
        <v>2260622.92</v>
      </c>
      <c r="AK21" s="190">
        <v>26471414.289999999</v>
      </c>
      <c r="AL21" s="190">
        <v>3967162.18</v>
      </c>
      <c r="AM21" s="190">
        <v>3541198.67</v>
      </c>
      <c r="AN21" s="190">
        <v>2807412.67</v>
      </c>
      <c r="AO21" s="190">
        <v>32359339.129999999</v>
      </c>
      <c r="AP21" s="190">
        <v>25461777.760000002</v>
      </c>
      <c r="AQ21" s="190">
        <v>19660820.329999998</v>
      </c>
      <c r="AR21" s="190">
        <v>12054338.48</v>
      </c>
      <c r="AS21" s="190">
        <v>0</v>
      </c>
    </row>
    <row r="22" spans="1:45" x14ac:dyDescent="0.25">
      <c r="A22" s="190" t="s">
        <v>238</v>
      </c>
      <c r="B22" s="190">
        <v>1510816263.6800001</v>
      </c>
      <c r="C22" s="190">
        <v>945810263.69000006</v>
      </c>
      <c r="D22" s="190">
        <v>464840000</v>
      </c>
      <c r="E22" s="190">
        <v>541873470.29999995</v>
      </c>
      <c r="F22" s="190">
        <v>1416100000</v>
      </c>
      <c r="G22" s="190">
        <v>716700000</v>
      </c>
      <c r="H22" s="190">
        <v>198515200</v>
      </c>
      <c r="I22" s="190">
        <v>2027111639.0599999</v>
      </c>
      <c r="J22" s="190">
        <v>1438430790</v>
      </c>
      <c r="K22" s="190">
        <v>1056401875</v>
      </c>
      <c r="L22" s="190">
        <v>314340253.99000001</v>
      </c>
      <c r="M22" s="190">
        <v>1177383586.3299999</v>
      </c>
      <c r="N22" s="190">
        <v>526241278.39999998</v>
      </c>
      <c r="O22" s="190">
        <v>222686000</v>
      </c>
      <c r="P22" s="190">
        <v>214631257.19</v>
      </c>
      <c r="Q22" s="190">
        <v>1423250000</v>
      </c>
      <c r="R22" s="190">
        <v>1164750000</v>
      </c>
      <c r="S22" s="190">
        <v>564000000</v>
      </c>
      <c r="T22" s="190">
        <v>249665000</v>
      </c>
      <c r="U22" s="190">
        <v>992150277.75</v>
      </c>
      <c r="V22" s="190">
        <v>450000000</v>
      </c>
      <c r="W22" s="190">
        <v>400000000</v>
      </c>
      <c r="X22" s="190">
        <v>300000000</v>
      </c>
      <c r="Y22" s="190">
        <v>300000000</v>
      </c>
      <c r="Z22" s="190">
        <v>0</v>
      </c>
      <c r="AA22" s="190">
        <v>0</v>
      </c>
      <c r="AB22" s="190">
        <v>0</v>
      </c>
      <c r="AC22" s="190">
        <v>0</v>
      </c>
      <c r="AD22" s="190">
        <v>0</v>
      </c>
      <c r="AE22" s="190">
        <v>0</v>
      </c>
      <c r="AF22" s="190">
        <v>0</v>
      </c>
      <c r="AG22" s="190">
        <v>8640000</v>
      </c>
      <c r="AH22" s="190">
        <v>0</v>
      </c>
      <c r="AI22" s="190">
        <v>0</v>
      </c>
      <c r="AJ22" s="190">
        <v>0</v>
      </c>
      <c r="AK22" s="190">
        <v>328334.73</v>
      </c>
      <c r="AL22" s="190">
        <v>328334.73</v>
      </c>
      <c r="AM22" s="190">
        <v>328334.73</v>
      </c>
      <c r="AN22" s="190">
        <v>328334.73</v>
      </c>
      <c r="AO22" s="190">
        <v>897156</v>
      </c>
      <c r="AP22" s="190">
        <v>897156</v>
      </c>
      <c r="AQ22" s="190">
        <v>5000000</v>
      </c>
      <c r="AR22" s="190">
        <v>0</v>
      </c>
      <c r="AS22" s="190">
        <v>0</v>
      </c>
    </row>
    <row r="23" spans="1:45" x14ac:dyDescent="0.25">
      <c r="A23" s="190" t="s">
        <v>239</v>
      </c>
      <c r="B23" s="190">
        <v>0</v>
      </c>
      <c r="C23" s="190">
        <v>0</v>
      </c>
      <c r="D23" s="190">
        <v>0</v>
      </c>
      <c r="E23" s="190">
        <v>473809034.79000002</v>
      </c>
      <c r="F23" s="190">
        <v>475594004.85000002</v>
      </c>
      <c r="G23" s="190">
        <v>475594004.85000002</v>
      </c>
      <c r="H23" s="190">
        <v>512121087.44999999</v>
      </c>
      <c r="I23" s="190">
        <v>0</v>
      </c>
      <c r="J23" s="190">
        <v>0</v>
      </c>
      <c r="K23" s="190">
        <v>0</v>
      </c>
      <c r="L23" s="190">
        <v>0</v>
      </c>
      <c r="M23" s="190">
        <v>66253681.619999997</v>
      </c>
      <c r="N23" s="190">
        <v>0</v>
      </c>
      <c r="O23" s="190">
        <v>0</v>
      </c>
      <c r="P23" s="190">
        <v>0</v>
      </c>
      <c r="Q23" s="190">
        <v>132325433.64</v>
      </c>
      <c r="R23" s="190">
        <v>0</v>
      </c>
      <c r="S23" s="190">
        <v>0</v>
      </c>
      <c r="T23" s="190">
        <v>0</v>
      </c>
      <c r="U23" s="190">
        <v>0</v>
      </c>
      <c r="V23" s="190">
        <v>0</v>
      </c>
      <c r="W23" s="190">
        <v>0</v>
      </c>
      <c r="X23" s="190">
        <v>0</v>
      </c>
      <c r="Y23" s="190">
        <v>0</v>
      </c>
      <c r="Z23" s="190">
        <v>0</v>
      </c>
      <c r="AA23" s="190">
        <v>0</v>
      </c>
      <c r="AB23" s="190">
        <v>0</v>
      </c>
      <c r="AC23" s="190">
        <v>0</v>
      </c>
      <c r="AD23" s="190">
        <v>0</v>
      </c>
      <c r="AE23" s="190">
        <v>0</v>
      </c>
      <c r="AF23" s="190">
        <v>0</v>
      </c>
      <c r="AG23" s="190">
        <v>0</v>
      </c>
      <c r="AH23" s="190">
        <v>0</v>
      </c>
      <c r="AI23" s="190">
        <v>0</v>
      </c>
      <c r="AJ23" s="190">
        <v>0</v>
      </c>
      <c r="AK23" s="190">
        <v>8317411.9100000001</v>
      </c>
      <c r="AL23" s="190">
        <v>0</v>
      </c>
      <c r="AM23" s="190">
        <v>0</v>
      </c>
      <c r="AN23" s="190">
        <v>0</v>
      </c>
      <c r="AO23" s="190">
        <v>0</v>
      </c>
      <c r="AP23" s="190">
        <v>0</v>
      </c>
      <c r="AQ23" s="190">
        <v>0</v>
      </c>
      <c r="AR23" s="190">
        <v>10409344.18</v>
      </c>
      <c r="AS23" s="190">
        <v>0</v>
      </c>
    </row>
    <row r="24" spans="1:45" x14ac:dyDescent="0.25">
      <c r="A24" s="190" t="s">
        <v>240</v>
      </c>
      <c r="B24" s="190">
        <v>0</v>
      </c>
      <c r="C24" s="190">
        <v>0</v>
      </c>
      <c r="D24" s="190">
        <v>0</v>
      </c>
      <c r="E24" s="190">
        <v>0</v>
      </c>
      <c r="F24" s="190">
        <v>0</v>
      </c>
      <c r="G24" s="190">
        <v>0</v>
      </c>
      <c r="H24" s="190">
        <v>4890020.12</v>
      </c>
      <c r="I24" s="190">
        <v>0</v>
      </c>
      <c r="J24" s="190">
        <v>0</v>
      </c>
      <c r="K24" s="190">
        <v>0</v>
      </c>
      <c r="L24" s="190">
        <v>0</v>
      </c>
      <c r="M24" s="190">
        <v>0</v>
      </c>
      <c r="N24" s="190">
        <v>0</v>
      </c>
      <c r="O24" s="190">
        <v>0</v>
      </c>
      <c r="P24" s="190">
        <v>0</v>
      </c>
      <c r="Q24" s="190">
        <v>0</v>
      </c>
      <c r="R24" s="190">
        <v>0</v>
      </c>
      <c r="S24" s="190">
        <v>0</v>
      </c>
      <c r="T24" s="190">
        <v>0</v>
      </c>
      <c r="U24" s="190">
        <v>0</v>
      </c>
      <c r="V24" s="190">
        <v>0</v>
      </c>
      <c r="W24" s="190">
        <v>0</v>
      </c>
      <c r="X24" s="190">
        <v>35000000</v>
      </c>
      <c r="Y24" s="190">
        <v>0</v>
      </c>
      <c r="Z24" s="190">
        <v>0</v>
      </c>
      <c r="AA24" s="190">
        <v>0</v>
      </c>
      <c r="AB24" s="190">
        <v>0</v>
      </c>
      <c r="AC24" s="190">
        <v>0</v>
      </c>
      <c r="AD24" s="190">
        <v>0</v>
      </c>
      <c r="AE24" s="190">
        <v>0</v>
      </c>
      <c r="AF24" s="190">
        <v>0</v>
      </c>
      <c r="AG24" s="190">
        <v>0</v>
      </c>
      <c r="AH24" s="190">
        <v>0</v>
      </c>
      <c r="AI24" s="190">
        <v>0</v>
      </c>
      <c r="AJ24" s="190">
        <v>0</v>
      </c>
      <c r="AK24" s="190">
        <v>0</v>
      </c>
      <c r="AL24" s="190">
        <v>0</v>
      </c>
      <c r="AM24" s="190">
        <v>0</v>
      </c>
      <c r="AN24" s="190">
        <v>0</v>
      </c>
      <c r="AO24" s="190">
        <v>0</v>
      </c>
      <c r="AP24" s="190">
        <v>0</v>
      </c>
      <c r="AQ24" s="190">
        <v>0</v>
      </c>
      <c r="AR24" s="190">
        <v>0</v>
      </c>
      <c r="AS24" s="190">
        <v>0</v>
      </c>
    </row>
    <row r="25" spans="1:45" x14ac:dyDescent="0.25">
      <c r="A25" s="190" t="s">
        <v>241</v>
      </c>
      <c r="B25" s="190">
        <v>1571037075.1400001</v>
      </c>
      <c r="C25" s="190">
        <v>970388539.5</v>
      </c>
      <c r="D25" s="190">
        <v>482617812.13</v>
      </c>
      <c r="E25" s="190">
        <v>1044518058.61</v>
      </c>
      <c r="F25" s="190">
        <v>1930875677.1199999</v>
      </c>
      <c r="G25" s="190">
        <v>1213611361.76</v>
      </c>
      <c r="H25" s="190">
        <v>727697530.75</v>
      </c>
      <c r="I25" s="190">
        <v>2090557776.52</v>
      </c>
      <c r="J25" s="190">
        <v>1490487683.6800001</v>
      </c>
      <c r="K25" s="190">
        <v>1100076553.5999999</v>
      </c>
      <c r="L25" s="190">
        <v>327180261.20999998</v>
      </c>
      <c r="M25" s="190">
        <v>1304861315.96</v>
      </c>
      <c r="N25" s="190">
        <v>558364810.75999999</v>
      </c>
      <c r="O25" s="190">
        <v>248986609.81</v>
      </c>
      <c r="P25" s="190">
        <v>228476461.19</v>
      </c>
      <c r="Q25" s="190">
        <v>1602969240.5899999</v>
      </c>
      <c r="R25" s="190">
        <v>1202328946.3199999</v>
      </c>
      <c r="S25" s="190">
        <v>584172843.32000005</v>
      </c>
      <c r="T25" s="190">
        <v>262125552.40000001</v>
      </c>
      <c r="U25" s="190">
        <v>1167130700.45</v>
      </c>
      <c r="V25" s="190">
        <v>552571002.12</v>
      </c>
      <c r="W25" s="190">
        <v>440184926.64999998</v>
      </c>
      <c r="X25" s="190">
        <v>344600247.19</v>
      </c>
      <c r="Y25" s="190">
        <v>476241441.44999999</v>
      </c>
      <c r="Z25" s="190">
        <v>96368336.950000003</v>
      </c>
      <c r="AA25" s="190">
        <v>49657024.939999998</v>
      </c>
      <c r="AB25" s="190">
        <v>35348778.57</v>
      </c>
      <c r="AC25" s="190">
        <v>188578926.15000001</v>
      </c>
      <c r="AD25" s="190">
        <v>103961370.38</v>
      </c>
      <c r="AE25" s="190">
        <v>56004281.920000002</v>
      </c>
      <c r="AF25" s="190">
        <v>35697092.039999999</v>
      </c>
      <c r="AG25" s="190">
        <v>60574506.200000003</v>
      </c>
      <c r="AH25" s="190">
        <v>20892529.25</v>
      </c>
      <c r="AI25" s="190">
        <v>5646578.3600000003</v>
      </c>
      <c r="AJ25" s="190">
        <v>2260622.92</v>
      </c>
      <c r="AK25" s="190">
        <v>35117160.93</v>
      </c>
      <c r="AL25" s="190">
        <v>4295496.91</v>
      </c>
      <c r="AM25" s="190">
        <v>3869533.4</v>
      </c>
      <c r="AN25" s="190">
        <v>3135747.4</v>
      </c>
      <c r="AO25" s="190">
        <v>33256495.129999999</v>
      </c>
      <c r="AP25" s="190">
        <v>26358933.760000002</v>
      </c>
      <c r="AQ25" s="190">
        <v>24660820.329999998</v>
      </c>
      <c r="AR25" s="190">
        <v>22463682.66</v>
      </c>
      <c r="AS25" s="190">
        <v>0</v>
      </c>
    </row>
    <row r="26" spans="1:45" x14ac:dyDescent="0.25">
      <c r="A26" s="190" t="s">
        <v>242</v>
      </c>
      <c r="B26" s="190">
        <v>282047557.32999998</v>
      </c>
      <c r="C26" s="190">
        <v>176293187.47</v>
      </c>
      <c r="D26" s="190">
        <v>48358937.350000001</v>
      </c>
      <c r="E26" s="190">
        <v>-820609087.38</v>
      </c>
      <c r="F26" s="190">
        <v>-668005592.74000001</v>
      </c>
      <c r="G26" s="190">
        <v>-295079879.25999999</v>
      </c>
      <c r="H26" s="190">
        <v>-582502420.09000003</v>
      </c>
      <c r="I26" s="190">
        <v>-208778204.94999999</v>
      </c>
      <c r="J26" s="190">
        <v>-386186827.94</v>
      </c>
      <c r="K26" s="190">
        <v>-104879579.28</v>
      </c>
      <c r="L26" s="190">
        <v>24559317.890000001</v>
      </c>
      <c r="M26" s="190">
        <v>-223060471.53999999</v>
      </c>
      <c r="N26" s="190">
        <v>172579670.71000001</v>
      </c>
      <c r="O26" s="190">
        <v>177766743.74000001</v>
      </c>
      <c r="P26" s="190">
        <v>-119895744.63</v>
      </c>
      <c r="Q26" s="190">
        <v>-694542014.5</v>
      </c>
      <c r="R26" s="190">
        <v>-526113205.72000003</v>
      </c>
      <c r="S26" s="190">
        <v>-82911051.989999995</v>
      </c>
      <c r="T26" s="190">
        <v>-213548178.97</v>
      </c>
      <c r="U26" s="190">
        <v>-338629584.88999999</v>
      </c>
      <c r="V26" s="190">
        <v>-131124453.58</v>
      </c>
      <c r="W26" s="190">
        <v>-125103555.45</v>
      </c>
      <c r="X26" s="190">
        <v>-152154895.68000001</v>
      </c>
      <c r="Y26" s="190">
        <v>-152370481.44</v>
      </c>
      <c r="Z26" s="190">
        <v>-79337208.769999996</v>
      </c>
      <c r="AA26" s="190">
        <v>-36473827.880000003</v>
      </c>
      <c r="AB26" s="190">
        <v>-30707797.739999998</v>
      </c>
      <c r="AC26" s="190">
        <v>-161160939.58000001</v>
      </c>
      <c r="AD26" s="190">
        <v>-85286580.829999998</v>
      </c>
      <c r="AE26" s="190">
        <v>-47952682.770000003</v>
      </c>
      <c r="AF26" s="190">
        <v>-29960407.620000001</v>
      </c>
      <c r="AG26" s="190">
        <v>-40398401.840000004</v>
      </c>
      <c r="AH26" s="190">
        <v>-7392310.79</v>
      </c>
      <c r="AI26" s="190">
        <v>-1874126.69</v>
      </c>
      <c r="AJ26" s="190">
        <v>-99277.49</v>
      </c>
      <c r="AK26" s="190">
        <v>-33472292.390000001</v>
      </c>
      <c r="AL26" s="190">
        <v>-3218259.13</v>
      </c>
      <c r="AM26" s="190">
        <v>-3467094.07</v>
      </c>
      <c r="AN26" s="190">
        <v>-2941246.35</v>
      </c>
      <c r="AO26" s="190">
        <v>-27738102.93</v>
      </c>
      <c r="AP26" s="190">
        <v>-26011600.760000002</v>
      </c>
      <c r="AQ26" s="190">
        <v>-24429042.670000002</v>
      </c>
      <c r="AR26" s="190">
        <v>-22270633.68</v>
      </c>
      <c r="AS26" s="190">
        <v>0</v>
      </c>
    </row>
    <row r="27" spans="1:45" x14ac:dyDescent="0.25">
      <c r="A27" s="190" t="s">
        <v>243</v>
      </c>
    </row>
    <row r="28" spans="1:45" x14ac:dyDescent="0.25">
      <c r="A28" s="190" t="s">
        <v>244</v>
      </c>
      <c r="B28" s="190">
        <v>468058695.66000003</v>
      </c>
      <c r="C28" s="190">
        <v>465145228.47000003</v>
      </c>
      <c r="D28" s="190">
        <v>455644061.94999999</v>
      </c>
      <c r="E28" s="190">
        <v>20118946.59</v>
      </c>
      <c r="F28" s="190">
        <v>20120320</v>
      </c>
      <c r="G28" s="190">
        <v>20120320</v>
      </c>
      <c r="H28" s="190">
        <v>0</v>
      </c>
      <c r="I28" s="190">
        <v>23602222.899999999</v>
      </c>
      <c r="J28" s="190">
        <v>23502222.899999999</v>
      </c>
      <c r="K28" s="190">
        <v>1502222.9</v>
      </c>
      <c r="L28" s="190">
        <v>0</v>
      </c>
      <c r="M28" s="190">
        <v>5686000</v>
      </c>
      <c r="N28" s="190">
        <v>6114227</v>
      </c>
      <c r="O28" s="190">
        <v>5150000</v>
      </c>
      <c r="P28" s="190">
        <v>0</v>
      </c>
      <c r="Q28" s="190">
        <v>0</v>
      </c>
      <c r="R28" s="190">
        <v>0</v>
      </c>
      <c r="S28" s="190">
        <v>0</v>
      </c>
      <c r="T28" s="190">
        <v>0</v>
      </c>
      <c r="U28" s="190">
        <v>0</v>
      </c>
      <c r="V28" s="190">
        <v>0</v>
      </c>
      <c r="W28" s="190">
        <v>0</v>
      </c>
      <c r="X28" s="190">
        <v>0</v>
      </c>
      <c r="Y28" s="190">
        <v>0</v>
      </c>
      <c r="Z28" s="190">
        <v>0</v>
      </c>
      <c r="AA28" s="190">
        <v>0</v>
      </c>
      <c r="AB28" s="190">
        <v>0</v>
      </c>
      <c r="AC28" s="190">
        <v>0</v>
      </c>
      <c r="AD28" s="190">
        <v>0</v>
      </c>
      <c r="AE28" s="190">
        <v>0</v>
      </c>
      <c r="AF28" s="190">
        <v>0</v>
      </c>
      <c r="AG28" s="190">
        <v>0</v>
      </c>
      <c r="AH28" s="190">
        <v>0</v>
      </c>
      <c r="AI28" s="190">
        <v>0</v>
      </c>
      <c r="AJ28" s="190">
        <v>0</v>
      </c>
      <c r="AK28" s="190">
        <v>917083360</v>
      </c>
      <c r="AL28" s="190">
        <v>917083360</v>
      </c>
      <c r="AM28" s="190">
        <v>0</v>
      </c>
      <c r="AN28" s="190">
        <v>0</v>
      </c>
      <c r="AO28" s="190">
        <v>0</v>
      </c>
      <c r="AP28" s="190">
        <v>0</v>
      </c>
      <c r="AQ28" s="190">
        <v>20440920.940000001</v>
      </c>
      <c r="AR28" s="190">
        <v>15488720.49</v>
      </c>
      <c r="AS28" s="190">
        <v>0</v>
      </c>
    </row>
    <row r="29" spans="1:45" x14ac:dyDescent="0.25">
      <c r="A29" s="190" t="s">
        <v>245</v>
      </c>
      <c r="B29" s="190">
        <v>0</v>
      </c>
      <c r="C29" s="190">
        <v>0</v>
      </c>
      <c r="D29" s="190">
        <v>0</v>
      </c>
      <c r="E29" s="190">
        <v>158920</v>
      </c>
      <c r="F29" s="190">
        <v>158920</v>
      </c>
      <c r="G29" s="190">
        <v>158920</v>
      </c>
      <c r="H29" s="190">
        <v>0</v>
      </c>
      <c r="I29" s="190">
        <v>23602222.899999999</v>
      </c>
      <c r="J29" s="190">
        <v>23502222.899999999</v>
      </c>
      <c r="K29" s="190">
        <v>1502222.9</v>
      </c>
      <c r="L29" s="190">
        <v>0</v>
      </c>
      <c r="M29" s="190">
        <v>0</v>
      </c>
      <c r="N29" s="190">
        <v>0</v>
      </c>
      <c r="O29" s="190">
        <v>0</v>
      </c>
      <c r="P29" s="190">
        <v>0</v>
      </c>
      <c r="Q29" s="190">
        <v>0</v>
      </c>
      <c r="R29" s="190">
        <v>0</v>
      </c>
      <c r="S29" s="190">
        <v>0</v>
      </c>
      <c r="T29" s="190">
        <v>0</v>
      </c>
      <c r="U29" s="190">
        <v>0</v>
      </c>
      <c r="V29" s="190">
        <v>0</v>
      </c>
      <c r="W29" s="190">
        <v>0</v>
      </c>
      <c r="X29" s="190">
        <v>0</v>
      </c>
      <c r="Y29" s="190">
        <v>0</v>
      </c>
      <c r="Z29" s="190">
        <v>0</v>
      </c>
      <c r="AA29" s="190">
        <v>0</v>
      </c>
      <c r="AB29" s="190">
        <v>0</v>
      </c>
      <c r="AC29" s="190">
        <v>0</v>
      </c>
      <c r="AD29" s="190">
        <v>0</v>
      </c>
      <c r="AE29" s="190">
        <v>0</v>
      </c>
      <c r="AF29" s="190">
        <v>0</v>
      </c>
      <c r="AG29" s="190">
        <v>0</v>
      </c>
      <c r="AH29" s="190">
        <v>0</v>
      </c>
      <c r="AI29" s="190">
        <v>0</v>
      </c>
      <c r="AJ29" s="190">
        <v>0</v>
      </c>
      <c r="AK29" s="190">
        <v>0</v>
      </c>
      <c r="AL29" s="190">
        <v>0</v>
      </c>
      <c r="AM29" s="190">
        <v>0</v>
      </c>
      <c r="AN29" s="190">
        <v>0</v>
      </c>
      <c r="AO29" s="190">
        <v>0</v>
      </c>
      <c r="AP29" s="190">
        <v>0</v>
      </c>
      <c r="AQ29" s="190">
        <v>0</v>
      </c>
      <c r="AR29" s="190">
        <v>0</v>
      </c>
      <c r="AS29" s="190">
        <v>0</v>
      </c>
    </row>
    <row r="30" spans="1:45" x14ac:dyDescent="0.25">
      <c r="A30" s="190" t="s">
        <v>246</v>
      </c>
      <c r="B30" s="190">
        <v>705678113.75999999</v>
      </c>
      <c r="C30" s="190">
        <v>488258116.19</v>
      </c>
      <c r="D30" s="190">
        <v>7086499.4900000002</v>
      </c>
      <c r="E30" s="190">
        <v>247500960</v>
      </c>
      <c r="F30" s="190">
        <v>620688039.99000001</v>
      </c>
      <c r="G30" s="190">
        <v>614687388.02999997</v>
      </c>
      <c r="H30" s="190">
        <v>75892300</v>
      </c>
      <c r="I30" s="190">
        <v>578377380</v>
      </c>
      <c r="J30" s="190">
        <v>324840756</v>
      </c>
      <c r="K30" s="190">
        <v>170000000</v>
      </c>
      <c r="L30" s="190">
        <v>0</v>
      </c>
      <c r="M30" s="190">
        <v>100000000</v>
      </c>
      <c r="N30" s="190">
        <v>0</v>
      </c>
      <c r="O30" s="190">
        <v>0</v>
      </c>
      <c r="P30" s="190">
        <v>0</v>
      </c>
      <c r="Q30" s="190">
        <v>0</v>
      </c>
      <c r="R30" s="190">
        <v>0</v>
      </c>
      <c r="S30" s="190">
        <v>0</v>
      </c>
      <c r="T30" s="190">
        <v>0</v>
      </c>
      <c r="U30" s="190">
        <v>0</v>
      </c>
      <c r="V30" s="190">
        <v>0</v>
      </c>
      <c r="W30" s="190">
        <v>0</v>
      </c>
      <c r="X30" s="190">
        <v>35000000</v>
      </c>
      <c r="Y30" s="190">
        <v>0</v>
      </c>
      <c r="Z30" s="190">
        <v>0</v>
      </c>
      <c r="AA30" s="190">
        <v>0</v>
      </c>
      <c r="AB30" s="190">
        <v>0</v>
      </c>
      <c r="AC30" s="190">
        <v>0</v>
      </c>
      <c r="AD30" s="190">
        <v>0</v>
      </c>
      <c r="AE30" s="190">
        <v>0</v>
      </c>
      <c r="AF30" s="190">
        <v>0</v>
      </c>
      <c r="AG30" s="190">
        <v>20000000</v>
      </c>
      <c r="AH30" s="190">
        <v>20000000</v>
      </c>
      <c r="AI30" s="190">
        <v>0</v>
      </c>
      <c r="AJ30" s="190">
        <v>0</v>
      </c>
      <c r="AK30" s="190">
        <v>0</v>
      </c>
      <c r="AL30" s="190">
        <v>0</v>
      </c>
      <c r="AM30" s="190">
        <v>0</v>
      </c>
      <c r="AN30" s="190">
        <v>0</v>
      </c>
      <c r="AO30" s="190">
        <v>57800000</v>
      </c>
      <c r="AP30" s="190">
        <v>57800000</v>
      </c>
      <c r="AQ30" s="190">
        <v>108000000</v>
      </c>
      <c r="AR30" s="190">
        <v>91000000</v>
      </c>
      <c r="AS30" s="190">
        <v>0</v>
      </c>
    </row>
    <row r="31" spans="1:45" x14ac:dyDescent="0.25">
      <c r="A31" s="190" t="s">
        <v>247</v>
      </c>
      <c r="B31" s="190">
        <v>0</v>
      </c>
      <c r="C31" s="190">
        <v>0</v>
      </c>
      <c r="D31" s="190">
        <v>0</v>
      </c>
      <c r="E31" s="190">
        <v>0</v>
      </c>
      <c r="F31" s="190">
        <v>0</v>
      </c>
      <c r="G31" s="190">
        <v>0</v>
      </c>
      <c r="H31" s="190">
        <v>0</v>
      </c>
      <c r="I31" s="190">
        <v>0</v>
      </c>
      <c r="J31" s="190">
        <v>0</v>
      </c>
      <c r="K31" s="190">
        <v>0</v>
      </c>
      <c r="L31" s="190">
        <v>0</v>
      </c>
      <c r="M31" s="190">
        <v>0</v>
      </c>
      <c r="N31" s="190">
        <v>0</v>
      </c>
      <c r="O31" s="190">
        <v>0</v>
      </c>
      <c r="P31" s="190">
        <v>0</v>
      </c>
      <c r="Q31" s="190">
        <v>0</v>
      </c>
      <c r="R31" s="190">
        <v>0</v>
      </c>
      <c r="S31" s="190">
        <v>0</v>
      </c>
      <c r="T31" s="190">
        <v>0</v>
      </c>
      <c r="U31" s="190">
        <v>0</v>
      </c>
      <c r="V31" s="190">
        <v>0</v>
      </c>
      <c r="W31" s="190">
        <v>0</v>
      </c>
      <c r="X31" s="190">
        <v>0</v>
      </c>
      <c r="Y31" s="190">
        <v>0</v>
      </c>
      <c r="Z31" s="190">
        <v>0</v>
      </c>
      <c r="AA31" s="190">
        <v>0</v>
      </c>
      <c r="AB31" s="190">
        <v>0</v>
      </c>
      <c r="AC31" s="190">
        <v>0</v>
      </c>
      <c r="AD31" s="190">
        <v>0</v>
      </c>
      <c r="AE31" s="190">
        <v>0</v>
      </c>
      <c r="AF31" s="190">
        <v>0</v>
      </c>
      <c r="AG31" s="190">
        <v>0</v>
      </c>
      <c r="AH31" s="190">
        <v>0</v>
      </c>
      <c r="AI31" s="190">
        <v>0</v>
      </c>
      <c r="AJ31" s="190">
        <v>0</v>
      </c>
      <c r="AK31" s="190">
        <v>0</v>
      </c>
      <c r="AL31" s="190">
        <v>0</v>
      </c>
      <c r="AM31" s="190">
        <v>0</v>
      </c>
      <c r="AN31" s="190">
        <v>0</v>
      </c>
      <c r="AO31" s="190">
        <v>0</v>
      </c>
      <c r="AP31" s="190">
        <v>0</v>
      </c>
      <c r="AQ31" s="190">
        <v>0</v>
      </c>
      <c r="AR31" s="190">
        <v>0</v>
      </c>
      <c r="AS31" s="190">
        <v>0</v>
      </c>
    </row>
    <row r="32" spans="1:45" x14ac:dyDescent="0.25">
      <c r="A32" s="190" t="s">
        <v>248</v>
      </c>
      <c r="B32" s="190">
        <v>0</v>
      </c>
      <c r="C32" s="190">
        <v>0</v>
      </c>
      <c r="D32" s="190">
        <v>5818654.6500000004</v>
      </c>
      <c r="E32" s="190">
        <v>91600000</v>
      </c>
      <c r="F32" s="190">
        <v>87100000</v>
      </c>
      <c r="G32" s="190">
        <v>87100000</v>
      </c>
      <c r="H32" s="190">
        <v>0</v>
      </c>
      <c r="I32" s="190">
        <v>0</v>
      </c>
      <c r="J32" s="190">
        <v>0</v>
      </c>
      <c r="K32" s="190">
        <v>0</v>
      </c>
      <c r="L32" s="190">
        <v>0</v>
      </c>
      <c r="M32" s="190">
        <v>0</v>
      </c>
      <c r="N32" s="190">
        <v>0</v>
      </c>
      <c r="O32" s="190">
        <v>0</v>
      </c>
      <c r="P32" s="190">
        <v>0</v>
      </c>
      <c r="Q32" s="190">
        <v>0</v>
      </c>
      <c r="R32" s="190">
        <v>0</v>
      </c>
      <c r="S32" s="190">
        <v>0</v>
      </c>
      <c r="T32" s="190">
        <v>0</v>
      </c>
      <c r="U32" s="190">
        <v>0</v>
      </c>
      <c r="V32" s="190">
        <v>0</v>
      </c>
      <c r="W32" s="190">
        <v>0</v>
      </c>
      <c r="X32" s="190">
        <v>0</v>
      </c>
      <c r="Y32" s="190">
        <v>0</v>
      </c>
      <c r="Z32" s="190">
        <v>0</v>
      </c>
      <c r="AA32" s="190">
        <v>0</v>
      </c>
      <c r="AB32" s="190">
        <v>0</v>
      </c>
      <c r="AC32" s="190">
        <v>0</v>
      </c>
      <c r="AD32" s="190">
        <v>0</v>
      </c>
      <c r="AE32" s="190">
        <v>0</v>
      </c>
      <c r="AF32" s="190">
        <v>0</v>
      </c>
      <c r="AG32" s="190">
        <v>0</v>
      </c>
      <c r="AH32" s="190">
        <v>0</v>
      </c>
      <c r="AI32" s="190">
        <v>0</v>
      </c>
      <c r="AJ32" s="190">
        <v>0</v>
      </c>
      <c r="AK32" s="190">
        <v>0</v>
      </c>
      <c r="AL32" s="190">
        <v>0</v>
      </c>
      <c r="AM32" s="190">
        <v>0</v>
      </c>
      <c r="AN32" s="190">
        <v>0</v>
      </c>
      <c r="AO32" s="190">
        <v>0</v>
      </c>
      <c r="AP32" s="190">
        <v>0</v>
      </c>
      <c r="AQ32" s="190">
        <v>451971.15</v>
      </c>
      <c r="AR32" s="190">
        <v>24795354.899999999</v>
      </c>
      <c r="AS32" s="190">
        <v>0</v>
      </c>
    </row>
    <row r="33" spans="1:45" x14ac:dyDescent="0.25">
      <c r="A33" s="190" t="s">
        <v>249</v>
      </c>
      <c r="B33" s="190">
        <v>1173736809.4200001</v>
      </c>
      <c r="C33" s="190">
        <v>953403344.65999997</v>
      </c>
      <c r="D33" s="190">
        <v>468549216.08999997</v>
      </c>
      <c r="E33" s="190">
        <v>359219906.58999997</v>
      </c>
      <c r="F33" s="190">
        <v>727908359.99000001</v>
      </c>
      <c r="G33" s="190">
        <v>721907708.02999997</v>
      </c>
      <c r="H33" s="190">
        <v>75892300</v>
      </c>
      <c r="I33" s="190">
        <v>601979602.89999998</v>
      </c>
      <c r="J33" s="190">
        <v>348342978.89999998</v>
      </c>
      <c r="K33" s="190">
        <v>171502222.90000001</v>
      </c>
      <c r="L33" s="190">
        <v>0</v>
      </c>
      <c r="M33" s="190">
        <v>105686000</v>
      </c>
      <c r="N33" s="190">
        <v>6114227</v>
      </c>
      <c r="O33" s="190">
        <v>5150000</v>
      </c>
      <c r="P33" s="190">
        <v>0</v>
      </c>
      <c r="Q33" s="190">
        <v>0</v>
      </c>
      <c r="R33" s="190">
        <v>0</v>
      </c>
      <c r="S33" s="190">
        <v>0</v>
      </c>
      <c r="T33" s="190">
        <v>0</v>
      </c>
      <c r="U33" s="190">
        <v>0</v>
      </c>
      <c r="V33" s="190">
        <v>0</v>
      </c>
      <c r="W33" s="190">
        <v>0</v>
      </c>
      <c r="X33" s="190">
        <v>35000000</v>
      </c>
      <c r="Y33" s="190">
        <v>0</v>
      </c>
      <c r="Z33" s="190">
        <v>0</v>
      </c>
      <c r="AA33" s="190">
        <v>0</v>
      </c>
      <c r="AB33" s="190">
        <v>0</v>
      </c>
      <c r="AC33" s="190">
        <v>0</v>
      </c>
      <c r="AD33" s="190">
        <v>0</v>
      </c>
      <c r="AE33" s="190">
        <v>0</v>
      </c>
      <c r="AF33" s="190">
        <v>0</v>
      </c>
      <c r="AG33" s="190">
        <v>20000000</v>
      </c>
      <c r="AH33" s="190">
        <v>20000000</v>
      </c>
      <c r="AI33" s="190">
        <v>0</v>
      </c>
      <c r="AJ33" s="190">
        <v>0</v>
      </c>
      <c r="AK33" s="190">
        <v>917083360</v>
      </c>
      <c r="AL33" s="190">
        <v>917083360</v>
      </c>
      <c r="AM33" s="190">
        <v>0</v>
      </c>
      <c r="AN33" s="190">
        <v>0</v>
      </c>
      <c r="AO33" s="190">
        <v>57800000</v>
      </c>
      <c r="AP33" s="190">
        <v>57800000</v>
      </c>
      <c r="AQ33" s="190">
        <v>128892892.09</v>
      </c>
      <c r="AR33" s="190">
        <v>131284075.39</v>
      </c>
      <c r="AS33" s="190">
        <v>0</v>
      </c>
    </row>
    <row r="34" spans="1:45" x14ac:dyDescent="0.25">
      <c r="A34" s="190" t="s">
        <v>250</v>
      </c>
      <c r="B34" s="190">
        <v>707483601.80999994</v>
      </c>
      <c r="C34" s="190">
        <v>490369094.81</v>
      </c>
      <c r="D34" s="190">
        <v>0</v>
      </c>
      <c r="E34" s="190">
        <v>400000000</v>
      </c>
      <c r="F34" s="190">
        <v>632765109.16999996</v>
      </c>
      <c r="G34" s="190">
        <v>631851586.58000004</v>
      </c>
      <c r="H34" s="190">
        <v>64471629.520000003</v>
      </c>
      <c r="I34" s="190">
        <v>190000000</v>
      </c>
      <c r="J34" s="190">
        <v>100000000</v>
      </c>
      <c r="K34" s="190">
        <v>0</v>
      </c>
      <c r="L34" s="190">
        <v>0</v>
      </c>
      <c r="M34" s="190">
        <v>0</v>
      </c>
      <c r="N34" s="190">
        <v>0</v>
      </c>
      <c r="O34" s="190">
        <v>0</v>
      </c>
      <c r="P34" s="190">
        <v>0</v>
      </c>
      <c r="Q34" s="190">
        <v>0</v>
      </c>
      <c r="R34" s="190">
        <v>0</v>
      </c>
      <c r="S34" s="190">
        <v>0</v>
      </c>
      <c r="T34" s="190">
        <v>0</v>
      </c>
      <c r="U34" s="190">
        <v>0</v>
      </c>
      <c r="V34" s="190">
        <v>0</v>
      </c>
      <c r="W34" s="190">
        <v>0</v>
      </c>
      <c r="X34" s="190">
        <v>35000000</v>
      </c>
      <c r="Y34" s="190">
        <v>0</v>
      </c>
      <c r="Z34" s="190">
        <v>0</v>
      </c>
      <c r="AA34" s="190">
        <v>0</v>
      </c>
      <c r="AB34" s="190">
        <v>0</v>
      </c>
      <c r="AC34" s="190">
        <v>0</v>
      </c>
      <c r="AD34" s="190">
        <v>0</v>
      </c>
      <c r="AE34" s="190">
        <v>0</v>
      </c>
      <c r="AF34" s="190">
        <v>0</v>
      </c>
      <c r="AG34" s="190">
        <v>20000000</v>
      </c>
      <c r="AH34" s="190">
        <v>20000000</v>
      </c>
      <c r="AI34" s="190">
        <v>0</v>
      </c>
      <c r="AJ34" s="190">
        <v>0</v>
      </c>
      <c r="AK34" s="190">
        <v>0</v>
      </c>
      <c r="AL34" s="190">
        <v>0</v>
      </c>
      <c r="AM34" s="190">
        <v>0</v>
      </c>
      <c r="AN34" s="190">
        <v>0</v>
      </c>
      <c r="AO34" s="190">
        <v>62800000</v>
      </c>
      <c r="AP34" s="190">
        <v>47800000</v>
      </c>
      <c r="AQ34" s="190">
        <v>131000000</v>
      </c>
      <c r="AR34" s="190">
        <v>78000000</v>
      </c>
      <c r="AS34" s="190">
        <v>0</v>
      </c>
    </row>
    <row r="35" spans="1:45" x14ac:dyDescent="0.25">
      <c r="A35" s="190" t="s">
        <v>551</v>
      </c>
      <c r="B35" s="190">
        <v>265255421.55000001</v>
      </c>
      <c r="C35" s="190">
        <v>265187086.09999999</v>
      </c>
      <c r="D35" s="190">
        <v>2487713.88</v>
      </c>
      <c r="E35" s="190">
        <v>167667543.31999999</v>
      </c>
      <c r="F35" s="190">
        <v>158373111.05000001</v>
      </c>
      <c r="G35" s="190">
        <v>147522885.53</v>
      </c>
      <c r="H35" s="190">
        <v>3215992.28</v>
      </c>
      <c r="I35" s="190">
        <v>149279531.94999999</v>
      </c>
      <c r="J35" s="190">
        <v>147006384.78</v>
      </c>
      <c r="K35" s="190">
        <v>143583732.97999999</v>
      </c>
      <c r="L35" s="190">
        <v>1441059</v>
      </c>
      <c r="M35" s="190">
        <v>282184537.02999997</v>
      </c>
      <c r="N35" s="190">
        <v>280726200</v>
      </c>
      <c r="O35" s="190">
        <v>280726200</v>
      </c>
      <c r="P35" s="190">
        <v>0</v>
      </c>
      <c r="Q35" s="190">
        <v>98254170</v>
      </c>
      <c r="R35" s="190">
        <v>98254170</v>
      </c>
      <c r="S35" s="190">
        <v>98254170</v>
      </c>
      <c r="T35" s="190">
        <v>0</v>
      </c>
      <c r="U35" s="190">
        <v>98254170</v>
      </c>
      <c r="V35" s="190">
        <v>98254170</v>
      </c>
      <c r="W35" s="190">
        <v>98254170</v>
      </c>
      <c r="X35" s="190">
        <v>92555.56</v>
      </c>
      <c r="Y35" s="190">
        <v>140363100</v>
      </c>
      <c r="Z35" s="190">
        <v>140363100</v>
      </c>
      <c r="AA35" s="190">
        <v>140363100</v>
      </c>
      <c r="AB35" s="190">
        <v>0</v>
      </c>
      <c r="AC35" s="190">
        <v>199315602</v>
      </c>
      <c r="AD35" s="190">
        <v>199315602</v>
      </c>
      <c r="AE35" s="190">
        <v>199315602</v>
      </c>
      <c r="AF35" s="190">
        <v>0</v>
      </c>
      <c r="AG35" s="190">
        <v>98308305</v>
      </c>
      <c r="AH35" s="190">
        <v>98308305</v>
      </c>
      <c r="AI35" s="190">
        <v>98254170</v>
      </c>
      <c r="AJ35" s="190">
        <v>0</v>
      </c>
      <c r="AK35" s="190">
        <v>21052620</v>
      </c>
      <c r="AL35" s="190">
        <v>21052620</v>
      </c>
      <c r="AM35" s="190">
        <v>21052620</v>
      </c>
      <c r="AN35" s="190">
        <v>21052620</v>
      </c>
      <c r="AO35" s="190">
        <v>43302049.93</v>
      </c>
      <c r="AP35" s="190">
        <v>43210392.990000002</v>
      </c>
      <c r="AQ35" s="190">
        <v>1463210.4</v>
      </c>
      <c r="AR35" s="190">
        <v>1298325.2</v>
      </c>
      <c r="AS35" s="190">
        <v>0</v>
      </c>
    </row>
    <row r="36" spans="1:45" x14ac:dyDescent="0.25">
      <c r="A36" s="190" t="s">
        <v>251</v>
      </c>
      <c r="B36" s="190">
        <v>0</v>
      </c>
      <c r="C36" s="190">
        <v>0</v>
      </c>
      <c r="D36" s="190">
        <v>0</v>
      </c>
      <c r="E36" s="190">
        <v>0</v>
      </c>
      <c r="F36" s="190">
        <v>9048000</v>
      </c>
      <c r="G36" s="190">
        <v>678000</v>
      </c>
      <c r="H36" s="190">
        <v>0</v>
      </c>
      <c r="I36" s="190">
        <v>0</v>
      </c>
      <c r="J36" s="190">
        <v>0</v>
      </c>
      <c r="K36" s="190">
        <v>0</v>
      </c>
      <c r="L36" s="190">
        <v>0</v>
      </c>
      <c r="M36" s="190">
        <v>0</v>
      </c>
      <c r="N36" s="190">
        <v>0</v>
      </c>
      <c r="O36" s="190">
        <v>0</v>
      </c>
      <c r="P36" s="190">
        <v>0</v>
      </c>
      <c r="Q36" s="190">
        <v>0</v>
      </c>
      <c r="R36" s="190">
        <v>0</v>
      </c>
      <c r="S36" s="190">
        <v>0</v>
      </c>
      <c r="T36" s="190">
        <v>0</v>
      </c>
      <c r="U36" s="190">
        <v>0</v>
      </c>
      <c r="V36" s="190">
        <v>0</v>
      </c>
      <c r="W36" s="190">
        <v>0</v>
      </c>
      <c r="X36" s="190">
        <v>0</v>
      </c>
      <c r="Y36" s="190">
        <v>0</v>
      </c>
      <c r="Z36" s="190">
        <v>0</v>
      </c>
      <c r="AA36" s="190">
        <v>0</v>
      </c>
      <c r="AB36" s="190">
        <v>0</v>
      </c>
      <c r="AC36" s="190">
        <v>0</v>
      </c>
      <c r="AD36" s="190">
        <v>0</v>
      </c>
      <c r="AE36" s="190">
        <v>0</v>
      </c>
      <c r="AF36" s="190">
        <v>0</v>
      </c>
      <c r="AG36" s="190">
        <v>0</v>
      </c>
      <c r="AH36" s="190">
        <v>0</v>
      </c>
      <c r="AI36" s="190">
        <v>0</v>
      </c>
      <c r="AJ36" s="190">
        <v>0</v>
      </c>
      <c r="AK36" s="190">
        <v>0</v>
      </c>
      <c r="AL36" s="190">
        <v>0</v>
      </c>
      <c r="AM36" s="190">
        <v>0</v>
      </c>
      <c r="AN36" s="190">
        <v>0</v>
      </c>
      <c r="AO36" s="190">
        <v>0</v>
      </c>
      <c r="AP36" s="190">
        <v>0</v>
      </c>
      <c r="AQ36" s="190">
        <v>0</v>
      </c>
      <c r="AR36" s="190">
        <v>0</v>
      </c>
      <c r="AS36" s="190">
        <v>0</v>
      </c>
    </row>
    <row r="37" spans="1:45" x14ac:dyDescent="0.25">
      <c r="A37" s="190" t="s">
        <v>252</v>
      </c>
      <c r="B37" s="190">
        <v>2125256.27</v>
      </c>
      <c r="C37" s="190">
        <v>501000.37</v>
      </c>
      <c r="D37" s="190">
        <v>465732.84</v>
      </c>
      <c r="E37" s="190">
        <v>0</v>
      </c>
      <c r="F37" s="190">
        <v>0</v>
      </c>
      <c r="G37" s="190">
        <v>0</v>
      </c>
      <c r="H37" s="190">
        <v>0</v>
      </c>
      <c r="I37" s="190">
        <v>87100000</v>
      </c>
      <c r="J37" s="190">
        <v>87100000</v>
      </c>
      <c r="K37" s="190">
        <v>0</v>
      </c>
      <c r="L37" s="190">
        <v>0</v>
      </c>
      <c r="M37" s="190">
        <v>0</v>
      </c>
      <c r="N37" s="190">
        <v>0</v>
      </c>
      <c r="O37" s="190">
        <v>0</v>
      </c>
      <c r="P37" s="190">
        <v>0</v>
      </c>
      <c r="Q37" s="190">
        <v>0</v>
      </c>
      <c r="R37" s="190">
        <v>0</v>
      </c>
      <c r="S37" s="190">
        <v>0</v>
      </c>
      <c r="T37" s="190">
        <v>0</v>
      </c>
      <c r="U37" s="190">
        <v>0</v>
      </c>
      <c r="V37" s="190">
        <v>0</v>
      </c>
      <c r="W37" s="190">
        <v>0</v>
      </c>
      <c r="X37" s="190">
        <v>0</v>
      </c>
      <c r="Y37" s="190">
        <v>0</v>
      </c>
      <c r="Z37" s="190">
        <v>0</v>
      </c>
      <c r="AA37" s="190">
        <v>0</v>
      </c>
      <c r="AB37" s="190">
        <v>0</v>
      </c>
      <c r="AC37" s="190">
        <v>0</v>
      </c>
      <c r="AD37" s="190">
        <v>0</v>
      </c>
      <c r="AE37" s="190">
        <v>0</v>
      </c>
      <c r="AF37" s="190">
        <v>0</v>
      </c>
      <c r="AG37" s="190">
        <v>1658996.81</v>
      </c>
      <c r="AH37" s="190">
        <v>0</v>
      </c>
      <c r="AI37" s="190">
        <v>0</v>
      </c>
      <c r="AJ37" s="190">
        <v>0</v>
      </c>
      <c r="AK37" s="190">
        <v>8851936.8300000001</v>
      </c>
      <c r="AL37" s="190">
        <v>3300079.5</v>
      </c>
      <c r="AM37" s="190">
        <v>0</v>
      </c>
      <c r="AN37" s="190">
        <v>0</v>
      </c>
      <c r="AO37" s="190">
        <v>460000</v>
      </c>
      <c r="AP37" s="190">
        <v>380000</v>
      </c>
      <c r="AQ37" s="190">
        <v>24575000</v>
      </c>
      <c r="AR37" s="190">
        <v>0</v>
      </c>
      <c r="AS37" s="190">
        <v>0</v>
      </c>
    </row>
    <row r="38" spans="1:45" x14ac:dyDescent="0.25">
      <c r="A38" s="190" t="s">
        <v>253</v>
      </c>
      <c r="B38" s="190">
        <v>974864279.63</v>
      </c>
      <c r="C38" s="190">
        <v>756057181.27999997</v>
      </c>
      <c r="D38" s="190">
        <v>2953446.72</v>
      </c>
      <c r="E38" s="190">
        <v>567667543.32000005</v>
      </c>
      <c r="F38" s="190">
        <v>791138220.22000003</v>
      </c>
      <c r="G38" s="190">
        <v>779374472.11000001</v>
      </c>
      <c r="H38" s="190">
        <v>67687621.799999997</v>
      </c>
      <c r="I38" s="190">
        <v>426379531.94999999</v>
      </c>
      <c r="J38" s="190">
        <v>334106384.77999997</v>
      </c>
      <c r="K38" s="190">
        <v>143583732.97999999</v>
      </c>
      <c r="L38" s="190">
        <v>1441059</v>
      </c>
      <c r="M38" s="190">
        <v>282184537.02999997</v>
      </c>
      <c r="N38" s="190">
        <v>280726200</v>
      </c>
      <c r="O38" s="190">
        <v>280726200</v>
      </c>
      <c r="P38" s="190">
        <v>0</v>
      </c>
      <c r="Q38" s="190">
        <v>98254170</v>
      </c>
      <c r="R38" s="190">
        <v>98254170</v>
      </c>
      <c r="S38" s="190">
        <v>98254170</v>
      </c>
      <c r="T38" s="190">
        <v>0</v>
      </c>
      <c r="U38" s="190">
        <v>98254170</v>
      </c>
      <c r="V38" s="190">
        <v>98254170</v>
      </c>
      <c r="W38" s="190">
        <v>98254170</v>
      </c>
      <c r="X38" s="190">
        <v>35092555.560000002</v>
      </c>
      <c r="Y38" s="190">
        <v>140363100</v>
      </c>
      <c r="Z38" s="190">
        <v>140363100</v>
      </c>
      <c r="AA38" s="190">
        <v>140363100</v>
      </c>
      <c r="AB38" s="190">
        <v>0</v>
      </c>
      <c r="AC38" s="190">
        <v>199315602</v>
      </c>
      <c r="AD38" s="190">
        <v>199315602</v>
      </c>
      <c r="AE38" s="190">
        <v>199315602</v>
      </c>
      <c r="AF38" s="190">
        <v>0</v>
      </c>
      <c r="AG38" s="190">
        <v>119967301.81</v>
      </c>
      <c r="AH38" s="190">
        <v>118308305</v>
      </c>
      <c r="AI38" s="190">
        <v>98254170</v>
      </c>
      <c r="AJ38" s="190">
        <v>0</v>
      </c>
      <c r="AK38" s="190">
        <v>29904556.829999998</v>
      </c>
      <c r="AL38" s="190">
        <v>24352699.5</v>
      </c>
      <c r="AM38" s="190">
        <v>21052620</v>
      </c>
      <c r="AN38" s="190">
        <v>21052620</v>
      </c>
      <c r="AO38" s="190">
        <v>106562049.93000001</v>
      </c>
      <c r="AP38" s="190">
        <v>91390392.989999995</v>
      </c>
      <c r="AQ38" s="190">
        <v>157038210.40000001</v>
      </c>
      <c r="AR38" s="190">
        <v>79298325.200000003</v>
      </c>
      <c r="AS38" s="190">
        <v>0</v>
      </c>
    </row>
    <row r="39" spans="1:45" x14ac:dyDescent="0.25">
      <c r="A39" s="190" t="s">
        <v>254</v>
      </c>
      <c r="B39" s="190">
        <v>198872529.78999999</v>
      </c>
      <c r="C39" s="190">
        <v>197346163.38</v>
      </c>
      <c r="D39" s="190">
        <v>465595769.37</v>
      </c>
      <c r="E39" s="190">
        <v>-208447636.72999999</v>
      </c>
      <c r="F39" s="190">
        <v>-63229860.229999997</v>
      </c>
      <c r="G39" s="190">
        <v>-57466764.079999998</v>
      </c>
      <c r="H39" s="190">
        <v>8204678.2000000002</v>
      </c>
      <c r="I39" s="190">
        <v>175600070.94999999</v>
      </c>
      <c r="J39" s="190">
        <v>14236594.119999999</v>
      </c>
      <c r="K39" s="190">
        <v>27918489.920000002</v>
      </c>
      <c r="L39" s="190">
        <v>-1441059</v>
      </c>
      <c r="M39" s="190">
        <v>-176498537.03</v>
      </c>
      <c r="N39" s="190">
        <v>-274611973</v>
      </c>
      <c r="O39" s="190">
        <v>-275576200</v>
      </c>
      <c r="P39" s="190">
        <v>0</v>
      </c>
      <c r="Q39" s="190">
        <v>-98254170</v>
      </c>
      <c r="R39" s="190">
        <v>-98254170</v>
      </c>
      <c r="S39" s="190">
        <v>-98254170</v>
      </c>
      <c r="T39" s="190">
        <v>0</v>
      </c>
      <c r="U39" s="190">
        <v>-98254170</v>
      </c>
      <c r="V39" s="190">
        <v>-98254170</v>
      </c>
      <c r="W39" s="190">
        <v>-98254170</v>
      </c>
      <c r="X39" s="190">
        <v>-92555.56</v>
      </c>
      <c r="Y39" s="190">
        <v>-140363100</v>
      </c>
      <c r="Z39" s="190">
        <v>-140363100</v>
      </c>
      <c r="AA39" s="190">
        <v>-140363100</v>
      </c>
      <c r="AB39" s="190">
        <v>0</v>
      </c>
      <c r="AC39" s="190">
        <v>-199315602</v>
      </c>
      <c r="AD39" s="190">
        <v>-199315602</v>
      </c>
      <c r="AE39" s="190">
        <v>-199315602</v>
      </c>
      <c r="AF39" s="190">
        <v>0</v>
      </c>
      <c r="AG39" s="190">
        <v>-99967301.810000002</v>
      </c>
      <c r="AH39" s="190">
        <v>-98308305</v>
      </c>
      <c r="AI39" s="190">
        <v>-98254170</v>
      </c>
      <c r="AJ39" s="190">
        <v>0</v>
      </c>
      <c r="AK39" s="190">
        <v>887178803.16999996</v>
      </c>
      <c r="AL39" s="190">
        <v>892730660.5</v>
      </c>
      <c r="AM39" s="190">
        <v>-21052620</v>
      </c>
      <c r="AN39" s="190">
        <v>-21052620</v>
      </c>
      <c r="AO39" s="190">
        <v>-48762049.93</v>
      </c>
      <c r="AP39" s="190">
        <v>-33590392.990000002</v>
      </c>
      <c r="AQ39" s="190">
        <v>-28145318.309999999</v>
      </c>
      <c r="AR39" s="190">
        <v>51985750.189999998</v>
      </c>
      <c r="AS39" s="190">
        <v>0</v>
      </c>
    </row>
    <row r="40" spans="1:45" x14ac:dyDescent="0.25">
      <c r="A40" s="190" t="s">
        <v>255</v>
      </c>
      <c r="B40" s="190">
        <v>3541035.19</v>
      </c>
      <c r="C40" s="190">
        <v>-55897.29</v>
      </c>
      <c r="D40" s="190">
        <v>-1963769.65</v>
      </c>
      <c r="E40" s="190">
        <v>-10194831.91</v>
      </c>
      <c r="F40" s="190">
        <v>-9759887.6899999995</v>
      </c>
      <c r="G40" s="190">
        <v>-8496150.9199999999</v>
      </c>
      <c r="H40" s="190">
        <v>1229175.94</v>
      </c>
      <c r="I40" s="190">
        <v>9674256.4199999999</v>
      </c>
      <c r="J40" s="190">
        <v>1262886.28</v>
      </c>
      <c r="K40" s="190">
        <v>1079957.8400000001</v>
      </c>
      <c r="L40" s="190">
        <v>-569246.01</v>
      </c>
      <c r="M40" s="190">
        <v>2453146.98</v>
      </c>
      <c r="N40" s="190">
        <v>1109795.2</v>
      </c>
      <c r="O40" s="190">
        <v>11277.5</v>
      </c>
      <c r="P40" s="190">
        <v>150598.34</v>
      </c>
      <c r="Q40" s="190">
        <v>-293154.3</v>
      </c>
      <c r="R40" s="190">
        <v>189804.52</v>
      </c>
      <c r="S40" s="190">
        <v>189465.4</v>
      </c>
      <c r="T40" s="190">
        <v>158276.16</v>
      </c>
      <c r="U40" s="190">
        <v>-553163.07999999996</v>
      </c>
      <c r="V40" s="190">
        <v>-367341.23</v>
      </c>
      <c r="W40" s="190">
        <v>-284306.83</v>
      </c>
      <c r="X40" s="190">
        <v>-89497.67</v>
      </c>
      <c r="Y40" s="190">
        <v>75668.740000000005</v>
      </c>
      <c r="Z40" s="190">
        <v>153829.24</v>
      </c>
      <c r="AA40" s="190">
        <v>101271.58</v>
      </c>
      <c r="AB40" s="190">
        <v>12581.94</v>
      </c>
      <c r="AC40" s="190">
        <v>-708442.38</v>
      </c>
      <c r="AD40" s="190">
        <v>-210437.56</v>
      </c>
      <c r="AE40" s="190">
        <v>-127816.09</v>
      </c>
      <c r="AF40" s="190">
        <v>-43815.17</v>
      </c>
      <c r="AG40" s="190">
        <v>-353565.75</v>
      </c>
      <c r="AH40" s="190">
        <v>-93529.52</v>
      </c>
      <c r="AI40" s="190">
        <v>-58551.09</v>
      </c>
      <c r="AJ40" s="190">
        <v>-23111.08</v>
      </c>
      <c r="AK40" s="190">
        <v>-870.64</v>
      </c>
      <c r="AL40" s="190">
        <v>12842.55</v>
      </c>
      <c r="AM40" s="190">
        <v>-772.37</v>
      </c>
      <c r="AN40" s="190">
        <v>1620.26</v>
      </c>
      <c r="AO40" s="190">
        <v>-151209.82</v>
      </c>
      <c r="AP40" s="190">
        <v>-6633.71</v>
      </c>
      <c r="AQ40" s="190">
        <v>206756.02</v>
      </c>
      <c r="AR40" s="190">
        <v>-55982.34</v>
      </c>
      <c r="AS40" s="190">
        <v>0</v>
      </c>
    </row>
    <row r="41" spans="1:45" x14ac:dyDescent="0.25">
      <c r="A41" s="190" t="s">
        <v>256</v>
      </c>
      <c r="B41" s="190">
        <v>279595320.00999999</v>
      </c>
      <c r="C41" s="190">
        <v>339527056.50999999</v>
      </c>
      <c r="D41" s="190">
        <v>490110708.76999998</v>
      </c>
      <c r="E41" s="190">
        <v>-640921649.30999994</v>
      </c>
      <c r="F41" s="190">
        <v>-718937409.25999999</v>
      </c>
      <c r="G41" s="190">
        <v>-469090332.63999999</v>
      </c>
      <c r="H41" s="190">
        <v>-481871362.07999998</v>
      </c>
      <c r="I41" s="190">
        <v>481842227.31</v>
      </c>
      <c r="J41" s="190">
        <v>-148076494.28</v>
      </c>
      <c r="K41" s="190">
        <v>-23583140.609999999</v>
      </c>
      <c r="L41" s="190">
        <v>102965103.53</v>
      </c>
      <c r="M41" s="190">
        <v>-57601884.189999998</v>
      </c>
      <c r="N41" s="190">
        <v>89723502.900000006</v>
      </c>
      <c r="O41" s="190">
        <v>-27209854.670000002</v>
      </c>
      <c r="P41" s="190">
        <v>22930040.670000002</v>
      </c>
      <c r="Q41" s="190">
        <v>-285072028.69999999</v>
      </c>
      <c r="R41" s="190">
        <v>-303159651.54000002</v>
      </c>
      <c r="S41" s="190">
        <v>-96733984.280000001</v>
      </c>
      <c r="T41" s="190">
        <v>-47418644.450000003</v>
      </c>
      <c r="U41" s="190">
        <v>-23767179.09</v>
      </c>
      <c r="V41" s="190">
        <v>-53120023.159999996</v>
      </c>
      <c r="W41" s="190">
        <v>-287317922.87</v>
      </c>
      <c r="X41" s="190">
        <v>-114950577.15000001</v>
      </c>
      <c r="Y41" s="190">
        <v>-46259017.329999998</v>
      </c>
      <c r="Z41" s="190">
        <v>-199129280.19</v>
      </c>
      <c r="AA41" s="190">
        <v>-334473988.60000002</v>
      </c>
      <c r="AB41" s="190">
        <v>11721514.17</v>
      </c>
      <c r="AC41" s="190">
        <v>-54889073.880000003</v>
      </c>
      <c r="AD41" s="190">
        <v>-74829590.060000002</v>
      </c>
      <c r="AE41" s="190">
        <v>-194997197.22999999</v>
      </c>
      <c r="AF41" s="190">
        <v>94682449.849999994</v>
      </c>
      <c r="AG41" s="190">
        <v>-8532197.3800000008</v>
      </c>
      <c r="AH41" s="190">
        <v>-105114172.81</v>
      </c>
      <c r="AI41" s="190">
        <v>-134933265.40000001</v>
      </c>
      <c r="AJ41" s="190">
        <v>61410693.340000004</v>
      </c>
      <c r="AK41" s="190">
        <v>987911135.44000006</v>
      </c>
      <c r="AL41" s="190">
        <v>979477358.02999997</v>
      </c>
      <c r="AM41" s="190">
        <v>-1361037.78</v>
      </c>
      <c r="AN41" s="190">
        <v>28536908.25</v>
      </c>
      <c r="AO41" s="190">
        <v>31667773.890000001</v>
      </c>
      <c r="AP41" s="190">
        <v>-24880292.59</v>
      </c>
      <c r="AQ41" s="190">
        <v>-8265366.2000000002</v>
      </c>
      <c r="AR41" s="190">
        <v>46714539.030000001</v>
      </c>
      <c r="AS41" s="190">
        <v>0</v>
      </c>
    </row>
    <row r="42" spans="1:45" x14ac:dyDescent="0.25">
      <c r="A42" s="190" t="s">
        <v>257</v>
      </c>
      <c r="B42" s="190">
        <v>430523371.25999999</v>
      </c>
      <c r="C42" s="190">
        <v>430523371.25999999</v>
      </c>
      <c r="D42" s="190">
        <v>430523371.25999999</v>
      </c>
      <c r="E42" s="190">
        <v>1071445020.5700001</v>
      </c>
      <c r="F42" s="190">
        <v>1071445020.5700001</v>
      </c>
      <c r="G42" s="190">
        <v>1071445020.5700001</v>
      </c>
      <c r="H42" s="190">
        <v>1071445020.5700001</v>
      </c>
      <c r="I42" s="190">
        <v>589602793.25999999</v>
      </c>
      <c r="J42" s="190">
        <v>589602793.25999999</v>
      </c>
      <c r="K42" s="190">
        <v>589602793.25999999</v>
      </c>
      <c r="L42" s="190">
        <v>589602793.25999999</v>
      </c>
      <c r="M42" s="190">
        <v>647204677.45000005</v>
      </c>
      <c r="N42" s="190">
        <v>647204677.45000005</v>
      </c>
      <c r="O42" s="190">
        <v>647204677.45000005</v>
      </c>
      <c r="P42" s="190">
        <v>646963716.20000005</v>
      </c>
      <c r="Q42" s="190">
        <v>932276706.14999998</v>
      </c>
      <c r="R42" s="190">
        <v>932276706.14999998</v>
      </c>
      <c r="S42" s="190">
        <v>932276706.14999998</v>
      </c>
      <c r="T42" s="190">
        <v>932276706.14999998</v>
      </c>
      <c r="U42" s="190">
        <v>956043885.24000001</v>
      </c>
      <c r="V42" s="190">
        <v>956043885.24000001</v>
      </c>
      <c r="W42" s="190">
        <v>956043885.25</v>
      </c>
      <c r="X42" s="190">
        <v>956043885.24000001</v>
      </c>
      <c r="Y42" s="190">
        <v>1002302902.5700001</v>
      </c>
      <c r="Z42" s="190">
        <v>1002302902.5700001</v>
      </c>
      <c r="AA42" s="190">
        <v>1002302902.5700001</v>
      </c>
      <c r="AB42" s="190">
        <v>1002302902.5700001</v>
      </c>
      <c r="AC42" s="190">
        <v>1057191976.45</v>
      </c>
      <c r="AD42" s="190">
        <v>1057191976.45</v>
      </c>
      <c r="AE42" s="190">
        <v>1057191976.45</v>
      </c>
      <c r="AF42" s="190">
        <v>1057191976.45</v>
      </c>
      <c r="AG42" s="190">
        <v>1065724173.83</v>
      </c>
      <c r="AH42" s="190">
        <v>1065724173.83</v>
      </c>
      <c r="AI42" s="190">
        <v>1065724173.83</v>
      </c>
      <c r="AJ42" s="190">
        <v>1065724173.83</v>
      </c>
      <c r="AK42" s="190">
        <v>77813038.390000001</v>
      </c>
      <c r="AL42" s="190">
        <v>78505801.079999998</v>
      </c>
      <c r="AM42" s="190">
        <v>76012034.150000006</v>
      </c>
      <c r="AN42" s="190">
        <v>77813038.390000001</v>
      </c>
      <c r="AO42" s="190">
        <v>44344260.259999998</v>
      </c>
      <c r="AP42" s="190">
        <v>45134760.259999998</v>
      </c>
      <c r="AQ42" s="190">
        <v>52609626.460000001</v>
      </c>
      <c r="AR42" s="190">
        <v>5895087.4299999997</v>
      </c>
      <c r="AS42" s="190">
        <v>0</v>
      </c>
    </row>
    <row r="43" spans="1:45" x14ac:dyDescent="0.25">
      <c r="A43" s="190" t="s">
        <v>258</v>
      </c>
      <c r="B43" s="190">
        <v>710118691.26999998</v>
      </c>
      <c r="C43" s="190">
        <v>770050427.76999998</v>
      </c>
      <c r="D43" s="190">
        <v>920634080.02999997</v>
      </c>
      <c r="E43" s="190">
        <v>430523371.25999999</v>
      </c>
      <c r="F43" s="190">
        <v>352507611.31</v>
      </c>
      <c r="G43" s="190">
        <v>602354687.92999995</v>
      </c>
      <c r="H43" s="190">
        <v>589573658.49000001</v>
      </c>
      <c r="I43" s="190">
        <v>1071445020.5700001</v>
      </c>
      <c r="J43" s="190">
        <v>441526298.98000002</v>
      </c>
      <c r="K43" s="190">
        <v>566019652.64999998</v>
      </c>
      <c r="L43" s="190">
        <v>692567896.78999996</v>
      </c>
      <c r="M43" s="190">
        <v>589602793.25999999</v>
      </c>
      <c r="N43" s="190">
        <v>736928180.35000002</v>
      </c>
      <c r="O43" s="190">
        <v>619994822.77999997</v>
      </c>
      <c r="P43" s="190">
        <v>669893756.87</v>
      </c>
      <c r="Q43" s="190">
        <v>647204677.45000005</v>
      </c>
      <c r="R43" s="190">
        <v>629117054.61000001</v>
      </c>
      <c r="S43" s="190">
        <v>835542721.87</v>
      </c>
      <c r="T43" s="190">
        <v>884858061.70000005</v>
      </c>
      <c r="U43" s="190">
        <v>932276706.14999998</v>
      </c>
      <c r="V43" s="190">
        <v>902923862.08000004</v>
      </c>
      <c r="W43" s="190">
        <v>668725962.38</v>
      </c>
      <c r="X43" s="190">
        <v>841093308.09000003</v>
      </c>
      <c r="Y43" s="190">
        <v>956043885.24000001</v>
      </c>
      <c r="Z43" s="190">
        <v>803173622.38</v>
      </c>
      <c r="AA43" s="190">
        <v>667828913.97000003</v>
      </c>
      <c r="AB43" s="190">
        <v>1014024416.74</v>
      </c>
      <c r="AC43" s="190">
        <v>1002302902.5700001</v>
      </c>
      <c r="AD43" s="190">
        <v>982362386.38999999</v>
      </c>
      <c r="AE43" s="190">
        <v>862194779.22000003</v>
      </c>
      <c r="AF43" s="190">
        <v>1151874426.3</v>
      </c>
      <c r="AG43" s="190">
        <v>1057191976.45</v>
      </c>
      <c r="AH43" s="190">
        <v>960610001.01999998</v>
      </c>
      <c r="AI43" s="190">
        <v>930790908.42999995</v>
      </c>
      <c r="AJ43" s="190">
        <v>1127134867.1700001</v>
      </c>
      <c r="AK43" s="190">
        <v>1065724173.83</v>
      </c>
      <c r="AL43" s="190">
        <v>1057983159.11</v>
      </c>
      <c r="AM43" s="190">
        <v>74650996.370000005</v>
      </c>
      <c r="AN43" s="190">
        <v>106349946.64</v>
      </c>
      <c r="AO43" s="190">
        <v>76012034.150000006</v>
      </c>
      <c r="AP43" s="190">
        <v>20254467.670000002</v>
      </c>
      <c r="AQ43" s="190">
        <v>44344260.259999998</v>
      </c>
      <c r="AR43" s="190">
        <v>52609626.460000001</v>
      </c>
      <c r="AS43" s="190">
        <v>0</v>
      </c>
    </row>
    <row r="44" spans="1:45" x14ac:dyDescent="0.25">
      <c r="A44" s="190" t="s">
        <v>259</v>
      </c>
    </row>
    <row r="45" spans="1:45" x14ac:dyDescent="0.25">
      <c r="A45" s="190" t="s">
        <v>260</v>
      </c>
      <c r="B45" s="190">
        <v>0</v>
      </c>
      <c r="C45" s="190">
        <v>225583386.21000001</v>
      </c>
      <c r="D45" s="190">
        <v>0</v>
      </c>
      <c r="E45" s="190">
        <v>453071628.50999999</v>
      </c>
      <c r="F45" s="190">
        <v>0</v>
      </c>
      <c r="G45" s="190">
        <v>175283497.72</v>
      </c>
      <c r="H45" s="190">
        <v>0</v>
      </c>
      <c r="I45" s="190">
        <v>338813260.39999998</v>
      </c>
      <c r="J45" s="190">
        <v>0</v>
      </c>
      <c r="K45" s="190">
        <v>158628555.5</v>
      </c>
      <c r="L45" s="190">
        <v>0</v>
      </c>
      <c r="M45" s="190">
        <v>423089068.51999998</v>
      </c>
      <c r="N45" s="190">
        <v>0</v>
      </c>
      <c r="O45" s="190">
        <v>187225671.66</v>
      </c>
      <c r="P45" s="190">
        <v>0</v>
      </c>
      <c r="Q45" s="190">
        <v>398173688.69</v>
      </c>
      <c r="R45" s="190">
        <v>0</v>
      </c>
      <c r="S45" s="190">
        <v>157367923.56</v>
      </c>
      <c r="T45" s="190">
        <v>0</v>
      </c>
      <c r="U45" s="190">
        <v>332154652.14999998</v>
      </c>
      <c r="V45" s="190">
        <v>0</v>
      </c>
      <c r="W45" s="190">
        <v>137105896.34</v>
      </c>
      <c r="X45" s="190">
        <v>0</v>
      </c>
      <c r="Y45" s="190">
        <v>382086766.75999999</v>
      </c>
      <c r="Z45" s="190">
        <v>0</v>
      </c>
      <c r="AA45" s="190">
        <v>133686094.25</v>
      </c>
      <c r="AB45" s="190">
        <v>0</v>
      </c>
      <c r="AC45" s="190">
        <v>374010138.19</v>
      </c>
      <c r="AD45" s="190">
        <v>0</v>
      </c>
      <c r="AE45" s="190">
        <v>162435481.09999999</v>
      </c>
      <c r="AF45" s="190">
        <v>0</v>
      </c>
      <c r="AG45" s="190">
        <v>211825682.56</v>
      </c>
      <c r="AH45" s="190">
        <v>0</v>
      </c>
      <c r="AI45" s="190">
        <v>77434140.760000005</v>
      </c>
      <c r="AJ45" s="190">
        <v>0</v>
      </c>
      <c r="AK45" s="190">
        <v>146002767.59</v>
      </c>
      <c r="AL45" s="190">
        <v>0</v>
      </c>
      <c r="AM45" s="190">
        <v>51051582.18</v>
      </c>
      <c r="AN45" s="190">
        <v>0</v>
      </c>
      <c r="AO45" s="190">
        <v>111031977.59999999</v>
      </c>
      <c r="AP45" s="190">
        <v>0</v>
      </c>
      <c r="AQ45" s="190">
        <v>85138294.760000005</v>
      </c>
      <c r="AR45" s="190">
        <v>49517218.420000002</v>
      </c>
      <c r="AS45" s="190">
        <v>0</v>
      </c>
    </row>
    <row r="46" spans="1:45" x14ac:dyDescent="0.25">
      <c r="A46" s="190" t="s">
        <v>187</v>
      </c>
      <c r="B46" s="190">
        <v>0</v>
      </c>
      <c r="C46" s="190">
        <v>0</v>
      </c>
      <c r="D46" s="190">
        <v>0</v>
      </c>
      <c r="E46" s="190">
        <v>0</v>
      </c>
      <c r="F46" s="190">
        <v>0</v>
      </c>
      <c r="G46" s="190">
        <v>0</v>
      </c>
      <c r="H46" s="190">
        <v>0</v>
      </c>
      <c r="I46" s="190">
        <v>0</v>
      </c>
      <c r="J46" s="190">
        <v>0</v>
      </c>
      <c r="K46" s="190">
        <v>0</v>
      </c>
      <c r="L46" s="190">
        <v>0</v>
      </c>
      <c r="M46" s="190">
        <v>0</v>
      </c>
      <c r="N46" s="190">
        <v>0</v>
      </c>
      <c r="O46" s="190">
        <v>0</v>
      </c>
      <c r="P46" s="190">
        <v>0</v>
      </c>
      <c r="Q46" s="190">
        <v>0</v>
      </c>
      <c r="R46" s="190">
        <v>0</v>
      </c>
      <c r="S46" s="190">
        <v>0</v>
      </c>
      <c r="T46" s="190">
        <v>0</v>
      </c>
      <c r="U46" s="190">
        <v>0</v>
      </c>
      <c r="V46" s="190">
        <v>0</v>
      </c>
      <c r="W46" s="190">
        <v>0</v>
      </c>
      <c r="X46" s="190">
        <v>0</v>
      </c>
      <c r="Y46" s="190">
        <v>0</v>
      </c>
      <c r="Z46" s="190">
        <v>0</v>
      </c>
      <c r="AA46" s="190">
        <v>0</v>
      </c>
      <c r="AB46" s="190">
        <v>0</v>
      </c>
      <c r="AC46" s="190">
        <v>0</v>
      </c>
      <c r="AD46" s="190">
        <v>0</v>
      </c>
      <c r="AE46" s="190">
        <v>0</v>
      </c>
      <c r="AF46" s="190">
        <v>0</v>
      </c>
      <c r="AG46" s="190">
        <v>0</v>
      </c>
      <c r="AH46" s="190">
        <v>0</v>
      </c>
      <c r="AI46" s="190">
        <v>0</v>
      </c>
      <c r="AJ46" s="190">
        <v>0</v>
      </c>
      <c r="AK46" s="190">
        <v>0</v>
      </c>
      <c r="AL46" s="190">
        <v>0</v>
      </c>
      <c r="AM46" s="190">
        <v>0</v>
      </c>
      <c r="AN46" s="190">
        <v>0</v>
      </c>
      <c r="AO46" s="190">
        <v>0</v>
      </c>
      <c r="AP46" s="190">
        <v>0</v>
      </c>
      <c r="AQ46" s="190">
        <v>0</v>
      </c>
      <c r="AR46" s="190">
        <v>0</v>
      </c>
      <c r="AS46" s="190">
        <v>0</v>
      </c>
    </row>
    <row r="47" spans="1:45" x14ac:dyDescent="0.25">
      <c r="A47" s="190" t="s">
        <v>261</v>
      </c>
      <c r="B47" s="190">
        <v>0</v>
      </c>
      <c r="C47" s="190">
        <v>0</v>
      </c>
      <c r="D47" s="190">
        <v>0</v>
      </c>
      <c r="E47" s="190">
        <v>0</v>
      </c>
      <c r="F47" s="190">
        <v>0</v>
      </c>
      <c r="G47" s="190">
        <v>0</v>
      </c>
      <c r="H47" s="190">
        <v>0</v>
      </c>
      <c r="I47" s="190">
        <v>0</v>
      </c>
      <c r="J47" s="190">
        <v>0</v>
      </c>
      <c r="K47" s="190">
        <v>0</v>
      </c>
      <c r="L47" s="190">
        <v>0</v>
      </c>
      <c r="M47" s="190">
        <v>0</v>
      </c>
      <c r="N47" s="190">
        <v>0</v>
      </c>
      <c r="O47" s="190">
        <v>0</v>
      </c>
      <c r="P47" s="190">
        <v>0</v>
      </c>
      <c r="Q47" s="190">
        <v>0</v>
      </c>
      <c r="R47" s="190">
        <v>0</v>
      </c>
      <c r="S47" s="190">
        <v>0</v>
      </c>
      <c r="T47" s="190">
        <v>0</v>
      </c>
      <c r="U47" s="190">
        <v>0</v>
      </c>
      <c r="V47" s="190">
        <v>0</v>
      </c>
      <c r="W47" s="190">
        <v>0</v>
      </c>
      <c r="X47" s="190">
        <v>0</v>
      </c>
      <c r="Y47" s="190">
        <v>0</v>
      </c>
      <c r="Z47" s="190">
        <v>0</v>
      </c>
      <c r="AA47" s="190">
        <v>0</v>
      </c>
      <c r="AB47" s="190">
        <v>0</v>
      </c>
      <c r="AC47" s="190">
        <v>0</v>
      </c>
      <c r="AD47" s="190">
        <v>0</v>
      </c>
      <c r="AE47" s="190">
        <v>0</v>
      </c>
      <c r="AF47" s="190">
        <v>0</v>
      </c>
      <c r="AG47" s="190">
        <v>0</v>
      </c>
      <c r="AH47" s="190">
        <v>0</v>
      </c>
      <c r="AI47" s="190">
        <v>0</v>
      </c>
      <c r="AJ47" s="190">
        <v>0</v>
      </c>
      <c r="AK47" s="190">
        <v>0</v>
      </c>
      <c r="AL47" s="190">
        <v>0</v>
      </c>
      <c r="AM47" s="190">
        <v>0</v>
      </c>
      <c r="AN47" s="190">
        <v>0</v>
      </c>
      <c r="AO47" s="190">
        <v>0</v>
      </c>
      <c r="AP47" s="190">
        <v>0</v>
      </c>
      <c r="AQ47" s="190">
        <v>0</v>
      </c>
      <c r="AR47" s="190">
        <v>0</v>
      </c>
      <c r="AS47" s="190">
        <v>0</v>
      </c>
    </row>
    <row r="48" spans="1:45" x14ac:dyDescent="0.25">
      <c r="A48" s="190" t="s">
        <v>262</v>
      </c>
      <c r="B48" s="190">
        <v>0</v>
      </c>
      <c r="C48" s="190">
        <v>51597733.710000001</v>
      </c>
      <c r="D48" s="190">
        <v>0</v>
      </c>
      <c r="E48" s="190">
        <v>65575512.200000003</v>
      </c>
      <c r="F48" s="190">
        <v>0</v>
      </c>
      <c r="G48" s="190">
        <v>26957049.120000001</v>
      </c>
      <c r="H48" s="190">
        <v>0</v>
      </c>
      <c r="I48" s="190">
        <v>48551810.390000001</v>
      </c>
      <c r="J48" s="190">
        <v>0</v>
      </c>
      <c r="K48" s="190">
        <v>6649353.46</v>
      </c>
      <c r="L48" s="190">
        <v>0</v>
      </c>
      <c r="M48" s="190">
        <v>31301733.23</v>
      </c>
      <c r="N48" s="190">
        <v>0</v>
      </c>
      <c r="O48" s="190">
        <v>3336644.17</v>
      </c>
      <c r="P48" s="190">
        <v>0</v>
      </c>
      <c r="Q48" s="190">
        <v>16020971.09</v>
      </c>
      <c r="R48" s="190">
        <v>0</v>
      </c>
      <c r="S48" s="190">
        <v>2690680.83</v>
      </c>
      <c r="T48" s="190">
        <v>0</v>
      </c>
      <c r="U48" s="190">
        <v>11326349.439999999</v>
      </c>
      <c r="V48" s="190">
        <v>0</v>
      </c>
      <c r="W48" s="190">
        <v>2314149.34</v>
      </c>
      <c r="X48" s="190">
        <v>0</v>
      </c>
      <c r="Y48" s="190">
        <v>7773704.8799999999</v>
      </c>
      <c r="Z48" s="190">
        <v>0</v>
      </c>
      <c r="AA48" s="190">
        <v>1176562.18</v>
      </c>
      <c r="AB48" s="190">
        <v>0</v>
      </c>
      <c r="AC48" s="190">
        <v>6385375.54</v>
      </c>
      <c r="AD48" s="190">
        <v>0</v>
      </c>
      <c r="AE48" s="190">
        <v>1288432.1299999999</v>
      </c>
      <c r="AF48" s="190">
        <v>0</v>
      </c>
      <c r="AG48" s="190">
        <v>10400653.18</v>
      </c>
      <c r="AH48" s="190">
        <v>0</v>
      </c>
      <c r="AI48" s="190">
        <v>2759387.69</v>
      </c>
      <c r="AJ48" s="190">
        <v>0</v>
      </c>
      <c r="AK48" s="190">
        <v>-348833.67</v>
      </c>
      <c r="AL48" s="190">
        <v>0</v>
      </c>
      <c r="AM48" s="190">
        <v>527836.24</v>
      </c>
      <c r="AN48" s="190">
        <v>0</v>
      </c>
      <c r="AO48" s="190">
        <v>6621635.0700000003</v>
      </c>
      <c r="AP48" s="190">
        <v>0</v>
      </c>
      <c r="AQ48" s="190">
        <v>1747683.12</v>
      </c>
      <c r="AR48" s="190">
        <v>-2139051.2400000002</v>
      </c>
      <c r="AS48" s="190">
        <v>0</v>
      </c>
    </row>
    <row r="49" spans="1:45" x14ac:dyDescent="0.25">
      <c r="A49" s="190" t="s">
        <v>263</v>
      </c>
      <c r="B49" s="190">
        <v>0</v>
      </c>
      <c r="C49" s="190">
        <v>18609479.210000001</v>
      </c>
      <c r="D49" s="190">
        <v>0</v>
      </c>
      <c r="E49" s="190">
        <v>37807652.420000002</v>
      </c>
      <c r="F49" s="190">
        <v>0</v>
      </c>
      <c r="G49" s="190">
        <v>24188662.149999999</v>
      </c>
      <c r="H49" s="190">
        <v>0</v>
      </c>
      <c r="I49" s="190">
        <v>35440637.75</v>
      </c>
      <c r="J49" s="190">
        <v>0</v>
      </c>
      <c r="K49" s="190">
        <v>24114191.109999999</v>
      </c>
      <c r="L49" s="190">
        <v>0</v>
      </c>
      <c r="M49" s="190">
        <v>34959961.5</v>
      </c>
      <c r="N49" s="190">
        <v>0</v>
      </c>
      <c r="O49" s="190">
        <v>17224346.050000001</v>
      </c>
      <c r="P49" s="190">
        <v>0</v>
      </c>
      <c r="Q49" s="190">
        <v>32829402.239999998</v>
      </c>
      <c r="R49" s="190">
        <v>0</v>
      </c>
      <c r="S49" s="190">
        <v>16304147.16</v>
      </c>
      <c r="T49" s="190">
        <v>0</v>
      </c>
      <c r="U49" s="190">
        <v>27484041.66</v>
      </c>
      <c r="V49" s="190">
        <v>0</v>
      </c>
      <c r="W49" s="190">
        <v>13633692.060000001</v>
      </c>
      <c r="X49" s="190">
        <v>0</v>
      </c>
      <c r="Y49" s="190">
        <v>22381991.079999998</v>
      </c>
      <c r="Z49" s="190">
        <v>0</v>
      </c>
      <c r="AA49" s="190">
        <v>10454383.35</v>
      </c>
      <c r="AB49" s="190">
        <v>0</v>
      </c>
      <c r="AC49" s="190">
        <v>11203316.279999999</v>
      </c>
      <c r="AD49" s="190">
        <v>0</v>
      </c>
      <c r="AE49" s="190">
        <v>4861813.6900000004</v>
      </c>
      <c r="AF49" s="190">
        <v>0</v>
      </c>
      <c r="AG49" s="190">
        <v>7957339.1600000001</v>
      </c>
      <c r="AH49" s="190">
        <v>0</v>
      </c>
      <c r="AI49" s="190">
        <v>3978568.6</v>
      </c>
      <c r="AJ49" s="190">
        <v>0</v>
      </c>
      <c r="AK49" s="190">
        <v>7885187.7300000004</v>
      </c>
      <c r="AL49" s="190">
        <v>0</v>
      </c>
      <c r="AM49" s="190">
        <v>3958009.57</v>
      </c>
      <c r="AN49" s="190">
        <v>0</v>
      </c>
      <c r="AO49" s="190">
        <v>6177331.71</v>
      </c>
      <c r="AP49" s="190">
        <v>0</v>
      </c>
      <c r="AQ49" s="190">
        <v>5055507.91</v>
      </c>
      <c r="AR49" s="190">
        <v>5767930.5800000001</v>
      </c>
      <c r="AS49" s="190">
        <v>0</v>
      </c>
    </row>
    <row r="50" spans="1:45" x14ac:dyDescent="0.25">
      <c r="A50" s="190" t="s">
        <v>264</v>
      </c>
      <c r="B50" s="190">
        <v>0</v>
      </c>
      <c r="C50" s="190">
        <v>7943763.7300000004</v>
      </c>
      <c r="D50" s="190">
        <v>0</v>
      </c>
      <c r="E50" s="190">
        <v>25971884.399999999</v>
      </c>
      <c r="F50" s="190">
        <v>0</v>
      </c>
      <c r="G50" s="190">
        <v>8416974.0999999996</v>
      </c>
      <c r="H50" s="190">
        <v>0</v>
      </c>
      <c r="I50" s="190">
        <v>7090984.5700000003</v>
      </c>
      <c r="J50" s="190">
        <v>0</v>
      </c>
      <c r="K50" s="190">
        <v>3264639.28</v>
      </c>
      <c r="L50" s="190">
        <v>0</v>
      </c>
      <c r="M50" s="190">
        <v>5117837.59</v>
      </c>
      <c r="N50" s="190">
        <v>0</v>
      </c>
      <c r="O50" s="190">
        <v>2391488.0299999998</v>
      </c>
      <c r="P50" s="190">
        <v>0</v>
      </c>
      <c r="Q50" s="190">
        <v>5055901.84</v>
      </c>
      <c r="R50" s="190">
        <v>0</v>
      </c>
      <c r="S50" s="190">
        <v>2494246.64</v>
      </c>
      <c r="T50" s="190">
        <v>0</v>
      </c>
      <c r="U50" s="190">
        <v>4350113.88</v>
      </c>
      <c r="V50" s="190">
        <v>0</v>
      </c>
      <c r="W50" s="190">
        <v>2003224.18</v>
      </c>
      <c r="X50" s="190">
        <v>0</v>
      </c>
      <c r="Y50" s="190">
        <v>3599842.27</v>
      </c>
      <c r="Z50" s="190">
        <v>0</v>
      </c>
      <c r="AA50" s="190">
        <v>1780235.23</v>
      </c>
      <c r="AB50" s="190">
        <v>0</v>
      </c>
      <c r="AC50" s="190">
        <v>2025721.79</v>
      </c>
      <c r="AD50" s="190">
        <v>0</v>
      </c>
      <c r="AE50" s="190">
        <v>690884.18</v>
      </c>
      <c r="AF50" s="190">
        <v>0</v>
      </c>
      <c r="AG50" s="190">
        <v>822758.43</v>
      </c>
      <c r="AH50" s="190">
        <v>0</v>
      </c>
      <c r="AI50" s="190">
        <v>344885.94</v>
      </c>
      <c r="AJ50" s="190">
        <v>0</v>
      </c>
      <c r="AK50" s="190">
        <v>516614.44</v>
      </c>
      <c r="AL50" s="190">
        <v>0</v>
      </c>
      <c r="AM50" s="190">
        <v>255674.06</v>
      </c>
      <c r="AN50" s="190">
        <v>0</v>
      </c>
      <c r="AO50" s="190">
        <v>480260.76</v>
      </c>
      <c r="AP50" s="190">
        <v>0</v>
      </c>
      <c r="AQ50" s="190">
        <v>480260.76</v>
      </c>
      <c r="AR50" s="190">
        <v>216882.08</v>
      </c>
      <c r="AS50" s="190">
        <v>0</v>
      </c>
    </row>
    <row r="51" spans="1:45" x14ac:dyDescent="0.25">
      <c r="A51" s="190" t="s">
        <v>265</v>
      </c>
      <c r="B51" s="190">
        <v>0</v>
      </c>
      <c r="C51" s="190">
        <v>18216996.620000001</v>
      </c>
      <c r="D51" s="190">
        <v>0</v>
      </c>
      <c r="E51" s="190">
        <v>44118084.619999997</v>
      </c>
      <c r="F51" s="190">
        <v>0</v>
      </c>
      <c r="G51" s="190">
        <v>18143207.620000001</v>
      </c>
      <c r="H51" s="190">
        <v>0</v>
      </c>
      <c r="I51" s="190">
        <v>31691698.710000001</v>
      </c>
      <c r="J51" s="190">
        <v>0</v>
      </c>
      <c r="K51" s="190">
        <v>16703937.890000001</v>
      </c>
      <c r="L51" s="190">
        <v>0</v>
      </c>
      <c r="M51" s="190">
        <v>27324656.59</v>
      </c>
      <c r="N51" s="190">
        <v>0</v>
      </c>
      <c r="O51" s="190">
        <v>11520338.15</v>
      </c>
      <c r="P51" s="190">
        <v>0</v>
      </c>
      <c r="Q51" s="190">
        <v>23465747.539999999</v>
      </c>
      <c r="R51" s="190">
        <v>0</v>
      </c>
      <c r="S51" s="190">
        <v>11528436.73</v>
      </c>
      <c r="T51" s="190">
        <v>0</v>
      </c>
      <c r="U51" s="190">
        <v>16426474.23</v>
      </c>
      <c r="V51" s="190">
        <v>0</v>
      </c>
      <c r="W51" s="190">
        <v>7062238.1299999999</v>
      </c>
      <c r="X51" s="190">
        <v>0</v>
      </c>
      <c r="Y51" s="190">
        <v>14567104.789999999</v>
      </c>
      <c r="Z51" s="190">
        <v>0</v>
      </c>
      <c r="AA51" s="190">
        <v>5027600.82</v>
      </c>
      <c r="AB51" s="190">
        <v>0</v>
      </c>
      <c r="AC51" s="190">
        <v>4795014.71</v>
      </c>
      <c r="AD51" s="190">
        <v>0</v>
      </c>
      <c r="AE51" s="190">
        <v>391855.77</v>
      </c>
      <c r="AF51" s="190">
        <v>0</v>
      </c>
      <c r="AG51" s="190">
        <v>3267896.07</v>
      </c>
      <c r="AH51" s="190">
        <v>0</v>
      </c>
      <c r="AI51" s="190">
        <v>-291810.57</v>
      </c>
      <c r="AJ51" s="190">
        <v>0</v>
      </c>
      <c r="AK51" s="190">
        <v>-4663144.5199999996</v>
      </c>
      <c r="AL51" s="190">
        <v>0</v>
      </c>
      <c r="AM51" s="190">
        <v>0</v>
      </c>
      <c r="AN51" s="190">
        <v>0</v>
      </c>
      <c r="AO51" s="190">
        <v>0</v>
      </c>
      <c r="AP51" s="190">
        <v>0</v>
      </c>
      <c r="AQ51" s="190">
        <v>0</v>
      </c>
      <c r="AR51" s="190">
        <v>0</v>
      </c>
      <c r="AS51" s="190">
        <v>0</v>
      </c>
    </row>
    <row r="52" spans="1:45" x14ac:dyDescent="0.25">
      <c r="A52" s="190" t="s">
        <v>266</v>
      </c>
      <c r="B52" s="190">
        <v>0</v>
      </c>
      <c r="C52" s="190">
        <v>0</v>
      </c>
      <c r="D52" s="190">
        <v>0</v>
      </c>
      <c r="E52" s="190">
        <v>0</v>
      </c>
      <c r="F52" s="190">
        <v>0</v>
      </c>
      <c r="G52" s="190">
        <v>0</v>
      </c>
      <c r="H52" s="190">
        <v>0</v>
      </c>
      <c r="I52" s="190">
        <v>0</v>
      </c>
      <c r="J52" s="190">
        <v>0</v>
      </c>
      <c r="K52" s="190">
        <v>0</v>
      </c>
      <c r="L52" s="190">
        <v>0</v>
      </c>
      <c r="M52" s="190">
        <v>0</v>
      </c>
      <c r="N52" s="190">
        <v>0</v>
      </c>
      <c r="O52" s="190">
        <v>0</v>
      </c>
      <c r="P52" s="190">
        <v>0</v>
      </c>
      <c r="Q52" s="190">
        <v>0</v>
      </c>
      <c r="R52" s="190">
        <v>0</v>
      </c>
      <c r="S52" s="190">
        <v>0</v>
      </c>
      <c r="T52" s="190">
        <v>0</v>
      </c>
      <c r="U52" s="190">
        <v>0</v>
      </c>
      <c r="V52" s="190">
        <v>0</v>
      </c>
      <c r="W52" s="190">
        <v>0</v>
      </c>
      <c r="X52" s="190">
        <v>0</v>
      </c>
      <c r="Y52" s="190">
        <v>0</v>
      </c>
      <c r="Z52" s="190">
        <v>0</v>
      </c>
      <c r="AA52" s="190">
        <v>0</v>
      </c>
      <c r="AB52" s="190">
        <v>0</v>
      </c>
      <c r="AC52" s="190">
        <v>0</v>
      </c>
      <c r="AD52" s="190">
        <v>0</v>
      </c>
      <c r="AE52" s="190">
        <v>0</v>
      </c>
      <c r="AF52" s="190">
        <v>0</v>
      </c>
      <c r="AG52" s="190">
        <v>0</v>
      </c>
      <c r="AH52" s="190">
        <v>0</v>
      </c>
      <c r="AI52" s="190">
        <v>0</v>
      </c>
      <c r="AJ52" s="190">
        <v>0</v>
      </c>
      <c r="AK52" s="190">
        <v>0</v>
      </c>
      <c r="AL52" s="190">
        <v>0</v>
      </c>
      <c r="AM52" s="190">
        <v>0</v>
      </c>
      <c r="AN52" s="190">
        <v>0</v>
      </c>
      <c r="AO52" s="190">
        <v>0</v>
      </c>
      <c r="AP52" s="190">
        <v>0</v>
      </c>
      <c r="AQ52" s="190">
        <v>0</v>
      </c>
      <c r="AR52" s="190">
        <v>0</v>
      </c>
      <c r="AS52" s="190">
        <v>0</v>
      </c>
    </row>
    <row r="53" spans="1:45" x14ac:dyDescent="0.25">
      <c r="A53" s="190" t="s">
        <v>267</v>
      </c>
      <c r="B53" s="190">
        <v>0</v>
      </c>
      <c r="C53" s="190">
        <v>0</v>
      </c>
      <c r="D53" s="190">
        <v>0</v>
      </c>
      <c r="E53" s="190">
        <v>0</v>
      </c>
      <c r="F53" s="190">
        <v>0</v>
      </c>
      <c r="G53" s="190">
        <v>0</v>
      </c>
      <c r="H53" s="190">
        <v>0</v>
      </c>
      <c r="I53" s="190">
        <v>0</v>
      </c>
      <c r="J53" s="190">
        <v>0</v>
      </c>
      <c r="K53" s="190">
        <v>0</v>
      </c>
      <c r="L53" s="190">
        <v>0</v>
      </c>
      <c r="M53" s="190">
        <v>0</v>
      </c>
      <c r="N53" s="190">
        <v>0</v>
      </c>
      <c r="O53" s="190">
        <v>0</v>
      </c>
      <c r="P53" s="190">
        <v>0</v>
      </c>
      <c r="Q53" s="190">
        <v>0</v>
      </c>
      <c r="R53" s="190">
        <v>0</v>
      </c>
      <c r="S53" s="190">
        <v>0</v>
      </c>
      <c r="T53" s="190">
        <v>0</v>
      </c>
      <c r="U53" s="190">
        <v>0</v>
      </c>
      <c r="V53" s="190">
        <v>0</v>
      </c>
      <c r="W53" s="190">
        <v>0</v>
      </c>
      <c r="X53" s="190">
        <v>0</v>
      </c>
      <c r="Y53" s="190">
        <v>0</v>
      </c>
      <c r="Z53" s="190">
        <v>0</v>
      </c>
      <c r="AA53" s="190">
        <v>0</v>
      </c>
      <c r="AB53" s="190">
        <v>0</v>
      </c>
      <c r="AC53" s="190">
        <v>0</v>
      </c>
      <c r="AD53" s="190">
        <v>0</v>
      </c>
      <c r="AE53" s="190">
        <v>0</v>
      </c>
      <c r="AF53" s="190">
        <v>0</v>
      </c>
      <c r="AG53" s="190">
        <v>0</v>
      </c>
      <c r="AH53" s="190">
        <v>0</v>
      </c>
      <c r="AI53" s="190">
        <v>0</v>
      </c>
      <c r="AJ53" s="190">
        <v>0</v>
      </c>
      <c r="AK53" s="190">
        <v>0</v>
      </c>
      <c r="AL53" s="190">
        <v>0</v>
      </c>
      <c r="AM53" s="190">
        <v>0</v>
      </c>
      <c r="AN53" s="190">
        <v>0</v>
      </c>
      <c r="AO53" s="190">
        <v>0</v>
      </c>
      <c r="AP53" s="190">
        <v>0</v>
      </c>
      <c r="AQ53" s="190">
        <v>0</v>
      </c>
      <c r="AR53" s="190">
        <v>0</v>
      </c>
      <c r="AS53" s="190">
        <v>0</v>
      </c>
    </row>
    <row r="54" spans="1:45" x14ac:dyDescent="0.25">
      <c r="A54" s="190" t="s">
        <v>268</v>
      </c>
      <c r="B54" s="190">
        <v>0</v>
      </c>
      <c r="C54" s="190">
        <v>527845.37</v>
      </c>
      <c r="D54" s="190">
        <v>0</v>
      </c>
      <c r="E54" s="190">
        <v>400460.26</v>
      </c>
      <c r="F54" s="190">
        <v>0</v>
      </c>
      <c r="G54" s="190">
        <v>567133.53</v>
      </c>
      <c r="H54" s="190">
        <v>0</v>
      </c>
      <c r="I54" s="190">
        <v>315541.44</v>
      </c>
      <c r="J54" s="190">
        <v>0</v>
      </c>
      <c r="K54" s="190">
        <v>271326.99</v>
      </c>
      <c r="L54" s="190">
        <v>0</v>
      </c>
      <c r="M54" s="190">
        <v>262905.48</v>
      </c>
      <c r="N54" s="190">
        <v>0</v>
      </c>
      <c r="O54" s="190">
        <v>211459.86</v>
      </c>
      <c r="P54" s="190">
        <v>0</v>
      </c>
      <c r="Q54" s="190">
        <v>708521.66</v>
      </c>
      <c r="R54" s="190">
        <v>0</v>
      </c>
      <c r="S54" s="190">
        <v>-156539.56</v>
      </c>
      <c r="T54" s="190">
        <v>0</v>
      </c>
      <c r="U54" s="190">
        <v>94529.15</v>
      </c>
      <c r="V54" s="190">
        <v>0</v>
      </c>
      <c r="W54" s="190">
        <v>-49124.82</v>
      </c>
      <c r="X54" s="190">
        <v>0</v>
      </c>
      <c r="Y54" s="190">
        <v>442631.58</v>
      </c>
      <c r="Z54" s="190">
        <v>0</v>
      </c>
      <c r="AA54" s="190">
        <v>355433.64</v>
      </c>
      <c r="AB54" s="190">
        <v>0</v>
      </c>
      <c r="AC54" s="190">
        <v>122008.88</v>
      </c>
      <c r="AD54" s="190">
        <v>0</v>
      </c>
      <c r="AE54" s="190">
        <v>-166311.64000000001</v>
      </c>
      <c r="AF54" s="190">
        <v>0</v>
      </c>
      <c r="AG54" s="190">
        <v>92121.38</v>
      </c>
      <c r="AH54" s="190">
        <v>0</v>
      </c>
      <c r="AI54" s="190">
        <v>10876.46</v>
      </c>
      <c r="AJ54" s="190">
        <v>0</v>
      </c>
      <c r="AK54" s="190">
        <v>196954.43</v>
      </c>
      <c r="AL54" s="190">
        <v>0</v>
      </c>
      <c r="AM54" s="190">
        <v>14468.98</v>
      </c>
      <c r="AN54" s="190">
        <v>0</v>
      </c>
      <c r="AO54" s="190">
        <v>90111.08</v>
      </c>
      <c r="AP54" s="190">
        <v>0</v>
      </c>
      <c r="AQ54" s="190">
        <v>0</v>
      </c>
      <c r="AR54" s="190">
        <v>189932.79999999999</v>
      </c>
      <c r="AS54" s="190">
        <v>0</v>
      </c>
    </row>
    <row r="55" spans="1:45" x14ac:dyDescent="0.25">
      <c r="A55" s="190" t="s">
        <v>269</v>
      </c>
      <c r="B55" s="190">
        <v>0</v>
      </c>
      <c r="C55" s="190">
        <v>0</v>
      </c>
      <c r="D55" s="190">
        <v>0</v>
      </c>
      <c r="E55" s="190">
        <v>0</v>
      </c>
      <c r="F55" s="190">
        <v>0</v>
      </c>
      <c r="G55" s="190">
        <v>0</v>
      </c>
      <c r="H55" s="190">
        <v>0</v>
      </c>
      <c r="I55" s="190">
        <v>0</v>
      </c>
      <c r="J55" s="190">
        <v>0</v>
      </c>
      <c r="K55" s="190">
        <v>0</v>
      </c>
      <c r="L55" s="190">
        <v>0</v>
      </c>
      <c r="M55" s="190">
        <v>0</v>
      </c>
      <c r="N55" s="190">
        <v>0</v>
      </c>
      <c r="O55" s="190">
        <v>0</v>
      </c>
      <c r="P55" s="190">
        <v>0</v>
      </c>
      <c r="Q55" s="190">
        <v>0</v>
      </c>
      <c r="R55" s="190">
        <v>0</v>
      </c>
      <c r="S55" s="190">
        <v>0</v>
      </c>
      <c r="T55" s="190">
        <v>0</v>
      </c>
      <c r="U55" s="190">
        <v>0</v>
      </c>
      <c r="V55" s="190">
        <v>0</v>
      </c>
      <c r="W55" s="190">
        <v>0</v>
      </c>
      <c r="X55" s="190">
        <v>0</v>
      </c>
      <c r="Y55" s="190">
        <v>0</v>
      </c>
      <c r="Z55" s="190">
        <v>0</v>
      </c>
      <c r="AA55" s="190">
        <v>0</v>
      </c>
      <c r="AB55" s="190">
        <v>0</v>
      </c>
      <c r="AC55" s="190">
        <v>0</v>
      </c>
      <c r="AD55" s="190">
        <v>0</v>
      </c>
      <c r="AE55" s="190">
        <v>2060.88</v>
      </c>
      <c r="AF55" s="190">
        <v>0</v>
      </c>
      <c r="AG55" s="190">
        <v>0</v>
      </c>
      <c r="AH55" s="190">
        <v>0</v>
      </c>
      <c r="AI55" s="190">
        <v>0</v>
      </c>
      <c r="AJ55" s="190">
        <v>0</v>
      </c>
      <c r="AK55" s="190">
        <v>0</v>
      </c>
      <c r="AL55" s="190">
        <v>0</v>
      </c>
      <c r="AM55" s="190">
        <v>0</v>
      </c>
      <c r="AN55" s="190">
        <v>0</v>
      </c>
      <c r="AO55" s="190">
        <v>0</v>
      </c>
      <c r="AP55" s="190">
        <v>0</v>
      </c>
      <c r="AQ55" s="190">
        <v>1516529.05</v>
      </c>
      <c r="AR55" s="190">
        <v>15552.35</v>
      </c>
      <c r="AS55" s="190">
        <v>0</v>
      </c>
    </row>
    <row r="56" spans="1:45" x14ac:dyDescent="0.25">
      <c r="A56" s="190" t="s">
        <v>270</v>
      </c>
      <c r="B56" s="190">
        <v>0</v>
      </c>
      <c r="C56" s="190">
        <v>0</v>
      </c>
      <c r="D56" s="190">
        <v>0</v>
      </c>
      <c r="E56" s="190">
        <v>0</v>
      </c>
      <c r="F56" s="190">
        <v>0</v>
      </c>
      <c r="G56" s="190">
        <v>0</v>
      </c>
      <c r="H56" s="190">
        <v>0</v>
      </c>
      <c r="I56" s="190">
        <v>0</v>
      </c>
      <c r="J56" s="190">
        <v>0</v>
      </c>
      <c r="K56" s="190">
        <v>0</v>
      </c>
      <c r="L56" s="190">
        <v>0</v>
      </c>
      <c r="M56" s="190">
        <v>0</v>
      </c>
      <c r="N56" s="190">
        <v>0</v>
      </c>
      <c r="O56" s="190">
        <v>0</v>
      </c>
      <c r="P56" s="190">
        <v>0</v>
      </c>
      <c r="Q56" s="190">
        <v>0</v>
      </c>
      <c r="R56" s="190">
        <v>0</v>
      </c>
      <c r="S56" s="190">
        <v>0</v>
      </c>
      <c r="T56" s="190">
        <v>0</v>
      </c>
      <c r="U56" s="190">
        <v>0</v>
      </c>
      <c r="V56" s="190">
        <v>0</v>
      </c>
      <c r="W56" s="190">
        <v>0</v>
      </c>
      <c r="X56" s="190">
        <v>0</v>
      </c>
      <c r="Y56" s="190">
        <v>0</v>
      </c>
      <c r="Z56" s="190">
        <v>0</v>
      </c>
      <c r="AA56" s="190">
        <v>0</v>
      </c>
      <c r="AB56" s="190">
        <v>0</v>
      </c>
      <c r="AC56" s="190">
        <v>0</v>
      </c>
      <c r="AD56" s="190">
        <v>0</v>
      </c>
      <c r="AE56" s="190">
        <v>0</v>
      </c>
      <c r="AF56" s="190">
        <v>0</v>
      </c>
      <c r="AG56" s="190">
        <v>0</v>
      </c>
      <c r="AH56" s="190">
        <v>0</v>
      </c>
      <c r="AI56" s="190">
        <v>0</v>
      </c>
      <c r="AJ56" s="190">
        <v>0</v>
      </c>
      <c r="AK56" s="190">
        <v>0</v>
      </c>
      <c r="AL56" s="190">
        <v>0</v>
      </c>
      <c r="AM56" s="190">
        <v>0</v>
      </c>
      <c r="AN56" s="190">
        <v>0</v>
      </c>
      <c r="AO56" s="190">
        <v>0</v>
      </c>
      <c r="AP56" s="190">
        <v>0</v>
      </c>
      <c r="AQ56" s="190">
        <v>0</v>
      </c>
      <c r="AR56" s="190">
        <v>0</v>
      </c>
      <c r="AS56" s="190">
        <v>0</v>
      </c>
    </row>
    <row r="57" spans="1:45" x14ac:dyDescent="0.25">
      <c r="A57" s="190" t="s">
        <v>271</v>
      </c>
      <c r="B57" s="190">
        <v>0</v>
      </c>
      <c r="C57" s="190">
        <v>0</v>
      </c>
      <c r="D57" s="190">
        <v>0</v>
      </c>
      <c r="E57" s="190">
        <v>0</v>
      </c>
      <c r="F57" s="190">
        <v>0</v>
      </c>
      <c r="G57" s="190">
        <v>0</v>
      </c>
      <c r="H57" s="190">
        <v>0</v>
      </c>
      <c r="I57" s="190">
        <v>0</v>
      </c>
      <c r="J57" s="190">
        <v>0</v>
      </c>
      <c r="K57" s="190">
        <v>0</v>
      </c>
      <c r="L57" s="190">
        <v>0</v>
      </c>
      <c r="M57" s="190">
        <v>0</v>
      </c>
      <c r="N57" s="190">
        <v>0</v>
      </c>
      <c r="O57" s="190">
        <v>0</v>
      </c>
      <c r="P57" s="190">
        <v>0</v>
      </c>
      <c r="Q57" s="190">
        <v>0</v>
      </c>
      <c r="R57" s="190">
        <v>0</v>
      </c>
      <c r="S57" s="190">
        <v>0</v>
      </c>
      <c r="T57" s="190">
        <v>0</v>
      </c>
      <c r="U57" s="190">
        <v>0</v>
      </c>
      <c r="V57" s="190">
        <v>0</v>
      </c>
      <c r="W57" s="190">
        <v>0</v>
      </c>
      <c r="X57" s="190">
        <v>0</v>
      </c>
      <c r="Y57" s="190">
        <v>0</v>
      </c>
      <c r="Z57" s="190">
        <v>0</v>
      </c>
      <c r="AA57" s="190">
        <v>0</v>
      </c>
      <c r="AB57" s="190">
        <v>0</v>
      </c>
      <c r="AC57" s="190">
        <v>0</v>
      </c>
      <c r="AD57" s="190">
        <v>0</v>
      </c>
      <c r="AE57" s="190">
        <v>0</v>
      </c>
      <c r="AF57" s="190">
        <v>0</v>
      </c>
      <c r="AG57" s="190">
        <v>0</v>
      </c>
      <c r="AH57" s="190">
        <v>0</v>
      </c>
      <c r="AI57" s="190">
        <v>0</v>
      </c>
      <c r="AJ57" s="190">
        <v>0</v>
      </c>
      <c r="AK57" s="190">
        <v>0</v>
      </c>
      <c r="AL57" s="190">
        <v>0</v>
      </c>
      <c r="AM57" s="190">
        <v>0</v>
      </c>
      <c r="AN57" s="190">
        <v>0</v>
      </c>
      <c r="AO57" s="190">
        <v>0</v>
      </c>
      <c r="AP57" s="190">
        <v>0</v>
      </c>
      <c r="AQ57" s="190">
        <v>0</v>
      </c>
      <c r="AR57" s="190">
        <v>0</v>
      </c>
      <c r="AS57" s="190">
        <v>0</v>
      </c>
    </row>
    <row r="58" spans="1:45" x14ac:dyDescent="0.25">
      <c r="A58" s="190" t="s">
        <v>272</v>
      </c>
      <c r="B58" s="190">
        <v>0</v>
      </c>
      <c r="C58" s="190">
        <v>0</v>
      </c>
      <c r="D58" s="190">
        <v>0</v>
      </c>
      <c r="E58" s="190">
        <v>0</v>
      </c>
      <c r="F58" s="190">
        <v>0</v>
      </c>
      <c r="G58" s="190">
        <v>0</v>
      </c>
      <c r="H58" s="190">
        <v>0</v>
      </c>
      <c r="I58" s="190">
        <v>0</v>
      </c>
      <c r="J58" s="190">
        <v>0</v>
      </c>
      <c r="K58" s="190">
        <v>0</v>
      </c>
      <c r="L58" s="190">
        <v>0</v>
      </c>
      <c r="M58" s="190">
        <v>0</v>
      </c>
      <c r="N58" s="190">
        <v>0</v>
      </c>
      <c r="O58" s="190">
        <v>0</v>
      </c>
      <c r="P58" s="190">
        <v>0</v>
      </c>
      <c r="Q58" s="190">
        <v>0</v>
      </c>
      <c r="R58" s="190">
        <v>0</v>
      </c>
      <c r="S58" s="190">
        <v>0</v>
      </c>
      <c r="T58" s="190">
        <v>0</v>
      </c>
      <c r="U58" s="190">
        <v>0</v>
      </c>
      <c r="V58" s="190">
        <v>0</v>
      </c>
      <c r="W58" s="190">
        <v>0</v>
      </c>
      <c r="X58" s="190">
        <v>0</v>
      </c>
      <c r="Y58" s="190">
        <v>0</v>
      </c>
      <c r="Z58" s="190">
        <v>0</v>
      </c>
      <c r="AA58" s="190">
        <v>0</v>
      </c>
      <c r="AB58" s="190">
        <v>0</v>
      </c>
      <c r="AC58" s="190">
        <v>0</v>
      </c>
      <c r="AD58" s="190">
        <v>0</v>
      </c>
      <c r="AE58" s="190">
        <v>0</v>
      </c>
      <c r="AF58" s="190">
        <v>0</v>
      </c>
      <c r="AG58" s="190">
        <v>0</v>
      </c>
      <c r="AH58" s="190">
        <v>0</v>
      </c>
      <c r="AI58" s="190">
        <v>0</v>
      </c>
      <c r="AJ58" s="190">
        <v>0</v>
      </c>
      <c r="AK58" s="190">
        <v>0</v>
      </c>
      <c r="AL58" s="190">
        <v>0</v>
      </c>
      <c r="AM58" s="190">
        <v>0</v>
      </c>
      <c r="AN58" s="190">
        <v>0</v>
      </c>
      <c r="AO58" s="190">
        <v>0</v>
      </c>
      <c r="AP58" s="190">
        <v>0</v>
      </c>
      <c r="AQ58" s="190">
        <v>0</v>
      </c>
      <c r="AR58" s="190">
        <v>0</v>
      </c>
      <c r="AS58" s="190">
        <v>0</v>
      </c>
    </row>
    <row r="59" spans="1:45" x14ac:dyDescent="0.25">
      <c r="A59" s="190" t="s">
        <v>197</v>
      </c>
      <c r="B59" s="190">
        <v>0</v>
      </c>
      <c r="C59" s="190">
        <v>1307558.08</v>
      </c>
      <c r="D59" s="190">
        <v>0</v>
      </c>
      <c r="E59" s="190">
        <v>25239860.559999999</v>
      </c>
      <c r="F59" s="190">
        <v>0</v>
      </c>
      <c r="G59" s="190">
        <v>6953164.75</v>
      </c>
      <c r="H59" s="190">
        <v>0</v>
      </c>
      <c r="I59" s="190">
        <v>-8730849.1099999994</v>
      </c>
      <c r="J59" s="190">
        <v>0</v>
      </c>
      <c r="K59" s="190">
        <v>-2703142.79</v>
      </c>
      <c r="L59" s="190">
        <v>0</v>
      </c>
      <c r="M59" s="190">
        <v>-15321156.119999999</v>
      </c>
      <c r="N59" s="190">
        <v>0</v>
      </c>
      <c r="O59" s="190">
        <v>-7911647.0199999996</v>
      </c>
      <c r="P59" s="190">
        <v>0</v>
      </c>
      <c r="Q59" s="190">
        <v>-22611244.149999999</v>
      </c>
      <c r="R59" s="190">
        <v>0</v>
      </c>
      <c r="S59" s="190">
        <v>-13426084.09</v>
      </c>
      <c r="T59" s="190">
        <v>0</v>
      </c>
      <c r="U59" s="190">
        <v>-20697636.489999998</v>
      </c>
      <c r="V59" s="190">
        <v>0</v>
      </c>
      <c r="W59" s="190">
        <v>-12245539.949999999</v>
      </c>
      <c r="X59" s="190">
        <v>0</v>
      </c>
      <c r="Y59" s="190">
        <v>-21722176.239999998</v>
      </c>
      <c r="Z59" s="190">
        <v>0</v>
      </c>
      <c r="AA59" s="190">
        <v>-12981393.220000001</v>
      </c>
      <c r="AB59" s="190">
        <v>0</v>
      </c>
      <c r="AC59" s="190">
        <v>-26363710.850000001</v>
      </c>
      <c r="AD59" s="190">
        <v>0</v>
      </c>
      <c r="AE59" s="190">
        <v>-7794407.0999999996</v>
      </c>
      <c r="AF59" s="190">
        <v>0</v>
      </c>
      <c r="AG59" s="190">
        <v>-19731190.82</v>
      </c>
      <c r="AH59" s="190">
        <v>0</v>
      </c>
      <c r="AI59" s="190">
        <v>-3730626.07</v>
      </c>
      <c r="AJ59" s="190">
        <v>0</v>
      </c>
      <c r="AK59" s="190">
        <v>-1563006.14</v>
      </c>
      <c r="AL59" s="190">
        <v>0</v>
      </c>
      <c r="AM59" s="190">
        <v>-312048.69</v>
      </c>
      <c r="AN59" s="190">
        <v>0</v>
      </c>
      <c r="AO59" s="190">
        <v>1134616.1599999999</v>
      </c>
      <c r="AP59" s="190">
        <v>0</v>
      </c>
      <c r="AQ59" s="190">
        <v>2085964.89</v>
      </c>
      <c r="AR59" s="190">
        <v>1281006.17</v>
      </c>
      <c r="AS59" s="190">
        <v>0</v>
      </c>
    </row>
    <row r="60" spans="1:45" x14ac:dyDescent="0.25">
      <c r="A60" s="190" t="s">
        <v>273</v>
      </c>
      <c r="B60" s="190">
        <v>0</v>
      </c>
      <c r="C60" s="190">
        <v>-28971556.489999998</v>
      </c>
      <c r="D60" s="190">
        <v>0</v>
      </c>
      <c r="E60" s="190">
        <v>-46344509.020000003</v>
      </c>
      <c r="F60" s="190">
        <v>0</v>
      </c>
      <c r="G60" s="190">
        <v>-27737580.16</v>
      </c>
      <c r="H60" s="190">
        <v>0</v>
      </c>
      <c r="I60" s="190">
        <v>-30518868.780000001</v>
      </c>
      <c r="J60" s="190">
        <v>0</v>
      </c>
      <c r="K60" s="190">
        <v>-14837689.359999999</v>
      </c>
      <c r="L60" s="190">
        <v>0</v>
      </c>
      <c r="M60" s="190">
        <v>-54802146.340000004</v>
      </c>
      <c r="N60" s="190">
        <v>0</v>
      </c>
      <c r="O60" s="190">
        <v>-18458085.66</v>
      </c>
      <c r="P60" s="190">
        <v>0</v>
      </c>
      <c r="Q60" s="190">
        <v>-17154949.390000001</v>
      </c>
      <c r="R60" s="190">
        <v>0</v>
      </c>
      <c r="S60" s="190">
        <v>-8266763.2999999998</v>
      </c>
      <c r="T60" s="190">
        <v>0</v>
      </c>
      <c r="U60" s="190">
        <v>-5457633.1399999997</v>
      </c>
      <c r="V60" s="190">
        <v>0</v>
      </c>
      <c r="W60" s="190">
        <v>0</v>
      </c>
      <c r="X60" s="190">
        <v>0</v>
      </c>
      <c r="Y60" s="190">
        <v>-929555.19</v>
      </c>
      <c r="Z60" s="190">
        <v>0</v>
      </c>
      <c r="AA60" s="190">
        <v>0</v>
      </c>
      <c r="AB60" s="190">
        <v>0</v>
      </c>
      <c r="AC60" s="190">
        <v>0</v>
      </c>
      <c r="AD60" s="190">
        <v>0</v>
      </c>
      <c r="AE60" s="190">
        <v>0</v>
      </c>
      <c r="AF60" s="190">
        <v>0</v>
      </c>
      <c r="AG60" s="190">
        <v>0</v>
      </c>
      <c r="AH60" s="190">
        <v>0</v>
      </c>
      <c r="AI60" s="190">
        <v>0</v>
      </c>
      <c r="AJ60" s="190">
        <v>0</v>
      </c>
      <c r="AK60" s="190">
        <v>0</v>
      </c>
      <c r="AL60" s="190">
        <v>0</v>
      </c>
      <c r="AM60" s="190">
        <v>0</v>
      </c>
      <c r="AN60" s="190">
        <v>0</v>
      </c>
      <c r="AO60" s="190">
        <v>-3020.54</v>
      </c>
      <c r="AP60" s="190">
        <v>0</v>
      </c>
      <c r="AQ60" s="190">
        <v>-10356.16</v>
      </c>
      <c r="AR60" s="190">
        <v>0</v>
      </c>
      <c r="AS60" s="190">
        <v>0</v>
      </c>
    </row>
    <row r="61" spans="1:45" x14ac:dyDescent="0.25">
      <c r="A61" s="190" t="s">
        <v>274</v>
      </c>
      <c r="B61" s="190">
        <v>0</v>
      </c>
      <c r="C61" s="190">
        <v>9760597.0899999999</v>
      </c>
      <c r="D61" s="190">
        <v>0</v>
      </c>
      <c r="E61" s="190">
        <v>-7491690.3799999999</v>
      </c>
      <c r="F61" s="190">
        <v>0</v>
      </c>
      <c r="G61" s="190">
        <v>-8660996.3399999999</v>
      </c>
      <c r="H61" s="190">
        <v>0</v>
      </c>
      <c r="I61" s="190">
        <v>8476653.6699999999</v>
      </c>
      <c r="J61" s="190">
        <v>0</v>
      </c>
      <c r="K61" s="190">
        <v>6318528.2699999996</v>
      </c>
      <c r="L61" s="190">
        <v>0</v>
      </c>
      <c r="M61" s="190">
        <v>-19135636.699999999</v>
      </c>
      <c r="N61" s="190">
        <v>0</v>
      </c>
      <c r="O61" s="190">
        <v>-1504823.25</v>
      </c>
      <c r="P61" s="190">
        <v>0</v>
      </c>
      <c r="Q61" s="190">
        <v>-25752529.100000001</v>
      </c>
      <c r="R61" s="190">
        <v>0</v>
      </c>
      <c r="S61" s="190">
        <v>-7849267.2699999996</v>
      </c>
      <c r="T61" s="190">
        <v>0</v>
      </c>
      <c r="U61" s="190">
        <v>-4021348.8</v>
      </c>
      <c r="V61" s="190">
        <v>0</v>
      </c>
      <c r="W61" s="190">
        <v>-8217536.0999999996</v>
      </c>
      <c r="X61" s="190">
        <v>0</v>
      </c>
      <c r="Y61" s="190">
        <v>-11069646.289999999</v>
      </c>
      <c r="Z61" s="190">
        <v>0</v>
      </c>
      <c r="AA61" s="190">
        <v>-4953287.91</v>
      </c>
      <c r="AB61" s="190">
        <v>0</v>
      </c>
      <c r="AC61" s="190">
        <v>-3503349.13</v>
      </c>
      <c r="AD61" s="190">
        <v>0</v>
      </c>
      <c r="AE61" s="190">
        <v>-8312010.4000000004</v>
      </c>
      <c r="AF61" s="190">
        <v>0</v>
      </c>
      <c r="AG61" s="190">
        <v>-24159611.800000001</v>
      </c>
      <c r="AH61" s="190">
        <v>0</v>
      </c>
      <c r="AI61" s="190">
        <v>957247.32</v>
      </c>
      <c r="AJ61" s="190">
        <v>0</v>
      </c>
      <c r="AK61" s="190">
        <v>-1165384.22</v>
      </c>
      <c r="AL61" s="190">
        <v>0</v>
      </c>
      <c r="AM61" s="190">
        <v>1594552.3200000001</v>
      </c>
      <c r="AN61" s="190">
        <v>0</v>
      </c>
      <c r="AO61" s="190">
        <v>-2288798.23</v>
      </c>
      <c r="AP61" s="190">
        <v>0</v>
      </c>
      <c r="AQ61" s="190">
        <v>-1083432.95</v>
      </c>
      <c r="AR61" s="190">
        <v>-2066397.91</v>
      </c>
      <c r="AS61" s="190">
        <v>0</v>
      </c>
    </row>
    <row r="62" spans="1:45" x14ac:dyDescent="0.25">
      <c r="A62" s="190" t="s">
        <v>275</v>
      </c>
      <c r="B62" s="190">
        <v>0</v>
      </c>
      <c r="C62" s="190">
        <v>3872843.21</v>
      </c>
      <c r="D62" s="190">
        <v>0</v>
      </c>
      <c r="E62" s="190">
        <v>547967.21</v>
      </c>
      <c r="F62" s="190">
        <v>0</v>
      </c>
      <c r="G62" s="190">
        <v>-5221326.74</v>
      </c>
      <c r="H62" s="190">
        <v>0</v>
      </c>
      <c r="I62" s="190">
        <v>-125000</v>
      </c>
      <c r="J62" s="190">
        <v>0</v>
      </c>
      <c r="K62" s="190">
        <v>0</v>
      </c>
      <c r="L62" s="190">
        <v>0</v>
      </c>
      <c r="M62" s="190">
        <v>0</v>
      </c>
      <c r="N62" s="190">
        <v>0</v>
      </c>
      <c r="O62" s="190">
        <v>0</v>
      </c>
      <c r="P62" s="190">
        <v>0</v>
      </c>
      <c r="Q62" s="190">
        <v>0</v>
      </c>
      <c r="R62" s="190">
        <v>0</v>
      </c>
      <c r="S62" s="190">
        <v>0</v>
      </c>
      <c r="T62" s="190">
        <v>0</v>
      </c>
      <c r="U62" s="190">
        <v>0</v>
      </c>
      <c r="V62" s="190">
        <v>0</v>
      </c>
      <c r="W62" s="190">
        <v>0</v>
      </c>
      <c r="X62" s="190">
        <v>0</v>
      </c>
      <c r="Y62" s="190">
        <v>0</v>
      </c>
      <c r="Z62" s="190">
        <v>0</v>
      </c>
      <c r="AA62" s="190">
        <v>0</v>
      </c>
      <c r="AB62" s="190">
        <v>0</v>
      </c>
      <c r="AC62" s="190">
        <v>0</v>
      </c>
      <c r="AD62" s="190">
        <v>0</v>
      </c>
      <c r="AE62" s="190">
        <v>0</v>
      </c>
      <c r="AF62" s="190">
        <v>0</v>
      </c>
      <c r="AG62" s="190">
        <v>0</v>
      </c>
      <c r="AH62" s="190">
        <v>0</v>
      </c>
      <c r="AI62" s="190">
        <v>0</v>
      </c>
      <c r="AJ62" s="190">
        <v>0</v>
      </c>
      <c r="AK62" s="190">
        <v>0</v>
      </c>
      <c r="AL62" s="190">
        <v>0</v>
      </c>
      <c r="AM62" s="190">
        <v>0</v>
      </c>
      <c r="AN62" s="190">
        <v>0</v>
      </c>
      <c r="AO62" s="190">
        <v>0</v>
      </c>
      <c r="AP62" s="190">
        <v>0</v>
      </c>
      <c r="AQ62" s="190">
        <v>0</v>
      </c>
      <c r="AR62" s="190">
        <v>0</v>
      </c>
      <c r="AS62" s="190">
        <v>0</v>
      </c>
    </row>
    <row r="63" spans="1:45" x14ac:dyDescent="0.25">
      <c r="A63" s="190" t="s">
        <v>276</v>
      </c>
      <c r="B63" s="190">
        <v>0</v>
      </c>
      <c r="C63" s="190">
        <v>-270512347.47000003</v>
      </c>
      <c r="D63" s="190">
        <v>0</v>
      </c>
      <c r="E63" s="190">
        <v>-133028597.31</v>
      </c>
      <c r="F63" s="190">
        <v>0</v>
      </c>
      <c r="G63" s="190">
        <v>-223622068.68000001</v>
      </c>
      <c r="H63" s="190">
        <v>0</v>
      </c>
      <c r="I63" s="190">
        <v>-16098122.91</v>
      </c>
      <c r="J63" s="190">
        <v>0</v>
      </c>
      <c r="K63" s="190">
        <v>77679803.290000007</v>
      </c>
      <c r="L63" s="190">
        <v>0</v>
      </c>
      <c r="M63" s="190">
        <v>-18168112.329999998</v>
      </c>
      <c r="N63" s="190">
        <v>0</v>
      </c>
      <c r="O63" s="190">
        <v>26688508.66</v>
      </c>
      <c r="P63" s="190">
        <v>0</v>
      </c>
      <c r="Q63" s="190">
        <v>89674022.239999995</v>
      </c>
      <c r="R63" s="190">
        <v>0</v>
      </c>
      <c r="S63" s="190">
        <v>-10331105.810000001</v>
      </c>
      <c r="T63" s="190">
        <v>0</v>
      </c>
      <c r="U63" s="190">
        <v>-68732163.459999993</v>
      </c>
      <c r="V63" s="190">
        <v>0</v>
      </c>
      <c r="W63" s="190">
        <v>-60728493.130000003</v>
      </c>
      <c r="X63" s="190">
        <v>0</v>
      </c>
      <c r="Y63" s="190">
        <v>-100666662.39</v>
      </c>
      <c r="Z63" s="190">
        <v>0</v>
      </c>
      <c r="AA63" s="190">
        <v>-250879712.24000001</v>
      </c>
      <c r="AB63" s="190">
        <v>0</v>
      </c>
      <c r="AC63" s="190">
        <v>-56766653.920000002</v>
      </c>
      <c r="AD63" s="190">
        <v>0</v>
      </c>
      <c r="AE63" s="190">
        <v>-61145403.899999999</v>
      </c>
      <c r="AF63" s="190">
        <v>0</v>
      </c>
      <c r="AG63" s="190">
        <v>-206240481.53999999</v>
      </c>
      <c r="AH63" s="190">
        <v>0</v>
      </c>
      <c r="AI63" s="190">
        <v>-135236055.83000001</v>
      </c>
      <c r="AJ63" s="190">
        <v>0</v>
      </c>
      <c r="AK63" s="190">
        <v>-37060712.119999997</v>
      </c>
      <c r="AL63" s="190">
        <v>0</v>
      </c>
      <c r="AM63" s="190">
        <v>-25810732.34</v>
      </c>
      <c r="AN63" s="190">
        <v>0</v>
      </c>
      <c r="AO63" s="190">
        <v>-37539065.030000001</v>
      </c>
      <c r="AP63" s="190">
        <v>0</v>
      </c>
      <c r="AQ63" s="190">
        <v>-28475568.91</v>
      </c>
      <c r="AR63" s="190">
        <v>-65466034.479999997</v>
      </c>
      <c r="AS63" s="190">
        <v>0</v>
      </c>
    </row>
    <row r="64" spans="1:45" x14ac:dyDescent="0.25">
      <c r="A64" s="190" t="s">
        <v>277</v>
      </c>
      <c r="B64" s="190">
        <v>0</v>
      </c>
      <c r="C64" s="190">
        <v>-50951413.270000003</v>
      </c>
      <c r="D64" s="190">
        <v>0</v>
      </c>
      <c r="E64" s="190">
        <v>-143497248.13999999</v>
      </c>
      <c r="F64" s="190">
        <v>0</v>
      </c>
      <c r="G64" s="190">
        <v>2111740.39</v>
      </c>
      <c r="H64" s="190">
        <v>0</v>
      </c>
      <c r="I64" s="190">
        <v>-26146736.719999999</v>
      </c>
      <c r="J64" s="190">
        <v>0</v>
      </c>
      <c r="K64" s="190">
        <v>-127488531.88</v>
      </c>
      <c r="L64" s="190">
        <v>0</v>
      </c>
      <c r="M64" s="190">
        <v>-178507522.28999999</v>
      </c>
      <c r="N64" s="190">
        <v>0</v>
      </c>
      <c r="O64" s="190">
        <v>-1847679.12</v>
      </c>
      <c r="P64" s="190">
        <v>0</v>
      </c>
      <c r="Q64" s="190">
        <v>3051252.69</v>
      </c>
      <c r="R64" s="190">
        <v>0</v>
      </c>
      <c r="S64" s="190">
        <v>-34159943.299999997</v>
      </c>
      <c r="T64" s="190">
        <v>0</v>
      </c>
      <c r="U64" s="190">
        <v>47790581.899999999</v>
      </c>
      <c r="V64" s="190">
        <v>0</v>
      </c>
      <c r="W64" s="190">
        <v>-35009074.149999999</v>
      </c>
      <c r="X64" s="190">
        <v>0</v>
      </c>
      <c r="Y64" s="190">
        <v>-34754370.640000001</v>
      </c>
      <c r="Z64" s="190">
        <v>0</v>
      </c>
      <c r="AA64" s="190">
        <v>-4469284.6900000004</v>
      </c>
      <c r="AB64" s="190">
        <v>0</v>
      </c>
      <c r="AC64" s="190">
        <v>-86065765.989999995</v>
      </c>
      <c r="AD64" s="190">
        <v>0</v>
      </c>
      <c r="AE64" s="190">
        <v>24430046.219999999</v>
      </c>
      <c r="AF64" s="190">
        <v>0</v>
      </c>
      <c r="AG64" s="190">
        <v>-47994233.460000001</v>
      </c>
      <c r="AH64" s="190">
        <v>0</v>
      </c>
      <c r="AI64" s="190">
        <v>14468094.25</v>
      </c>
      <c r="AJ64" s="190">
        <v>0</v>
      </c>
      <c r="AK64" s="190">
        <v>-30018000.300000001</v>
      </c>
      <c r="AL64" s="190">
        <v>0</v>
      </c>
      <c r="AM64" s="190">
        <v>5993070.8799999999</v>
      </c>
      <c r="AN64" s="190">
        <v>0</v>
      </c>
      <c r="AO64" s="190">
        <v>-15163679.859999999</v>
      </c>
      <c r="AP64" s="190">
        <v>0</v>
      </c>
      <c r="AQ64" s="190">
        <v>-20319199.530000001</v>
      </c>
      <c r="AR64" s="190">
        <v>34659798.350000001</v>
      </c>
      <c r="AS64" s="190">
        <v>0</v>
      </c>
    </row>
    <row r="65" spans="1:45" x14ac:dyDescent="0.25">
      <c r="A65" s="190" t="s">
        <v>278</v>
      </c>
      <c r="B65" s="190">
        <v>0</v>
      </c>
      <c r="C65" s="190">
        <v>-21041283.050000001</v>
      </c>
      <c r="D65" s="190">
        <v>0</v>
      </c>
      <c r="E65" s="190">
        <v>71098743.049999997</v>
      </c>
      <c r="F65" s="190">
        <v>0</v>
      </c>
      <c r="G65" s="190">
        <v>-105426995.84</v>
      </c>
      <c r="H65" s="190">
        <v>0</v>
      </c>
      <c r="I65" s="190">
        <v>116585095.48</v>
      </c>
      <c r="J65" s="190">
        <v>0</v>
      </c>
      <c r="K65" s="190">
        <v>-96302980.849999994</v>
      </c>
      <c r="L65" s="190">
        <v>0</v>
      </c>
      <c r="M65" s="190">
        <v>103382388.27</v>
      </c>
      <c r="N65" s="190">
        <v>0</v>
      </c>
      <c r="O65" s="190">
        <v>-148287897.44</v>
      </c>
      <c r="P65" s="190">
        <v>0</v>
      </c>
      <c r="Q65" s="190">
        <v>4556524.75</v>
      </c>
      <c r="R65" s="190">
        <v>0</v>
      </c>
      <c r="S65" s="190">
        <v>-31953959.280000001</v>
      </c>
      <c r="T65" s="190">
        <v>0</v>
      </c>
      <c r="U65" s="190">
        <v>72951778.359999999</v>
      </c>
      <c r="V65" s="190">
        <v>0</v>
      </c>
      <c r="W65" s="190">
        <v>-109545322.48</v>
      </c>
      <c r="X65" s="190">
        <v>0</v>
      </c>
      <c r="Y65" s="190">
        <v>-15310735.24</v>
      </c>
      <c r="Z65" s="190">
        <v>0</v>
      </c>
      <c r="AA65" s="190">
        <v>-36934963.719999999</v>
      </c>
      <c r="AB65" s="190">
        <v>0</v>
      </c>
      <c r="AC65" s="190">
        <v>80453814.579999998</v>
      </c>
      <c r="AD65" s="190">
        <v>0</v>
      </c>
      <c r="AE65" s="190">
        <v>-64283537.299999997</v>
      </c>
      <c r="AF65" s="190">
        <v>0</v>
      </c>
      <c r="AG65" s="190">
        <v>195946138.86000001</v>
      </c>
      <c r="AH65" s="190">
        <v>0</v>
      </c>
      <c r="AI65" s="190">
        <v>4558873.83</v>
      </c>
      <c r="AJ65" s="190">
        <v>0</v>
      </c>
      <c r="AK65" s="190">
        <v>54423052.079999998</v>
      </c>
      <c r="AL65" s="190">
        <v>0</v>
      </c>
      <c r="AM65" s="190">
        <v>-14112964.539999999</v>
      </c>
      <c r="AN65" s="190">
        <v>0</v>
      </c>
      <c r="AO65" s="190">
        <v>37777767.850000001</v>
      </c>
      <c r="AP65" s="190">
        <v>0</v>
      </c>
      <c r="AQ65" s="190">
        <v>-1581473.03</v>
      </c>
      <c r="AR65" s="190">
        <v>-4126077.36</v>
      </c>
      <c r="AS65" s="190">
        <v>0</v>
      </c>
    </row>
    <row r="66" spans="1:45" x14ac:dyDescent="0.25">
      <c r="A66" s="190" t="s">
        <v>279</v>
      </c>
      <c r="B66" s="190">
        <v>0</v>
      </c>
      <c r="C66" s="190">
        <v>0</v>
      </c>
      <c r="D66" s="190">
        <v>0</v>
      </c>
      <c r="E66" s="190">
        <v>0</v>
      </c>
      <c r="F66" s="190">
        <v>0</v>
      </c>
      <c r="G66" s="190">
        <v>0</v>
      </c>
      <c r="H66" s="190">
        <v>0</v>
      </c>
      <c r="I66" s="190">
        <v>0</v>
      </c>
      <c r="J66" s="190">
        <v>0</v>
      </c>
      <c r="K66" s="190">
        <v>0</v>
      </c>
      <c r="L66" s="190">
        <v>0</v>
      </c>
      <c r="M66" s="190">
        <v>0</v>
      </c>
      <c r="N66" s="190">
        <v>0</v>
      </c>
      <c r="O66" s="190">
        <v>0</v>
      </c>
      <c r="P66" s="190">
        <v>0</v>
      </c>
      <c r="Q66" s="190">
        <v>0</v>
      </c>
      <c r="R66" s="190">
        <v>0</v>
      </c>
      <c r="S66" s="190">
        <v>0</v>
      </c>
      <c r="T66" s="190">
        <v>0</v>
      </c>
      <c r="U66" s="190">
        <v>0</v>
      </c>
      <c r="V66" s="190">
        <v>0</v>
      </c>
      <c r="W66" s="190">
        <v>0</v>
      </c>
      <c r="X66" s="190">
        <v>0</v>
      </c>
      <c r="Y66" s="190">
        <v>0</v>
      </c>
      <c r="Z66" s="190">
        <v>0</v>
      </c>
      <c r="AA66" s="190">
        <v>0</v>
      </c>
      <c r="AB66" s="190">
        <v>0</v>
      </c>
      <c r="AC66" s="190">
        <v>0</v>
      </c>
      <c r="AD66" s="190">
        <v>0</v>
      </c>
      <c r="AE66" s="190">
        <v>0</v>
      </c>
      <c r="AF66" s="190">
        <v>0</v>
      </c>
      <c r="AG66" s="190">
        <v>0</v>
      </c>
      <c r="AH66" s="190">
        <v>0</v>
      </c>
      <c r="AI66" s="190">
        <v>0</v>
      </c>
      <c r="AJ66" s="190">
        <v>0</v>
      </c>
      <c r="AK66" s="190">
        <v>0</v>
      </c>
      <c r="AL66" s="190">
        <v>0</v>
      </c>
      <c r="AM66" s="190">
        <v>0</v>
      </c>
      <c r="AN66" s="190">
        <v>0</v>
      </c>
      <c r="AO66" s="190">
        <v>0</v>
      </c>
      <c r="AP66" s="190">
        <v>0</v>
      </c>
      <c r="AQ66" s="190">
        <v>0</v>
      </c>
      <c r="AR66" s="190">
        <v>0</v>
      </c>
      <c r="AS66" s="190">
        <v>0</v>
      </c>
    </row>
    <row r="67" spans="1:45" x14ac:dyDescent="0.25">
      <c r="A67" s="190" t="s">
        <v>280</v>
      </c>
      <c r="B67" s="190">
        <v>0</v>
      </c>
      <c r="C67" s="190">
        <v>0</v>
      </c>
      <c r="D67" s="190">
        <v>0</v>
      </c>
      <c r="E67" s="190">
        <v>0</v>
      </c>
      <c r="F67" s="190">
        <v>0</v>
      </c>
      <c r="G67" s="190">
        <v>0</v>
      </c>
      <c r="H67" s="190">
        <v>0</v>
      </c>
      <c r="I67" s="190">
        <v>0</v>
      </c>
      <c r="J67" s="190">
        <v>0</v>
      </c>
      <c r="K67" s="190">
        <v>0</v>
      </c>
      <c r="L67" s="190">
        <v>0</v>
      </c>
      <c r="M67" s="190">
        <v>0</v>
      </c>
      <c r="N67" s="190">
        <v>0</v>
      </c>
      <c r="O67" s="190">
        <v>0</v>
      </c>
      <c r="P67" s="190">
        <v>0</v>
      </c>
      <c r="Q67" s="190">
        <v>0</v>
      </c>
      <c r="R67" s="190">
        <v>0</v>
      </c>
      <c r="S67" s="190">
        <v>0</v>
      </c>
      <c r="T67" s="190">
        <v>0</v>
      </c>
      <c r="U67" s="190">
        <v>0</v>
      </c>
      <c r="V67" s="190">
        <v>0</v>
      </c>
      <c r="W67" s="190">
        <v>0</v>
      </c>
      <c r="X67" s="190">
        <v>0</v>
      </c>
      <c r="Y67" s="190">
        <v>0</v>
      </c>
      <c r="Z67" s="190">
        <v>0</v>
      </c>
      <c r="AA67" s="190">
        <v>0</v>
      </c>
      <c r="AB67" s="190">
        <v>0</v>
      </c>
      <c r="AC67" s="190">
        <v>0</v>
      </c>
      <c r="AD67" s="190">
        <v>0</v>
      </c>
      <c r="AE67" s="190">
        <v>0</v>
      </c>
      <c r="AF67" s="190">
        <v>0</v>
      </c>
      <c r="AG67" s="190">
        <v>0</v>
      </c>
      <c r="AH67" s="190">
        <v>0</v>
      </c>
      <c r="AI67" s="190">
        <v>0</v>
      </c>
      <c r="AJ67" s="190">
        <v>0</v>
      </c>
      <c r="AK67" s="190">
        <v>0</v>
      </c>
      <c r="AL67" s="190">
        <v>0</v>
      </c>
      <c r="AM67" s="190">
        <v>0</v>
      </c>
      <c r="AN67" s="190">
        <v>0</v>
      </c>
      <c r="AO67" s="190">
        <v>0</v>
      </c>
      <c r="AP67" s="190">
        <v>0</v>
      </c>
      <c r="AQ67" s="190">
        <v>0</v>
      </c>
      <c r="AR67" s="190">
        <v>0</v>
      </c>
      <c r="AS67" s="190">
        <v>0</v>
      </c>
    </row>
    <row r="68" spans="1:45" x14ac:dyDescent="0.25">
      <c r="A68" s="190" t="s">
        <v>281</v>
      </c>
      <c r="B68" s="190">
        <v>0</v>
      </c>
      <c r="C68" s="190">
        <v>0</v>
      </c>
      <c r="D68" s="190">
        <v>0</v>
      </c>
      <c r="E68" s="190">
        <v>4860158.33</v>
      </c>
      <c r="F68" s="190">
        <v>0</v>
      </c>
      <c r="G68" s="190">
        <v>0</v>
      </c>
      <c r="H68" s="190">
        <v>0</v>
      </c>
      <c r="I68" s="190">
        <v>0</v>
      </c>
      <c r="J68" s="190">
        <v>0</v>
      </c>
      <c r="K68" s="190">
        <v>0</v>
      </c>
      <c r="L68" s="190">
        <v>0</v>
      </c>
      <c r="M68" s="190">
        <v>0</v>
      </c>
      <c r="N68" s="190">
        <v>0</v>
      </c>
      <c r="O68" s="190">
        <v>0</v>
      </c>
      <c r="P68" s="190">
        <v>0</v>
      </c>
      <c r="Q68" s="190">
        <v>0</v>
      </c>
      <c r="R68" s="190">
        <v>0</v>
      </c>
      <c r="S68" s="190">
        <v>0</v>
      </c>
      <c r="T68" s="190">
        <v>0</v>
      </c>
      <c r="U68" s="190">
        <v>0</v>
      </c>
      <c r="V68" s="190">
        <v>0</v>
      </c>
      <c r="W68" s="190">
        <v>0</v>
      </c>
      <c r="X68" s="190">
        <v>0</v>
      </c>
      <c r="Y68" s="190">
        <v>0</v>
      </c>
      <c r="Z68" s="190">
        <v>0</v>
      </c>
      <c r="AA68" s="190">
        <v>0</v>
      </c>
      <c r="AB68" s="190">
        <v>0</v>
      </c>
      <c r="AC68" s="190">
        <v>0</v>
      </c>
      <c r="AD68" s="190">
        <v>0</v>
      </c>
      <c r="AE68" s="190">
        <v>0</v>
      </c>
      <c r="AF68" s="190">
        <v>0</v>
      </c>
      <c r="AG68" s="190">
        <v>0</v>
      </c>
      <c r="AH68" s="190">
        <v>0</v>
      </c>
      <c r="AI68" s="190">
        <v>0</v>
      </c>
      <c r="AJ68" s="190">
        <v>0</v>
      </c>
      <c r="AK68" s="190">
        <v>0</v>
      </c>
      <c r="AL68" s="190">
        <v>0</v>
      </c>
      <c r="AM68" s="190">
        <v>0</v>
      </c>
      <c r="AN68" s="190">
        <v>0</v>
      </c>
      <c r="AO68" s="190">
        <v>0</v>
      </c>
      <c r="AP68" s="190">
        <v>0</v>
      </c>
      <c r="AQ68" s="190">
        <v>-451971.15</v>
      </c>
      <c r="AR68" s="190">
        <v>-795354.9</v>
      </c>
      <c r="AS68" s="190">
        <v>0</v>
      </c>
    </row>
    <row r="69" spans="1:45" x14ac:dyDescent="0.25">
      <c r="A69" s="190" t="s">
        <v>282</v>
      </c>
      <c r="B69" s="190">
        <v>0</v>
      </c>
      <c r="C69" s="190">
        <v>-34056397.049999997</v>
      </c>
      <c r="D69" s="190">
        <v>0</v>
      </c>
      <c r="E69" s="190">
        <v>398329906.70999998</v>
      </c>
      <c r="F69" s="190">
        <v>0</v>
      </c>
      <c r="G69" s="190">
        <v>-108047538.38</v>
      </c>
      <c r="H69" s="190">
        <v>0</v>
      </c>
      <c r="I69" s="190">
        <v>505346104.88999999</v>
      </c>
      <c r="J69" s="190">
        <v>0</v>
      </c>
      <c r="K69" s="190">
        <v>52297990.909999996</v>
      </c>
      <c r="L69" s="190">
        <v>0</v>
      </c>
      <c r="M69" s="190">
        <v>339503977.39999998</v>
      </c>
      <c r="N69" s="190">
        <v>0</v>
      </c>
      <c r="O69" s="190">
        <v>70588324.090000004</v>
      </c>
      <c r="P69" s="190">
        <v>0</v>
      </c>
      <c r="Q69" s="190">
        <v>508017310.10000002</v>
      </c>
      <c r="R69" s="190">
        <v>0</v>
      </c>
      <c r="S69" s="190">
        <v>84241772.310000002</v>
      </c>
      <c r="T69" s="190">
        <v>0</v>
      </c>
      <c r="U69" s="190">
        <v>413669738.88</v>
      </c>
      <c r="V69" s="190">
        <v>0</v>
      </c>
      <c r="W69" s="190">
        <v>-63675890.590000004</v>
      </c>
      <c r="X69" s="190">
        <v>0</v>
      </c>
      <c r="Y69" s="190">
        <v>246398895.37</v>
      </c>
      <c r="Z69" s="190">
        <v>0</v>
      </c>
      <c r="AA69" s="190">
        <v>-157738332.30000001</v>
      </c>
      <c r="AB69" s="190">
        <v>0</v>
      </c>
      <c r="AC69" s="190">
        <v>306295910.07999998</v>
      </c>
      <c r="AD69" s="190">
        <v>0</v>
      </c>
      <c r="AE69" s="190">
        <v>52398903.630000003</v>
      </c>
      <c r="AF69" s="190">
        <v>0</v>
      </c>
      <c r="AG69" s="190">
        <v>132187072.02</v>
      </c>
      <c r="AH69" s="190">
        <v>0</v>
      </c>
      <c r="AI69" s="190">
        <v>-34746417.619999997</v>
      </c>
      <c r="AJ69" s="190">
        <v>0</v>
      </c>
      <c r="AK69" s="190">
        <v>134205495.3</v>
      </c>
      <c r="AL69" s="190">
        <v>0</v>
      </c>
      <c r="AM69" s="190">
        <v>23159448.66</v>
      </c>
      <c r="AN69" s="190">
        <v>0</v>
      </c>
      <c r="AO69" s="190">
        <v>108319136.56999999</v>
      </c>
      <c r="AP69" s="190">
        <v>0</v>
      </c>
      <c r="AQ69" s="190">
        <v>44102238.759999998</v>
      </c>
      <c r="AR69" s="190">
        <v>17055404.859999999</v>
      </c>
      <c r="AS69" s="190">
        <v>0</v>
      </c>
    </row>
    <row r="70" spans="1:45" x14ac:dyDescent="0.25">
      <c r="A70" s="190" t="s">
        <v>283</v>
      </c>
      <c r="B70" s="190">
        <v>0</v>
      </c>
      <c r="C70" s="190">
        <v>0</v>
      </c>
      <c r="D70" s="190">
        <v>0</v>
      </c>
      <c r="E70" s="190">
        <v>0</v>
      </c>
      <c r="F70" s="190">
        <v>0</v>
      </c>
      <c r="G70" s="190">
        <v>0</v>
      </c>
      <c r="H70" s="190">
        <v>0</v>
      </c>
      <c r="I70" s="190">
        <v>0</v>
      </c>
      <c r="J70" s="190">
        <v>0</v>
      </c>
      <c r="K70" s="190">
        <v>0</v>
      </c>
      <c r="L70" s="190">
        <v>0</v>
      </c>
      <c r="M70" s="190">
        <v>0</v>
      </c>
      <c r="N70" s="190">
        <v>0</v>
      </c>
      <c r="O70" s="190">
        <v>0</v>
      </c>
      <c r="P70" s="190">
        <v>0</v>
      </c>
      <c r="Q70" s="190">
        <v>0</v>
      </c>
      <c r="R70" s="190">
        <v>0</v>
      </c>
      <c r="S70" s="190">
        <v>0</v>
      </c>
      <c r="T70" s="190">
        <v>0</v>
      </c>
      <c r="U70" s="190">
        <v>0</v>
      </c>
      <c r="V70" s="190">
        <v>0</v>
      </c>
      <c r="W70" s="190">
        <v>0</v>
      </c>
      <c r="X70" s="190">
        <v>0</v>
      </c>
      <c r="Y70" s="190">
        <v>0</v>
      </c>
      <c r="Z70" s="190">
        <v>0</v>
      </c>
      <c r="AA70" s="190">
        <v>0</v>
      </c>
      <c r="AB70" s="190">
        <v>0</v>
      </c>
      <c r="AC70" s="190">
        <v>0</v>
      </c>
      <c r="AD70" s="190">
        <v>0</v>
      </c>
      <c r="AE70" s="190">
        <v>0</v>
      </c>
      <c r="AF70" s="190">
        <v>0</v>
      </c>
      <c r="AG70" s="190">
        <v>0</v>
      </c>
      <c r="AH70" s="190">
        <v>0</v>
      </c>
      <c r="AI70" s="190">
        <v>0</v>
      </c>
      <c r="AJ70" s="190">
        <v>0</v>
      </c>
      <c r="AK70" s="190">
        <v>0</v>
      </c>
      <c r="AL70" s="190">
        <v>0</v>
      </c>
      <c r="AM70" s="190">
        <v>0</v>
      </c>
      <c r="AN70" s="190">
        <v>0</v>
      </c>
      <c r="AO70" s="190">
        <v>0</v>
      </c>
      <c r="AP70" s="190">
        <v>0</v>
      </c>
      <c r="AQ70" s="190">
        <v>0</v>
      </c>
      <c r="AR70" s="190">
        <v>0</v>
      </c>
      <c r="AS70" s="190">
        <v>0</v>
      </c>
    </row>
    <row r="71" spans="1:45" x14ac:dyDescent="0.25">
      <c r="A71" s="190" t="s">
        <v>284</v>
      </c>
      <c r="B71" s="190">
        <v>0</v>
      </c>
      <c r="C71" s="190">
        <v>0</v>
      </c>
      <c r="D71" s="190">
        <v>0</v>
      </c>
      <c r="E71" s="190">
        <v>0</v>
      </c>
      <c r="F71" s="190">
        <v>0</v>
      </c>
      <c r="G71" s="190">
        <v>0</v>
      </c>
      <c r="H71" s="190">
        <v>0</v>
      </c>
      <c r="I71" s="190">
        <v>0</v>
      </c>
      <c r="J71" s="190">
        <v>0</v>
      </c>
      <c r="K71" s="190">
        <v>0</v>
      </c>
      <c r="L71" s="190">
        <v>0</v>
      </c>
      <c r="M71" s="190">
        <v>0</v>
      </c>
      <c r="N71" s="190">
        <v>0</v>
      </c>
      <c r="O71" s="190">
        <v>0</v>
      </c>
      <c r="P71" s="190">
        <v>0</v>
      </c>
      <c r="Q71" s="190">
        <v>0</v>
      </c>
      <c r="R71" s="190">
        <v>0</v>
      </c>
      <c r="S71" s="190">
        <v>0</v>
      </c>
      <c r="T71" s="190">
        <v>0</v>
      </c>
      <c r="U71" s="190">
        <v>0</v>
      </c>
      <c r="V71" s="190">
        <v>0</v>
      </c>
      <c r="W71" s="190">
        <v>0</v>
      </c>
      <c r="X71" s="190">
        <v>0</v>
      </c>
      <c r="Y71" s="190">
        <v>0</v>
      </c>
      <c r="Z71" s="190">
        <v>0</v>
      </c>
      <c r="AA71" s="190">
        <v>0</v>
      </c>
      <c r="AB71" s="190">
        <v>0</v>
      </c>
      <c r="AC71" s="190">
        <v>0</v>
      </c>
      <c r="AD71" s="190">
        <v>0</v>
      </c>
      <c r="AE71" s="190">
        <v>0</v>
      </c>
      <c r="AF71" s="190">
        <v>0</v>
      </c>
      <c r="AG71" s="190">
        <v>0</v>
      </c>
      <c r="AH71" s="190">
        <v>0</v>
      </c>
      <c r="AI71" s="190">
        <v>0</v>
      </c>
      <c r="AJ71" s="190">
        <v>0</v>
      </c>
      <c r="AK71" s="190">
        <v>0</v>
      </c>
      <c r="AL71" s="190">
        <v>0</v>
      </c>
      <c r="AM71" s="190">
        <v>0</v>
      </c>
      <c r="AN71" s="190">
        <v>0</v>
      </c>
      <c r="AO71" s="190">
        <v>0</v>
      </c>
      <c r="AP71" s="190">
        <v>0</v>
      </c>
      <c r="AQ71" s="190">
        <v>0</v>
      </c>
      <c r="AR71" s="190">
        <v>0</v>
      </c>
      <c r="AS71" s="190">
        <v>0</v>
      </c>
    </row>
    <row r="72" spans="1:45" x14ac:dyDescent="0.25">
      <c r="A72" s="190" t="s">
        <v>285</v>
      </c>
      <c r="B72" s="190">
        <v>0</v>
      </c>
      <c r="C72" s="190">
        <v>0</v>
      </c>
      <c r="D72" s="190">
        <v>0</v>
      </c>
      <c r="E72" s="190">
        <v>0</v>
      </c>
      <c r="F72" s="190">
        <v>0</v>
      </c>
      <c r="G72" s="190">
        <v>0</v>
      </c>
      <c r="H72" s="190">
        <v>0</v>
      </c>
      <c r="I72" s="190">
        <v>0</v>
      </c>
      <c r="J72" s="190">
        <v>0</v>
      </c>
      <c r="K72" s="190">
        <v>0</v>
      </c>
      <c r="L72" s="190">
        <v>0</v>
      </c>
      <c r="M72" s="190">
        <v>0</v>
      </c>
      <c r="N72" s="190">
        <v>0</v>
      </c>
      <c r="O72" s="190">
        <v>0</v>
      </c>
      <c r="P72" s="190">
        <v>0</v>
      </c>
      <c r="Q72" s="190">
        <v>0</v>
      </c>
      <c r="R72" s="190">
        <v>0</v>
      </c>
      <c r="S72" s="190">
        <v>0</v>
      </c>
      <c r="T72" s="190">
        <v>0</v>
      </c>
      <c r="U72" s="190">
        <v>0</v>
      </c>
      <c r="V72" s="190">
        <v>0</v>
      </c>
      <c r="W72" s="190">
        <v>0</v>
      </c>
      <c r="X72" s="190">
        <v>0</v>
      </c>
      <c r="Y72" s="190">
        <v>0</v>
      </c>
      <c r="Z72" s="190">
        <v>0</v>
      </c>
      <c r="AA72" s="190">
        <v>0</v>
      </c>
      <c r="AB72" s="190">
        <v>0</v>
      </c>
      <c r="AC72" s="190">
        <v>0</v>
      </c>
      <c r="AD72" s="190">
        <v>0</v>
      </c>
      <c r="AE72" s="190">
        <v>0</v>
      </c>
      <c r="AF72" s="190">
        <v>0</v>
      </c>
      <c r="AG72" s="190">
        <v>0</v>
      </c>
      <c r="AH72" s="190">
        <v>0</v>
      </c>
      <c r="AI72" s="190">
        <v>0</v>
      </c>
      <c r="AJ72" s="190">
        <v>0</v>
      </c>
      <c r="AK72" s="190">
        <v>0</v>
      </c>
      <c r="AL72" s="190">
        <v>0</v>
      </c>
      <c r="AM72" s="190">
        <v>0</v>
      </c>
      <c r="AN72" s="190">
        <v>0</v>
      </c>
      <c r="AO72" s="190">
        <v>0</v>
      </c>
      <c r="AP72" s="190">
        <v>0</v>
      </c>
      <c r="AQ72" s="190">
        <v>0</v>
      </c>
      <c r="AR72" s="190">
        <v>0</v>
      </c>
      <c r="AS72" s="190">
        <v>0</v>
      </c>
    </row>
    <row r="73" spans="1:45" x14ac:dyDescent="0.25">
      <c r="A73" s="190" t="s">
        <v>286</v>
      </c>
      <c r="B73" s="190">
        <v>0</v>
      </c>
      <c r="C73" s="190">
        <v>770050427.76999998</v>
      </c>
      <c r="D73" s="190">
        <v>0</v>
      </c>
      <c r="E73" s="190">
        <v>430523371.25999999</v>
      </c>
      <c r="F73" s="190">
        <v>0</v>
      </c>
      <c r="G73" s="190">
        <v>602354687.92999995</v>
      </c>
      <c r="H73" s="190">
        <v>0</v>
      </c>
      <c r="I73" s="190">
        <v>1071445020.5700001</v>
      </c>
      <c r="J73" s="190">
        <v>0</v>
      </c>
      <c r="K73" s="190">
        <v>566019652.64999998</v>
      </c>
      <c r="L73" s="190">
        <v>0</v>
      </c>
      <c r="M73" s="190">
        <v>589602793.25999999</v>
      </c>
      <c r="N73" s="190">
        <v>0</v>
      </c>
      <c r="O73" s="190">
        <v>619994822.77999997</v>
      </c>
      <c r="P73" s="190">
        <v>0</v>
      </c>
      <c r="Q73" s="190">
        <v>647204677.45000005</v>
      </c>
      <c r="R73" s="190">
        <v>0</v>
      </c>
      <c r="S73" s="190">
        <v>835542721.87</v>
      </c>
      <c r="T73" s="190">
        <v>0</v>
      </c>
      <c r="U73" s="190">
        <v>932276706.14999998</v>
      </c>
      <c r="V73" s="190">
        <v>0</v>
      </c>
      <c r="W73" s="190">
        <v>668725962.38</v>
      </c>
      <c r="X73" s="190">
        <v>0</v>
      </c>
      <c r="Y73" s="190">
        <v>956043885.24000001</v>
      </c>
      <c r="Z73" s="190">
        <v>0</v>
      </c>
      <c r="AA73" s="190">
        <v>667828913.97000003</v>
      </c>
      <c r="AB73" s="190">
        <v>0</v>
      </c>
      <c r="AC73" s="190">
        <v>1002302902.5700001</v>
      </c>
      <c r="AD73" s="190">
        <v>0</v>
      </c>
      <c r="AE73" s="190">
        <v>862194779.22000003</v>
      </c>
      <c r="AF73" s="190">
        <v>1151874426.3</v>
      </c>
      <c r="AG73" s="190">
        <v>1057191976.45</v>
      </c>
      <c r="AH73" s="190">
        <v>960610001.01999998</v>
      </c>
      <c r="AI73" s="190">
        <v>930790908.42999995</v>
      </c>
      <c r="AJ73" s="190">
        <v>1127134867.1700001</v>
      </c>
      <c r="AK73" s="190">
        <v>1065724173.83</v>
      </c>
      <c r="AL73" s="190">
        <v>1057983159.11</v>
      </c>
      <c r="AM73" s="190">
        <v>74650996.370000005</v>
      </c>
      <c r="AN73" s="190">
        <v>106349946.64</v>
      </c>
      <c r="AO73" s="190">
        <v>76012034.150000006</v>
      </c>
      <c r="AP73" s="190">
        <v>20254467.670000002</v>
      </c>
      <c r="AQ73" s="190">
        <v>44344260.259999998</v>
      </c>
      <c r="AR73" s="190">
        <v>52609626.460000001</v>
      </c>
      <c r="AS73" s="190">
        <v>0</v>
      </c>
    </row>
    <row r="74" spans="1:45" x14ac:dyDescent="0.25">
      <c r="A74" s="190" t="s">
        <v>287</v>
      </c>
      <c r="B74" s="190">
        <v>0</v>
      </c>
      <c r="C74" s="190">
        <v>430523371.25999999</v>
      </c>
      <c r="D74" s="190">
        <v>0</v>
      </c>
      <c r="E74" s="190">
        <v>1071445020.5700001</v>
      </c>
      <c r="F74" s="190">
        <v>0</v>
      </c>
      <c r="G74" s="190">
        <v>1071445020.5700001</v>
      </c>
      <c r="H74" s="190">
        <v>0</v>
      </c>
      <c r="I74" s="190">
        <v>589602793.25999999</v>
      </c>
      <c r="J74" s="190">
        <v>0</v>
      </c>
      <c r="K74" s="190">
        <v>589602793.25999999</v>
      </c>
      <c r="L74" s="190">
        <v>0</v>
      </c>
      <c r="M74" s="190">
        <v>647204677.45000005</v>
      </c>
      <c r="N74" s="190">
        <v>0</v>
      </c>
      <c r="O74" s="190">
        <v>647204677.45000005</v>
      </c>
      <c r="P74" s="190">
        <v>0</v>
      </c>
      <c r="Q74" s="190">
        <v>932276706.14999998</v>
      </c>
      <c r="R74" s="190">
        <v>0</v>
      </c>
      <c r="S74" s="190">
        <v>932276706.14999998</v>
      </c>
      <c r="T74" s="190">
        <v>0</v>
      </c>
      <c r="U74" s="190">
        <v>956043885.24000001</v>
      </c>
      <c r="V74" s="190">
        <v>0</v>
      </c>
      <c r="W74" s="190">
        <v>956043885.24000001</v>
      </c>
      <c r="X74" s="190">
        <v>0</v>
      </c>
      <c r="Y74" s="190">
        <v>1002302902.5700001</v>
      </c>
      <c r="Z74" s="190">
        <v>0</v>
      </c>
      <c r="AA74" s="190">
        <v>1002302902.5700001</v>
      </c>
      <c r="AB74" s="190">
        <v>0</v>
      </c>
      <c r="AC74" s="190">
        <v>1057191976.45</v>
      </c>
      <c r="AD74" s="190">
        <v>0</v>
      </c>
      <c r="AE74" s="190">
        <v>1057191976.45</v>
      </c>
      <c r="AF74" s="190">
        <v>1057191976.45</v>
      </c>
      <c r="AG74" s="190">
        <v>1065724173.83</v>
      </c>
      <c r="AH74" s="190">
        <v>1065724173.83</v>
      </c>
      <c r="AI74" s="190">
        <v>1065724173.83</v>
      </c>
      <c r="AJ74" s="190">
        <v>1065724173.83</v>
      </c>
      <c r="AK74" s="190">
        <v>77813038.390000001</v>
      </c>
      <c r="AL74" s="190">
        <v>78505801.079999998</v>
      </c>
      <c r="AM74" s="190">
        <v>76012034.150000006</v>
      </c>
      <c r="AN74" s="190">
        <v>77813038.390000001</v>
      </c>
      <c r="AO74" s="190">
        <v>44344260.259999998</v>
      </c>
      <c r="AP74" s="190">
        <v>45134760.259999998</v>
      </c>
      <c r="AQ74" s="190">
        <v>52609626.460000001</v>
      </c>
      <c r="AR74" s="190">
        <v>5895087.4299999997</v>
      </c>
      <c r="AS74" s="190">
        <v>0</v>
      </c>
    </row>
    <row r="75" spans="1:45" x14ac:dyDescent="0.25">
      <c r="A75" s="190" t="s">
        <v>288</v>
      </c>
      <c r="B75" s="190">
        <v>0</v>
      </c>
      <c r="C75" s="190">
        <v>0</v>
      </c>
      <c r="D75" s="190">
        <v>0</v>
      </c>
      <c r="E75" s="190">
        <v>0</v>
      </c>
      <c r="F75" s="190">
        <v>0</v>
      </c>
      <c r="G75" s="190">
        <v>0</v>
      </c>
      <c r="H75" s="190">
        <v>0</v>
      </c>
      <c r="I75" s="190">
        <v>0</v>
      </c>
      <c r="J75" s="190">
        <v>0</v>
      </c>
      <c r="K75" s="190">
        <v>0</v>
      </c>
      <c r="L75" s="190">
        <v>0</v>
      </c>
      <c r="M75" s="190">
        <v>0</v>
      </c>
      <c r="N75" s="190">
        <v>0</v>
      </c>
      <c r="O75" s="190">
        <v>0</v>
      </c>
      <c r="P75" s="190">
        <v>0</v>
      </c>
      <c r="Q75" s="190">
        <v>0</v>
      </c>
      <c r="R75" s="190">
        <v>0</v>
      </c>
      <c r="S75" s="190">
        <v>0</v>
      </c>
      <c r="T75" s="190">
        <v>0</v>
      </c>
      <c r="U75" s="190">
        <v>0</v>
      </c>
      <c r="V75" s="190">
        <v>0</v>
      </c>
      <c r="W75" s="190">
        <v>0</v>
      </c>
      <c r="X75" s="190">
        <v>0</v>
      </c>
      <c r="Y75" s="190">
        <v>0</v>
      </c>
      <c r="Z75" s="190">
        <v>0</v>
      </c>
      <c r="AA75" s="190">
        <v>0</v>
      </c>
      <c r="AB75" s="190">
        <v>0</v>
      </c>
      <c r="AC75" s="190">
        <v>0</v>
      </c>
      <c r="AD75" s="190">
        <v>0</v>
      </c>
      <c r="AE75" s="190">
        <v>0</v>
      </c>
      <c r="AF75" s="190">
        <v>0</v>
      </c>
      <c r="AG75" s="190">
        <v>0</v>
      </c>
      <c r="AH75" s="190">
        <v>0</v>
      </c>
      <c r="AI75" s="190">
        <v>0</v>
      </c>
      <c r="AJ75" s="190">
        <v>0</v>
      </c>
      <c r="AK75" s="190">
        <v>0</v>
      </c>
      <c r="AL75" s="190">
        <v>0</v>
      </c>
      <c r="AM75" s="190">
        <v>0</v>
      </c>
      <c r="AN75" s="190">
        <v>0</v>
      </c>
      <c r="AO75" s="190">
        <v>0</v>
      </c>
      <c r="AP75" s="190">
        <v>0</v>
      </c>
      <c r="AQ75" s="190">
        <v>0</v>
      </c>
      <c r="AR75" s="190">
        <v>0</v>
      </c>
      <c r="AS75" s="190">
        <v>0</v>
      </c>
    </row>
    <row r="76" spans="1:45" x14ac:dyDescent="0.25">
      <c r="A76" s="190" t="s">
        <v>289</v>
      </c>
      <c r="B76" s="190">
        <v>0</v>
      </c>
      <c r="C76" s="190">
        <v>0</v>
      </c>
      <c r="D76" s="190">
        <v>0</v>
      </c>
      <c r="E76" s="190">
        <v>0</v>
      </c>
      <c r="F76" s="190">
        <v>0</v>
      </c>
      <c r="G76" s="190">
        <v>0</v>
      </c>
      <c r="H76" s="190">
        <v>0</v>
      </c>
      <c r="I76" s="190">
        <v>0</v>
      </c>
      <c r="J76" s="190">
        <v>0</v>
      </c>
      <c r="K76" s="190">
        <v>0</v>
      </c>
      <c r="L76" s="190">
        <v>0</v>
      </c>
      <c r="M76" s="190">
        <v>0</v>
      </c>
      <c r="N76" s="190">
        <v>0</v>
      </c>
      <c r="O76" s="190">
        <v>0</v>
      </c>
      <c r="P76" s="190">
        <v>0</v>
      </c>
      <c r="Q76" s="190">
        <v>0</v>
      </c>
      <c r="R76" s="190">
        <v>0</v>
      </c>
      <c r="S76" s="190">
        <v>0</v>
      </c>
      <c r="T76" s="190">
        <v>0</v>
      </c>
      <c r="U76" s="190">
        <v>0</v>
      </c>
      <c r="V76" s="190">
        <v>0</v>
      </c>
      <c r="W76" s="190">
        <v>0</v>
      </c>
      <c r="X76" s="190">
        <v>0</v>
      </c>
      <c r="Y76" s="190">
        <v>0</v>
      </c>
      <c r="Z76" s="190">
        <v>0</v>
      </c>
      <c r="AA76" s="190">
        <v>0</v>
      </c>
      <c r="AB76" s="190">
        <v>0</v>
      </c>
      <c r="AC76" s="190">
        <v>0</v>
      </c>
      <c r="AD76" s="190">
        <v>0</v>
      </c>
      <c r="AE76" s="190">
        <v>0</v>
      </c>
      <c r="AF76" s="190">
        <v>0</v>
      </c>
      <c r="AG76" s="190">
        <v>0</v>
      </c>
      <c r="AH76" s="190">
        <v>0</v>
      </c>
      <c r="AI76" s="190">
        <v>0</v>
      </c>
      <c r="AJ76" s="190">
        <v>0</v>
      </c>
      <c r="AK76" s="190">
        <v>0</v>
      </c>
      <c r="AL76" s="190">
        <v>0</v>
      </c>
      <c r="AM76" s="190">
        <v>0</v>
      </c>
      <c r="AN76" s="190">
        <v>0</v>
      </c>
      <c r="AO76" s="190">
        <v>0</v>
      </c>
      <c r="AP76" s="190">
        <v>0</v>
      </c>
      <c r="AQ76" s="190">
        <v>0</v>
      </c>
      <c r="AR76" s="190">
        <v>0</v>
      </c>
      <c r="AS76" s="190">
        <v>0</v>
      </c>
    </row>
    <row r="77" spans="1:45" x14ac:dyDescent="0.25">
      <c r="A77" s="190" t="s">
        <v>290</v>
      </c>
      <c r="B77" s="190">
        <v>0</v>
      </c>
      <c r="C77" s="190">
        <v>339527056.50999999</v>
      </c>
      <c r="D77" s="190">
        <v>0</v>
      </c>
      <c r="E77" s="190">
        <v>-640921649.30999994</v>
      </c>
      <c r="F77" s="190">
        <v>0</v>
      </c>
      <c r="G77" s="190">
        <v>-469090332.63999999</v>
      </c>
      <c r="H77" s="190">
        <v>0</v>
      </c>
      <c r="I77" s="190">
        <v>481842227.31</v>
      </c>
      <c r="J77" s="190">
        <v>0</v>
      </c>
      <c r="K77" s="190">
        <v>-23583140.609999999</v>
      </c>
      <c r="L77" s="190">
        <v>0</v>
      </c>
      <c r="M77" s="190">
        <v>-57601884.189999998</v>
      </c>
      <c r="N77" s="190">
        <v>0</v>
      </c>
      <c r="O77" s="190">
        <v>-27209854.670000002</v>
      </c>
      <c r="P77" s="190">
        <v>0</v>
      </c>
      <c r="Q77" s="190">
        <v>-285072028.69999999</v>
      </c>
      <c r="R77" s="190">
        <v>0</v>
      </c>
      <c r="S77" s="190">
        <v>-96733984.280000001</v>
      </c>
      <c r="T77" s="190">
        <v>0</v>
      </c>
      <c r="U77" s="190">
        <v>-23767179.09</v>
      </c>
      <c r="V77" s="190">
        <v>0</v>
      </c>
      <c r="W77" s="190">
        <v>-287317922.87</v>
      </c>
      <c r="X77" s="190">
        <v>0</v>
      </c>
      <c r="Y77" s="190">
        <v>-46259017.329999998</v>
      </c>
      <c r="Z77" s="190">
        <v>0</v>
      </c>
      <c r="AA77" s="190">
        <v>-334473988.60000002</v>
      </c>
      <c r="AB77" s="190">
        <v>0</v>
      </c>
      <c r="AC77" s="190">
        <v>-54889073.880000003</v>
      </c>
      <c r="AD77" s="190">
        <v>0</v>
      </c>
      <c r="AE77" s="190">
        <v>-194997197.22999999</v>
      </c>
      <c r="AF77" s="190">
        <v>94682449.849999994</v>
      </c>
      <c r="AG77" s="190">
        <v>-8532197.3800000008</v>
      </c>
      <c r="AH77" s="190">
        <v>-105114172.81</v>
      </c>
      <c r="AI77" s="190">
        <v>-134933265.40000001</v>
      </c>
      <c r="AJ77" s="190">
        <v>61410693.340000004</v>
      </c>
      <c r="AK77" s="190">
        <v>987911135.44000006</v>
      </c>
      <c r="AL77" s="190">
        <v>979477358.02999997</v>
      </c>
      <c r="AM77" s="190">
        <v>-1361037.78</v>
      </c>
      <c r="AN77" s="190">
        <v>28536908.25</v>
      </c>
      <c r="AO77" s="190">
        <v>31667773.890000001</v>
      </c>
      <c r="AP77" s="190">
        <v>-24880292.59</v>
      </c>
      <c r="AQ77" s="190">
        <v>-8265366.2000000002</v>
      </c>
      <c r="AR77" s="190">
        <v>46714539.030000001</v>
      </c>
      <c r="AS77" s="190">
        <v>0</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资产资本表"/>
  <dimension ref="A1:CL110"/>
  <sheetViews>
    <sheetView workbookViewId="0">
      <selection activeCell="E69" sqref="E69"/>
    </sheetView>
  </sheetViews>
  <sheetFormatPr defaultRowHeight="14.4" x14ac:dyDescent="0.25"/>
  <cols>
    <col min="1" max="1" width="33.6640625" style="17" bestFit="1" customWidth="1"/>
    <col min="2" max="4" width="19.33203125" hidden="1" customWidth="1"/>
    <col min="5" max="5" width="19.33203125" bestFit="1" customWidth="1"/>
    <col min="6" max="8" width="19.33203125" hidden="1" customWidth="1"/>
    <col min="9" max="9" width="19.33203125" bestFit="1" customWidth="1"/>
    <col min="10" max="12" width="19.33203125" hidden="1" customWidth="1"/>
    <col min="13" max="13" width="19.33203125" bestFit="1" customWidth="1"/>
    <col min="14" max="16" width="19.33203125" hidden="1" customWidth="1"/>
    <col min="17" max="17" width="19.33203125" bestFit="1" customWidth="1"/>
    <col min="18" max="20" width="19.33203125" hidden="1" customWidth="1"/>
    <col min="21" max="21" width="19.33203125" bestFit="1" customWidth="1"/>
    <col min="22" max="24" width="19.33203125" hidden="1" customWidth="1"/>
    <col min="25" max="25" width="19.33203125" bestFit="1" customWidth="1"/>
    <col min="26" max="28" width="19.33203125" hidden="1" customWidth="1"/>
    <col min="29" max="29" width="19.33203125" bestFit="1" customWidth="1"/>
    <col min="30" max="32" width="19.33203125" hidden="1" customWidth="1"/>
    <col min="33" max="33" width="19.33203125" bestFit="1" customWidth="1"/>
    <col min="34" max="36" width="19.33203125" hidden="1" customWidth="1"/>
    <col min="37" max="37" width="19.33203125" bestFit="1" customWidth="1"/>
    <col min="38" max="38" width="19.33203125" hidden="1" customWidth="1"/>
    <col min="39" max="39" width="17.21875" hidden="1" customWidth="1"/>
    <col min="40" max="41" width="17.21875" bestFit="1" customWidth="1"/>
    <col min="42" max="42" width="17.77734375" bestFit="1" customWidth="1"/>
    <col min="43" max="43" width="9.5546875" hidden="1" customWidth="1"/>
    <col min="44" max="44" width="20.44140625" bestFit="1" customWidth="1"/>
    <col min="45" max="78" width="19.33203125" bestFit="1" customWidth="1"/>
    <col min="79" max="81" width="17.21875" bestFit="1" customWidth="1"/>
    <col min="82" max="82" width="7.109375" bestFit="1" customWidth="1"/>
    <col min="83" max="84" width="19.33203125" bestFit="1" customWidth="1"/>
    <col min="85" max="87" width="17.21875" bestFit="1" customWidth="1"/>
    <col min="88" max="89" width="16.109375" bestFit="1" customWidth="1"/>
    <col min="90" max="90" width="7.109375" bestFit="1" customWidth="1"/>
  </cols>
  <sheetData>
    <row r="1" spans="1:90" s="41" customFormat="1" x14ac:dyDescent="0.25">
      <c r="A1" s="41">
        <v>2293</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20081231</v>
      </c>
      <c r="AO1" s="190">
        <v>20071231</v>
      </c>
      <c r="AP1" s="190">
        <v>20061231</v>
      </c>
      <c r="AQ1" s="190">
        <v>19700101</v>
      </c>
      <c r="AR1" s="190"/>
      <c r="AS1" s="190"/>
      <c r="AT1" s="190"/>
      <c r="AU1" s="190"/>
      <c r="AV1" s="190"/>
      <c r="AW1" s="190"/>
      <c r="AX1" s="190"/>
      <c r="AY1" s="190"/>
      <c r="AZ1" s="190"/>
      <c r="BA1" s="190"/>
      <c r="BB1" s="190"/>
      <c r="BC1" s="190"/>
      <c r="BD1" s="190"/>
      <c r="BE1" s="190"/>
      <c r="BF1" s="190"/>
      <c r="BG1" s="190"/>
      <c r="BH1" s="190"/>
      <c r="BI1" s="190"/>
      <c r="BJ1" s="190"/>
      <c r="BK1" s="190"/>
      <c r="BL1" s="190"/>
      <c r="BM1" s="190"/>
      <c r="BN1" s="190"/>
      <c r="BO1" s="190"/>
      <c r="BP1" s="190"/>
      <c r="BQ1" s="190"/>
      <c r="BR1" s="190"/>
      <c r="BS1" s="190"/>
      <c r="BT1" s="190"/>
      <c r="BU1" s="190"/>
      <c r="BV1" s="190"/>
      <c r="BW1" s="190"/>
      <c r="BX1" s="190"/>
      <c r="BY1" s="190"/>
      <c r="BZ1" s="190"/>
      <c r="CA1" s="190"/>
      <c r="CB1" s="190"/>
      <c r="CC1" s="190"/>
      <c r="CD1" s="190"/>
      <c r="CE1" s="190"/>
      <c r="CF1" s="190"/>
      <c r="CG1" s="190"/>
      <c r="CH1" s="190"/>
      <c r="CI1" s="190"/>
      <c r="CJ1" s="190"/>
      <c r="CK1" s="190"/>
      <c r="CL1" s="190"/>
    </row>
    <row r="2" spans="1:90" x14ac:dyDescent="0.25">
      <c r="A2" s="20" t="s">
        <v>0</v>
      </c>
      <c r="B2" s="26"/>
      <c r="C2" s="26"/>
      <c r="D2" s="26"/>
      <c r="E2" s="26"/>
      <c r="F2" s="26"/>
      <c r="G2" s="26"/>
      <c r="H2" s="26"/>
      <c r="I2" s="26"/>
      <c r="J2" s="26"/>
      <c r="K2" s="26"/>
      <c r="L2" s="23"/>
    </row>
    <row r="3" spans="1:90" x14ac:dyDescent="0.25">
      <c r="A3" s="20" t="s">
        <v>316</v>
      </c>
      <c r="B3" s="26"/>
      <c r="C3" s="26"/>
      <c r="D3" s="26"/>
      <c r="E3" s="26"/>
      <c r="F3" s="26"/>
      <c r="G3" s="26"/>
      <c r="H3" s="26"/>
      <c r="I3" s="26"/>
      <c r="J3" s="26"/>
      <c r="K3" s="26"/>
      <c r="L3" s="23"/>
    </row>
    <row r="4" spans="1:90" x14ac:dyDescent="0.25">
      <c r="A4" s="17" t="s">
        <v>1</v>
      </c>
      <c r="B4" s="190">
        <v>710118691.26999998</v>
      </c>
      <c r="C4" s="190">
        <v>770050427.76999998</v>
      </c>
      <c r="D4" s="190">
        <v>920634080.02999997</v>
      </c>
      <c r="E4" s="190">
        <v>430523371.25999999</v>
      </c>
      <c r="F4" s="190">
        <v>352507611.31</v>
      </c>
      <c r="G4" s="190">
        <v>602354687.92999995</v>
      </c>
      <c r="H4" s="190">
        <v>676673658.49000001</v>
      </c>
      <c r="I4" s="190">
        <v>1158545020.5699999</v>
      </c>
      <c r="J4" s="190">
        <v>528927546.98000002</v>
      </c>
      <c r="K4" s="190">
        <v>566329470.64999998</v>
      </c>
      <c r="L4" s="190">
        <v>692567896.78999996</v>
      </c>
      <c r="M4" s="190">
        <v>589602793.25999999</v>
      </c>
      <c r="N4" s="190">
        <v>736928180.35000002</v>
      </c>
      <c r="O4" s="190">
        <v>619994822.77999997</v>
      </c>
      <c r="P4" s="190">
        <v>669893756.87</v>
      </c>
      <c r="Q4" s="190">
        <v>647204677.45000005</v>
      </c>
      <c r="R4" s="190">
        <v>629117054.61000001</v>
      </c>
      <c r="S4" s="190">
        <v>835542721.87</v>
      </c>
      <c r="T4" s="190">
        <v>884858061.70000005</v>
      </c>
      <c r="U4" s="190">
        <v>932276706.14999998</v>
      </c>
      <c r="V4" s="190">
        <v>902923862.08000004</v>
      </c>
      <c r="W4" s="190">
        <v>668725962.38</v>
      </c>
      <c r="X4" s="190">
        <v>841093308.09000003</v>
      </c>
      <c r="Y4" s="190">
        <v>956043885.24000001</v>
      </c>
      <c r="Z4" s="190">
        <v>803173622.38</v>
      </c>
      <c r="AA4" s="190">
        <v>667828913.97000003</v>
      </c>
      <c r="AB4" s="190">
        <v>1014024416.74</v>
      </c>
      <c r="AC4" s="190">
        <v>1002302902.5700001</v>
      </c>
      <c r="AD4" s="190">
        <v>982362386.38999999</v>
      </c>
      <c r="AE4" s="190">
        <v>862194779.22000003</v>
      </c>
      <c r="AF4" s="190">
        <v>1151874426.3</v>
      </c>
      <c r="AG4" s="190">
        <v>1057191976.45</v>
      </c>
      <c r="AH4" s="190">
        <v>960610001.01999998</v>
      </c>
      <c r="AI4" s="190">
        <v>930790908.42999995</v>
      </c>
      <c r="AJ4" s="190">
        <v>1127355392.73</v>
      </c>
      <c r="AK4" s="190">
        <v>1066884381.7</v>
      </c>
      <c r="AL4" s="190">
        <v>1057983159.11</v>
      </c>
      <c r="AM4" s="190">
        <v>74808751.980000004</v>
      </c>
      <c r="AN4" s="190">
        <v>78505801.079999998</v>
      </c>
      <c r="AO4" s="190">
        <v>45134760.259999998</v>
      </c>
      <c r="AP4" s="190">
        <v>52609626.460000001</v>
      </c>
      <c r="AQ4" s="190">
        <v>0</v>
      </c>
      <c r="AR4" s="190"/>
      <c r="AS4" s="190"/>
      <c r="AT4" s="190"/>
      <c r="AU4" s="190"/>
      <c r="AV4" s="190"/>
      <c r="AW4" s="190"/>
      <c r="AX4" s="190"/>
      <c r="AY4" s="190"/>
      <c r="AZ4" s="190"/>
      <c r="BA4" s="190"/>
      <c r="BB4" s="190"/>
      <c r="BC4" s="190"/>
      <c r="BD4" s="190"/>
      <c r="BE4" s="190"/>
      <c r="BF4" s="190"/>
      <c r="BG4" s="190"/>
      <c r="BH4" s="190"/>
      <c r="BI4" s="190"/>
      <c r="BJ4" s="190"/>
      <c r="BK4" s="190"/>
      <c r="BL4" s="190"/>
      <c r="BM4" s="190"/>
      <c r="BN4" s="190"/>
      <c r="BO4" s="190"/>
      <c r="BP4" s="190"/>
      <c r="BQ4" s="190"/>
      <c r="BR4" s="190"/>
      <c r="BS4" s="190"/>
      <c r="BT4" s="190"/>
      <c r="BU4" s="190"/>
      <c r="BV4" s="190"/>
      <c r="BW4" s="190"/>
      <c r="BX4" s="190"/>
      <c r="BY4" s="190"/>
      <c r="BZ4" s="190"/>
      <c r="CA4" s="190"/>
      <c r="CB4" s="190"/>
      <c r="CC4" s="190"/>
      <c r="CD4" s="190"/>
      <c r="CE4" s="190"/>
      <c r="CF4" s="190"/>
      <c r="CG4" s="190"/>
      <c r="CH4" s="190"/>
      <c r="CI4" s="190"/>
      <c r="CJ4" s="190"/>
      <c r="CK4" s="190"/>
      <c r="CL4" s="190"/>
    </row>
    <row r="5" spans="1:90" x14ac:dyDescent="0.25">
      <c r="A5" s="17" t="s">
        <v>2</v>
      </c>
      <c r="B5" s="190">
        <v>0</v>
      </c>
      <c r="C5" s="190">
        <v>0</v>
      </c>
      <c r="D5" s="190">
        <v>0</v>
      </c>
      <c r="E5" s="190">
        <v>0</v>
      </c>
      <c r="F5" s="190">
        <v>0</v>
      </c>
      <c r="G5" s="190">
        <v>0</v>
      </c>
      <c r="H5" s="190">
        <v>0</v>
      </c>
      <c r="I5" s="190">
        <v>0</v>
      </c>
      <c r="J5" s="190">
        <v>0</v>
      </c>
      <c r="K5" s="190">
        <v>0</v>
      </c>
      <c r="L5" s="190">
        <v>0</v>
      </c>
      <c r="M5" s="190">
        <v>0</v>
      </c>
      <c r="N5" s="190">
        <v>0</v>
      </c>
      <c r="O5" s="190">
        <v>0</v>
      </c>
      <c r="P5" s="190">
        <v>0</v>
      </c>
      <c r="Q5" s="190">
        <v>0</v>
      </c>
      <c r="R5" s="190">
        <v>0</v>
      </c>
      <c r="S5" s="190">
        <v>0</v>
      </c>
      <c r="T5" s="190">
        <v>0</v>
      </c>
      <c r="U5" s="190">
        <v>0</v>
      </c>
      <c r="V5" s="190">
        <v>0</v>
      </c>
      <c r="W5" s="190">
        <v>0</v>
      </c>
      <c r="X5" s="190">
        <v>0</v>
      </c>
      <c r="Y5" s="190">
        <v>0</v>
      </c>
      <c r="Z5" s="190">
        <v>0</v>
      </c>
      <c r="AA5" s="190">
        <v>0</v>
      </c>
      <c r="AB5" s="190">
        <v>0</v>
      </c>
      <c r="AC5" s="190">
        <v>0</v>
      </c>
      <c r="AD5" s="190">
        <v>0</v>
      </c>
      <c r="AE5" s="190">
        <v>0</v>
      </c>
      <c r="AF5" s="190">
        <v>0</v>
      </c>
      <c r="AG5" s="190">
        <v>0</v>
      </c>
      <c r="AH5" s="190">
        <v>0</v>
      </c>
      <c r="AI5" s="190">
        <v>0</v>
      </c>
      <c r="AJ5" s="190">
        <v>0</v>
      </c>
      <c r="AK5" s="190">
        <v>0</v>
      </c>
      <c r="AL5" s="190">
        <v>0</v>
      </c>
      <c r="AM5" s="190">
        <v>0</v>
      </c>
      <c r="AN5" s="190">
        <v>0</v>
      </c>
      <c r="AO5" s="190">
        <v>0</v>
      </c>
      <c r="AP5" s="190">
        <v>0</v>
      </c>
      <c r="AQ5" s="190">
        <v>0</v>
      </c>
      <c r="AR5" s="190"/>
      <c r="AS5" s="190"/>
      <c r="AT5" s="190"/>
      <c r="AU5" s="190"/>
      <c r="AV5" s="190"/>
      <c r="AW5" s="190"/>
      <c r="AX5" s="190"/>
      <c r="AY5" s="190"/>
      <c r="AZ5" s="190"/>
      <c r="BA5" s="190"/>
      <c r="BB5" s="190"/>
      <c r="BC5" s="190"/>
      <c r="BD5" s="190"/>
      <c r="BE5" s="190"/>
      <c r="BF5" s="190"/>
      <c r="BG5" s="190"/>
      <c r="BH5" s="190"/>
      <c r="BI5" s="190"/>
      <c r="BJ5" s="190"/>
      <c r="BK5" s="190"/>
      <c r="BL5" s="190"/>
      <c r="BM5" s="190"/>
      <c r="BN5" s="190"/>
      <c r="BO5" s="190"/>
      <c r="BP5" s="190"/>
      <c r="BQ5" s="190"/>
      <c r="BR5" s="190"/>
      <c r="BS5" s="190"/>
      <c r="BT5" s="190"/>
      <c r="BU5" s="190"/>
      <c r="BV5" s="190"/>
      <c r="BW5" s="190"/>
      <c r="BX5" s="190"/>
      <c r="BY5" s="190"/>
      <c r="BZ5" s="190"/>
      <c r="CA5" s="190"/>
      <c r="CB5" s="190"/>
      <c r="CC5" s="190"/>
      <c r="CD5" s="190"/>
      <c r="CE5" s="190"/>
      <c r="CF5" s="190"/>
      <c r="CG5" s="190"/>
      <c r="CH5" s="190"/>
      <c r="CI5" s="190"/>
      <c r="CJ5" s="190"/>
      <c r="CK5" s="190"/>
      <c r="CL5" s="190"/>
    </row>
    <row r="6" spans="1:90" x14ac:dyDescent="0.25">
      <c r="A6" s="17" t="s">
        <v>13</v>
      </c>
      <c r="B6" s="190">
        <v>0</v>
      </c>
      <c r="C6" s="190">
        <v>88855671.209999993</v>
      </c>
      <c r="D6" s="190">
        <v>106598759.26000001</v>
      </c>
      <c r="E6" s="190">
        <v>74189874.799999997</v>
      </c>
      <c r="F6" s="190">
        <v>0</v>
      </c>
      <c r="G6" s="190">
        <v>0</v>
      </c>
      <c r="H6" s="190">
        <v>0</v>
      </c>
      <c r="I6" s="190">
        <v>0</v>
      </c>
      <c r="J6" s="190">
        <v>0</v>
      </c>
      <c r="K6" s="190">
        <v>0</v>
      </c>
      <c r="L6" s="190">
        <v>0</v>
      </c>
      <c r="M6" s="190">
        <v>0</v>
      </c>
      <c r="N6" s="190">
        <v>0</v>
      </c>
      <c r="O6" s="190">
        <v>0</v>
      </c>
      <c r="P6" s="190">
        <v>0</v>
      </c>
      <c r="Q6" s="190">
        <v>0</v>
      </c>
      <c r="R6" s="190">
        <v>0</v>
      </c>
      <c r="S6" s="190">
        <v>0</v>
      </c>
      <c r="T6" s="190">
        <v>0</v>
      </c>
      <c r="U6" s="190">
        <v>0</v>
      </c>
      <c r="V6" s="190">
        <v>0</v>
      </c>
      <c r="W6" s="190">
        <v>0</v>
      </c>
      <c r="X6" s="190">
        <v>0</v>
      </c>
      <c r="Y6" s="190">
        <v>0</v>
      </c>
      <c r="Z6" s="190">
        <v>0</v>
      </c>
      <c r="AA6" s="190">
        <v>0</v>
      </c>
      <c r="AB6" s="190">
        <v>0</v>
      </c>
      <c r="AC6" s="190">
        <v>0</v>
      </c>
      <c r="AD6" s="190">
        <v>0</v>
      </c>
      <c r="AE6" s="190">
        <v>0</v>
      </c>
      <c r="AF6" s="190">
        <v>0</v>
      </c>
      <c r="AG6" s="190">
        <v>0</v>
      </c>
      <c r="AH6" s="190">
        <v>0</v>
      </c>
      <c r="AI6" s="190">
        <v>0</v>
      </c>
      <c r="AJ6" s="190">
        <v>0</v>
      </c>
      <c r="AK6" s="190">
        <v>0</v>
      </c>
      <c r="AL6" s="190">
        <v>0</v>
      </c>
      <c r="AM6" s="190">
        <v>0</v>
      </c>
      <c r="AN6" s="190">
        <v>0</v>
      </c>
      <c r="AO6" s="190">
        <v>0</v>
      </c>
      <c r="AP6" s="190">
        <v>0</v>
      </c>
      <c r="AQ6" s="190">
        <v>0</v>
      </c>
      <c r="AR6" s="190"/>
      <c r="AS6" s="190"/>
      <c r="AT6" s="190"/>
      <c r="AU6" s="190"/>
      <c r="AV6" s="190"/>
      <c r="AW6" s="190"/>
      <c r="AX6" s="190"/>
      <c r="AY6" s="190"/>
      <c r="AZ6" s="190"/>
      <c r="BA6" s="190"/>
      <c r="BB6" s="190"/>
      <c r="BC6" s="190"/>
      <c r="BD6" s="190"/>
      <c r="BE6" s="190"/>
      <c r="BF6" s="190"/>
      <c r="BG6" s="190"/>
      <c r="BH6" s="190"/>
      <c r="BI6" s="190"/>
      <c r="BJ6" s="190"/>
      <c r="BK6" s="190"/>
      <c r="BL6" s="190"/>
      <c r="BM6" s="190"/>
      <c r="BN6" s="190"/>
      <c r="BO6" s="190"/>
      <c r="BP6" s="190"/>
      <c r="BQ6" s="190"/>
      <c r="BR6" s="190"/>
      <c r="BS6" s="190"/>
      <c r="BT6" s="190"/>
      <c r="BU6" s="190"/>
      <c r="BV6" s="190"/>
      <c r="BW6" s="190"/>
      <c r="BX6" s="190"/>
      <c r="BY6" s="190"/>
      <c r="BZ6" s="190"/>
      <c r="CA6" s="190"/>
      <c r="CB6" s="190"/>
      <c r="CC6" s="190"/>
      <c r="CD6" s="190"/>
      <c r="CE6" s="190"/>
      <c r="CF6" s="190"/>
      <c r="CG6" s="190"/>
      <c r="CH6" s="190"/>
      <c r="CI6" s="190"/>
      <c r="CJ6" s="190"/>
      <c r="CK6" s="190"/>
      <c r="CL6" s="190"/>
    </row>
    <row r="7" spans="1:90" x14ac:dyDescent="0.25">
      <c r="A7" s="17" t="s">
        <v>4</v>
      </c>
      <c r="B7" s="190">
        <v>0</v>
      </c>
      <c r="C7" s="190">
        <v>0</v>
      </c>
      <c r="D7" s="190">
        <v>0</v>
      </c>
      <c r="E7" s="190">
        <v>0</v>
      </c>
      <c r="F7" s="190">
        <v>0</v>
      </c>
      <c r="G7" s="190">
        <v>0</v>
      </c>
      <c r="H7" s="190">
        <v>0</v>
      </c>
      <c r="I7" s="190">
        <v>0</v>
      </c>
      <c r="J7" s="190">
        <v>0</v>
      </c>
      <c r="K7" s="190">
        <v>0</v>
      </c>
      <c r="L7" s="190">
        <v>0</v>
      </c>
      <c r="M7" s="190">
        <v>0</v>
      </c>
      <c r="N7" s="190">
        <v>0</v>
      </c>
      <c r="O7" s="190">
        <v>0</v>
      </c>
      <c r="P7" s="190">
        <v>0</v>
      </c>
      <c r="Q7" s="190">
        <v>0</v>
      </c>
      <c r="R7" s="190">
        <v>0</v>
      </c>
      <c r="S7" s="190">
        <v>0</v>
      </c>
      <c r="T7" s="190">
        <v>0</v>
      </c>
      <c r="U7" s="190">
        <v>0</v>
      </c>
      <c r="V7" s="190">
        <v>0</v>
      </c>
      <c r="W7" s="190">
        <v>0</v>
      </c>
      <c r="X7" s="190">
        <v>0</v>
      </c>
      <c r="Y7" s="190">
        <v>0</v>
      </c>
      <c r="Z7" s="190">
        <v>0</v>
      </c>
      <c r="AA7" s="190">
        <v>0</v>
      </c>
      <c r="AB7" s="190">
        <v>0</v>
      </c>
      <c r="AC7" s="190">
        <v>0</v>
      </c>
      <c r="AD7" s="190">
        <v>0</v>
      </c>
      <c r="AE7" s="190">
        <v>0</v>
      </c>
      <c r="AF7" s="190">
        <v>0</v>
      </c>
      <c r="AG7" s="190">
        <v>0</v>
      </c>
      <c r="AH7" s="190">
        <v>0</v>
      </c>
      <c r="AI7" s="190">
        <v>0</v>
      </c>
      <c r="AJ7" s="190">
        <v>0</v>
      </c>
      <c r="AK7" s="190">
        <v>0</v>
      </c>
      <c r="AL7" s="190">
        <v>0</v>
      </c>
      <c r="AM7" s="190">
        <v>0</v>
      </c>
      <c r="AN7" s="190">
        <v>0</v>
      </c>
      <c r="AO7" s="190">
        <v>0</v>
      </c>
      <c r="AP7" s="190">
        <v>0</v>
      </c>
      <c r="AQ7" s="190">
        <v>0</v>
      </c>
      <c r="AR7" s="190"/>
      <c r="AS7" s="190"/>
      <c r="AT7" s="190"/>
      <c r="AU7" s="190"/>
      <c r="AV7" s="190"/>
      <c r="AW7" s="190"/>
      <c r="AX7" s="190"/>
      <c r="AY7" s="190"/>
      <c r="AZ7" s="190"/>
      <c r="BA7" s="190"/>
      <c r="BB7" s="190"/>
      <c r="BC7" s="190"/>
      <c r="BD7" s="190"/>
      <c r="BE7" s="190"/>
      <c r="BF7" s="190"/>
      <c r="BG7" s="190"/>
      <c r="BH7" s="190"/>
      <c r="BI7" s="190"/>
      <c r="BJ7" s="190"/>
      <c r="BK7" s="190"/>
      <c r="BL7" s="190"/>
      <c r="BM7" s="190"/>
      <c r="BN7" s="190"/>
      <c r="BO7" s="190"/>
      <c r="BP7" s="190"/>
      <c r="BQ7" s="190"/>
      <c r="BR7" s="190"/>
      <c r="BS7" s="190"/>
      <c r="BT7" s="190"/>
      <c r="BU7" s="190"/>
      <c r="BV7" s="190"/>
      <c r="BW7" s="190"/>
      <c r="BX7" s="190"/>
      <c r="BY7" s="190"/>
      <c r="BZ7" s="190"/>
      <c r="CA7" s="190"/>
      <c r="CB7" s="190"/>
      <c r="CC7" s="190"/>
      <c r="CD7" s="190"/>
      <c r="CE7" s="190"/>
      <c r="CF7" s="190"/>
      <c r="CG7" s="190"/>
      <c r="CH7" s="190"/>
      <c r="CI7" s="190"/>
      <c r="CJ7" s="190"/>
      <c r="CK7" s="190"/>
      <c r="CL7" s="190"/>
    </row>
    <row r="8" spans="1:90" x14ac:dyDescent="0.25">
      <c r="A8" s="17" t="s">
        <v>5</v>
      </c>
      <c r="B8" s="190">
        <v>227475238.28</v>
      </c>
      <c r="C8" s="190">
        <v>224516989.86000001</v>
      </c>
      <c r="D8" s="190">
        <v>204255161.68000001</v>
      </c>
      <c r="E8" s="190">
        <v>228463347.99000001</v>
      </c>
      <c r="F8" s="190">
        <v>189611525</v>
      </c>
      <c r="G8" s="190">
        <v>190034675</v>
      </c>
      <c r="H8" s="190">
        <v>388188950</v>
      </c>
      <c r="I8" s="190">
        <v>388797125</v>
      </c>
      <c r="J8" s="190">
        <v>406326690</v>
      </c>
      <c r="K8" s="190">
        <v>160371775</v>
      </c>
      <c r="L8" s="190">
        <v>103916150</v>
      </c>
      <c r="M8" s="190">
        <v>103985900</v>
      </c>
      <c r="N8" s="190">
        <v>60741278.399999999</v>
      </c>
      <c r="O8" s="190">
        <v>0</v>
      </c>
      <c r="P8" s="190">
        <v>0</v>
      </c>
      <c r="Q8" s="190">
        <v>0</v>
      </c>
      <c r="R8" s="190">
        <v>0</v>
      </c>
      <c r="S8" s="190">
        <v>0</v>
      </c>
      <c r="T8" s="190">
        <v>0</v>
      </c>
      <c r="U8" s="190">
        <v>0</v>
      </c>
      <c r="V8" s="190">
        <v>0</v>
      </c>
      <c r="W8" s="190">
        <v>0</v>
      </c>
      <c r="X8" s="190">
        <v>0</v>
      </c>
      <c r="Y8" s="190">
        <v>0</v>
      </c>
      <c r="Z8" s="190">
        <v>0</v>
      </c>
      <c r="AA8" s="190">
        <v>0</v>
      </c>
      <c r="AB8" s="190">
        <v>0</v>
      </c>
      <c r="AC8" s="190">
        <v>0</v>
      </c>
      <c r="AD8" s="190">
        <v>0</v>
      </c>
      <c r="AE8" s="190">
        <v>0</v>
      </c>
      <c r="AF8" s="190">
        <v>0</v>
      </c>
      <c r="AG8" s="190">
        <v>0</v>
      </c>
      <c r="AH8" s="190">
        <v>0</v>
      </c>
      <c r="AI8" s="190">
        <v>0</v>
      </c>
      <c r="AJ8" s="190">
        <v>0</v>
      </c>
      <c r="AK8" s="190">
        <v>0</v>
      </c>
      <c r="AL8" s="190">
        <v>0</v>
      </c>
      <c r="AM8" s="190">
        <v>0</v>
      </c>
      <c r="AN8" s="190">
        <v>0</v>
      </c>
      <c r="AO8" s="190">
        <v>0</v>
      </c>
      <c r="AP8" s="190">
        <v>0</v>
      </c>
      <c r="AQ8" s="190">
        <v>0</v>
      </c>
      <c r="AR8" s="190"/>
      <c r="AS8" s="190"/>
      <c r="AT8" s="190"/>
      <c r="AU8" s="190"/>
      <c r="AV8" s="190"/>
      <c r="AW8" s="190"/>
      <c r="AX8" s="190"/>
      <c r="AY8" s="190"/>
      <c r="AZ8" s="190"/>
      <c r="BA8" s="190"/>
      <c r="BB8" s="190"/>
      <c r="BC8" s="190"/>
      <c r="BD8" s="190"/>
      <c r="BE8" s="190"/>
      <c r="BF8" s="190"/>
      <c r="BG8" s="190"/>
      <c r="BH8" s="190"/>
      <c r="BI8" s="190"/>
      <c r="BJ8" s="190"/>
      <c r="BK8" s="190"/>
      <c r="BL8" s="190"/>
      <c r="BM8" s="190"/>
      <c r="BN8" s="190"/>
      <c r="BO8" s="190"/>
      <c r="BP8" s="190"/>
      <c r="BQ8" s="190"/>
      <c r="BR8" s="190"/>
      <c r="BS8" s="190"/>
      <c r="BT8" s="190"/>
      <c r="BU8" s="190"/>
      <c r="BV8" s="190"/>
      <c r="BW8" s="190"/>
      <c r="BX8" s="190"/>
      <c r="BY8" s="190"/>
      <c r="BZ8" s="190"/>
      <c r="CA8" s="190"/>
      <c r="CB8" s="190"/>
      <c r="CC8" s="190"/>
      <c r="CD8" s="190"/>
      <c r="CE8" s="190"/>
      <c r="CF8" s="190"/>
      <c r="CG8" s="190"/>
      <c r="CH8" s="190"/>
      <c r="CI8" s="190"/>
      <c r="CJ8" s="190"/>
      <c r="CK8" s="190"/>
      <c r="CL8" s="190"/>
    </row>
    <row r="9" spans="1:90" x14ac:dyDescent="0.25">
      <c r="A9" s="17" t="s">
        <v>6</v>
      </c>
      <c r="B9" s="190">
        <v>0</v>
      </c>
      <c r="C9" s="190">
        <v>0</v>
      </c>
      <c r="D9" s="190">
        <v>0</v>
      </c>
      <c r="E9" s="190">
        <v>0</v>
      </c>
      <c r="F9" s="190">
        <v>0</v>
      </c>
      <c r="G9" s="190">
        <v>0</v>
      </c>
      <c r="H9" s="190">
        <v>0</v>
      </c>
      <c r="I9" s="190">
        <v>0</v>
      </c>
      <c r="J9" s="190">
        <v>0</v>
      </c>
      <c r="K9" s="190">
        <v>0</v>
      </c>
      <c r="L9" s="190">
        <v>0</v>
      </c>
      <c r="M9" s="190">
        <v>0</v>
      </c>
      <c r="N9" s="190">
        <v>0</v>
      </c>
      <c r="O9" s="190">
        <v>0</v>
      </c>
      <c r="P9" s="190">
        <v>0</v>
      </c>
      <c r="Q9" s="190">
        <v>0</v>
      </c>
      <c r="R9" s="190">
        <v>0</v>
      </c>
      <c r="S9" s="190">
        <v>0</v>
      </c>
      <c r="T9" s="190">
        <v>0</v>
      </c>
      <c r="U9" s="190">
        <v>0</v>
      </c>
      <c r="V9" s="190">
        <v>50000000</v>
      </c>
      <c r="W9" s="190">
        <v>100431200</v>
      </c>
      <c r="X9" s="190">
        <v>150670577.77000001</v>
      </c>
      <c r="Y9" s="190">
        <v>0</v>
      </c>
      <c r="Z9" s="190">
        <v>0</v>
      </c>
      <c r="AA9" s="190">
        <v>0</v>
      </c>
      <c r="AB9" s="190">
        <v>0</v>
      </c>
      <c r="AC9" s="190">
        <v>0</v>
      </c>
      <c r="AD9" s="190">
        <v>0</v>
      </c>
      <c r="AE9" s="190">
        <v>0</v>
      </c>
      <c r="AF9" s="190">
        <v>0</v>
      </c>
      <c r="AG9" s="190">
        <v>0</v>
      </c>
      <c r="AH9" s="190">
        <v>0</v>
      </c>
      <c r="AI9" s="190">
        <v>0</v>
      </c>
      <c r="AJ9" s="190">
        <v>0</v>
      </c>
      <c r="AK9" s="190">
        <v>0</v>
      </c>
      <c r="AL9" s="190">
        <v>0</v>
      </c>
      <c r="AM9" s="190">
        <v>0</v>
      </c>
      <c r="AN9" s="190">
        <v>0</v>
      </c>
      <c r="AO9" s="190">
        <v>5010356.16</v>
      </c>
      <c r="AP9" s="190">
        <v>0</v>
      </c>
      <c r="AQ9" s="190">
        <v>0</v>
      </c>
      <c r="AR9" s="190"/>
      <c r="AS9" s="190"/>
      <c r="AT9" s="190"/>
      <c r="AU9" s="190"/>
      <c r="AV9" s="190"/>
      <c r="AW9" s="190"/>
      <c r="AX9" s="190"/>
      <c r="AY9" s="190"/>
      <c r="AZ9" s="190"/>
      <c r="BA9" s="190"/>
      <c r="BB9" s="190"/>
      <c r="BC9" s="190"/>
      <c r="BD9" s="190"/>
      <c r="BE9" s="190"/>
      <c r="BF9" s="190"/>
      <c r="BG9" s="190"/>
      <c r="BH9" s="190"/>
      <c r="BI9" s="190"/>
      <c r="BJ9" s="190"/>
      <c r="BK9" s="190"/>
      <c r="BL9" s="190"/>
      <c r="BM9" s="190"/>
      <c r="BN9" s="190"/>
      <c r="BO9" s="190"/>
      <c r="BP9" s="190"/>
      <c r="BQ9" s="190"/>
      <c r="BR9" s="190"/>
      <c r="BS9" s="190"/>
      <c r="BT9" s="190"/>
      <c r="BU9" s="190"/>
      <c r="BV9" s="190"/>
      <c r="BW9" s="190"/>
      <c r="BX9" s="190"/>
      <c r="BY9" s="190"/>
      <c r="BZ9" s="190"/>
      <c r="CA9" s="190"/>
      <c r="CB9" s="190"/>
      <c r="CC9" s="190"/>
      <c r="CD9" s="190"/>
      <c r="CE9" s="190"/>
      <c r="CF9" s="190"/>
      <c r="CG9" s="190"/>
      <c r="CH9" s="190"/>
      <c r="CI9" s="190"/>
      <c r="CJ9" s="190"/>
      <c r="CK9" s="190"/>
      <c r="CL9" s="190"/>
    </row>
    <row r="10" spans="1:90" x14ac:dyDescent="0.25">
      <c r="A10" s="19" t="s">
        <v>7</v>
      </c>
      <c r="B10" s="190">
        <v>0</v>
      </c>
      <c r="C10" s="190">
        <v>0</v>
      </c>
      <c r="D10" s="190">
        <v>0</v>
      </c>
      <c r="E10" s="190">
        <v>0</v>
      </c>
      <c r="F10" s="190">
        <v>0</v>
      </c>
      <c r="G10" s="190">
        <v>0</v>
      </c>
      <c r="H10" s="190">
        <v>0</v>
      </c>
      <c r="I10" s="190">
        <v>0</v>
      </c>
      <c r="J10" s="190">
        <v>0</v>
      </c>
      <c r="K10" s="190">
        <v>0</v>
      </c>
      <c r="L10" s="190">
        <v>0</v>
      </c>
      <c r="M10" s="190">
        <v>0</v>
      </c>
      <c r="N10" s="190">
        <v>0</v>
      </c>
      <c r="O10" s="190">
        <v>0</v>
      </c>
      <c r="P10" s="190">
        <v>0</v>
      </c>
      <c r="Q10" s="190">
        <v>0</v>
      </c>
      <c r="R10" s="190">
        <v>0</v>
      </c>
      <c r="S10" s="190">
        <v>0</v>
      </c>
      <c r="T10" s="190">
        <v>0</v>
      </c>
      <c r="U10" s="190">
        <v>0</v>
      </c>
      <c r="V10" s="190">
        <v>0</v>
      </c>
      <c r="W10" s="190">
        <v>0</v>
      </c>
      <c r="X10" s="190">
        <v>0</v>
      </c>
      <c r="Y10" s="190">
        <v>0</v>
      </c>
      <c r="Z10" s="190">
        <v>0</v>
      </c>
      <c r="AA10" s="190">
        <v>0</v>
      </c>
      <c r="AB10" s="190">
        <v>0</v>
      </c>
      <c r="AC10" s="190">
        <v>0</v>
      </c>
      <c r="AD10" s="190">
        <v>0</v>
      </c>
      <c r="AE10" s="190">
        <v>0</v>
      </c>
      <c r="AF10" s="190">
        <v>0</v>
      </c>
      <c r="AG10" s="190">
        <v>0</v>
      </c>
      <c r="AH10" s="190">
        <v>0</v>
      </c>
      <c r="AI10" s="190">
        <v>0</v>
      </c>
      <c r="AJ10" s="190">
        <v>0</v>
      </c>
      <c r="AK10" s="190">
        <v>0</v>
      </c>
      <c r="AL10" s="190">
        <v>0</v>
      </c>
      <c r="AM10" s="190">
        <v>0</v>
      </c>
      <c r="AN10" s="190">
        <v>0</v>
      </c>
      <c r="AO10" s="190">
        <v>0</v>
      </c>
      <c r="AP10" s="190">
        <v>0</v>
      </c>
      <c r="AQ10" s="190">
        <v>0</v>
      </c>
      <c r="AR10" s="190"/>
      <c r="AS10" s="190"/>
      <c r="AT10" s="190"/>
      <c r="AU10" s="190"/>
      <c r="AV10" s="190"/>
      <c r="AW10" s="190"/>
      <c r="AX10" s="190"/>
      <c r="AY10" s="190"/>
      <c r="AZ10" s="190"/>
      <c r="BA10" s="190"/>
      <c r="BB10" s="190"/>
      <c r="BC10" s="190"/>
      <c r="BD10" s="190"/>
      <c r="BE10" s="190"/>
      <c r="BF10" s="190"/>
      <c r="BG10" s="190"/>
      <c r="BH10" s="190"/>
      <c r="BI10" s="190"/>
      <c r="BJ10" s="190"/>
      <c r="BK10" s="190"/>
      <c r="BL10" s="190"/>
      <c r="BM10" s="190"/>
      <c r="BN10" s="190"/>
      <c r="BO10" s="190"/>
      <c r="BP10" s="190"/>
      <c r="BQ10" s="190"/>
      <c r="BR10" s="190"/>
      <c r="BS10" s="190"/>
      <c r="BT10" s="190"/>
      <c r="BU10" s="190"/>
      <c r="BV10" s="190"/>
      <c r="BW10" s="190"/>
      <c r="BX10" s="190"/>
      <c r="BY10" s="190"/>
      <c r="BZ10" s="190"/>
      <c r="CA10" s="190"/>
      <c r="CB10" s="190"/>
      <c r="CC10" s="190"/>
      <c r="CD10" s="190"/>
      <c r="CE10" s="190"/>
      <c r="CF10" s="190"/>
      <c r="CG10" s="190"/>
      <c r="CH10" s="190"/>
      <c r="CI10" s="190"/>
      <c r="CJ10" s="190"/>
      <c r="CK10" s="190"/>
      <c r="CL10" s="190"/>
    </row>
    <row r="11" spans="1:90" x14ac:dyDescent="0.25">
      <c r="A11" s="17" t="s">
        <v>8</v>
      </c>
      <c r="B11" s="190">
        <v>0</v>
      </c>
      <c r="C11" s="190">
        <v>0</v>
      </c>
      <c r="D11" s="190">
        <v>0</v>
      </c>
      <c r="E11" s="190">
        <v>0</v>
      </c>
      <c r="F11" s="190">
        <v>0</v>
      </c>
      <c r="G11" s="190">
        <v>0</v>
      </c>
      <c r="H11" s="190">
        <v>0</v>
      </c>
      <c r="I11" s="190">
        <v>0</v>
      </c>
      <c r="J11" s="190">
        <v>0</v>
      </c>
      <c r="K11" s="190">
        <v>0</v>
      </c>
      <c r="L11" s="190">
        <v>0</v>
      </c>
      <c r="M11" s="190">
        <v>0</v>
      </c>
      <c r="N11" s="190">
        <v>0</v>
      </c>
      <c r="O11" s="190">
        <v>0</v>
      </c>
      <c r="P11" s="190">
        <v>0</v>
      </c>
      <c r="Q11" s="190">
        <v>0</v>
      </c>
      <c r="R11" s="190">
        <v>0</v>
      </c>
      <c r="S11" s="190">
        <v>0</v>
      </c>
      <c r="T11" s="190">
        <v>0</v>
      </c>
      <c r="U11" s="190">
        <v>0</v>
      </c>
      <c r="V11" s="190">
        <v>0</v>
      </c>
      <c r="W11" s="190">
        <v>0</v>
      </c>
      <c r="X11" s="190">
        <v>0</v>
      </c>
      <c r="Y11" s="190">
        <v>0</v>
      </c>
      <c r="Z11" s="190">
        <v>0</v>
      </c>
      <c r="AA11" s="190">
        <v>0</v>
      </c>
      <c r="AB11" s="190">
        <v>0</v>
      </c>
      <c r="AC11" s="190">
        <v>0</v>
      </c>
      <c r="AD11" s="190">
        <v>0</v>
      </c>
      <c r="AE11" s="190">
        <v>0</v>
      </c>
      <c r="AF11" s="190">
        <v>0</v>
      </c>
      <c r="AG11" s="190">
        <v>0</v>
      </c>
      <c r="AH11" s="190">
        <v>0</v>
      </c>
      <c r="AI11" s="190">
        <v>0</v>
      </c>
      <c r="AJ11" s="190">
        <v>0</v>
      </c>
      <c r="AK11" s="190">
        <v>0</v>
      </c>
      <c r="AL11" s="190">
        <v>0</v>
      </c>
      <c r="AM11" s="190">
        <v>0</v>
      </c>
      <c r="AN11" s="190">
        <v>0</v>
      </c>
      <c r="AO11" s="190">
        <v>0</v>
      </c>
      <c r="AP11" s="190">
        <v>0</v>
      </c>
      <c r="AQ11" s="190">
        <v>0</v>
      </c>
      <c r="AR11" s="190"/>
      <c r="AS11" s="190"/>
      <c r="AT11" s="190"/>
      <c r="AU11" s="190"/>
      <c r="AV11" s="190"/>
      <c r="AW11" s="190"/>
      <c r="AX11" s="190"/>
      <c r="AY11" s="190"/>
      <c r="AZ11" s="190"/>
      <c r="BA11" s="190"/>
      <c r="BB11" s="190"/>
      <c r="BC11" s="190"/>
      <c r="BD11" s="190"/>
      <c r="BE11" s="190"/>
      <c r="BF11" s="190"/>
      <c r="BG11" s="190"/>
      <c r="BH11" s="190"/>
      <c r="BI11" s="190"/>
      <c r="BJ11" s="190"/>
      <c r="BK11" s="190"/>
      <c r="BL11" s="190"/>
      <c r="BM11" s="190"/>
      <c r="BN11" s="190"/>
      <c r="BO11" s="190"/>
      <c r="BP11" s="190"/>
      <c r="BQ11" s="190"/>
      <c r="BR11" s="190"/>
      <c r="BS11" s="190"/>
      <c r="BT11" s="190"/>
      <c r="BU11" s="190"/>
      <c r="BV11" s="190"/>
      <c r="BW11" s="190"/>
      <c r="BX11" s="190"/>
      <c r="BY11" s="190"/>
      <c r="BZ11" s="190"/>
      <c r="CA11" s="190"/>
      <c r="CB11" s="190"/>
      <c r="CC11" s="190"/>
      <c r="CD11" s="190"/>
      <c r="CE11" s="190"/>
      <c r="CF11" s="190"/>
      <c r="CG11" s="190"/>
      <c r="CH11" s="190"/>
      <c r="CI11" s="190"/>
      <c r="CJ11" s="190"/>
      <c r="CK11" s="190"/>
      <c r="CL11" s="190"/>
    </row>
    <row r="12" spans="1:90" x14ac:dyDescent="0.25">
      <c r="A12" s="17" t="s">
        <v>9</v>
      </c>
      <c r="B12" s="190">
        <v>0</v>
      </c>
      <c r="C12" s="190">
        <v>0</v>
      </c>
      <c r="D12" s="190">
        <v>0</v>
      </c>
      <c r="E12" s="190">
        <v>0</v>
      </c>
      <c r="F12" s="190">
        <v>0</v>
      </c>
      <c r="G12" s="190">
        <v>0</v>
      </c>
      <c r="H12" s="190">
        <v>0</v>
      </c>
      <c r="I12" s="190">
        <v>0</v>
      </c>
      <c r="J12" s="190">
        <v>0</v>
      </c>
      <c r="K12" s="190">
        <v>0</v>
      </c>
      <c r="L12" s="190">
        <v>0</v>
      </c>
      <c r="M12" s="190">
        <v>0</v>
      </c>
      <c r="N12" s="190">
        <v>0</v>
      </c>
      <c r="O12" s="190">
        <v>0</v>
      </c>
      <c r="P12" s="190">
        <v>0</v>
      </c>
      <c r="Q12" s="190">
        <v>0</v>
      </c>
      <c r="R12" s="190">
        <v>0</v>
      </c>
      <c r="S12" s="190">
        <v>0</v>
      </c>
      <c r="T12" s="190">
        <v>0</v>
      </c>
      <c r="U12" s="190">
        <v>0</v>
      </c>
      <c r="V12" s="190">
        <v>0</v>
      </c>
      <c r="W12" s="190">
        <v>0</v>
      </c>
      <c r="X12" s="190">
        <v>0</v>
      </c>
      <c r="Y12" s="190">
        <v>0</v>
      </c>
      <c r="Z12" s="190">
        <v>0</v>
      </c>
      <c r="AA12" s="190">
        <v>0</v>
      </c>
      <c r="AB12" s="190">
        <v>0</v>
      </c>
      <c r="AC12" s="190">
        <v>0</v>
      </c>
      <c r="AD12" s="190">
        <v>0</v>
      </c>
      <c r="AE12" s="190">
        <v>0</v>
      </c>
      <c r="AF12" s="190">
        <v>0</v>
      </c>
      <c r="AG12" s="190">
        <v>0</v>
      </c>
      <c r="AH12" s="190">
        <v>0</v>
      </c>
      <c r="AI12" s="190">
        <v>0</v>
      </c>
      <c r="AJ12" s="190">
        <v>0</v>
      </c>
      <c r="AK12" s="190">
        <v>0</v>
      </c>
      <c r="AL12" s="190">
        <v>0</v>
      </c>
      <c r="AM12" s="190">
        <v>0</v>
      </c>
      <c r="AN12" s="190">
        <v>0</v>
      </c>
      <c r="AO12" s="190">
        <v>0</v>
      </c>
      <c r="AP12" s="190">
        <v>0</v>
      </c>
      <c r="AQ12" s="190">
        <v>0</v>
      </c>
      <c r="AR12" s="190"/>
      <c r="AS12" s="190"/>
      <c r="AT12" s="190"/>
      <c r="AU12" s="190"/>
      <c r="AV12" s="190"/>
      <c r="AW12" s="190"/>
      <c r="AX12" s="190"/>
      <c r="AY12" s="190"/>
      <c r="AZ12" s="190"/>
      <c r="BA12" s="190"/>
      <c r="BB12" s="190"/>
      <c r="BC12" s="190"/>
      <c r="BD12" s="190"/>
      <c r="BE12" s="190"/>
      <c r="BF12" s="190"/>
      <c r="BG12" s="190"/>
      <c r="BH12" s="190"/>
      <c r="BI12" s="190"/>
      <c r="BJ12" s="190"/>
      <c r="BK12" s="190"/>
      <c r="BL12" s="190"/>
      <c r="BM12" s="190"/>
      <c r="BN12" s="190"/>
      <c r="BO12" s="190"/>
      <c r="BP12" s="190"/>
      <c r="BQ12" s="190"/>
      <c r="BR12" s="190"/>
      <c r="BS12" s="190"/>
      <c r="BT12" s="190"/>
      <c r="BU12" s="190"/>
      <c r="BV12" s="190"/>
      <c r="BW12" s="190"/>
      <c r="BX12" s="190"/>
      <c r="BY12" s="190"/>
      <c r="BZ12" s="190"/>
      <c r="CA12" s="190"/>
      <c r="CB12" s="190"/>
      <c r="CC12" s="190"/>
      <c r="CD12" s="190"/>
      <c r="CE12" s="190"/>
      <c r="CF12" s="190"/>
      <c r="CG12" s="190"/>
      <c r="CH12" s="190"/>
      <c r="CI12" s="190"/>
      <c r="CJ12" s="190"/>
      <c r="CK12" s="190"/>
      <c r="CL12" s="190"/>
    </row>
    <row r="13" spans="1:90" x14ac:dyDescent="0.25">
      <c r="A13" s="17" t="s">
        <v>10</v>
      </c>
      <c r="B13" s="190">
        <v>0</v>
      </c>
      <c r="C13" s="190">
        <v>0</v>
      </c>
      <c r="D13" s="190">
        <v>0</v>
      </c>
      <c r="E13" s="190">
        <v>0</v>
      </c>
      <c r="F13" s="190">
        <v>0</v>
      </c>
      <c r="G13" s="190">
        <v>0</v>
      </c>
      <c r="H13" s="190">
        <v>0</v>
      </c>
      <c r="I13" s="190">
        <v>0</v>
      </c>
      <c r="J13" s="190">
        <v>0</v>
      </c>
      <c r="K13" s="190">
        <v>0</v>
      </c>
      <c r="L13" s="190">
        <v>0</v>
      </c>
      <c r="M13" s="190">
        <v>0</v>
      </c>
      <c r="N13" s="190">
        <v>0</v>
      </c>
      <c r="O13" s="190">
        <v>0</v>
      </c>
      <c r="P13" s="190">
        <v>0</v>
      </c>
      <c r="Q13" s="190">
        <v>0</v>
      </c>
      <c r="R13" s="190">
        <v>0</v>
      </c>
      <c r="S13" s="190">
        <v>0</v>
      </c>
      <c r="T13" s="190">
        <v>0</v>
      </c>
      <c r="U13" s="190">
        <v>0</v>
      </c>
      <c r="V13" s="190">
        <v>0</v>
      </c>
      <c r="W13" s="190">
        <v>0</v>
      </c>
      <c r="X13" s="190">
        <v>0</v>
      </c>
      <c r="Y13" s="190">
        <v>0</v>
      </c>
      <c r="Z13" s="190">
        <v>0</v>
      </c>
      <c r="AA13" s="190">
        <v>0</v>
      </c>
      <c r="AB13" s="190">
        <v>0</v>
      </c>
      <c r="AC13" s="190">
        <v>0</v>
      </c>
      <c r="AD13" s="190">
        <v>0</v>
      </c>
      <c r="AE13" s="190">
        <v>0</v>
      </c>
      <c r="AF13" s="190">
        <v>0</v>
      </c>
      <c r="AG13" s="190">
        <v>0</v>
      </c>
      <c r="AH13" s="190">
        <v>0</v>
      </c>
      <c r="AI13" s="190">
        <v>0</v>
      </c>
      <c r="AJ13" s="190">
        <v>0</v>
      </c>
      <c r="AK13" s="190">
        <v>0</v>
      </c>
      <c r="AL13" s="190">
        <v>0</v>
      </c>
      <c r="AM13" s="190">
        <v>0</v>
      </c>
      <c r="AN13" s="190">
        <v>0</v>
      </c>
      <c r="AO13" s="190">
        <v>0</v>
      </c>
      <c r="AP13" s="190">
        <v>0</v>
      </c>
      <c r="AQ13" s="190">
        <v>0</v>
      </c>
      <c r="AR13" s="190"/>
      <c r="AS13" s="190"/>
      <c r="AT13" s="190"/>
      <c r="AU13" s="190"/>
      <c r="AV13" s="190"/>
      <c r="AW13" s="190"/>
      <c r="AX13" s="190"/>
      <c r="AY13" s="190"/>
      <c r="AZ13" s="190"/>
      <c r="BA13" s="190"/>
      <c r="BB13" s="190"/>
      <c r="BC13" s="190"/>
      <c r="BD13" s="190"/>
      <c r="BE13" s="190"/>
      <c r="BF13" s="190"/>
      <c r="BG13" s="190"/>
      <c r="BH13" s="190"/>
      <c r="BI13" s="190"/>
      <c r="BJ13" s="190"/>
      <c r="BK13" s="190"/>
      <c r="BL13" s="190"/>
      <c r="BM13" s="190"/>
      <c r="BN13" s="190"/>
      <c r="BO13" s="190"/>
      <c r="BP13" s="190"/>
      <c r="BQ13" s="190"/>
      <c r="BR13" s="190"/>
      <c r="BS13" s="190"/>
      <c r="BT13" s="190"/>
      <c r="BU13" s="190"/>
      <c r="BV13" s="190"/>
      <c r="BW13" s="190"/>
      <c r="BX13" s="190"/>
      <c r="BY13" s="190"/>
      <c r="BZ13" s="190"/>
      <c r="CA13" s="190"/>
      <c r="CB13" s="190"/>
      <c r="CC13" s="190"/>
      <c r="CD13" s="190"/>
      <c r="CE13" s="190"/>
      <c r="CF13" s="190"/>
      <c r="CG13" s="190"/>
      <c r="CH13" s="190"/>
      <c r="CI13" s="190"/>
      <c r="CJ13" s="190"/>
      <c r="CK13" s="190"/>
      <c r="CL13" s="190"/>
    </row>
    <row r="14" spans="1:90" hidden="1" x14ac:dyDescent="0.25">
      <c r="B14" s="26"/>
      <c r="C14" s="26"/>
      <c r="D14" s="26"/>
      <c r="E14" s="26"/>
      <c r="F14" s="26"/>
      <c r="G14" s="26"/>
      <c r="H14" s="26"/>
      <c r="I14" s="26"/>
      <c r="J14" s="26"/>
      <c r="K14" s="26"/>
      <c r="L14" s="23"/>
    </row>
    <row r="15" spans="1:90" hidden="1" x14ac:dyDescent="0.25">
      <c r="B15" s="26"/>
      <c r="C15" s="26"/>
      <c r="D15" s="26"/>
      <c r="E15" s="26"/>
      <c r="F15" s="26"/>
      <c r="G15" s="26"/>
      <c r="H15" s="26"/>
      <c r="I15" s="26"/>
      <c r="J15" s="26"/>
      <c r="K15" s="26"/>
      <c r="L15" s="23"/>
    </row>
    <row r="16" spans="1:90" hidden="1" x14ac:dyDescent="0.25">
      <c r="B16" s="26"/>
      <c r="C16" s="26"/>
      <c r="D16" s="26"/>
      <c r="E16" s="26"/>
      <c r="F16" s="26"/>
      <c r="G16" s="26"/>
      <c r="H16" s="26"/>
      <c r="I16" s="26"/>
      <c r="J16" s="26"/>
      <c r="K16" s="26"/>
      <c r="L16" s="23"/>
    </row>
    <row r="17" spans="1:90" s="5" customFormat="1" x14ac:dyDescent="0.25">
      <c r="A17" s="121" t="s">
        <v>11</v>
      </c>
      <c r="B17" s="33">
        <f>SUM(B4:B13)</f>
        <v>937593929.54999995</v>
      </c>
      <c r="C17" s="33">
        <f t="shared" ref="C17:BN17" si="0">SUM(C4:C13)</f>
        <v>1083423088.8400002</v>
      </c>
      <c r="D17" s="33">
        <f t="shared" si="0"/>
        <v>1231488000.97</v>
      </c>
      <c r="E17" s="33">
        <f t="shared" si="0"/>
        <v>733176594.04999995</v>
      </c>
      <c r="F17" s="33">
        <f t="shared" si="0"/>
        <v>542119136.30999994</v>
      </c>
      <c r="G17" s="33">
        <f t="shared" si="0"/>
        <v>792389362.92999995</v>
      </c>
      <c r="H17" s="33">
        <f t="shared" si="0"/>
        <v>1064862608.49</v>
      </c>
      <c r="I17" s="33">
        <f t="shared" si="0"/>
        <v>1547342145.5699999</v>
      </c>
      <c r="J17" s="33">
        <f t="shared" si="0"/>
        <v>935254236.98000002</v>
      </c>
      <c r="K17" s="33">
        <f t="shared" si="0"/>
        <v>726701245.64999998</v>
      </c>
      <c r="L17" s="33">
        <f t="shared" si="0"/>
        <v>796484046.78999996</v>
      </c>
      <c r="M17" s="33">
        <f t="shared" si="0"/>
        <v>693588693.25999999</v>
      </c>
      <c r="N17" s="33">
        <f t="shared" si="0"/>
        <v>797669458.75</v>
      </c>
      <c r="O17" s="33">
        <f t="shared" si="0"/>
        <v>619994822.77999997</v>
      </c>
      <c r="P17" s="33">
        <f t="shared" si="0"/>
        <v>669893756.87</v>
      </c>
      <c r="Q17" s="33">
        <f t="shared" si="0"/>
        <v>647204677.45000005</v>
      </c>
      <c r="R17" s="33">
        <f t="shared" si="0"/>
        <v>629117054.61000001</v>
      </c>
      <c r="S17" s="33">
        <f t="shared" si="0"/>
        <v>835542721.87</v>
      </c>
      <c r="T17" s="33">
        <f t="shared" si="0"/>
        <v>884858061.70000005</v>
      </c>
      <c r="U17" s="33">
        <f t="shared" si="0"/>
        <v>932276706.14999998</v>
      </c>
      <c r="V17" s="33">
        <f t="shared" si="0"/>
        <v>952923862.08000004</v>
      </c>
      <c r="W17" s="33">
        <f t="shared" si="0"/>
        <v>769157162.38</v>
      </c>
      <c r="X17" s="33">
        <f t="shared" si="0"/>
        <v>991763885.86000001</v>
      </c>
      <c r="Y17" s="33">
        <f t="shared" si="0"/>
        <v>956043885.24000001</v>
      </c>
      <c r="Z17" s="33">
        <f t="shared" si="0"/>
        <v>803173622.38</v>
      </c>
      <c r="AA17" s="33">
        <f t="shared" si="0"/>
        <v>667828913.97000003</v>
      </c>
      <c r="AB17" s="33">
        <f t="shared" si="0"/>
        <v>1014024416.74</v>
      </c>
      <c r="AC17" s="33">
        <f t="shared" si="0"/>
        <v>1002302902.5700001</v>
      </c>
      <c r="AD17" s="33">
        <f t="shared" si="0"/>
        <v>982362386.38999999</v>
      </c>
      <c r="AE17" s="33">
        <f t="shared" si="0"/>
        <v>862194779.22000003</v>
      </c>
      <c r="AF17" s="33">
        <f t="shared" si="0"/>
        <v>1151874426.3</v>
      </c>
      <c r="AG17" s="33">
        <f t="shared" si="0"/>
        <v>1057191976.45</v>
      </c>
      <c r="AH17" s="33">
        <f t="shared" si="0"/>
        <v>960610001.01999998</v>
      </c>
      <c r="AI17" s="33">
        <f t="shared" si="0"/>
        <v>930790908.42999995</v>
      </c>
      <c r="AJ17" s="33">
        <f t="shared" si="0"/>
        <v>1127355392.73</v>
      </c>
      <c r="AK17" s="33">
        <f t="shared" si="0"/>
        <v>1066884381.7</v>
      </c>
      <c r="AL17" s="33">
        <f t="shared" si="0"/>
        <v>1057983159.11</v>
      </c>
      <c r="AM17" s="33">
        <f t="shared" si="0"/>
        <v>74808751.980000004</v>
      </c>
      <c r="AN17" s="33">
        <f t="shared" si="0"/>
        <v>78505801.079999998</v>
      </c>
      <c r="AO17" s="33">
        <f t="shared" si="0"/>
        <v>50145116.420000002</v>
      </c>
      <c r="AP17" s="33">
        <f t="shared" si="0"/>
        <v>52609626.460000001</v>
      </c>
      <c r="AQ17" s="33">
        <f t="shared" si="0"/>
        <v>0</v>
      </c>
      <c r="AR17" s="33">
        <f t="shared" si="0"/>
        <v>0</v>
      </c>
      <c r="AS17" s="33">
        <f t="shared" si="0"/>
        <v>0</v>
      </c>
      <c r="AT17" s="33">
        <f t="shared" si="0"/>
        <v>0</v>
      </c>
      <c r="AU17" s="33">
        <f t="shared" si="0"/>
        <v>0</v>
      </c>
      <c r="AV17" s="33">
        <f t="shared" si="0"/>
        <v>0</v>
      </c>
      <c r="AW17" s="33">
        <f t="shared" si="0"/>
        <v>0</v>
      </c>
      <c r="AX17" s="33">
        <f t="shared" si="0"/>
        <v>0</v>
      </c>
      <c r="AY17" s="33">
        <f t="shared" si="0"/>
        <v>0</v>
      </c>
      <c r="AZ17" s="33">
        <f t="shared" si="0"/>
        <v>0</v>
      </c>
      <c r="BA17" s="33">
        <f t="shared" si="0"/>
        <v>0</v>
      </c>
      <c r="BB17" s="33">
        <f t="shared" si="0"/>
        <v>0</v>
      </c>
      <c r="BC17" s="33">
        <f t="shared" si="0"/>
        <v>0</v>
      </c>
      <c r="BD17" s="33">
        <f t="shared" si="0"/>
        <v>0</v>
      </c>
      <c r="BE17" s="33">
        <f t="shared" si="0"/>
        <v>0</v>
      </c>
      <c r="BF17" s="33">
        <f t="shared" si="0"/>
        <v>0</v>
      </c>
      <c r="BG17" s="33">
        <f t="shared" si="0"/>
        <v>0</v>
      </c>
      <c r="BH17" s="33">
        <f t="shared" si="0"/>
        <v>0</v>
      </c>
      <c r="BI17" s="33">
        <f t="shared" si="0"/>
        <v>0</v>
      </c>
      <c r="BJ17" s="33">
        <f t="shared" si="0"/>
        <v>0</v>
      </c>
      <c r="BK17" s="33">
        <f t="shared" si="0"/>
        <v>0</v>
      </c>
      <c r="BL17" s="33">
        <f t="shared" si="0"/>
        <v>0</v>
      </c>
      <c r="BM17" s="33">
        <f t="shared" si="0"/>
        <v>0</v>
      </c>
      <c r="BN17" s="33">
        <f t="shared" si="0"/>
        <v>0</v>
      </c>
      <c r="BO17" s="33">
        <f t="shared" ref="BO17:CK17" si="1">SUM(BO4:BO13)</f>
        <v>0</v>
      </c>
      <c r="BP17" s="33">
        <f t="shared" si="1"/>
        <v>0</v>
      </c>
      <c r="BQ17" s="33">
        <f t="shared" si="1"/>
        <v>0</v>
      </c>
      <c r="BR17" s="33">
        <f t="shared" si="1"/>
        <v>0</v>
      </c>
      <c r="BS17" s="33">
        <f t="shared" si="1"/>
        <v>0</v>
      </c>
      <c r="BT17" s="33">
        <f t="shared" si="1"/>
        <v>0</v>
      </c>
      <c r="BU17" s="33">
        <f t="shared" si="1"/>
        <v>0</v>
      </c>
      <c r="BV17" s="33">
        <f t="shared" si="1"/>
        <v>0</v>
      </c>
      <c r="BW17" s="33">
        <f t="shared" si="1"/>
        <v>0</v>
      </c>
      <c r="BX17" s="33">
        <f t="shared" si="1"/>
        <v>0</v>
      </c>
      <c r="BY17" s="33">
        <f t="shared" si="1"/>
        <v>0</v>
      </c>
      <c r="BZ17" s="33">
        <f t="shared" si="1"/>
        <v>0</v>
      </c>
      <c r="CA17" s="33">
        <f t="shared" si="1"/>
        <v>0</v>
      </c>
      <c r="CB17" s="33">
        <f t="shared" si="1"/>
        <v>0</v>
      </c>
      <c r="CC17" s="33">
        <f t="shared" si="1"/>
        <v>0</v>
      </c>
      <c r="CD17" s="33">
        <f t="shared" si="1"/>
        <v>0</v>
      </c>
      <c r="CE17" s="33">
        <f t="shared" si="1"/>
        <v>0</v>
      </c>
      <c r="CF17" s="33">
        <f t="shared" si="1"/>
        <v>0</v>
      </c>
      <c r="CG17" s="33">
        <f t="shared" si="1"/>
        <v>0</v>
      </c>
      <c r="CH17" s="33">
        <f t="shared" si="1"/>
        <v>0</v>
      </c>
      <c r="CI17" s="33">
        <f t="shared" si="1"/>
        <v>0</v>
      </c>
      <c r="CJ17" s="33">
        <f t="shared" si="1"/>
        <v>0</v>
      </c>
      <c r="CK17" s="33">
        <f t="shared" si="1"/>
        <v>0</v>
      </c>
    </row>
    <row r="18" spans="1:90" s="11" customFormat="1" x14ac:dyDescent="0.25">
      <c r="A18" s="122" t="s">
        <v>79</v>
      </c>
      <c r="B18" s="34"/>
      <c r="C18" s="34"/>
      <c r="D18" s="34"/>
      <c r="E18" s="34"/>
      <c r="F18" s="34"/>
      <c r="G18" s="34"/>
      <c r="H18" s="34"/>
      <c r="I18" s="34"/>
      <c r="J18" s="34"/>
      <c r="K18" s="34"/>
      <c r="L18" s="32"/>
      <c r="M18" s="14"/>
      <c r="N18" s="14"/>
    </row>
    <row r="19" spans="1:90" s="5" customFormat="1" x14ac:dyDescent="0.25">
      <c r="A19" s="121" t="s">
        <v>78</v>
      </c>
      <c r="B19" s="190">
        <v>2103461.14</v>
      </c>
      <c r="C19" s="190">
        <v>2260588.16</v>
      </c>
      <c r="D19" s="190">
        <v>2681764.62</v>
      </c>
      <c r="E19" s="190">
        <v>2681764.62</v>
      </c>
      <c r="F19" s="190">
        <v>36554845.829999998</v>
      </c>
      <c r="G19" s="190">
        <v>37301246.560000002</v>
      </c>
      <c r="H19" s="190">
        <v>44582193.149999999</v>
      </c>
      <c r="I19" s="190">
        <v>44208476.719999999</v>
      </c>
      <c r="J19" s="190">
        <v>46497065.140000001</v>
      </c>
      <c r="K19" s="190">
        <v>48418056.219999999</v>
      </c>
      <c r="L19" s="190">
        <v>47013607.68</v>
      </c>
      <c r="M19" s="190">
        <v>48378901.780000001</v>
      </c>
      <c r="N19" s="190">
        <v>0</v>
      </c>
      <c r="O19" s="190">
        <v>0</v>
      </c>
      <c r="P19" s="190">
        <v>0</v>
      </c>
      <c r="Q19" s="190">
        <v>0</v>
      </c>
      <c r="R19" s="190">
        <v>0</v>
      </c>
      <c r="S19" s="190">
        <v>0</v>
      </c>
      <c r="T19" s="190">
        <v>0</v>
      </c>
      <c r="U19" s="190">
        <v>0</v>
      </c>
      <c r="V19" s="190">
        <v>0</v>
      </c>
      <c r="W19" s="190">
        <v>0</v>
      </c>
      <c r="X19" s="190">
        <v>0</v>
      </c>
      <c r="Y19" s="190">
        <v>0</v>
      </c>
      <c r="Z19" s="190">
        <v>0</v>
      </c>
      <c r="AA19" s="190">
        <v>0</v>
      </c>
      <c r="AB19" s="190">
        <v>0</v>
      </c>
      <c r="AC19" s="190">
        <v>0</v>
      </c>
      <c r="AD19" s="190">
        <v>0</v>
      </c>
      <c r="AE19" s="190">
        <v>0</v>
      </c>
      <c r="AF19" s="190">
        <v>0</v>
      </c>
      <c r="AG19" s="190">
        <v>0</v>
      </c>
      <c r="AH19" s="190">
        <v>0</v>
      </c>
      <c r="AI19" s="190">
        <v>0</v>
      </c>
      <c r="AJ19" s="190">
        <v>0</v>
      </c>
      <c r="AK19" s="190">
        <v>0</v>
      </c>
      <c r="AL19" s="190">
        <v>0</v>
      </c>
      <c r="AM19" s="190">
        <v>0</v>
      </c>
      <c r="AN19" s="190">
        <v>0</v>
      </c>
      <c r="AO19" s="190">
        <v>0</v>
      </c>
      <c r="AP19" s="190">
        <v>0</v>
      </c>
      <c r="AQ19" s="190">
        <v>0</v>
      </c>
      <c r="AR19" s="190"/>
      <c r="AS19" s="190"/>
      <c r="AT19" s="190"/>
      <c r="AU19" s="190"/>
      <c r="AV19" s="190"/>
      <c r="AW19" s="190"/>
      <c r="AX19" s="190"/>
      <c r="AY19" s="190"/>
      <c r="AZ19" s="190"/>
      <c r="BA19" s="190"/>
      <c r="BB19" s="190"/>
      <c r="BC19" s="190"/>
      <c r="BD19" s="190"/>
      <c r="BE19" s="190"/>
      <c r="BF19" s="190"/>
      <c r="BG19" s="190"/>
      <c r="BH19" s="190"/>
      <c r="BI19" s="190"/>
      <c r="BJ19" s="190"/>
      <c r="BK19" s="190"/>
      <c r="BL19" s="190"/>
      <c r="BM19" s="190"/>
      <c r="BN19" s="190"/>
      <c r="BO19" s="190"/>
      <c r="BP19" s="190"/>
      <c r="BQ19" s="190"/>
      <c r="BR19" s="190"/>
      <c r="BS19" s="190"/>
      <c r="BT19" s="190"/>
      <c r="BU19" s="190"/>
      <c r="BV19" s="190"/>
      <c r="BW19" s="190"/>
      <c r="BX19" s="190"/>
      <c r="BY19" s="190"/>
      <c r="BZ19" s="190"/>
      <c r="CA19" s="190"/>
      <c r="CB19" s="190"/>
      <c r="CC19" s="190"/>
      <c r="CD19" s="190"/>
      <c r="CE19" s="190"/>
      <c r="CF19" s="190"/>
      <c r="CG19" s="190"/>
      <c r="CH19" s="190"/>
      <c r="CI19" s="190"/>
      <c r="CJ19" s="190"/>
      <c r="CK19" s="190"/>
      <c r="CL19" s="190"/>
    </row>
    <row r="20" spans="1:90" x14ac:dyDescent="0.25">
      <c r="A20" s="20" t="s">
        <v>12</v>
      </c>
      <c r="B20" s="26"/>
      <c r="C20" s="26"/>
      <c r="D20" s="26"/>
      <c r="E20" s="26"/>
      <c r="F20" s="26"/>
      <c r="G20" s="26"/>
      <c r="H20" s="26"/>
      <c r="I20" s="26"/>
      <c r="J20" s="26"/>
      <c r="K20" s="26"/>
      <c r="L20" s="23"/>
      <c r="M20" s="13"/>
      <c r="N20" s="13"/>
    </row>
    <row r="21" spans="1:90" x14ac:dyDescent="0.25">
      <c r="A21" s="20" t="s">
        <v>80</v>
      </c>
      <c r="B21" s="26"/>
      <c r="C21" s="26"/>
      <c r="D21" s="26"/>
      <c r="E21" s="26"/>
      <c r="F21" s="26"/>
      <c r="G21" s="26"/>
      <c r="H21" s="26"/>
      <c r="I21" s="26"/>
      <c r="J21" s="26"/>
      <c r="K21" s="26"/>
      <c r="L21" s="23"/>
      <c r="M21" s="13"/>
      <c r="N21" s="13"/>
    </row>
    <row r="22" spans="1:90" x14ac:dyDescent="0.25">
      <c r="A22" s="17" t="s">
        <v>14</v>
      </c>
      <c r="B22" s="190">
        <v>2091940</v>
      </c>
      <c r="C22" s="190">
        <v>12188750.060000001</v>
      </c>
      <c r="D22" s="190">
        <v>12253833.02</v>
      </c>
      <c r="E22" s="190">
        <v>3849740</v>
      </c>
      <c r="F22" s="190">
        <v>2270355</v>
      </c>
      <c r="G22" s="190">
        <v>410000</v>
      </c>
      <c r="H22" s="190">
        <v>260000</v>
      </c>
      <c r="I22" s="190">
        <v>1745397.86</v>
      </c>
      <c r="J22" s="190">
        <v>1670538.45</v>
      </c>
      <c r="K22" s="190">
        <v>1901931.76</v>
      </c>
      <c r="L22" s="190">
        <v>1621023.8</v>
      </c>
      <c r="M22" s="190">
        <v>1172800</v>
      </c>
      <c r="N22" s="190">
        <v>960000</v>
      </c>
      <c r="O22" s="190">
        <v>642464.94999999995</v>
      </c>
      <c r="P22" s="190">
        <v>714615.16</v>
      </c>
      <c r="Q22" s="190">
        <v>989915.78</v>
      </c>
      <c r="R22" s="190">
        <v>1037190.86</v>
      </c>
      <c r="S22" s="190">
        <v>3400644.27</v>
      </c>
      <c r="T22" s="190">
        <v>2306793.2999999998</v>
      </c>
      <c r="U22" s="190">
        <v>1548416.19</v>
      </c>
      <c r="V22" s="190">
        <v>6040809</v>
      </c>
      <c r="W22" s="190">
        <v>564541.11</v>
      </c>
      <c r="X22" s="190">
        <v>1149010.01</v>
      </c>
      <c r="Y22" s="190">
        <v>270236.12</v>
      </c>
      <c r="Z22" s="190">
        <v>409012.88</v>
      </c>
      <c r="AA22" s="190">
        <v>105891.24</v>
      </c>
      <c r="AB22" s="190">
        <v>775288.63</v>
      </c>
      <c r="AC22" s="190">
        <v>193838.98</v>
      </c>
      <c r="AD22" s="190">
        <v>79436.14</v>
      </c>
      <c r="AE22" s="190">
        <v>409616.21</v>
      </c>
      <c r="AF22" s="190">
        <v>4603722.82</v>
      </c>
      <c r="AG22" s="190">
        <v>11958225.689999999</v>
      </c>
      <c r="AH22" s="190">
        <v>0</v>
      </c>
      <c r="AI22" s="190">
        <v>513410.17</v>
      </c>
      <c r="AJ22" s="190">
        <v>572196.31999999995</v>
      </c>
      <c r="AK22" s="190">
        <v>2245820.88</v>
      </c>
      <c r="AL22" s="190">
        <v>661669.98</v>
      </c>
      <c r="AM22" s="190">
        <v>636142.48</v>
      </c>
      <c r="AN22" s="190">
        <v>649386.37</v>
      </c>
      <c r="AO22" s="190">
        <v>0</v>
      </c>
      <c r="AP22" s="190">
        <v>0</v>
      </c>
      <c r="AQ22" s="190">
        <v>0</v>
      </c>
      <c r="AR22" s="190"/>
      <c r="AS22" s="190"/>
      <c r="AT22" s="190"/>
      <c r="AU22" s="190"/>
      <c r="AV22" s="190"/>
      <c r="AW22" s="190"/>
      <c r="AX22" s="190"/>
      <c r="AY22" s="190"/>
      <c r="AZ22" s="190"/>
      <c r="BA22" s="190"/>
      <c r="BB22" s="190"/>
      <c r="BC22" s="190"/>
      <c r="BD22" s="190"/>
      <c r="BE22" s="190"/>
      <c r="BF22" s="190"/>
      <c r="BG22" s="190"/>
      <c r="BH22" s="190"/>
      <c r="BI22" s="190"/>
      <c r="BJ22" s="190"/>
      <c r="BK22" s="190"/>
      <c r="BL22" s="190"/>
      <c r="BM22" s="190"/>
      <c r="BN22" s="190"/>
      <c r="BO22" s="190"/>
      <c r="BP22" s="190"/>
      <c r="BQ22" s="190"/>
      <c r="BR22" s="190"/>
      <c r="BS22" s="190"/>
      <c r="BT22" s="190"/>
      <c r="BU22" s="190"/>
      <c r="BV22" s="190"/>
      <c r="BW22" s="190"/>
      <c r="BX22" s="190"/>
      <c r="BY22" s="190"/>
      <c r="BZ22" s="190"/>
      <c r="CA22" s="190"/>
      <c r="CB22" s="190"/>
      <c r="CC22" s="190"/>
      <c r="CD22" s="190"/>
      <c r="CE22" s="190"/>
      <c r="CF22" s="190"/>
      <c r="CG22" s="190"/>
      <c r="CH22" s="190"/>
      <c r="CI22" s="190"/>
      <c r="CJ22" s="190"/>
      <c r="CK22" s="190"/>
      <c r="CL22" s="190"/>
    </row>
    <row r="23" spans="1:90" x14ac:dyDescent="0.25">
      <c r="A23" s="17" t="s">
        <v>15</v>
      </c>
      <c r="B23" s="190">
        <v>580853983.89999998</v>
      </c>
      <c r="C23" s="190">
        <v>438138467.91000003</v>
      </c>
      <c r="D23" s="190">
        <v>460113507.56</v>
      </c>
      <c r="E23" s="190">
        <v>480808686.57999998</v>
      </c>
      <c r="F23" s="190">
        <v>445741889.49000001</v>
      </c>
      <c r="G23" s="190">
        <v>382694965.16000003</v>
      </c>
      <c r="H23" s="190">
        <v>398118229.81</v>
      </c>
      <c r="I23" s="190">
        <v>292689716.82999998</v>
      </c>
      <c r="J23" s="190">
        <v>330087803.26999998</v>
      </c>
      <c r="K23" s="190">
        <v>298798072.86000001</v>
      </c>
      <c r="L23" s="190">
        <v>338224879.04000002</v>
      </c>
      <c r="M23" s="190">
        <v>268050567.55000001</v>
      </c>
      <c r="N23" s="190">
        <v>240127970.28999999</v>
      </c>
      <c r="O23" s="190">
        <v>221055510.58000001</v>
      </c>
      <c r="P23" s="190">
        <v>180887944.47</v>
      </c>
      <c r="Q23" s="190">
        <v>156591378.72</v>
      </c>
      <c r="R23" s="190">
        <v>152840645.81999999</v>
      </c>
      <c r="S23" s="190">
        <v>134532205.19</v>
      </c>
      <c r="T23" s="190">
        <v>130972515.98</v>
      </c>
      <c r="U23" s="190">
        <v>132063513.7</v>
      </c>
      <c r="V23" s="190">
        <v>124871179.90000001</v>
      </c>
      <c r="W23" s="190">
        <v>141457222.31999999</v>
      </c>
      <c r="X23" s="190">
        <v>163110571.53999999</v>
      </c>
      <c r="Y23" s="190">
        <v>159483692.58000001</v>
      </c>
      <c r="Z23" s="190">
        <v>165683910.00999999</v>
      </c>
      <c r="AA23" s="190">
        <v>115874864.73</v>
      </c>
      <c r="AB23" s="190">
        <v>132265022.66</v>
      </c>
      <c r="AC23" s="190">
        <v>153660489.46000001</v>
      </c>
      <c r="AD23" s="190">
        <v>126832137.70999999</v>
      </c>
      <c r="AE23" s="190">
        <v>84022778.739999995</v>
      </c>
      <c r="AF23" s="190">
        <v>86961545.939999998</v>
      </c>
      <c r="AG23" s="190">
        <v>99426063.010000005</v>
      </c>
      <c r="AH23" s="190">
        <v>75509383.540000007</v>
      </c>
      <c r="AI23" s="190">
        <v>52645021.25</v>
      </c>
      <c r="AJ23" s="190">
        <v>55236444.68</v>
      </c>
      <c r="AK23" s="190">
        <v>66426527.350000001</v>
      </c>
      <c r="AL23" s="190">
        <v>60291407.140000001</v>
      </c>
      <c r="AM23" s="190">
        <v>39063226.340000004</v>
      </c>
      <c r="AN23" s="190">
        <v>38675860.380000003</v>
      </c>
      <c r="AO23" s="190">
        <v>28767328.260000002</v>
      </c>
      <c r="AP23" s="190">
        <v>11045312.02</v>
      </c>
      <c r="AQ23" s="190">
        <v>0</v>
      </c>
      <c r="AR23" s="190"/>
      <c r="AS23" s="190"/>
      <c r="AT23" s="190"/>
      <c r="AU23" s="190"/>
      <c r="AV23" s="190"/>
      <c r="AW23" s="190"/>
      <c r="AX23" s="190"/>
      <c r="AY23" s="190"/>
      <c r="AZ23" s="190"/>
      <c r="BA23" s="190"/>
      <c r="BB23" s="190"/>
      <c r="BC23" s="190"/>
      <c r="BD23" s="190"/>
      <c r="BE23" s="190"/>
      <c r="BF23" s="190"/>
      <c r="BG23" s="190"/>
      <c r="BH23" s="190"/>
      <c r="BI23" s="190"/>
      <c r="BJ23" s="190"/>
      <c r="BK23" s="190"/>
      <c r="BL23" s="190"/>
      <c r="BM23" s="190"/>
      <c r="BN23" s="190"/>
      <c r="BO23" s="190"/>
      <c r="BP23" s="190"/>
      <c r="BQ23" s="190"/>
      <c r="BR23" s="190"/>
      <c r="BS23" s="190"/>
      <c r="BT23" s="190"/>
      <c r="BU23" s="190"/>
      <c r="BV23" s="190"/>
      <c r="BW23" s="190"/>
      <c r="BX23" s="190"/>
      <c r="BY23" s="190"/>
      <c r="BZ23" s="190"/>
      <c r="CA23" s="190"/>
      <c r="CB23" s="190"/>
      <c r="CC23" s="190"/>
      <c r="CD23" s="190"/>
      <c r="CE23" s="190"/>
      <c r="CF23" s="190"/>
      <c r="CG23" s="190"/>
      <c r="CH23" s="190"/>
      <c r="CI23" s="190"/>
      <c r="CJ23" s="190"/>
      <c r="CK23" s="190"/>
      <c r="CL23" s="190"/>
    </row>
    <row r="24" spans="1:90" x14ac:dyDescent="0.25">
      <c r="A24" s="17" t="s">
        <v>16</v>
      </c>
      <c r="B24" s="190">
        <v>157071278.47999999</v>
      </c>
      <c r="C24" s="190">
        <v>132211765.58</v>
      </c>
      <c r="D24" s="190">
        <v>134453571.00999999</v>
      </c>
      <c r="E24" s="190">
        <v>73868976.25</v>
      </c>
      <c r="F24" s="190">
        <v>172279007.19999999</v>
      </c>
      <c r="G24" s="190">
        <v>131829615.06999999</v>
      </c>
      <c r="H24" s="190">
        <v>117784622.39</v>
      </c>
      <c r="I24" s="190">
        <v>100072947.19</v>
      </c>
      <c r="J24" s="190">
        <v>103049985.63</v>
      </c>
      <c r="K24" s="190">
        <v>133853356.81999999</v>
      </c>
      <c r="L24" s="190">
        <v>161630190.78</v>
      </c>
      <c r="M24" s="190">
        <v>103972259.95</v>
      </c>
      <c r="N24" s="190">
        <v>109776822.94</v>
      </c>
      <c r="O24" s="190">
        <v>81482699.400000006</v>
      </c>
      <c r="P24" s="190">
        <v>71800718.560000002</v>
      </c>
      <c r="Q24" s="190">
        <v>44531778.509999998</v>
      </c>
      <c r="R24" s="190">
        <v>49124891.990000002</v>
      </c>
      <c r="S24" s="190">
        <v>49707263.079999998</v>
      </c>
      <c r="T24" s="190">
        <v>41434499.039999999</v>
      </c>
      <c r="U24" s="190">
        <v>40227425.159999996</v>
      </c>
      <c r="V24" s="190">
        <v>54840704.670000002</v>
      </c>
      <c r="W24" s="190">
        <v>75498363.569999993</v>
      </c>
      <c r="X24" s="190">
        <v>66621828.310000002</v>
      </c>
      <c r="Y24" s="190">
        <v>65789624.579999998</v>
      </c>
      <c r="Z24" s="190">
        <v>86594855.659999996</v>
      </c>
      <c r="AA24" s="190">
        <v>100884181.02</v>
      </c>
      <c r="AB24" s="190">
        <v>54122787.810000002</v>
      </c>
      <c r="AC24" s="190">
        <v>40548494.140000001</v>
      </c>
      <c r="AD24" s="190">
        <v>46639715</v>
      </c>
      <c r="AE24" s="190">
        <v>36061124.840000004</v>
      </c>
      <c r="AF24" s="190">
        <v>24205182.16</v>
      </c>
      <c r="AG24" s="190">
        <v>25141448.399999999</v>
      </c>
      <c r="AH24" s="190">
        <v>24313994.920000002</v>
      </c>
      <c r="AI24" s="190">
        <v>17714076.780000001</v>
      </c>
      <c r="AJ24" s="190">
        <v>15301435.41</v>
      </c>
      <c r="AK24" s="190">
        <v>17069909.039999999</v>
      </c>
      <c r="AL24" s="190">
        <v>22248730.899999999</v>
      </c>
      <c r="AM24" s="190">
        <v>15215885.380000001</v>
      </c>
      <c r="AN24" s="190">
        <v>19104243.850000001</v>
      </c>
      <c r="AO24" s="190">
        <v>17911488.699999999</v>
      </c>
      <c r="AP24" s="190">
        <v>13983529.800000001</v>
      </c>
      <c r="AQ24" s="190">
        <v>0</v>
      </c>
      <c r="AR24" s="190"/>
      <c r="AS24" s="190"/>
      <c r="AT24" s="190"/>
      <c r="AU24" s="190"/>
      <c r="AV24" s="190"/>
      <c r="AW24" s="190"/>
      <c r="AX24" s="190"/>
      <c r="AY24" s="190"/>
      <c r="AZ24" s="190"/>
      <c r="BA24" s="190"/>
      <c r="BB24" s="190"/>
      <c r="BC24" s="190"/>
      <c r="BD24" s="190"/>
      <c r="BE24" s="190"/>
      <c r="BF24" s="190"/>
      <c r="BG24" s="190"/>
      <c r="BH24" s="190"/>
      <c r="BI24" s="190"/>
      <c r="BJ24" s="190"/>
      <c r="BK24" s="190"/>
      <c r="BL24" s="190"/>
      <c r="BM24" s="190"/>
      <c r="BN24" s="190"/>
      <c r="BO24" s="190"/>
      <c r="BP24" s="190"/>
      <c r="BQ24" s="190"/>
      <c r="BR24" s="190"/>
      <c r="BS24" s="190"/>
      <c r="BT24" s="190"/>
      <c r="BU24" s="190"/>
      <c r="BV24" s="190"/>
      <c r="BW24" s="190"/>
      <c r="BX24" s="190"/>
      <c r="BY24" s="190"/>
      <c r="BZ24" s="190"/>
      <c r="CA24" s="190"/>
      <c r="CB24" s="190"/>
      <c r="CC24" s="190"/>
      <c r="CD24" s="190"/>
      <c r="CE24" s="190"/>
      <c r="CF24" s="190"/>
      <c r="CG24" s="190"/>
      <c r="CH24" s="190"/>
      <c r="CI24" s="190"/>
      <c r="CJ24" s="190"/>
      <c r="CK24" s="190"/>
      <c r="CL24" s="190"/>
    </row>
    <row r="25" spans="1:90" x14ac:dyDescent="0.25">
      <c r="A25" s="17" t="s">
        <v>17</v>
      </c>
      <c r="B25" s="190">
        <v>72333306.409999996</v>
      </c>
      <c r="C25" s="190">
        <v>60571840.270000003</v>
      </c>
      <c r="D25" s="190">
        <v>63883762.060000002</v>
      </c>
      <c r="E25" s="190">
        <v>54915603.759999998</v>
      </c>
      <c r="F25" s="190">
        <v>83254020.299999997</v>
      </c>
      <c r="G25" s="190">
        <v>83958635.420000002</v>
      </c>
      <c r="H25" s="190">
        <v>102139132.78</v>
      </c>
      <c r="I25" s="190">
        <v>135673836.22999999</v>
      </c>
      <c r="J25" s="190">
        <v>107919476.52</v>
      </c>
      <c r="K25" s="190">
        <v>133934201.04000001</v>
      </c>
      <c r="L25" s="190">
        <v>61009903.200000003</v>
      </c>
      <c r="M25" s="190">
        <v>66982741.729999997</v>
      </c>
      <c r="N25" s="190">
        <v>110849517.84999999</v>
      </c>
      <c r="O25" s="190">
        <v>62287042.759999998</v>
      </c>
      <c r="P25" s="190">
        <v>68114577.540000007</v>
      </c>
      <c r="Q25" s="190">
        <v>58085235.229999997</v>
      </c>
      <c r="R25" s="190">
        <v>24182803.25</v>
      </c>
      <c r="S25" s="190">
        <v>19479590.800000001</v>
      </c>
      <c r="T25" s="190">
        <v>21916426.41</v>
      </c>
      <c r="U25" s="190">
        <v>16440066.15</v>
      </c>
      <c r="V25" s="190">
        <v>22928795.800000001</v>
      </c>
      <c r="W25" s="190">
        <v>31991549.640000001</v>
      </c>
      <c r="X25" s="190">
        <v>35229415.829999998</v>
      </c>
      <c r="Y25" s="190">
        <v>25803231.489999998</v>
      </c>
      <c r="Z25" s="190">
        <v>33648357.420000002</v>
      </c>
      <c r="AA25" s="190">
        <v>23013437.010000002</v>
      </c>
      <c r="AB25" s="190">
        <v>21876070.68</v>
      </c>
      <c r="AC25" s="190">
        <v>16417345.25</v>
      </c>
      <c r="AD25" s="190">
        <v>20371747.120000001</v>
      </c>
      <c r="AE25" s="190">
        <v>15835350.300000001</v>
      </c>
      <c r="AF25" s="190">
        <v>18252320.469999999</v>
      </c>
      <c r="AG25" s="190">
        <v>8972504.1400000006</v>
      </c>
      <c r="AH25" s="190">
        <v>9921024.3599999994</v>
      </c>
      <c r="AI25" s="190">
        <v>7619665.3600000003</v>
      </c>
      <c r="AJ25" s="190">
        <v>7176838.0899999999</v>
      </c>
      <c r="AK25" s="190">
        <v>6090918.6699999999</v>
      </c>
      <c r="AL25" s="190">
        <v>5146872.5</v>
      </c>
      <c r="AM25" s="190">
        <v>6439788.0099999998</v>
      </c>
      <c r="AN25" s="190">
        <v>6630938.0499999998</v>
      </c>
      <c r="AO25" s="190">
        <v>3722592.29</v>
      </c>
      <c r="AP25" s="190">
        <v>6173071.8600000003</v>
      </c>
      <c r="AQ25" s="190">
        <v>0</v>
      </c>
      <c r="AR25" s="190"/>
      <c r="AS25" s="190"/>
      <c r="AT25" s="190"/>
      <c r="AU25" s="190"/>
      <c r="AV25" s="190"/>
      <c r="AW25" s="190"/>
      <c r="AX25" s="190"/>
      <c r="AY25" s="190"/>
      <c r="AZ25" s="190"/>
      <c r="BA25" s="190"/>
      <c r="BB25" s="190"/>
      <c r="BC25" s="190"/>
      <c r="BD25" s="190"/>
      <c r="BE25" s="190"/>
      <c r="BF25" s="190"/>
      <c r="BG25" s="190"/>
      <c r="BH25" s="190"/>
      <c r="BI25" s="190"/>
      <c r="BJ25" s="190"/>
      <c r="BK25" s="190"/>
      <c r="BL25" s="190"/>
      <c r="BM25" s="190"/>
      <c r="BN25" s="190"/>
      <c r="BO25" s="190"/>
      <c r="BP25" s="190"/>
      <c r="BQ25" s="190"/>
      <c r="BR25" s="190"/>
      <c r="BS25" s="190"/>
      <c r="BT25" s="190"/>
      <c r="BU25" s="190"/>
      <c r="BV25" s="190"/>
      <c r="BW25" s="190"/>
      <c r="BX25" s="190"/>
      <c r="BY25" s="190"/>
      <c r="BZ25" s="190"/>
      <c r="CA25" s="190"/>
      <c r="CB25" s="190"/>
      <c r="CC25" s="190"/>
      <c r="CD25" s="190"/>
      <c r="CE25" s="190"/>
      <c r="CF25" s="190"/>
      <c r="CG25" s="190"/>
      <c r="CH25" s="190"/>
      <c r="CI25" s="190"/>
      <c r="CJ25" s="190"/>
      <c r="CK25" s="190"/>
      <c r="CL25" s="190"/>
    </row>
    <row r="26" spans="1:90" x14ac:dyDescent="0.25">
      <c r="A26" s="17" t="s">
        <v>18</v>
      </c>
      <c r="B26" s="190">
        <v>1406649814.5999999</v>
      </c>
      <c r="C26" s="190">
        <v>1277481876.6099999</v>
      </c>
      <c r="D26" s="190">
        <v>1039377680.17</v>
      </c>
      <c r="E26" s="190">
        <v>1006969529.14</v>
      </c>
      <c r="F26" s="190">
        <v>1155240446.72</v>
      </c>
      <c r="G26" s="190">
        <v>1079101133.6400001</v>
      </c>
      <c r="H26" s="190">
        <v>955221936.07000005</v>
      </c>
      <c r="I26" s="190">
        <v>658849754.71000004</v>
      </c>
      <c r="J26" s="190">
        <v>648882684.19000006</v>
      </c>
      <c r="K26" s="190">
        <v>584122349.22000003</v>
      </c>
      <c r="L26" s="190">
        <v>561215080.60000002</v>
      </c>
      <c r="M26" s="190">
        <v>659822679.88999999</v>
      </c>
      <c r="N26" s="190">
        <v>596130321.23000002</v>
      </c>
      <c r="O26" s="190">
        <v>609801140.38999999</v>
      </c>
      <c r="P26" s="190">
        <v>560459480.14999998</v>
      </c>
      <c r="Q26" s="190">
        <v>633174159.28999996</v>
      </c>
      <c r="R26" s="190">
        <v>667486290.90999997</v>
      </c>
      <c r="S26" s="190">
        <v>698269102.41999996</v>
      </c>
      <c r="T26" s="190">
        <v>606326560.25999999</v>
      </c>
      <c r="U26" s="190">
        <v>685201506.19000006</v>
      </c>
      <c r="V26" s="190">
        <v>665815546.09000003</v>
      </c>
      <c r="W26" s="190">
        <v>678268671.26999998</v>
      </c>
      <c r="X26" s="190">
        <v>626612547.63</v>
      </c>
      <c r="Y26" s="190">
        <v>617828802.88</v>
      </c>
      <c r="Z26" s="190">
        <v>684421196.61000001</v>
      </c>
      <c r="AA26" s="190">
        <v>767935065.25999999</v>
      </c>
      <c r="AB26" s="190">
        <v>616708419.55999994</v>
      </c>
      <c r="AC26" s="190">
        <v>517115102.25999999</v>
      </c>
      <c r="AD26" s="190">
        <v>498955231.80000001</v>
      </c>
      <c r="AE26" s="190">
        <v>518664663.74000001</v>
      </c>
      <c r="AF26" s="190">
        <v>433392310.58999997</v>
      </c>
      <c r="AG26" s="190">
        <v>458547043.06999999</v>
      </c>
      <c r="AH26" s="190">
        <v>462790607.91000003</v>
      </c>
      <c r="AI26" s="190">
        <v>392900466.92000002</v>
      </c>
      <c r="AJ26" s="190">
        <v>288797940.39999998</v>
      </c>
      <c r="AK26" s="190">
        <v>260446354.96000001</v>
      </c>
      <c r="AL26" s="190">
        <v>228862805.44999999</v>
      </c>
      <c r="AM26" s="190">
        <v>238414526.06999999</v>
      </c>
      <c r="AN26" s="190">
        <v>212903239.86000001</v>
      </c>
      <c r="AO26" s="190">
        <v>179548764.44</v>
      </c>
      <c r="AP26" s="190">
        <v>151966774.36000001</v>
      </c>
      <c r="AQ26" s="190">
        <v>0</v>
      </c>
      <c r="AR26" s="190"/>
      <c r="AS26" s="190"/>
      <c r="AT26" s="190"/>
      <c r="AU26" s="190"/>
      <c r="AV26" s="190"/>
      <c r="AW26" s="190"/>
      <c r="AX26" s="190"/>
      <c r="AY26" s="190"/>
      <c r="AZ26" s="190"/>
      <c r="BA26" s="190"/>
      <c r="BB26" s="190"/>
      <c r="BC26" s="190"/>
      <c r="BD26" s="190"/>
      <c r="BE26" s="190"/>
      <c r="BF26" s="190"/>
      <c r="BG26" s="190"/>
      <c r="BH26" s="190"/>
      <c r="BI26" s="190"/>
      <c r="BJ26" s="190"/>
      <c r="BK26" s="190"/>
      <c r="BL26" s="190"/>
      <c r="BM26" s="190"/>
      <c r="BN26" s="190"/>
      <c r="BO26" s="190"/>
      <c r="BP26" s="190"/>
      <c r="BQ26" s="190"/>
      <c r="BR26" s="190"/>
      <c r="BS26" s="190"/>
      <c r="BT26" s="190"/>
      <c r="BU26" s="190"/>
      <c r="BV26" s="190"/>
      <c r="BW26" s="190"/>
      <c r="BX26" s="190"/>
      <c r="BY26" s="190"/>
      <c r="BZ26" s="190"/>
      <c r="CA26" s="190"/>
      <c r="CB26" s="190"/>
      <c r="CC26" s="190"/>
      <c r="CD26" s="190"/>
      <c r="CE26" s="190"/>
      <c r="CF26" s="190"/>
      <c r="CG26" s="190"/>
      <c r="CH26" s="190"/>
      <c r="CI26" s="190"/>
      <c r="CJ26" s="190"/>
      <c r="CK26" s="190"/>
      <c r="CL26" s="190"/>
    </row>
    <row r="27" spans="1:90" x14ac:dyDescent="0.25">
      <c r="A27" s="17" t="s">
        <v>19</v>
      </c>
      <c r="B27" s="190">
        <v>814926691.53999996</v>
      </c>
      <c r="C27" s="190">
        <v>916547631.28999996</v>
      </c>
      <c r="D27" s="190">
        <v>1014352444.61</v>
      </c>
      <c r="E27" s="190">
        <v>1095643948.1400001</v>
      </c>
      <c r="F27" s="190">
        <v>925125720.74000001</v>
      </c>
      <c r="G27" s="190">
        <v>593180734.69000006</v>
      </c>
      <c r="H27" s="190">
        <v>637128087.65999997</v>
      </c>
      <c r="I27" s="190">
        <v>584581346.38999999</v>
      </c>
      <c r="J27" s="190">
        <v>813801452.42999995</v>
      </c>
      <c r="K27" s="190">
        <v>775103623.03999996</v>
      </c>
      <c r="L27" s="190">
        <v>746830445.29999995</v>
      </c>
      <c r="M27" s="190">
        <v>767963823.16999996</v>
      </c>
      <c r="N27" s="190">
        <v>506545516.94999999</v>
      </c>
      <c r="O27" s="190">
        <v>568763666.89999998</v>
      </c>
      <c r="P27" s="190">
        <v>803338772.63999999</v>
      </c>
      <c r="Q27" s="190">
        <v>747217859.52999997</v>
      </c>
      <c r="R27" s="190">
        <v>712687015.44000006</v>
      </c>
      <c r="S27" s="190">
        <v>277089955.38</v>
      </c>
      <c r="T27" s="190">
        <v>401756461.29000002</v>
      </c>
      <c r="U27" s="190">
        <v>190540000</v>
      </c>
      <c r="V27" s="190">
        <v>0</v>
      </c>
      <c r="W27" s="190">
        <v>0</v>
      </c>
      <c r="X27" s="190">
        <v>0</v>
      </c>
      <c r="Y27" s="190">
        <v>0</v>
      </c>
      <c r="Z27" s="190">
        <v>0</v>
      </c>
      <c r="AA27" s="190">
        <v>24214750.989999998</v>
      </c>
      <c r="AB27" s="190">
        <v>6661888.6100000003</v>
      </c>
      <c r="AC27" s="190">
        <v>16691542.939999999</v>
      </c>
      <c r="AD27" s="190">
        <v>0</v>
      </c>
      <c r="AE27" s="190">
        <v>0</v>
      </c>
      <c r="AF27" s="190">
        <v>0</v>
      </c>
      <c r="AG27" s="190">
        <v>0</v>
      </c>
      <c r="AH27" s="190">
        <v>0</v>
      </c>
      <c r="AI27" s="190">
        <v>424473.89</v>
      </c>
      <c r="AJ27" s="190">
        <v>477514.43</v>
      </c>
      <c r="AK27" s="190">
        <v>416221.88</v>
      </c>
      <c r="AL27" s="190">
        <v>0</v>
      </c>
      <c r="AM27" s="190">
        <v>0</v>
      </c>
      <c r="AN27" s="190">
        <v>0</v>
      </c>
      <c r="AO27" s="190">
        <v>0</v>
      </c>
      <c r="AP27" s="190">
        <v>0</v>
      </c>
      <c r="AQ27" s="190">
        <v>0</v>
      </c>
      <c r="AR27" s="190"/>
      <c r="AS27" s="190"/>
      <c r="AT27" s="190"/>
      <c r="AU27" s="190"/>
      <c r="AV27" s="190"/>
      <c r="AW27" s="190"/>
      <c r="AX27" s="190"/>
      <c r="AY27" s="190"/>
      <c r="AZ27" s="190"/>
      <c r="BA27" s="190"/>
      <c r="BB27" s="190"/>
      <c r="BC27" s="190"/>
      <c r="BD27" s="190"/>
      <c r="BE27" s="190"/>
      <c r="BF27" s="190"/>
      <c r="BG27" s="190"/>
      <c r="BH27" s="190"/>
      <c r="BI27" s="190"/>
      <c r="BJ27" s="190"/>
      <c r="BK27" s="190"/>
      <c r="BL27" s="190"/>
      <c r="BM27" s="190"/>
      <c r="BN27" s="190"/>
      <c r="BO27" s="190"/>
      <c r="BP27" s="190"/>
      <c r="BQ27" s="190"/>
      <c r="BR27" s="190"/>
      <c r="BS27" s="190"/>
      <c r="BT27" s="190"/>
      <c r="BU27" s="190"/>
      <c r="BV27" s="190"/>
      <c r="BW27" s="190"/>
      <c r="BX27" s="190"/>
      <c r="BY27" s="190"/>
      <c r="BZ27" s="190"/>
      <c r="CA27" s="190"/>
      <c r="CB27" s="190"/>
      <c r="CC27" s="190"/>
      <c r="CD27" s="190"/>
      <c r="CE27" s="190"/>
      <c r="CF27" s="190"/>
      <c r="CG27" s="190"/>
      <c r="CH27" s="190"/>
      <c r="CI27" s="190"/>
      <c r="CJ27" s="190"/>
      <c r="CK27" s="190"/>
      <c r="CL27" s="190"/>
    </row>
    <row r="28" spans="1:90" x14ac:dyDescent="0.25">
      <c r="A28" s="17" t="s">
        <v>76</v>
      </c>
      <c r="B28" s="190">
        <v>0</v>
      </c>
      <c r="C28" s="190">
        <v>0</v>
      </c>
      <c r="D28" s="190">
        <v>0</v>
      </c>
      <c r="E28" s="190">
        <v>0</v>
      </c>
      <c r="F28" s="190">
        <v>0</v>
      </c>
      <c r="G28" s="190">
        <v>0</v>
      </c>
      <c r="H28" s="190">
        <v>0</v>
      </c>
      <c r="I28" s="190">
        <v>0</v>
      </c>
      <c r="J28" s="190">
        <v>0</v>
      </c>
      <c r="K28" s="190">
        <v>0</v>
      </c>
      <c r="L28" s="190">
        <v>0</v>
      </c>
      <c r="M28" s="190">
        <v>0</v>
      </c>
      <c r="N28" s="190">
        <v>0</v>
      </c>
      <c r="O28" s="190">
        <v>0</v>
      </c>
      <c r="P28" s="190">
        <v>0</v>
      </c>
      <c r="Q28" s="190">
        <v>0</v>
      </c>
      <c r="R28" s="190">
        <v>0</v>
      </c>
      <c r="S28" s="190">
        <v>0</v>
      </c>
      <c r="T28" s="190">
        <v>0</v>
      </c>
      <c r="U28" s="190">
        <v>0</v>
      </c>
      <c r="V28" s="190">
        <v>0</v>
      </c>
      <c r="W28" s="190">
        <v>0</v>
      </c>
      <c r="X28" s="190">
        <v>0</v>
      </c>
      <c r="Y28" s="190">
        <v>0</v>
      </c>
      <c r="Z28" s="190">
        <v>0</v>
      </c>
      <c r="AA28" s="190">
        <v>0</v>
      </c>
      <c r="AB28" s="190">
        <v>0</v>
      </c>
      <c r="AC28" s="190">
        <v>0</v>
      </c>
      <c r="AD28" s="190">
        <v>0</v>
      </c>
      <c r="AE28" s="190">
        <v>0</v>
      </c>
      <c r="AF28" s="190">
        <v>0</v>
      </c>
      <c r="AG28" s="190">
        <v>0</v>
      </c>
      <c r="AH28" s="190">
        <v>0</v>
      </c>
      <c r="AI28" s="190">
        <v>0</v>
      </c>
      <c r="AJ28" s="190">
        <v>0</v>
      </c>
      <c r="AK28" s="190">
        <v>0</v>
      </c>
      <c r="AL28" s="190">
        <v>0</v>
      </c>
      <c r="AM28" s="190">
        <v>0</v>
      </c>
      <c r="AN28" s="190">
        <v>0</v>
      </c>
      <c r="AO28" s="190">
        <v>0</v>
      </c>
      <c r="AP28" s="190">
        <v>0</v>
      </c>
      <c r="AQ28" s="190">
        <v>0</v>
      </c>
      <c r="AR28" s="190"/>
      <c r="AS28" s="190"/>
      <c r="AT28" s="190"/>
      <c r="AU28" s="190"/>
      <c r="AV28" s="190"/>
      <c r="AW28" s="190"/>
      <c r="AX28" s="190"/>
      <c r="AY28" s="190"/>
      <c r="AZ28" s="190"/>
      <c r="BA28" s="190"/>
      <c r="BB28" s="190"/>
      <c r="BC28" s="190"/>
      <c r="BD28" s="190"/>
      <c r="BE28" s="190"/>
      <c r="BF28" s="190"/>
      <c r="BG28" s="190"/>
      <c r="BH28" s="190"/>
      <c r="BI28" s="190"/>
      <c r="BJ28" s="190"/>
      <c r="BK28" s="190"/>
      <c r="BL28" s="190"/>
      <c r="BM28" s="190"/>
      <c r="BN28" s="190"/>
      <c r="BO28" s="190"/>
      <c r="BP28" s="190"/>
      <c r="BQ28" s="190"/>
      <c r="BR28" s="190"/>
      <c r="BS28" s="190"/>
      <c r="BT28" s="190"/>
      <c r="BU28" s="190"/>
      <c r="BV28" s="190"/>
      <c r="BW28" s="190"/>
      <c r="BX28" s="190"/>
      <c r="BY28" s="190"/>
      <c r="BZ28" s="190"/>
      <c r="CA28" s="190"/>
      <c r="CB28" s="190"/>
      <c r="CC28" s="190"/>
      <c r="CD28" s="190"/>
      <c r="CE28" s="190"/>
      <c r="CF28" s="190"/>
      <c r="CG28" s="190"/>
      <c r="CH28" s="190"/>
      <c r="CI28" s="190"/>
      <c r="CJ28" s="190"/>
      <c r="CK28" s="190"/>
      <c r="CL28" s="190"/>
    </row>
    <row r="29" spans="1:90" x14ac:dyDescent="0.25">
      <c r="A29" s="17" t="s">
        <v>3</v>
      </c>
      <c r="B29" s="190">
        <v>0</v>
      </c>
      <c r="C29" s="190">
        <v>0</v>
      </c>
      <c r="D29" s="190">
        <v>0</v>
      </c>
      <c r="E29" s="190">
        <v>0</v>
      </c>
      <c r="F29" s="190">
        <v>3874120.96</v>
      </c>
      <c r="G29" s="190">
        <v>3195054.61</v>
      </c>
      <c r="H29" s="190">
        <v>2781023.33</v>
      </c>
      <c r="I29" s="190">
        <v>3478020.4</v>
      </c>
      <c r="J29" s="190">
        <v>2516777.67</v>
      </c>
      <c r="K29" s="190">
        <v>2516777.67</v>
      </c>
      <c r="L29" s="190">
        <v>2588453.7000000002</v>
      </c>
      <c r="M29" s="190">
        <v>2588453.7000000002</v>
      </c>
      <c r="N29" s="190">
        <v>0</v>
      </c>
      <c r="O29" s="190">
        <v>0</v>
      </c>
      <c r="P29" s="190">
        <v>0</v>
      </c>
      <c r="Q29" s="190">
        <v>1558541.85</v>
      </c>
      <c r="R29" s="190">
        <v>0</v>
      </c>
      <c r="S29" s="190">
        <v>0</v>
      </c>
      <c r="T29" s="190">
        <v>0</v>
      </c>
      <c r="U29" s="190">
        <v>866475.09</v>
      </c>
      <c r="V29" s="190">
        <v>0</v>
      </c>
      <c r="W29" s="190">
        <v>0</v>
      </c>
      <c r="X29" s="190">
        <v>0</v>
      </c>
      <c r="Y29" s="190">
        <v>0</v>
      </c>
      <c r="Z29" s="190">
        <v>0</v>
      </c>
      <c r="AA29" s="190">
        <v>0</v>
      </c>
      <c r="AB29" s="190">
        <v>0</v>
      </c>
      <c r="AC29" s="190">
        <v>0</v>
      </c>
      <c r="AD29" s="190">
        <v>0</v>
      </c>
      <c r="AE29" s="190">
        <v>0</v>
      </c>
      <c r="AF29" s="190">
        <v>0</v>
      </c>
      <c r="AG29" s="190">
        <v>0</v>
      </c>
      <c r="AH29" s="190">
        <v>0</v>
      </c>
      <c r="AI29" s="190">
        <v>0</v>
      </c>
      <c r="AJ29" s="190">
        <v>0</v>
      </c>
      <c r="AK29" s="190">
        <v>0</v>
      </c>
      <c r="AL29" s="190">
        <v>0</v>
      </c>
      <c r="AM29" s="190">
        <v>0</v>
      </c>
      <c r="AN29" s="190">
        <v>0</v>
      </c>
      <c r="AO29" s="190">
        <v>0</v>
      </c>
      <c r="AP29" s="190">
        <v>0</v>
      </c>
      <c r="AQ29" s="190">
        <v>0</v>
      </c>
      <c r="AR29" s="190"/>
      <c r="AS29" s="190"/>
      <c r="AT29" s="190"/>
      <c r="AU29" s="190"/>
      <c r="AV29" s="190"/>
      <c r="AW29" s="190"/>
      <c r="AX29" s="190"/>
      <c r="AY29" s="190"/>
      <c r="AZ29" s="190"/>
      <c r="BA29" s="190"/>
      <c r="BB29" s="190"/>
      <c r="BC29" s="190"/>
      <c r="BD29" s="190"/>
      <c r="BE29" s="190"/>
      <c r="BF29" s="190"/>
      <c r="BG29" s="190"/>
      <c r="BH29" s="190"/>
      <c r="BI29" s="190"/>
      <c r="BJ29" s="190"/>
      <c r="BK29" s="190"/>
      <c r="BL29" s="190"/>
      <c r="BM29" s="190"/>
      <c r="BN29" s="190"/>
      <c r="BO29" s="190"/>
      <c r="BP29" s="190"/>
      <c r="BQ29" s="190"/>
      <c r="BR29" s="190"/>
      <c r="BS29" s="190"/>
      <c r="BT29" s="190"/>
      <c r="BU29" s="190"/>
      <c r="BV29" s="190"/>
      <c r="BW29" s="190"/>
      <c r="BX29" s="190"/>
      <c r="BY29" s="190"/>
      <c r="BZ29" s="190"/>
      <c r="CA29" s="190"/>
      <c r="CB29" s="190"/>
      <c r="CC29" s="190"/>
      <c r="CD29" s="190"/>
      <c r="CE29" s="190"/>
      <c r="CF29" s="190"/>
      <c r="CG29" s="190"/>
      <c r="CH29" s="190"/>
      <c r="CI29" s="190"/>
      <c r="CJ29" s="190"/>
      <c r="CK29" s="190"/>
      <c r="CL29" s="190"/>
    </row>
    <row r="30" spans="1:90" hidden="1" x14ac:dyDescent="0.25">
      <c r="B30" s="26"/>
      <c r="C30" s="26"/>
      <c r="D30" s="26"/>
      <c r="E30" s="26"/>
      <c r="F30" s="26"/>
      <c r="G30" s="26"/>
      <c r="H30" s="26"/>
      <c r="I30" s="26"/>
      <c r="J30" s="26"/>
      <c r="K30" s="26"/>
      <c r="L30" s="23"/>
    </row>
    <row r="31" spans="1:90" hidden="1" x14ac:dyDescent="0.25">
      <c r="B31" s="26"/>
      <c r="C31" s="26"/>
      <c r="D31" s="26"/>
      <c r="E31" s="26"/>
      <c r="F31" s="26"/>
      <c r="G31" s="26"/>
      <c r="H31" s="26"/>
      <c r="I31" s="26"/>
      <c r="J31" s="26"/>
      <c r="K31" s="26"/>
      <c r="L31" s="23"/>
    </row>
    <row r="32" spans="1:90" hidden="1" x14ac:dyDescent="0.25">
      <c r="B32" s="26"/>
      <c r="C32" s="26"/>
      <c r="D32" s="26"/>
      <c r="E32" s="26"/>
      <c r="F32" s="26"/>
      <c r="G32" s="26"/>
      <c r="H32" s="26"/>
      <c r="I32" s="26"/>
      <c r="J32" s="26"/>
      <c r="K32" s="26"/>
      <c r="L32" s="23"/>
    </row>
    <row r="33" spans="1:90" s="10" customFormat="1" x14ac:dyDescent="0.25">
      <c r="A33" s="123" t="s">
        <v>20</v>
      </c>
      <c r="B33" s="35">
        <f>SUM(B22:B29)</f>
        <v>3033927014.9299998</v>
      </c>
      <c r="C33" s="35">
        <f t="shared" ref="C33:BN33" si="2">SUM(C22:C29)</f>
        <v>2837140331.7199998</v>
      </c>
      <c r="D33" s="35">
        <f t="shared" si="2"/>
        <v>2724434798.4299998</v>
      </c>
      <c r="E33" s="35">
        <f t="shared" si="2"/>
        <v>2716056483.8699999</v>
      </c>
      <c r="F33" s="35">
        <f t="shared" si="2"/>
        <v>2787785560.4099998</v>
      </c>
      <c r="G33" s="35">
        <f t="shared" si="2"/>
        <v>2274370138.5900002</v>
      </c>
      <c r="H33" s="35">
        <f t="shared" si="2"/>
        <v>2213433032.04</v>
      </c>
      <c r="I33" s="35">
        <f t="shared" si="2"/>
        <v>1777091019.6100001</v>
      </c>
      <c r="J33" s="35">
        <f t="shared" si="2"/>
        <v>2007928718.1599998</v>
      </c>
      <c r="K33" s="35">
        <f t="shared" si="2"/>
        <v>1930230312.4100001</v>
      </c>
      <c r="L33" s="35">
        <f t="shared" si="2"/>
        <v>1873119976.4200001</v>
      </c>
      <c r="M33" s="35">
        <f t="shared" si="2"/>
        <v>1870553325.99</v>
      </c>
      <c r="N33" s="35">
        <f t="shared" si="2"/>
        <v>1564390149.26</v>
      </c>
      <c r="O33" s="35">
        <f t="shared" si="2"/>
        <v>1544032524.98</v>
      </c>
      <c r="P33" s="35">
        <f t="shared" si="2"/>
        <v>1685316108.52</v>
      </c>
      <c r="Q33" s="35">
        <f t="shared" si="2"/>
        <v>1642148868.9099998</v>
      </c>
      <c r="R33" s="35">
        <f t="shared" si="2"/>
        <v>1607358838.27</v>
      </c>
      <c r="S33" s="35">
        <f t="shared" si="2"/>
        <v>1182478761.1399999</v>
      </c>
      <c r="T33" s="35">
        <f t="shared" si="2"/>
        <v>1204713256.28</v>
      </c>
      <c r="U33" s="35">
        <f t="shared" si="2"/>
        <v>1066887402.4800001</v>
      </c>
      <c r="V33" s="35">
        <f t="shared" si="2"/>
        <v>874497035.46000004</v>
      </c>
      <c r="W33" s="35">
        <f t="shared" si="2"/>
        <v>927780347.90999997</v>
      </c>
      <c r="X33" s="35">
        <f t="shared" si="2"/>
        <v>892723373.31999993</v>
      </c>
      <c r="Y33" s="35">
        <f t="shared" si="2"/>
        <v>869175587.6500001</v>
      </c>
      <c r="Z33" s="35">
        <f t="shared" si="2"/>
        <v>970757332.57999992</v>
      </c>
      <c r="AA33" s="35">
        <f t="shared" si="2"/>
        <v>1032028190.25</v>
      </c>
      <c r="AB33" s="35">
        <f t="shared" si="2"/>
        <v>832409477.94999993</v>
      </c>
      <c r="AC33" s="35">
        <f t="shared" si="2"/>
        <v>744626813.02999997</v>
      </c>
      <c r="AD33" s="35">
        <f t="shared" si="2"/>
        <v>692878267.76999998</v>
      </c>
      <c r="AE33" s="35">
        <f t="shared" si="2"/>
        <v>654993533.83000004</v>
      </c>
      <c r="AF33" s="35">
        <f t="shared" si="2"/>
        <v>567415081.98000002</v>
      </c>
      <c r="AG33" s="35">
        <f t="shared" si="2"/>
        <v>604045284.30999994</v>
      </c>
      <c r="AH33" s="35">
        <f t="shared" si="2"/>
        <v>572535010.73000002</v>
      </c>
      <c r="AI33" s="35">
        <f t="shared" si="2"/>
        <v>471817114.37</v>
      </c>
      <c r="AJ33" s="35">
        <f t="shared" si="2"/>
        <v>367562369.32999998</v>
      </c>
      <c r="AK33" s="35">
        <f t="shared" si="2"/>
        <v>352695752.78000003</v>
      </c>
      <c r="AL33" s="35">
        <f t="shared" si="2"/>
        <v>317211485.96999997</v>
      </c>
      <c r="AM33" s="35">
        <f t="shared" si="2"/>
        <v>299769568.27999997</v>
      </c>
      <c r="AN33" s="35">
        <f t="shared" si="2"/>
        <v>277963668.50999999</v>
      </c>
      <c r="AO33" s="35">
        <f t="shared" si="2"/>
        <v>229950173.69</v>
      </c>
      <c r="AP33" s="35">
        <f t="shared" si="2"/>
        <v>183168688.04000002</v>
      </c>
      <c r="AQ33" s="35">
        <f t="shared" si="2"/>
        <v>0</v>
      </c>
      <c r="AR33" s="35">
        <f t="shared" si="2"/>
        <v>0</v>
      </c>
      <c r="AS33" s="35">
        <f t="shared" si="2"/>
        <v>0</v>
      </c>
      <c r="AT33" s="35">
        <f t="shared" si="2"/>
        <v>0</v>
      </c>
      <c r="AU33" s="35">
        <f t="shared" si="2"/>
        <v>0</v>
      </c>
      <c r="AV33" s="35">
        <f t="shared" si="2"/>
        <v>0</v>
      </c>
      <c r="AW33" s="35">
        <f t="shared" si="2"/>
        <v>0</v>
      </c>
      <c r="AX33" s="35">
        <f t="shared" si="2"/>
        <v>0</v>
      </c>
      <c r="AY33" s="35">
        <f t="shared" si="2"/>
        <v>0</v>
      </c>
      <c r="AZ33" s="35">
        <f t="shared" si="2"/>
        <v>0</v>
      </c>
      <c r="BA33" s="35">
        <f t="shared" si="2"/>
        <v>0</v>
      </c>
      <c r="BB33" s="35">
        <f t="shared" si="2"/>
        <v>0</v>
      </c>
      <c r="BC33" s="35">
        <f t="shared" si="2"/>
        <v>0</v>
      </c>
      <c r="BD33" s="35">
        <f t="shared" si="2"/>
        <v>0</v>
      </c>
      <c r="BE33" s="35">
        <f t="shared" si="2"/>
        <v>0</v>
      </c>
      <c r="BF33" s="35">
        <f t="shared" si="2"/>
        <v>0</v>
      </c>
      <c r="BG33" s="35">
        <f t="shared" si="2"/>
        <v>0</v>
      </c>
      <c r="BH33" s="35">
        <f t="shared" si="2"/>
        <v>0</v>
      </c>
      <c r="BI33" s="35">
        <f t="shared" si="2"/>
        <v>0</v>
      </c>
      <c r="BJ33" s="35">
        <f t="shared" si="2"/>
        <v>0</v>
      </c>
      <c r="BK33" s="35">
        <f t="shared" si="2"/>
        <v>0</v>
      </c>
      <c r="BL33" s="35">
        <f t="shared" si="2"/>
        <v>0</v>
      </c>
      <c r="BM33" s="35">
        <f t="shared" si="2"/>
        <v>0</v>
      </c>
      <c r="BN33" s="35">
        <f t="shared" si="2"/>
        <v>0</v>
      </c>
      <c r="BO33" s="35">
        <f t="shared" ref="BO33:CK33" si="3">SUM(BO22:BO29)</f>
        <v>0</v>
      </c>
      <c r="BP33" s="35">
        <f t="shared" si="3"/>
        <v>0</v>
      </c>
      <c r="BQ33" s="35">
        <f t="shared" si="3"/>
        <v>0</v>
      </c>
      <c r="BR33" s="35">
        <f t="shared" si="3"/>
        <v>0</v>
      </c>
      <c r="BS33" s="35">
        <f t="shared" si="3"/>
        <v>0</v>
      </c>
      <c r="BT33" s="35">
        <f t="shared" si="3"/>
        <v>0</v>
      </c>
      <c r="BU33" s="35">
        <f t="shared" si="3"/>
        <v>0</v>
      </c>
      <c r="BV33" s="35">
        <f t="shared" si="3"/>
        <v>0</v>
      </c>
      <c r="BW33" s="35">
        <f t="shared" si="3"/>
        <v>0</v>
      </c>
      <c r="BX33" s="35">
        <f t="shared" si="3"/>
        <v>0</v>
      </c>
      <c r="BY33" s="35">
        <f t="shared" si="3"/>
        <v>0</v>
      </c>
      <c r="BZ33" s="35">
        <f t="shared" si="3"/>
        <v>0</v>
      </c>
      <c r="CA33" s="35">
        <f t="shared" si="3"/>
        <v>0</v>
      </c>
      <c r="CB33" s="35">
        <f t="shared" si="3"/>
        <v>0</v>
      </c>
      <c r="CC33" s="35">
        <f t="shared" si="3"/>
        <v>0</v>
      </c>
      <c r="CD33" s="35">
        <f t="shared" si="3"/>
        <v>0</v>
      </c>
      <c r="CE33" s="35">
        <f t="shared" si="3"/>
        <v>0</v>
      </c>
      <c r="CF33" s="35">
        <f t="shared" si="3"/>
        <v>0</v>
      </c>
      <c r="CG33" s="35">
        <f t="shared" si="3"/>
        <v>0</v>
      </c>
      <c r="CH33" s="35">
        <f t="shared" si="3"/>
        <v>0</v>
      </c>
      <c r="CI33" s="35">
        <f t="shared" si="3"/>
        <v>0</v>
      </c>
      <c r="CJ33" s="35">
        <f t="shared" si="3"/>
        <v>0</v>
      </c>
      <c r="CK33" s="35">
        <f t="shared" si="3"/>
        <v>0</v>
      </c>
    </row>
    <row r="34" spans="1:90" s="11" customFormat="1" x14ac:dyDescent="0.25">
      <c r="A34" s="122" t="s">
        <v>82</v>
      </c>
      <c r="B34" s="34"/>
      <c r="C34" s="34"/>
      <c r="D34" s="34"/>
      <c r="E34" s="34"/>
      <c r="F34" s="34"/>
      <c r="G34" s="34"/>
      <c r="H34" s="34"/>
      <c r="I34" s="34"/>
      <c r="J34" s="34"/>
      <c r="K34" s="34"/>
      <c r="L34" s="32"/>
      <c r="M34" s="14"/>
      <c r="N34" s="14"/>
    </row>
    <row r="35" spans="1:90" x14ac:dyDescent="0.25">
      <c r="A35" s="17" t="s">
        <v>21</v>
      </c>
      <c r="B35" s="190">
        <v>0</v>
      </c>
      <c r="C35" s="190">
        <v>84226759.390000001</v>
      </c>
      <c r="D35" s="190">
        <v>76500924.930000007</v>
      </c>
      <c r="E35" s="190">
        <v>78023266.099999994</v>
      </c>
      <c r="F35" s="190">
        <v>72564162.640000001</v>
      </c>
      <c r="G35" s="190">
        <v>73348377.950000003</v>
      </c>
      <c r="H35" s="190">
        <v>61195376.789999999</v>
      </c>
      <c r="I35" s="190">
        <v>50783142.990000002</v>
      </c>
      <c r="J35" s="190">
        <v>60054536.219999999</v>
      </c>
      <c r="K35" s="190">
        <v>37699330.850000001</v>
      </c>
      <c r="L35" s="190">
        <v>50967182.450000003</v>
      </c>
      <c r="M35" s="190">
        <v>15129844.289999999</v>
      </c>
      <c r="N35" s="190">
        <v>61247366.950000003</v>
      </c>
      <c r="O35" s="190">
        <v>51070730.969999999</v>
      </c>
      <c r="P35" s="190">
        <v>40869975.25</v>
      </c>
      <c r="Q35" s="190">
        <v>40077508.780000001</v>
      </c>
      <c r="R35" s="190">
        <v>51659930.859999999</v>
      </c>
      <c r="S35" s="190">
        <v>51032185.659999996</v>
      </c>
      <c r="T35" s="190">
        <v>33940991.850000001</v>
      </c>
      <c r="U35" s="190">
        <v>50244501.109999999</v>
      </c>
      <c r="V35" s="190">
        <v>33982268.030000001</v>
      </c>
      <c r="W35" s="190">
        <v>32067281.440000001</v>
      </c>
      <c r="X35" s="190">
        <v>33988610.57</v>
      </c>
      <c r="Y35" s="190">
        <v>32049651.059999999</v>
      </c>
      <c r="Z35" s="190">
        <v>30591922.75</v>
      </c>
      <c r="AA35" s="190">
        <v>38170116.299999997</v>
      </c>
      <c r="AB35" s="190">
        <v>28615139.530000001</v>
      </c>
      <c r="AC35" s="190">
        <v>34862777.979999997</v>
      </c>
      <c r="AD35" s="190">
        <v>20039063.359999999</v>
      </c>
      <c r="AE35" s="190">
        <v>35145214.579999998</v>
      </c>
      <c r="AF35" s="190">
        <v>16758909.880000001</v>
      </c>
      <c r="AG35" s="190">
        <v>23246829.98</v>
      </c>
      <c r="AH35" s="190">
        <v>16106627.73</v>
      </c>
      <c r="AI35" s="190">
        <v>5804375.8300000001</v>
      </c>
      <c r="AJ35" s="190">
        <v>4787213.41</v>
      </c>
      <c r="AK35" s="190">
        <v>4791876.92</v>
      </c>
      <c r="AL35" s="190">
        <v>26027954.710000001</v>
      </c>
      <c r="AM35" s="190">
        <v>29868093.559999999</v>
      </c>
      <c r="AN35" s="190">
        <v>19168816</v>
      </c>
      <c r="AO35" s="190">
        <v>0</v>
      </c>
      <c r="AP35" s="190">
        <v>0</v>
      </c>
      <c r="AQ35" s="190">
        <v>0</v>
      </c>
      <c r="AR35" s="190"/>
      <c r="AS35" s="190"/>
      <c r="AT35" s="190"/>
      <c r="AU35" s="190"/>
      <c r="AV35" s="190"/>
      <c r="AW35" s="190"/>
      <c r="AX35" s="190"/>
      <c r="AY35" s="190"/>
      <c r="AZ35" s="190"/>
      <c r="BA35" s="190"/>
      <c r="BB35" s="190"/>
      <c r="BC35" s="190"/>
      <c r="BD35" s="190"/>
      <c r="BE35" s="190"/>
      <c r="BF35" s="190"/>
      <c r="BG35" s="190"/>
      <c r="BH35" s="190"/>
      <c r="BI35" s="190"/>
      <c r="BJ35" s="190"/>
      <c r="BK35" s="190"/>
      <c r="BL35" s="190"/>
      <c r="BM35" s="190"/>
      <c r="BN35" s="190"/>
      <c r="BO35" s="190"/>
      <c r="BP35" s="190"/>
      <c r="BQ35" s="190"/>
      <c r="BR35" s="190"/>
      <c r="BS35" s="190"/>
      <c r="BT35" s="190"/>
      <c r="BU35" s="190"/>
      <c r="BV35" s="190"/>
      <c r="BW35" s="190"/>
      <c r="BX35" s="190"/>
      <c r="BY35" s="190"/>
      <c r="BZ35" s="190"/>
      <c r="CA35" s="190"/>
      <c r="CB35" s="190"/>
      <c r="CC35" s="190"/>
      <c r="CD35" s="190"/>
      <c r="CE35" s="190"/>
      <c r="CF35" s="190"/>
      <c r="CG35" s="190"/>
      <c r="CH35" s="190"/>
      <c r="CI35" s="190"/>
      <c r="CJ35" s="190"/>
      <c r="CK35" s="190"/>
      <c r="CL35" s="190"/>
    </row>
    <row r="36" spans="1:90" x14ac:dyDescent="0.25">
      <c r="A36" s="17" t="s">
        <v>22</v>
      </c>
      <c r="B36" s="190">
        <v>0</v>
      </c>
      <c r="C36" s="190">
        <v>492622176.07999998</v>
      </c>
      <c r="D36" s="190">
        <v>425389738.02999997</v>
      </c>
      <c r="E36" s="190">
        <v>416408376.41000003</v>
      </c>
      <c r="F36" s="190">
        <v>467584495.98000002</v>
      </c>
      <c r="G36" s="190">
        <v>408007274.42000002</v>
      </c>
      <c r="H36" s="190">
        <v>369147111.12</v>
      </c>
      <c r="I36" s="190">
        <v>337499520.91000003</v>
      </c>
      <c r="J36" s="190">
        <v>284092374.5</v>
      </c>
      <c r="K36" s="190">
        <v>208422647.28999999</v>
      </c>
      <c r="L36" s="190">
        <v>248861390.71000001</v>
      </c>
      <c r="M36" s="190">
        <v>300605223.86000001</v>
      </c>
      <c r="N36" s="190">
        <v>282071544.69</v>
      </c>
      <c r="O36" s="190">
        <v>270614379.23000002</v>
      </c>
      <c r="P36" s="190">
        <v>179275966.55000001</v>
      </c>
      <c r="Q36" s="190">
        <v>252086816.63999999</v>
      </c>
      <c r="R36" s="190">
        <v>346521310.00999999</v>
      </c>
      <c r="S36" s="190">
        <v>261050690.30000001</v>
      </c>
      <c r="T36" s="190">
        <v>239726079.91999999</v>
      </c>
      <c r="U36" s="190">
        <v>281249128.88999999</v>
      </c>
      <c r="V36" s="190">
        <v>199573936.55000001</v>
      </c>
      <c r="W36" s="190">
        <v>166426948.56999999</v>
      </c>
      <c r="X36" s="190">
        <v>187236688.43000001</v>
      </c>
      <c r="Y36" s="190">
        <v>257643763.53999999</v>
      </c>
      <c r="Z36" s="190">
        <v>264734459.97</v>
      </c>
      <c r="AA36" s="190">
        <v>299308562.82999998</v>
      </c>
      <c r="AB36" s="190">
        <v>274168394.76999998</v>
      </c>
      <c r="AC36" s="190">
        <v>298354085.85000002</v>
      </c>
      <c r="AD36" s="190">
        <v>220005852.24000001</v>
      </c>
      <c r="AE36" s="190">
        <v>200850439.75999999</v>
      </c>
      <c r="AF36" s="190">
        <v>194130373.44</v>
      </c>
      <c r="AG36" s="190">
        <v>268714371.08999997</v>
      </c>
      <c r="AH36" s="190">
        <v>128429378.42</v>
      </c>
      <c r="AI36" s="190">
        <v>117828842.56</v>
      </c>
      <c r="AJ36" s="190">
        <v>82202291.599999994</v>
      </c>
      <c r="AK36" s="190">
        <v>94609888.870000005</v>
      </c>
      <c r="AL36" s="190">
        <v>62949499.850000001</v>
      </c>
      <c r="AM36" s="190">
        <v>60735366.170000002</v>
      </c>
      <c r="AN36" s="190">
        <v>70897740.730000004</v>
      </c>
      <c r="AO36" s="190">
        <v>55779746.740000002</v>
      </c>
      <c r="AP36" s="190">
        <v>45415547.68</v>
      </c>
      <c r="AQ36" s="190">
        <v>0</v>
      </c>
      <c r="AR36" s="190"/>
      <c r="AS36" s="190"/>
      <c r="AT36" s="190"/>
      <c r="AU36" s="190"/>
      <c r="AV36" s="190"/>
      <c r="AW36" s="190"/>
      <c r="AX36" s="190"/>
      <c r="AY36" s="190"/>
      <c r="AZ36" s="190"/>
      <c r="BA36" s="190"/>
      <c r="BB36" s="190"/>
      <c r="BC36" s="190"/>
      <c r="BD36" s="190"/>
      <c r="BE36" s="190"/>
      <c r="BF36" s="190"/>
      <c r="BG36" s="190"/>
      <c r="BH36" s="190"/>
      <c r="BI36" s="190"/>
      <c r="BJ36" s="190"/>
      <c r="BK36" s="190"/>
      <c r="BL36" s="190"/>
      <c r="BM36" s="190"/>
      <c r="BN36" s="190"/>
      <c r="BO36" s="190"/>
      <c r="BP36" s="190"/>
      <c r="BQ36" s="190"/>
      <c r="BR36" s="190"/>
      <c r="BS36" s="190"/>
      <c r="BT36" s="190"/>
      <c r="BU36" s="190"/>
      <c r="BV36" s="190"/>
      <c r="BW36" s="190"/>
      <c r="BX36" s="190"/>
      <c r="BY36" s="190"/>
      <c r="BZ36" s="190"/>
      <c r="CA36" s="190"/>
      <c r="CB36" s="190"/>
      <c r="CC36" s="190"/>
      <c r="CD36" s="190"/>
      <c r="CE36" s="190"/>
      <c r="CF36" s="190"/>
      <c r="CG36" s="190"/>
      <c r="CH36" s="190"/>
      <c r="CI36" s="190"/>
      <c r="CJ36" s="190"/>
      <c r="CK36" s="190"/>
      <c r="CL36" s="190"/>
    </row>
    <row r="37" spans="1:90" x14ac:dyDescent="0.25">
      <c r="A37" s="17" t="s">
        <v>23</v>
      </c>
      <c r="B37" s="190">
        <v>83278080.769999996</v>
      </c>
      <c r="C37" s="190">
        <v>85489388.390000001</v>
      </c>
      <c r="D37" s="190">
        <v>80754979.599999994</v>
      </c>
      <c r="E37" s="190">
        <v>89406648.530000001</v>
      </c>
      <c r="F37" s="190">
        <v>66724826.969999999</v>
      </c>
      <c r="G37" s="190">
        <v>71419339.900000006</v>
      </c>
      <c r="H37" s="190">
        <v>126694703.09</v>
      </c>
      <c r="I37" s="190">
        <v>109366676.15000001</v>
      </c>
      <c r="J37" s="190">
        <v>108058264.70999999</v>
      </c>
      <c r="K37" s="190">
        <v>109826640.25</v>
      </c>
      <c r="L37" s="190">
        <v>95622000.510000005</v>
      </c>
      <c r="M37" s="190">
        <v>80881599.680000007</v>
      </c>
      <c r="N37" s="190">
        <v>64036596.079999998</v>
      </c>
      <c r="O37" s="190">
        <v>68431755.129999995</v>
      </c>
      <c r="P37" s="190">
        <v>101102031.11</v>
      </c>
      <c r="Q37" s="190">
        <v>86092671.120000005</v>
      </c>
      <c r="R37" s="190">
        <v>45971429.380000003</v>
      </c>
      <c r="S37" s="190">
        <v>53110942.130000003</v>
      </c>
      <c r="T37" s="190">
        <v>74396737.290000007</v>
      </c>
      <c r="U37" s="190">
        <v>74121513.219999999</v>
      </c>
      <c r="V37" s="190">
        <v>54660257.630000003</v>
      </c>
      <c r="W37" s="190">
        <v>43111362.920000002</v>
      </c>
      <c r="X37" s="190">
        <v>66104440.909999996</v>
      </c>
      <c r="Y37" s="190">
        <v>55619716.280000001</v>
      </c>
      <c r="Z37" s="190">
        <v>55302377.479999997</v>
      </c>
      <c r="AA37" s="190">
        <v>53244998.289999999</v>
      </c>
      <c r="AB37" s="190">
        <v>73085304.019999996</v>
      </c>
      <c r="AC37" s="190">
        <v>83410023.870000005</v>
      </c>
      <c r="AD37" s="190">
        <v>64216356.18</v>
      </c>
      <c r="AE37" s="190">
        <v>62080895.219999999</v>
      </c>
      <c r="AF37" s="190">
        <v>86486174.939999998</v>
      </c>
      <c r="AG37" s="190">
        <v>44715330.340000004</v>
      </c>
      <c r="AH37" s="190">
        <v>48447355.82</v>
      </c>
      <c r="AI37" s="190">
        <v>27729649.68</v>
      </c>
      <c r="AJ37" s="190">
        <v>57222327.399999999</v>
      </c>
      <c r="AK37" s="190">
        <v>34172534.549999997</v>
      </c>
      <c r="AL37" s="190">
        <v>24045552.960000001</v>
      </c>
      <c r="AM37" s="190">
        <v>17196785.210000001</v>
      </c>
      <c r="AN37" s="190">
        <v>22351928.379999999</v>
      </c>
      <c r="AO37" s="190">
        <v>14776370.939999999</v>
      </c>
      <c r="AP37" s="190">
        <v>41165866.700000003</v>
      </c>
      <c r="AQ37" s="190">
        <v>0</v>
      </c>
      <c r="AR37" s="190"/>
      <c r="AS37" s="190"/>
      <c r="AT37" s="190"/>
      <c r="AU37" s="190"/>
      <c r="AV37" s="190"/>
      <c r="AW37" s="190"/>
      <c r="AX37" s="190"/>
      <c r="AY37" s="190"/>
      <c r="AZ37" s="190"/>
      <c r="BA37" s="190"/>
      <c r="BB37" s="190"/>
      <c r="BC37" s="190"/>
      <c r="BD37" s="190"/>
      <c r="BE37" s="190"/>
      <c r="BF37" s="190"/>
      <c r="BG37" s="190"/>
      <c r="BH37" s="190"/>
      <c r="BI37" s="190"/>
      <c r="BJ37" s="190"/>
      <c r="BK37" s="190"/>
      <c r="BL37" s="190"/>
      <c r="BM37" s="190"/>
      <c r="BN37" s="190"/>
      <c r="BO37" s="190"/>
      <c r="BP37" s="190"/>
      <c r="BQ37" s="190"/>
      <c r="BR37" s="190"/>
      <c r="BS37" s="190"/>
      <c r="BT37" s="190"/>
      <c r="BU37" s="190"/>
      <c r="BV37" s="190"/>
      <c r="BW37" s="190"/>
      <c r="BX37" s="190"/>
      <c r="BY37" s="190"/>
      <c r="BZ37" s="190"/>
      <c r="CA37" s="190"/>
      <c r="CB37" s="190"/>
      <c r="CC37" s="190"/>
      <c r="CD37" s="190"/>
      <c r="CE37" s="190"/>
      <c r="CF37" s="190"/>
      <c r="CG37" s="190"/>
      <c r="CH37" s="190"/>
      <c r="CI37" s="190"/>
      <c r="CJ37" s="190"/>
      <c r="CK37" s="190"/>
      <c r="CL37" s="190"/>
    </row>
    <row r="38" spans="1:90" x14ac:dyDescent="0.25">
      <c r="A38" s="17" t="s">
        <v>24</v>
      </c>
      <c r="B38" s="190">
        <v>0</v>
      </c>
      <c r="C38" s="190">
        <v>0</v>
      </c>
      <c r="D38" s="190">
        <v>0</v>
      </c>
      <c r="E38" s="190">
        <v>0</v>
      </c>
      <c r="F38" s="190">
        <v>0</v>
      </c>
      <c r="G38" s="190">
        <v>0</v>
      </c>
      <c r="H38" s="190">
        <v>0</v>
      </c>
      <c r="I38" s="190">
        <v>0</v>
      </c>
      <c r="J38" s="190">
        <v>0</v>
      </c>
      <c r="K38" s="190">
        <v>0</v>
      </c>
      <c r="L38" s="190">
        <v>0</v>
      </c>
      <c r="M38" s="190">
        <v>0</v>
      </c>
      <c r="N38" s="190">
        <v>0</v>
      </c>
      <c r="O38" s="190">
        <v>0</v>
      </c>
      <c r="P38" s="190">
        <v>0</v>
      </c>
      <c r="Q38" s="190">
        <v>0</v>
      </c>
      <c r="R38" s="190">
        <v>0</v>
      </c>
      <c r="S38" s="190">
        <v>0</v>
      </c>
      <c r="T38" s="190">
        <v>0</v>
      </c>
      <c r="U38" s="190">
        <v>0</v>
      </c>
      <c r="V38" s="190">
        <v>0</v>
      </c>
      <c r="W38" s="190">
        <v>0</v>
      </c>
      <c r="X38" s="190">
        <v>0</v>
      </c>
      <c r="Y38" s="190">
        <v>0</v>
      </c>
      <c r="Z38" s="190">
        <v>0</v>
      </c>
      <c r="AA38" s="190">
        <v>0</v>
      </c>
      <c r="AB38" s="190">
        <v>0</v>
      </c>
      <c r="AC38" s="190">
        <v>0</v>
      </c>
      <c r="AD38" s="190">
        <v>0</v>
      </c>
      <c r="AE38" s="190">
        <v>0</v>
      </c>
      <c r="AF38" s="190">
        <v>0</v>
      </c>
      <c r="AG38" s="190">
        <v>0</v>
      </c>
      <c r="AH38" s="190">
        <v>0</v>
      </c>
      <c r="AI38" s="190">
        <v>0</v>
      </c>
      <c r="AJ38" s="190">
        <v>0</v>
      </c>
      <c r="AK38" s="190">
        <v>0</v>
      </c>
      <c r="AL38" s="190">
        <v>0</v>
      </c>
      <c r="AM38" s="190">
        <v>0</v>
      </c>
      <c r="AN38" s="190">
        <v>0</v>
      </c>
      <c r="AO38" s="190">
        <v>0</v>
      </c>
      <c r="AP38" s="190">
        <v>0</v>
      </c>
      <c r="AQ38" s="190">
        <v>0</v>
      </c>
      <c r="AR38" s="190"/>
      <c r="AS38" s="190"/>
      <c r="AT38" s="190"/>
      <c r="AU38" s="190"/>
      <c r="AV38" s="190"/>
      <c r="AW38" s="190"/>
      <c r="AX38" s="190"/>
      <c r="AY38" s="190"/>
      <c r="AZ38" s="190"/>
      <c r="BA38" s="190"/>
      <c r="BB38" s="190"/>
      <c r="BC38" s="190"/>
      <c r="BD38" s="190"/>
      <c r="BE38" s="190"/>
      <c r="BF38" s="190"/>
      <c r="BG38" s="190"/>
      <c r="BH38" s="190"/>
      <c r="BI38" s="190"/>
      <c r="BJ38" s="190"/>
      <c r="BK38" s="190"/>
      <c r="BL38" s="190"/>
      <c r="BM38" s="190"/>
      <c r="BN38" s="190"/>
      <c r="BO38" s="190"/>
      <c r="BP38" s="190"/>
      <c r="BQ38" s="190"/>
      <c r="BR38" s="190"/>
      <c r="BS38" s="190"/>
      <c r="BT38" s="190"/>
      <c r="BU38" s="190"/>
      <c r="BV38" s="190"/>
      <c r="BW38" s="190"/>
      <c r="BX38" s="190"/>
      <c r="BY38" s="190"/>
      <c r="BZ38" s="190"/>
      <c r="CA38" s="190"/>
      <c r="CB38" s="190"/>
      <c r="CC38" s="190"/>
      <c r="CD38" s="190"/>
      <c r="CE38" s="190"/>
      <c r="CF38" s="190"/>
      <c r="CG38" s="190"/>
      <c r="CH38" s="190"/>
      <c r="CI38" s="190"/>
      <c r="CJ38" s="190"/>
      <c r="CK38" s="190"/>
      <c r="CL38" s="190"/>
    </row>
    <row r="39" spans="1:90" x14ac:dyDescent="0.25">
      <c r="A39" s="17" t="s">
        <v>25</v>
      </c>
      <c r="B39" s="190">
        <v>104130213.66</v>
      </c>
      <c r="C39" s="190">
        <v>97147973.239999995</v>
      </c>
      <c r="D39" s="190">
        <v>93912128.540000007</v>
      </c>
      <c r="E39" s="190">
        <v>135547115.13</v>
      </c>
      <c r="F39" s="190">
        <v>100544218.75</v>
      </c>
      <c r="G39" s="190">
        <v>93461848.829999998</v>
      </c>
      <c r="H39" s="190">
        <v>86808048.439999998</v>
      </c>
      <c r="I39" s="190">
        <v>80932813</v>
      </c>
      <c r="J39" s="190">
        <v>68768972.730000004</v>
      </c>
      <c r="K39" s="190">
        <v>55714609.840000004</v>
      </c>
      <c r="L39" s="190">
        <v>58263035.460000001</v>
      </c>
      <c r="M39" s="190">
        <v>76185233.560000002</v>
      </c>
      <c r="N39" s="190">
        <v>49758768.649999999</v>
      </c>
      <c r="O39" s="190">
        <v>46661668.469999999</v>
      </c>
      <c r="P39" s="190">
        <v>60107491.990000002</v>
      </c>
      <c r="Q39" s="190">
        <v>79111287.549999997</v>
      </c>
      <c r="R39" s="190">
        <v>39617969.299999997</v>
      </c>
      <c r="S39" s="190">
        <v>39278805.990000002</v>
      </c>
      <c r="T39" s="190">
        <v>40689188.799999997</v>
      </c>
      <c r="U39" s="190">
        <v>51711912.359999999</v>
      </c>
      <c r="V39" s="190">
        <v>35628761.850000001</v>
      </c>
      <c r="W39" s="190">
        <v>36679253.609999999</v>
      </c>
      <c r="X39" s="190">
        <v>37666978.210000001</v>
      </c>
      <c r="Y39" s="190">
        <v>38118554.369999997</v>
      </c>
      <c r="Z39" s="190">
        <v>35005535.740000002</v>
      </c>
      <c r="AA39" s="190">
        <v>33044291.079999998</v>
      </c>
      <c r="AB39" s="190">
        <v>44217530.359999999</v>
      </c>
      <c r="AC39" s="190">
        <v>27448505.84</v>
      </c>
      <c r="AD39" s="190">
        <v>32205329.43</v>
      </c>
      <c r="AE39" s="190">
        <v>28266261.68</v>
      </c>
      <c r="AF39" s="190">
        <v>26236854.23</v>
      </c>
      <c r="AG39" s="190">
        <v>26515652.41</v>
      </c>
      <c r="AH39" s="190">
        <v>23367527.800000001</v>
      </c>
      <c r="AI39" s="190">
        <v>23133468.34</v>
      </c>
      <c r="AJ39" s="190">
        <v>22235477.079999998</v>
      </c>
      <c r="AK39" s="190">
        <v>21491475.84</v>
      </c>
      <c r="AL39" s="190">
        <v>18336221.640000001</v>
      </c>
      <c r="AM39" s="190">
        <v>18160939.329999998</v>
      </c>
      <c r="AN39" s="190">
        <v>17922939.960000001</v>
      </c>
      <c r="AO39" s="190">
        <v>11511182.060000001</v>
      </c>
      <c r="AP39" s="190">
        <v>9490197.3499999996</v>
      </c>
      <c r="AQ39" s="190">
        <v>0</v>
      </c>
      <c r="AR39" s="190"/>
      <c r="AS39" s="190"/>
      <c r="AT39" s="190"/>
      <c r="AU39" s="190"/>
      <c r="AV39" s="190"/>
      <c r="AW39" s="190"/>
      <c r="AX39" s="190"/>
      <c r="AY39" s="190"/>
      <c r="AZ39" s="190"/>
      <c r="BA39" s="190"/>
      <c r="BB39" s="190"/>
      <c r="BC39" s="190"/>
      <c r="BD39" s="190"/>
      <c r="BE39" s="190"/>
      <c r="BF39" s="190"/>
      <c r="BG39" s="190"/>
      <c r="BH39" s="190"/>
      <c r="BI39" s="190"/>
      <c r="BJ39" s="190"/>
      <c r="BK39" s="190"/>
      <c r="BL39" s="190"/>
      <c r="BM39" s="190"/>
      <c r="BN39" s="190"/>
      <c r="BO39" s="190"/>
      <c r="BP39" s="190"/>
      <c r="BQ39" s="190"/>
      <c r="BR39" s="190"/>
      <c r="BS39" s="190"/>
      <c r="BT39" s="190"/>
      <c r="BU39" s="190"/>
      <c r="BV39" s="190"/>
      <c r="BW39" s="190"/>
      <c r="BX39" s="190"/>
      <c r="BY39" s="190"/>
      <c r="BZ39" s="190"/>
      <c r="CA39" s="190"/>
      <c r="CB39" s="190"/>
      <c r="CC39" s="190"/>
      <c r="CD39" s="190"/>
      <c r="CE39" s="190"/>
      <c r="CF39" s="190"/>
      <c r="CG39" s="190"/>
      <c r="CH39" s="190"/>
      <c r="CI39" s="190"/>
      <c r="CJ39" s="190"/>
      <c r="CK39" s="190"/>
      <c r="CL39" s="190"/>
    </row>
    <row r="40" spans="1:90" x14ac:dyDescent="0.25">
      <c r="A40" s="17" t="s">
        <v>26</v>
      </c>
      <c r="B40" s="190">
        <v>49256570.710000001</v>
      </c>
      <c r="C40" s="190">
        <v>17783746.57</v>
      </c>
      <c r="D40" s="190">
        <v>60808421.219999999</v>
      </c>
      <c r="E40" s="190">
        <v>131691760.77</v>
      </c>
      <c r="F40" s="190">
        <v>101470001.01000001</v>
      </c>
      <c r="G40" s="190">
        <v>49689860.100000001</v>
      </c>
      <c r="H40" s="190">
        <v>99807050.629999995</v>
      </c>
      <c r="I40" s="190">
        <v>85532965.549999997</v>
      </c>
      <c r="J40" s="190">
        <v>29874534.41</v>
      </c>
      <c r="K40" s="190">
        <v>35734010.189999998</v>
      </c>
      <c r="L40" s="190">
        <v>73108978.579999998</v>
      </c>
      <c r="M40" s="190">
        <v>71462721.680000007</v>
      </c>
      <c r="N40" s="190">
        <v>48669585.399999999</v>
      </c>
      <c r="O40" s="190">
        <v>16038021.939999999</v>
      </c>
      <c r="P40" s="190">
        <v>53331382.43</v>
      </c>
      <c r="Q40" s="190">
        <v>30321686.989999998</v>
      </c>
      <c r="R40" s="190">
        <v>24257149.670000002</v>
      </c>
      <c r="S40" s="190">
        <v>-9157544.9900000002</v>
      </c>
      <c r="T40" s="190">
        <v>41703844.950000003</v>
      </c>
      <c r="U40" s="190">
        <v>-10207223.199999999</v>
      </c>
      <c r="V40" s="190">
        <v>40001809.07</v>
      </c>
      <c r="W40" s="190">
        <v>-21850069.050000001</v>
      </c>
      <c r="X40" s="190">
        <v>44482766.740000002</v>
      </c>
      <c r="Y40" s="190">
        <v>2729424.25</v>
      </c>
      <c r="Z40" s="190">
        <v>53764057.170000002</v>
      </c>
      <c r="AA40" s="190">
        <v>21253800.059999999</v>
      </c>
      <c r="AB40" s="190">
        <v>40855204.450000003</v>
      </c>
      <c r="AC40" s="190">
        <v>12959396.76</v>
      </c>
      <c r="AD40" s="190">
        <v>39239445.759999998</v>
      </c>
      <c r="AE40" s="190">
        <v>-48668986.020000003</v>
      </c>
      <c r="AF40" s="190">
        <v>54805025.219999999</v>
      </c>
      <c r="AG40" s="190">
        <v>2720795.11</v>
      </c>
      <c r="AH40" s="190">
        <v>35918893</v>
      </c>
      <c r="AI40" s="190">
        <v>6870827.6100000003</v>
      </c>
      <c r="AJ40" s="190">
        <v>42105458.289999999</v>
      </c>
      <c r="AK40" s="190">
        <v>30683200.640000001</v>
      </c>
      <c r="AL40" s="190">
        <v>26515087.09</v>
      </c>
      <c r="AM40" s="190">
        <v>-2708796.52</v>
      </c>
      <c r="AN40" s="190">
        <v>8780899.7200000007</v>
      </c>
      <c r="AO40" s="190">
        <v>20337137.77</v>
      </c>
      <c r="AP40" s="190">
        <v>3308743.89</v>
      </c>
      <c r="AQ40" s="190">
        <v>0</v>
      </c>
      <c r="AR40" s="190"/>
      <c r="AS40" s="190"/>
      <c r="AT40" s="190"/>
      <c r="AU40" s="190"/>
      <c r="AV40" s="190"/>
      <c r="AW40" s="190"/>
      <c r="AX40" s="190"/>
      <c r="AY40" s="190"/>
      <c r="AZ40" s="190"/>
      <c r="BA40" s="190"/>
      <c r="BB40" s="190"/>
      <c r="BC40" s="190"/>
      <c r="BD40" s="190"/>
      <c r="BE40" s="190"/>
      <c r="BF40" s="190"/>
      <c r="BG40" s="190"/>
      <c r="BH40" s="190"/>
      <c r="BI40" s="190"/>
      <c r="BJ40" s="190"/>
      <c r="BK40" s="190"/>
      <c r="BL40" s="190"/>
      <c r="BM40" s="190"/>
      <c r="BN40" s="190"/>
      <c r="BO40" s="190"/>
      <c r="BP40" s="190"/>
      <c r="BQ40" s="190"/>
      <c r="BR40" s="190"/>
      <c r="BS40" s="190"/>
      <c r="BT40" s="190"/>
      <c r="BU40" s="190"/>
      <c r="BV40" s="190"/>
      <c r="BW40" s="190"/>
      <c r="BX40" s="190"/>
      <c r="BY40" s="190"/>
      <c r="BZ40" s="190"/>
      <c r="CA40" s="190"/>
      <c r="CB40" s="190"/>
      <c r="CC40" s="190"/>
      <c r="CD40" s="190"/>
      <c r="CE40" s="190"/>
      <c r="CF40" s="190"/>
      <c r="CG40" s="190"/>
      <c r="CH40" s="190"/>
      <c r="CI40" s="190"/>
      <c r="CJ40" s="190"/>
      <c r="CK40" s="190"/>
      <c r="CL40" s="190"/>
    </row>
    <row r="41" spans="1:90" x14ac:dyDescent="0.25">
      <c r="A41" s="17" t="s">
        <v>27</v>
      </c>
      <c r="B41" s="190">
        <v>174174387.56</v>
      </c>
      <c r="C41" s="190">
        <v>267720764.88999999</v>
      </c>
      <c r="D41" s="190">
        <v>183636152.00999999</v>
      </c>
      <c r="E41" s="190">
        <v>155387998.97999999</v>
      </c>
      <c r="F41" s="190">
        <v>167096257.28</v>
      </c>
      <c r="G41" s="190">
        <v>166326681.74000001</v>
      </c>
      <c r="H41" s="190">
        <v>108461313.58</v>
      </c>
      <c r="I41" s="190">
        <v>119459262.78</v>
      </c>
      <c r="J41" s="190">
        <v>129096474.2</v>
      </c>
      <c r="K41" s="190">
        <v>111889529.72</v>
      </c>
      <c r="L41" s="190">
        <v>121785876.54000001</v>
      </c>
      <c r="M41" s="190">
        <v>119385398.15000001</v>
      </c>
      <c r="N41" s="190">
        <v>100043179.77</v>
      </c>
      <c r="O41" s="190">
        <v>96573186.959999993</v>
      </c>
      <c r="P41" s="190">
        <v>104737772.03</v>
      </c>
      <c r="Q41" s="190">
        <v>109431899.19</v>
      </c>
      <c r="R41" s="190">
        <v>58058523.149999999</v>
      </c>
      <c r="S41" s="190">
        <v>54359344.32</v>
      </c>
      <c r="T41" s="190">
        <v>54478386.140000001</v>
      </c>
      <c r="U41" s="190">
        <v>54160633.229999997</v>
      </c>
      <c r="V41" s="190">
        <v>50845067.060000002</v>
      </c>
      <c r="W41" s="190">
        <v>48802486.119999997</v>
      </c>
      <c r="X41" s="190">
        <v>50456499.079999998</v>
      </c>
      <c r="Y41" s="190">
        <v>49101698.909999996</v>
      </c>
      <c r="Z41" s="190">
        <v>57593452.100000001</v>
      </c>
      <c r="AA41" s="190">
        <v>45895756.600000001</v>
      </c>
      <c r="AB41" s="190">
        <v>44705798.020000003</v>
      </c>
      <c r="AC41" s="190">
        <v>36922110.979999997</v>
      </c>
      <c r="AD41" s="190">
        <v>36867844.240000002</v>
      </c>
      <c r="AE41" s="190">
        <v>35010155.009999998</v>
      </c>
      <c r="AF41" s="190">
        <v>30047017.890000001</v>
      </c>
      <c r="AG41" s="190">
        <v>27006431.969999999</v>
      </c>
      <c r="AH41" s="190">
        <v>28097199.600000001</v>
      </c>
      <c r="AI41" s="190">
        <v>32160007.850000001</v>
      </c>
      <c r="AJ41" s="190">
        <v>26460314</v>
      </c>
      <c r="AK41" s="190">
        <v>23631955.23</v>
      </c>
      <c r="AL41" s="190">
        <v>24340520.57</v>
      </c>
      <c r="AM41" s="190">
        <v>17204835.57</v>
      </c>
      <c r="AN41" s="190">
        <v>15642743.189999999</v>
      </c>
      <c r="AO41" s="190">
        <v>14240405.210000001</v>
      </c>
      <c r="AP41" s="190">
        <v>43058601.479999997</v>
      </c>
      <c r="AQ41" s="190">
        <v>0</v>
      </c>
      <c r="AR41" s="190"/>
      <c r="AS41" s="190"/>
      <c r="AT41" s="190"/>
      <c r="AU41" s="190"/>
      <c r="AV41" s="190"/>
      <c r="AW41" s="190"/>
      <c r="AX41" s="190"/>
      <c r="AY41" s="190"/>
      <c r="AZ41" s="190"/>
      <c r="BA41" s="190"/>
      <c r="BB41" s="190"/>
      <c r="BC41" s="190"/>
      <c r="BD41" s="190"/>
      <c r="BE41" s="190"/>
      <c r="BF41" s="190"/>
      <c r="BG41" s="190"/>
      <c r="BH41" s="190"/>
      <c r="BI41" s="190"/>
      <c r="BJ41" s="190"/>
      <c r="BK41" s="190"/>
      <c r="BL41" s="190"/>
      <c r="BM41" s="190"/>
      <c r="BN41" s="190"/>
      <c r="BO41" s="190"/>
      <c r="BP41" s="190"/>
      <c r="BQ41" s="190"/>
      <c r="BR41" s="190"/>
      <c r="BS41" s="190"/>
      <c r="BT41" s="190"/>
      <c r="BU41" s="190"/>
      <c r="BV41" s="190"/>
      <c r="BW41" s="190"/>
      <c r="BX41" s="190"/>
      <c r="BY41" s="190"/>
      <c r="BZ41" s="190"/>
      <c r="CA41" s="190"/>
      <c r="CB41" s="190"/>
      <c r="CC41" s="190"/>
      <c r="CD41" s="190"/>
      <c r="CE41" s="190"/>
      <c r="CF41" s="190"/>
      <c r="CG41" s="190"/>
      <c r="CH41" s="190"/>
      <c r="CI41" s="190"/>
      <c r="CJ41" s="190"/>
      <c r="CK41" s="190"/>
      <c r="CL41" s="190"/>
    </row>
    <row r="42" spans="1:90" s="39" customFormat="1" x14ac:dyDescent="0.25">
      <c r="A42" s="124" t="s">
        <v>28</v>
      </c>
      <c r="B42" s="190">
        <v>15765867.51</v>
      </c>
      <c r="C42" s="190">
        <v>16554964.779999999</v>
      </c>
      <c r="D42" s="190">
        <v>15733046.279999999</v>
      </c>
      <c r="E42" s="190">
        <v>16782981.620000001</v>
      </c>
      <c r="F42" s="190">
        <v>18750304.399999999</v>
      </c>
      <c r="G42" s="190">
        <v>20425933.780000001</v>
      </c>
      <c r="H42" s="190">
        <v>20242601.390000001</v>
      </c>
      <c r="I42" s="190">
        <v>0</v>
      </c>
      <c r="J42" s="190">
        <v>0</v>
      </c>
      <c r="K42" s="190">
        <v>0</v>
      </c>
      <c r="L42" s="190">
        <v>0</v>
      </c>
      <c r="M42" s="190">
        <v>0</v>
      </c>
      <c r="N42" s="190">
        <v>0</v>
      </c>
      <c r="O42" s="190">
        <v>0</v>
      </c>
      <c r="P42" s="190">
        <v>0</v>
      </c>
      <c r="Q42" s="190">
        <v>0</v>
      </c>
      <c r="R42" s="190">
        <v>0</v>
      </c>
      <c r="S42" s="190">
        <v>0</v>
      </c>
      <c r="T42" s="190">
        <v>0</v>
      </c>
      <c r="U42" s="190">
        <v>0</v>
      </c>
      <c r="V42" s="190">
        <v>0</v>
      </c>
      <c r="W42" s="190">
        <v>0</v>
      </c>
      <c r="X42" s="190">
        <v>0</v>
      </c>
      <c r="Y42" s="190">
        <v>0</v>
      </c>
      <c r="Z42" s="190">
        <v>0</v>
      </c>
      <c r="AA42" s="190">
        <v>0</v>
      </c>
      <c r="AB42" s="190">
        <v>0</v>
      </c>
      <c r="AC42" s="190">
        <v>0</v>
      </c>
      <c r="AD42" s="190">
        <v>0</v>
      </c>
      <c r="AE42" s="190">
        <v>0</v>
      </c>
      <c r="AF42" s="190">
        <v>0</v>
      </c>
      <c r="AG42" s="190">
        <v>0</v>
      </c>
      <c r="AH42" s="190">
        <v>0</v>
      </c>
      <c r="AI42" s="190">
        <v>0</v>
      </c>
      <c r="AJ42" s="190">
        <v>0</v>
      </c>
      <c r="AK42" s="190">
        <v>0</v>
      </c>
      <c r="AL42" s="190">
        <v>0</v>
      </c>
      <c r="AM42" s="190">
        <v>0</v>
      </c>
      <c r="AN42" s="190">
        <v>0</v>
      </c>
      <c r="AO42" s="190">
        <v>0</v>
      </c>
      <c r="AP42" s="190">
        <v>0</v>
      </c>
      <c r="AQ42" s="190">
        <v>0</v>
      </c>
      <c r="AR42" s="190"/>
      <c r="AS42" s="190"/>
      <c r="AT42" s="190"/>
      <c r="AU42" s="190"/>
      <c r="AV42" s="190"/>
      <c r="AW42" s="190"/>
      <c r="AX42" s="190"/>
      <c r="AY42" s="190"/>
      <c r="AZ42" s="190"/>
      <c r="BA42" s="190"/>
      <c r="BB42" s="190"/>
      <c r="BC42" s="190"/>
      <c r="BD42" s="190"/>
      <c r="BE42" s="190"/>
      <c r="BF42" s="190"/>
      <c r="BG42" s="190"/>
      <c r="BH42" s="190"/>
      <c r="BI42" s="190"/>
      <c r="BJ42" s="190"/>
      <c r="BK42" s="190"/>
      <c r="BL42" s="190"/>
      <c r="BM42" s="190"/>
      <c r="BN42" s="190"/>
      <c r="BO42" s="190"/>
      <c r="BP42" s="190"/>
      <c r="BQ42" s="190"/>
      <c r="BR42" s="190"/>
      <c r="BS42" s="190"/>
      <c r="BT42" s="190"/>
      <c r="BU42" s="190"/>
      <c r="BV42" s="190"/>
      <c r="BW42" s="190"/>
      <c r="BX42" s="190"/>
      <c r="BY42" s="190"/>
      <c r="BZ42" s="190"/>
      <c r="CA42" s="190"/>
      <c r="CB42" s="190"/>
      <c r="CC42" s="190"/>
      <c r="CD42" s="190"/>
      <c r="CE42" s="190"/>
      <c r="CF42" s="190"/>
      <c r="CG42" s="190"/>
      <c r="CH42" s="190"/>
      <c r="CI42" s="190"/>
      <c r="CJ42" s="190"/>
      <c r="CK42" s="190"/>
      <c r="CL42" s="190"/>
    </row>
    <row r="43" spans="1:90" x14ac:dyDescent="0.25">
      <c r="A43" s="17" t="s">
        <v>29</v>
      </c>
      <c r="B43" s="190">
        <v>12000000</v>
      </c>
      <c r="C43" s="190">
        <v>12000000</v>
      </c>
      <c r="D43" s="190">
        <v>11500000</v>
      </c>
      <c r="E43" s="190">
        <v>11500000</v>
      </c>
      <c r="F43" s="190">
        <v>10500000</v>
      </c>
      <c r="G43" s="190">
        <v>10500000</v>
      </c>
      <c r="H43" s="190">
        <v>7000000</v>
      </c>
      <c r="I43" s="190">
        <v>7000000</v>
      </c>
      <c r="J43" s="190">
        <v>0</v>
      </c>
      <c r="K43" s="190">
        <v>0</v>
      </c>
      <c r="L43" s="190">
        <v>0</v>
      </c>
      <c r="M43" s="190">
        <v>0</v>
      </c>
      <c r="N43" s="190">
        <v>0</v>
      </c>
      <c r="O43" s="190">
        <v>0</v>
      </c>
      <c r="P43" s="190">
        <v>0</v>
      </c>
      <c r="Q43" s="190">
        <v>0</v>
      </c>
      <c r="R43" s="190">
        <v>0</v>
      </c>
      <c r="S43" s="190">
        <v>0</v>
      </c>
      <c r="T43" s="190">
        <v>0</v>
      </c>
      <c r="U43" s="190">
        <v>0</v>
      </c>
      <c r="V43" s="190">
        <v>0</v>
      </c>
      <c r="W43" s="190">
        <v>0</v>
      </c>
      <c r="X43" s="190">
        <v>0</v>
      </c>
      <c r="Y43" s="190">
        <v>0</v>
      </c>
      <c r="Z43" s="190">
        <v>0</v>
      </c>
      <c r="AA43" s="190">
        <v>0</v>
      </c>
      <c r="AB43" s="190">
        <v>0</v>
      </c>
      <c r="AC43" s="190">
        <v>0</v>
      </c>
      <c r="AD43" s="190">
        <v>0</v>
      </c>
      <c r="AE43" s="190">
        <v>0</v>
      </c>
      <c r="AF43" s="190">
        <v>0</v>
      </c>
      <c r="AG43" s="190">
        <v>0</v>
      </c>
      <c r="AH43" s="190">
        <v>0</v>
      </c>
      <c r="AI43" s="190">
        <v>0</v>
      </c>
      <c r="AJ43" s="190">
        <v>0</v>
      </c>
      <c r="AK43" s="190">
        <v>0</v>
      </c>
      <c r="AL43" s="190">
        <v>0</v>
      </c>
      <c r="AM43" s="190">
        <v>0</v>
      </c>
      <c r="AN43" s="190">
        <v>0</v>
      </c>
      <c r="AO43" s="190">
        <v>0</v>
      </c>
      <c r="AP43" s="190">
        <v>0</v>
      </c>
      <c r="AQ43" s="190">
        <v>0</v>
      </c>
      <c r="AR43" s="190"/>
      <c r="AS43" s="190"/>
      <c r="AT43" s="190"/>
      <c r="AU43" s="190"/>
      <c r="AV43" s="190"/>
      <c r="AW43" s="190"/>
      <c r="AX43" s="190"/>
      <c r="AY43" s="190"/>
      <c r="AZ43" s="190"/>
      <c r="BA43" s="190"/>
      <c r="BB43" s="190"/>
      <c r="BC43" s="190"/>
      <c r="BD43" s="190"/>
      <c r="BE43" s="190"/>
      <c r="BF43" s="190"/>
      <c r="BG43" s="190"/>
      <c r="BH43" s="190"/>
      <c r="BI43" s="190"/>
      <c r="BJ43" s="190"/>
      <c r="BK43" s="190"/>
      <c r="BL43" s="190"/>
      <c r="BM43" s="190"/>
      <c r="BN43" s="190"/>
      <c r="BO43" s="190"/>
      <c r="BP43" s="190"/>
      <c r="BQ43" s="190"/>
      <c r="BR43" s="190"/>
      <c r="BS43" s="190"/>
      <c r="BT43" s="190"/>
      <c r="BU43" s="190"/>
      <c r="BV43" s="190"/>
      <c r="BW43" s="190"/>
      <c r="BX43" s="190"/>
      <c r="BY43" s="190"/>
      <c r="BZ43" s="190"/>
      <c r="CA43" s="190"/>
      <c r="CB43" s="190"/>
      <c r="CC43" s="190"/>
      <c r="CD43" s="190"/>
      <c r="CE43" s="190"/>
      <c r="CF43" s="190"/>
      <c r="CG43" s="190"/>
      <c r="CH43" s="190"/>
      <c r="CI43" s="190"/>
      <c r="CJ43" s="190"/>
      <c r="CK43" s="190"/>
      <c r="CL43" s="190"/>
    </row>
    <row r="44" spans="1:90" x14ac:dyDescent="0.25">
      <c r="A44" s="17" t="s">
        <v>30</v>
      </c>
      <c r="B44" s="190">
        <v>0</v>
      </c>
      <c r="C44" s="190">
        <v>0</v>
      </c>
      <c r="D44" s="190">
        <v>0</v>
      </c>
      <c r="E44" s="190">
        <v>0</v>
      </c>
      <c r="F44" s="190">
        <v>0</v>
      </c>
      <c r="G44" s="190">
        <v>0</v>
      </c>
      <c r="H44" s="190">
        <v>0</v>
      </c>
      <c r="I44" s="190">
        <v>0</v>
      </c>
      <c r="J44" s="190">
        <v>0</v>
      </c>
      <c r="K44" s="190">
        <v>0</v>
      </c>
      <c r="L44" s="190">
        <v>0</v>
      </c>
      <c r="M44" s="190">
        <v>0</v>
      </c>
      <c r="N44" s="190">
        <v>0</v>
      </c>
      <c r="O44" s="190">
        <v>0</v>
      </c>
      <c r="P44" s="190">
        <v>0</v>
      </c>
      <c r="Q44" s="190">
        <v>0</v>
      </c>
      <c r="R44" s="190">
        <v>0</v>
      </c>
      <c r="S44" s="190">
        <v>0</v>
      </c>
      <c r="T44" s="190">
        <v>0</v>
      </c>
      <c r="U44" s="190">
        <v>0</v>
      </c>
      <c r="V44" s="190">
        <v>0</v>
      </c>
      <c r="W44" s="190">
        <v>0</v>
      </c>
      <c r="X44" s="190">
        <v>0</v>
      </c>
      <c r="Y44" s="190">
        <v>0</v>
      </c>
      <c r="Z44" s="190">
        <v>0</v>
      </c>
      <c r="AA44" s="190">
        <v>0</v>
      </c>
      <c r="AB44" s="190">
        <v>0</v>
      </c>
      <c r="AC44" s="190">
        <v>0</v>
      </c>
      <c r="AD44" s="190">
        <v>0</v>
      </c>
      <c r="AE44" s="190">
        <v>0</v>
      </c>
      <c r="AF44" s="190">
        <v>0</v>
      </c>
      <c r="AG44" s="190">
        <v>0</v>
      </c>
      <c r="AH44" s="190">
        <v>0</v>
      </c>
      <c r="AI44" s="190">
        <v>0</v>
      </c>
      <c r="AJ44" s="190">
        <v>0</v>
      </c>
      <c r="AK44" s="190">
        <v>0</v>
      </c>
      <c r="AL44" s="190">
        <v>0</v>
      </c>
      <c r="AM44" s="190">
        <v>0</v>
      </c>
      <c r="AN44" s="190">
        <v>0</v>
      </c>
      <c r="AO44" s="190">
        <v>0</v>
      </c>
      <c r="AP44" s="190">
        <v>0</v>
      </c>
      <c r="AQ44" s="190">
        <v>0</v>
      </c>
      <c r="AR44" s="190"/>
      <c r="AS44" s="190"/>
      <c r="AT44" s="190"/>
      <c r="AU44" s="190"/>
      <c r="AV44" s="190"/>
      <c r="AW44" s="190"/>
      <c r="AX44" s="190"/>
      <c r="AY44" s="190"/>
      <c r="AZ44" s="190"/>
      <c r="BA44" s="190"/>
      <c r="BB44" s="190"/>
      <c r="BC44" s="190"/>
      <c r="BD44" s="190"/>
      <c r="BE44" s="190"/>
      <c r="BF44" s="190"/>
      <c r="BG44" s="190"/>
      <c r="BH44" s="190"/>
      <c r="BI44" s="190"/>
      <c r="BJ44" s="190"/>
      <c r="BK44" s="190"/>
      <c r="BL44" s="190"/>
      <c r="BM44" s="190"/>
      <c r="BN44" s="190"/>
      <c r="BO44" s="190"/>
      <c r="BP44" s="190"/>
      <c r="BQ44" s="190"/>
      <c r="BR44" s="190"/>
      <c r="BS44" s="190"/>
      <c r="BT44" s="190"/>
      <c r="BU44" s="190"/>
      <c r="BV44" s="190"/>
      <c r="BW44" s="190"/>
      <c r="BX44" s="190"/>
      <c r="BY44" s="190"/>
      <c r="BZ44" s="190"/>
      <c r="CA44" s="190"/>
      <c r="CB44" s="190"/>
      <c r="CC44" s="190"/>
      <c r="CD44" s="190"/>
      <c r="CE44" s="190"/>
      <c r="CF44" s="190"/>
      <c r="CG44" s="190"/>
      <c r="CH44" s="190"/>
      <c r="CI44" s="190"/>
      <c r="CJ44" s="190"/>
      <c r="CK44" s="190"/>
      <c r="CL44" s="190"/>
    </row>
    <row r="45" spans="1:90" x14ac:dyDescent="0.25">
      <c r="A45" s="17" t="s">
        <v>31</v>
      </c>
      <c r="B45" s="190">
        <v>75095008.400000006</v>
      </c>
      <c r="C45" s="190">
        <v>64834268.609999999</v>
      </c>
      <c r="D45" s="190">
        <v>67258993.180000007</v>
      </c>
      <c r="E45" s="190">
        <v>84207625.390000001</v>
      </c>
      <c r="F45" s="190">
        <v>27900982.940000001</v>
      </c>
      <c r="G45" s="190">
        <v>32053640.420000002</v>
      </c>
      <c r="H45" s="190">
        <v>55326668.07</v>
      </c>
      <c r="I45" s="190">
        <v>37467238.380000003</v>
      </c>
      <c r="J45" s="190">
        <v>27487049.420000002</v>
      </c>
      <c r="K45" s="190">
        <v>35839293.82</v>
      </c>
      <c r="L45" s="190">
        <v>54584831.789999999</v>
      </c>
      <c r="M45" s="190">
        <v>49807448.399999999</v>
      </c>
      <c r="N45" s="190">
        <v>39211393</v>
      </c>
      <c r="O45" s="190">
        <v>33895804.149999999</v>
      </c>
      <c r="P45" s="190">
        <v>32714815.600000001</v>
      </c>
      <c r="Q45" s="190">
        <v>24818085.18</v>
      </c>
      <c r="R45" s="190">
        <v>20643154.260000002</v>
      </c>
      <c r="S45" s="190">
        <v>18885327.989999998</v>
      </c>
      <c r="T45" s="190">
        <v>13061850.189999999</v>
      </c>
      <c r="U45" s="190">
        <v>10863390.52</v>
      </c>
      <c r="V45" s="190">
        <v>19792689.98</v>
      </c>
      <c r="W45" s="190">
        <v>16985933.010000002</v>
      </c>
      <c r="X45" s="190">
        <v>11694968.01</v>
      </c>
      <c r="Y45" s="190">
        <v>12287200.359999999</v>
      </c>
      <c r="Z45" s="190">
        <v>10307350.710000001</v>
      </c>
      <c r="AA45" s="190">
        <v>3066819.13</v>
      </c>
      <c r="AB45" s="190">
        <v>8512379.5099999998</v>
      </c>
      <c r="AC45" s="190">
        <v>8728575.6999999993</v>
      </c>
      <c r="AD45" s="190">
        <v>19071215.530000001</v>
      </c>
      <c r="AE45" s="190">
        <v>20889846.449999999</v>
      </c>
      <c r="AF45" s="190">
        <v>10930391.85</v>
      </c>
      <c r="AG45" s="190">
        <v>6627962.0499999998</v>
      </c>
      <c r="AH45" s="190">
        <v>10161251.76</v>
      </c>
      <c r="AI45" s="190">
        <v>5455317.2000000002</v>
      </c>
      <c r="AJ45" s="190">
        <v>5626052.2000000002</v>
      </c>
      <c r="AK45" s="190">
        <v>5891067.8200000003</v>
      </c>
      <c r="AL45" s="190">
        <v>1387908.21</v>
      </c>
      <c r="AM45" s="190">
        <v>1365946.28</v>
      </c>
      <c r="AN45" s="190">
        <v>2339075.14</v>
      </c>
      <c r="AO45" s="190">
        <v>3039475.51</v>
      </c>
      <c r="AP45" s="190">
        <v>1778889.15</v>
      </c>
      <c r="AQ45" s="190">
        <v>0</v>
      </c>
      <c r="AR45" s="190"/>
      <c r="AS45" s="190"/>
      <c r="AT45" s="190"/>
      <c r="AU45" s="190"/>
      <c r="AV45" s="190"/>
      <c r="AW45" s="190"/>
      <c r="AX45" s="190"/>
      <c r="AY45" s="190"/>
      <c r="AZ45" s="190"/>
      <c r="BA45" s="190"/>
      <c r="BB45" s="190"/>
      <c r="BC45" s="190"/>
      <c r="BD45" s="190"/>
      <c r="BE45" s="190"/>
      <c r="BF45" s="190"/>
      <c r="BG45" s="190"/>
      <c r="BH45" s="190"/>
      <c r="BI45" s="190"/>
      <c r="BJ45" s="190"/>
      <c r="BK45" s="190"/>
      <c r="BL45" s="190"/>
      <c r="BM45" s="190"/>
      <c r="BN45" s="190"/>
      <c r="BO45" s="190"/>
      <c r="BP45" s="190"/>
      <c r="BQ45" s="190"/>
      <c r="BR45" s="190"/>
      <c r="BS45" s="190"/>
      <c r="BT45" s="190"/>
      <c r="BU45" s="190"/>
      <c r="BV45" s="190"/>
      <c r="BW45" s="190"/>
      <c r="BX45" s="190"/>
      <c r="BY45" s="190"/>
      <c r="BZ45" s="190"/>
      <c r="CA45" s="190"/>
      <c r="CB45" s="190"/>
      <c r="CC45" s="190"/>
      <c r="CD45" s="190"/>
      <c r="CE45" s="190"/>
      <c r="CF45" s="190"/>
      <c r="CG45" s="190"/>
      <c r="CH45" s="190"/>
      <c r="CI45" s="190"/>
      <c r="CJ45" s="190"/>
      <c r="CK45" s="190"/>
      <c r="CL45" s="190"/>
    </row>
    <row r="46" spans="1:90" hidden="1" x14ac:dyDescent="0.25">
      <c r="B46" s="26"/>
      <c r="C46" s="26"/>
      <c r="D46" s="26"/>
      <c r="E46" s="26"/>
      <c r="F46" s="26"/>
      <c r="G46" s="26"/>
      <c r="H46" s="26"/>
      <c r="I46" s="26"/>
      <c r="J46" s="26"/>
      <c r="K46" s="26"/>
      <c r="L46" s="23"/>
    </row>
    <row r="47" spans="1:90" hidden="1" x14ac:dyDescent="0.25">
      <c r="B47" s="26"/>
      <c r="C47" s="26"/>
      <c r="D47" s="26"/>
      <c r="E47" s="26"/>
      <c r="F47" s="26"/>
      <c r="G47" s="26"/>
      <c r="H47" s="26"/>
      <c r="I47" s="26"/>
      <c r="J47" s="26"/>
      <c r="K47" s="26"/>
      <c r="L47" s="23"/>
    </row>
    <row r="48" spans="1:90" hidden="1" x14ac:dyDescent="0.25">
      <c r="B48" s="26"/>
      <c r="C48" s="26"/>
      <c r="D48" s="26"/>
      <c r="E48" s="26"/>
      <c r="F48" s="26"/>
      <c r="G48" s="26"/>
      <c r="H48" s="26"/>
      <c r="I48" s="26"/>
      <c r="J48" s="26"/>
      <c r="K48" s="26"/>
      <c r="L48" s="23"/>
    </row>
    <row r="49" spans="1:90" s="10" customFormat="1" x14ac:dyDescent="0.25">
      <c r="A49" s="123" t="s">
        <v>32</v>
      </c>
      <c r="B49" s="35">
        <f>SUM(B35:B41)+SUM(B43:B45)</f>
        <v>497934261.10000002</v>
      </c>
      <c r="C49" s="35">
        <f>SUM(C35:C41)+SUM(C43:C45)</f>
        <v>1121825077.1700001</v>
      </c>
      <c r="D49" s="35">
        <f>SUM(D35:D41)+SUM(D43:D45)</f>
        <v>999761337.50999999</v>
      </c>
      <c r="E49" s="35">
        <f>SUM(E35:E45)</f>
        <v>1118955772.9300001</v>
      </c>
      <c r="F49" s="35">
        <f t="shared" ref="F49:BQ49" si="4">SUM(F35:F45)</f>
        <v>1033135249.97</v>
      </c>
      <c r="G49" s="35">
        <f t="shared" si="4"/>
        <v>925232957.13999999</v>
      </c>
      <c r="H49" s="35">
        <f t="shared" si="4"/>
        <v>934682873.11000013</v>
      </c>
      <c r="I49" s="35">
        <f t="shared" si="4"/>
        <v>828041619.75999999</v>
      </c>
      <c r="J49" s="35">
        <f t="shared" si="4"/>
        <v>707432206.19000006</v>
      </c>
      <c r="K49" s="35">
        <f t="shared" si="4"/>
        <v>595126061.96000004</v>
      </c>
      <c r="L49" s="35">
        <f t="shared" si="4"/>
        <v>703193296.03999996</v>
      </c>
      <c r="M49" s="35">
        <f t="shared" si="4"/>
        <v>713457469.62</v>
      </c>
      <c r="N49" s="35">
        <f t="shared" si="4"/>
        <v>645038434.53999996</v>
      </c>
      <c r="O49" s="35">
        <f t="shared" si="4"/>
        <v>583285546.85000002</v>
      </c>
      <c r="P49" s="35">
        <f t="shared" si="4"/>
        <v>572139434.96000004</v>
      </c>
      <c r="Q49" s="35">
        <f t="shared" si="4"/>
        <v>621939955.44999993</v>
      </c>
      <c r="R49" s="35">
        <f t="shared" si="4"/>
        <v>586729466.63</v>
      </c>
      <c r="S49" s="35">
        <f t="shared" si="4"/>
        <v>468559751.40000004</v>
      </c>
      <c r="T49" s="35">
        <f t="shared" si="4"/>
        <v>497997079.13999999</v>
      </c>
      <c r="U49" s="35">
        <f t="shared" si="4"/>
        <v>512143856.13000005</v>
      </c>
      <c r="V49" s="35">
        <f t="shared" si="4"/>
        <v>434484790.17000008</v>
      </c>
      <c r="W49" s="35">
        <f t="shared" si="4"/>
        <v>322223196.62</v>
      </c>
      <c r="X49" s="35">
        <f t="shared" si="4"/>
        <v>431630951.94999993</v>
      </c>
      <c r="Y49" s="35">
        <f t="shared" si="4"/>
        <v>447550008.76999998</v>
      </c>
      <c r="Z49" s="35">
        <f t="shared" si="4"/>
        <v>507299155.92000008</v>
      </c>
      <c r="AA49" s="35">
        <f t="shared" si="4"/>
        <v>493984344.29000002</v>
      </c>
      <c r="AB49" s="35">
        <f t="shared" si="4"/>
        <v>514159750.65999991</v>
      </c>
      <c r="AC49" s="35">
        <f t="shared" si="4"/>
        <v>502685476.98000002</v>
      </c>
      <c r="AD49" s="35">
        <f t="shared" si="4"/>
        <v>431645106.74000001</v>
      </c>
      <c r="AE49" s="35">
        <f t="shared" si="4"/>
        <v>333573826.67999995</v>
      </c>
      <c r="AF49" s="35">
        <f t="shared" si="4"/>
        <v>419394747.45000005</v>
      </c>
      <c r="AG49" s="35">
        <f t="shared" si="4"/>
        <v>399547372.94999999</v>
      </c>
      <c r="AH49" s="35">
        <f t="shared" si="4"/>
        <v>290528234.13</v>
      </c>
      <c r="AI49" s="35">
        <f t="shared" si="4"/>
        <v>218982489.06999999</v>
      </c>
      <c r="AJ49" s="35">
        <f t="shared" si="4"/>
        <v>240639133.97999999</v>
      </c>
      <c r="AK49" s="35">
        <f t="shared" si="4"/>
        <v>215271999.86999997</v>
      </c>
      <c r="AL49" s="35">
        <f t="shared" si="4"/>
        <v>183602745.03</v>
      </c>
      <c r="AM49" s="35">
        <f t="shared" si="4"/>
        <v>141823169.59999999</v>
      </c>
      <c r="AN49" s="35">
        <f t="shared" si="4"/>
        <v>157104143.11999997</v>
      </c>
      <c r="AO49" s="35">
        <f t="shared" si="4"/>
        <v>119684318.23</v>
      </c>
      <c r="AP49" s="35">
        <f t="shared" si="4"/>
        <v>144217846.25</v>
      </c>
      <c r="AQ49" s="35">
        <f t="shared" si="4"/>
        <v>0</v>
      </c>
      <c r="AR49" s="35">
        <f t="shared" si="4"/>
        <v>0</v>
      </c>
      <c r="AS49" s="35">
        <f t="shared" si="4"/>
        <v>0</v>
      </c>
      <c r="AT49" s="35">
        <f t="shared" si="4"/>
        <v>0</v>
      </c>
      <c r="AU49" s="35">
        <f t="shared" si="4"/>
        <v>0</v>
      </c>
      <c r="AV49" s="35">
        <f t="shared" si="4"/>
        <v>0</v>
      </c>
      <c r="AW49" s="35">
        <f t="shared" si="4"/>
        <v>0</v>
      </c>
      <c r="AX49" s="35">
        <f t="shared" si="4"/>
        <v>0</v>
      </c>
      <c r="AY49" s="35">
        <f t="shared" si="4"/>
        <v>0</v>
      </c>
      <c r="AZ49" s="35">
        <f t="shared" si="4"/>
        <v>0</v>
      </c>
      <c r="BA49" s="35">
        <f t="shared" si="4"/>
        <v>0</v>
      </c>
      <c r="BB49" s="35">
        <f t="shared" si="4"/>
        <v>0</v>
      </c>
      <c r="BC49" s="35">
        <f t="shared" si="4"/>
        <v>0</v>
      </c>
      <c r="BD49" s="35">
        <f t="shared" si="4"/>
        <v>0</v>
      </c>
      <c r="BE49" s="35">
        <f t="shared" si="4"/>
        <v>0</v>
      </c>
      <c r="BF49" s="35">
        <f t="shared" si="4"/>
        <v>0</v>
      </c>
      <c r="BG49" s="35">
        <f t="shared" si="4"/>
        <v>0</v>
      </c>
      <c r="BH49" s="35">
        <f t="shared" si="4"/>
        <v>0</v>
      </c>
      <c r="BI49" s="35">
        <f t="shared" si="4"/>
        <v>0</v>
      </c>
      <c r="BJ49" s="35">
        <f t="shared" si="4"/>
        <v>0</v>
      </c>
      <c r="BK49" s="35">
        <f t="shared" si="4"/>
        <v>0</v>
      </c>
      <c r="BL49" s="35">
        <f t="shared" si="4"/>
        <v>0</v>
      </c>
      <c r="BM49" s="35">
        <f t="shared" si="4"/>
        <v>0</v>
      </c>
      <c r="BN49" s="35">
        <f t="shared" si="4"/>
        <v>0</v>
      </c>
      <c r="BO49" s="35">
        <f t="shared" si="4"/>
        <v>0</v>
      </c>
      <c r="BP49" s="35">
        <f t="shared" si="4"/>
        <v>0</v>
      </c>
      <c r="BQ49" s="35">
        <f t="shared" si="4"/>
        <v>0</v>
      </c>
      <c r="BR49" s="35">
        <f t="shared" ref="BR49:CK49" si="5">SUM(BR35:BR45)</f>
        <v>0</v>
      </c>
      <c r="BS49" s="35">
        <f t="shared" si="5"/>
        <v>0</v>
      </c>
      <c r="BT49" s="35">
        <f t="shared" si="5"/>
        <v>0</v>
      </c>
      <c r="BU49" s="35">
        <f t="shared" si="5"/>
        <v>0</v>
      </c>
      <c r="BV49" s="35">
        <f t="shared" si="5"/>
        <v>0</v>
      </c>
      <c r="BW49" s="35">
        <f t="shared" si="5"/>
        <v>0</v>
      </c>
      <c r="BX49" s="35">
        <f t="shared" si="5"/>
        <v>0</v>
      </c>
      <c r="BY49" s="35">
        <f t="shared" si="5"/>
        <v>0</v>
      </c>
      <c r="BZ49" s="35">
        <f t="shared" si="5"/>
        <v>0</v>
      </c>
      <c r="CA49" s="35">
        <f t="shared" si="5"/>
        <v>0</v>
      </c>
      <c r="CB49" s="35">
        <f t="shared" si="5"/>
        <v>0</v>
      </c>
      <c r="CC49" s="35">
        <f t="shared" si="5"/>
        <v>0</v>
      </c>
      <c r="CD49" s="35">
        <f t="shared" si="5"/>
        <v>0</v>
      </c>
      <c r="CE49" s="35">
        <f t="shared" si="5"/>
        <v>0</v>
      </c>
      <c r="CF49" s="35">
        <f t="shared" si="5"/>
        <v>0</v>
      </c>
      <c r="CG49" s="35">
        <f t="shared" si="5"/>
        <v>0</v>
      </c>
      <c r="CH49" s="35">
        <f t="shared" si="5"/>
        <v>0</v>
      </c>
      <c r="CI49" s="35">
        <f t="shared" si="5"/>
        <v>0</v>
      </c>
      <c r="CJ49" s="35">
        <f t="shared" si="5"/>
        <v>0</v>
      </c>
      <c r="CK49" s="35">
        <f t="shared" si="5"/>
        <v>0</v>
      </c>
    </row>
    <row r="50" spans="1:90" s="15" customFormat="1" x14ac:dyDescent="0.25">
      <c r="A50" s="125" t="s">
        <v>81</v>
      </c>
      <c r="B50" s="36">
        <f>B33-B49</f>
        <v>2535992753.8299999</v>
      </c>
      <c r="C50" s="36">
        <f t="shared" ref="C50:BN50" si="6">C33-C49</f>
        <v>1715315254.5499997</v>
      </c>
      <c r="D50" s="36">
        <f t="shared" si="6"/>
        <v>1724673460.9199998</v>
      </c>
      <c r="E50" s="36">
        <f t="shared" si="6"/>
        <v>1597100710.9399998</v>
      </c>
      <c r="F50" s="36">
        <f t="shared" si="6"/>
        <v>1754650310.4399998</v>
      </c>
      <c r="G50" s="36">
        <f t="shared" si="6"/>
        <v>1349137181.4500003</v>
      </c>
      <c r="H50" s="36">
        <f t="shared" si="6"/>
        <v>1278750158.9299998</v>
      </c>
      <c r="I50" s="36">
        <f t="shared" si="6"/>
        <v>949049399.85000014</v>
      </c>
      <c r="J50" s="36">
        <f t="shared" si="6"/>
        <v>1300496511.9699998</v>
      </c>
      <c r="K50" s="36">
        <f t="shared" si="6"/>
        <v>1335104250.45</v>
      </c>
      <c r="L50" s="36">
        <f t="shared" si="6"/>
        <v>1169926680.3800001</v>
      </c>
      <c r="M50" s="36">
        <f t="shared" si="6"/>
        <v>1157095856.3699999</v>
      </c>
      <c r="N50" s="36">
        <f t="shared" si="6"/>
        <v>919351714.72000003</v>
      </c>
      <c r="O50" s="36">
        <f t="shared" si="6"/>
        <v>960746978.13</v>
      </c>
      <c r="P50" s="36">
        <f t="shared" si="6"/>
        <v>1113176673.5599999</v>
      </c>
      <c r="Q50" s="36">
        <f t="shared" si="6"/>
        <v>1020208913.4599999</v>
      </c>
      <c r="R50" s="36">
        <f t="shared" si="6"/>
        <v>1020629371.64</v>
      </c>
      <c r="S50" s="36">
        <f t="shared" si="6"/>
        <v>713919009.73999977</v>
      </c>
      <c r="T50" s="36">
        <f t="shared" si="6"/>
        <v>706716177.13999999</v>
      </c>
      <c r="U50" s="36">
        <f t="shared" si="6"/>
        <v>554743546.35000014</v>
      </c>
      <c r="V50" s="36">
        <f t="shared" si="6"/>
        <v>440012245.28999996</v>
      </c>
      <c r="W50" s="36">
        <f t="shared" si="6"/>
        <v>605557151.28999996</v>
      </c>
      <c r="X50" s="36">
        <f t="shared" si="6"/>
        <v>461092421.37</v>
      </c>
      <c r="Y50" s="36">
        <f t="shared" si="6"/>
        <v>421625578.88000011</v>
      </c>
      <c r="Z50" s="36">
        <f t="shared" si="6"/>
        <v>463458176.65999985</v>
      </c>
      <c r="AA50" s="36">
        <f t="shared" si="6"/>
        <v>538043845.96000004</v>
      </c>
      <c r="AB50" s="36">
        <f t="shared" si="6"/>
        <v>318249727.29000002</v>
      </c>
      <c r="AC50" s="36">
        <f t="shared" si="6"/>
        <v>241941336.04999995</v>
      </c>
      <c r="AD50" s="36">
        <f t="shared" si="6"/>
        <v>261233161.02999997</v>
      </c>
      <c r="AE50" s="36">
        <f t="shared" si="6"/>
        <v>321419707.1500001</v>
      </c>
      <c r="AF50" s="36">
        <f t="shared" si="6"/>
        <v>148020334.52999997</v>
      </c>
      <c r="AG50" s="36">
        <f t="shared" si="6"/>
        <v>204497911.35999995</v>
      </c>
      <c r="AH50" s="36">
        <f t="shared" si="6"/>
        <v>282006776.60000002</v>
      </c>
      <c r="AI50" s="36">
        <f t="shared" si="6"/>
        <v>252834625.30000001</v>
      </c>
      <c r="AJ50" s="36">
        <f t="shared" si="6"/>
        <v>126923235.34999999</v>
      </c>
      <c r="AK50" s="36">
        <f t="shared" si="6"/>
        <v>137423752.91000006</v>
      </c>
      <c r="AL50" s="36">
        <f t="shared" si="6"/>
        <v>133608740.93999997</v>
      </c>
      <c r="AM50" s="36">
        <f t="shared" si="6"/>
        <v>157946398.67999998</v>
      </c>
      <c r="AN50" s="36">
        <f t="shared" si="6"/>
        <v>120859525.39000002</v>
      </c>
      <c r="AO50" s="36">
        <f t="shared" si="6"/>
        <v>110265855.45999999</v>
      </c>
      <c r="AP50" s="36">
        <f t="shared" si="6"/>
        <v>38950841.790000021</v>
      </c>
      <c r="AQ50" s="36">
        <f t="shared" si="6"/>
        <v>0</v>
      </c>
      <c r="AR50" s="36">
        <f t="shared" si="6"/>
        <v>0</v>
      </c>
      <c r="AS50" s="36">
        <f t="shared" si="6"/>
        <v>0</v>
      </c>
      <c r="AT50" s="36">
        <f t="shared" si="6"/>
        <v>0</v>
      </c>
      <c r="AU50" s="36">
        <f t="shared" si="6"/>
        <v>0</v>
      </c>
      <c r="AV50" s="36">
        <f t="shared" si="6"/>
        <v>0</v>
      </c>
      <c r="AW50" s="36">
        <f t="shared" si="6"/>
        <v>0</v>
      </c>
      <c r="AX50" s="36">
        <f t="shared" si="6"/>
        <v>0</v>
      </c>
      <c r="AY50" s="36">
        <f t="shared" si="6"/>
        <v>0</v>
      </c>
      <c r="AZ50" s="36">
        <f t="shared" si="6"/>
        <v>0</v>
      </c>
      <c r="BA50" s="36">
        <f t="shared" si="6"/>
        <v>0</v>
      </c>
      <c r="BB50" s="36">
        <f t="shared" si="6"/>
        <v>0</v>
      </c>
      <c r="BC50" s="36">
        <f t="shared" si="6"/>
        <v>0</v>
      </c>
      <c r="BD50" s="36">
        <f t="shared" si="6"/>
        <v>0</v>
      </c>
      <c r="BE50" s="36">
        <f t="shared" si="6"/>
        <v>0</v>
      </c>
      <c r="BF50" s="36">
        <f t="shared" si="6"/>
        <v>0</v>
      </c>
      <c r="BG50" s="36">
        <f t="shared" si="6"/>
        <v>0</v>
      </c>
      <c r="BH50" s="36">
        <f t="shared" si="6"/>
        <v>0</v>
      </c>
      <c r="BI50" s="36">
        <f t="shared" si="6"/>
        <v>0</v>
      </c>
      <c r="BJ50" s="36">
        <f t="shared" si="6"/>
        <v>0</v>
      </c>
      <c r="BK50" s="36">
        <f t="shared" si="6"/>
        <v>0</v>
      </c>
      <c r="BL50" s="36">
        <f t="shared" si="6"/>
        <v>0</v>
      </c>
      <c r="BM50" s="36">
        <f t="shared" si="6"/>
        <v>0</v>
      </c>
      <c r="BN50" s="36">
        <f t="shared" si="6"/>
        <v>0</v>
      </c>
      <c r="BO50" s="36">
        <f t="shared" ref="BO50:CK50" si="7">BO33-BO49</f>
        <v>0</v>
      </c>
      <c r="BP50" s="36">
        <f t="shared" si="7"/>
        <v>0</v>
      </c>
      <c r="BQ50" s="36">
        <f t="shared" si="7"/>
        <v>0</v>
      </c>
      <c r="BR50" s="36">
        <f t="shared" si="7"/>
        <v>0</v>
      </c>
      <c r="BS50" s="36">
        <f t="shared" si="7"/>
        <v>0</v>
      </c>
      <c r="BT50" s="36">
        <f t="shared" si="7"/>
        <v>0</v>
      </c>
      <c r="BU50" s="36">
        <f t="shared" si="7"/>
        <v>0</v>
      </c>
      <c r="BV50" s="36">
        <f t="shared" si="7"/>
        <v>0</v>
      </c>
      <c r="BW50" s="36">
        <f t="shared" si="7"/>
        <v>0</v>
      </c>
      <c r="BX50" s="36">
        <f t="shared" si="7"/>
        <v>0</v>
      </c>
      <c r="BY50" s="36">
        <f t="shared" si="7"/>
        <v>0</v>
      </c>
      <c r="BZ50" s="36">
        <f t="shared" si="7"/>
        <v>0</v>
      </c>
      <c r="CA50" s="36">
        <f t="shared" si="7"/>
        <v>0</v>
      </c>
      <c r="CB50" s="36">
        <f t="shared" si="7"/>
        <v>0</v>
      </c>
      <c r="CC50" s="36">
        <f t="shared" si="7"/>
        <v>0</v>
      </c>
      <c r="CD50" s="36">
        <f t="shared" si="7"/>
        <v>0</v>
      </c>
      <c r="CE50" s="36">
        <f t="shared" si="7"/>
        <v>0</v>
      </c>
      <c r="CF50" s="36">
        <f t="shared" si="7"/>
        <v>0</v>
      </c>
      <c r="CG50" s="36">
        <f t="shared" si="7"/>
        <v>0</v>
      </c>
      <c r="CH50" s="36">
        <f t="shared" si="7"/>
        <v>0</v>
      </c>
      <c r="CI50" s="36">
        <f t="shared" si="7"/>
        <v>0</v>
      </c>
      <c r="CJ50" s="36">
        <f t="shared" si="7"/>
        <v>0</v>
      </c>
      <c r="CK50" s="36">
        <f t="shared" si="7"/>
        <v>0</v>
      </c>
    </row>
    <row r="51" spans="1:90" s="193" customFormat="1" x14ac:dyDescent="0.25">
      <c r="A51" s="193" t="s">
        <v>33</v>
      </c>
    </row>
    <row r="52" spans="1:90" s="193" customFormat="1" x14ac:dyDescent="0.25">
      <c r="A52" s="193" t="s">
        <v>34</v>
      </c>
      <c r="B52" s="190">
        <v>372172620.89999998</v>
      </c>
      <c r="C52" s="190">
        <v>367124049.68000001</v>
      </c>
      <c r="D52" s="190">
        <v>371395847.38999999</v>
      </c>
      <c r="E52" s="190">
        <v>381088077.97000003</v>
      </c>
      <c r="F52" s="190">
        <v>381539162.49000001</v>
      </c>
      <c r="G52" s="190">
        <v>390950110.38999999</v>
      </c>
      <c r="H52" s="190">
        <v>397152171</v>
      </c>
      <c r="I52" s="190">
        <v>386784475.27999997</v>
      </c>
      <c r="J52" s="190">
        <v>392012152.26999998</v>
      </c>
      <c r="K52" s="190">
        <v>381374642.98000002</v>
      </c>
      <c r="L52" s="190">
        <v>388749418.19999999</v>
      </c>
      <c r="M52" s="190">
        <v>393127990.83999997</v>
      </c>
      <c r="N52" s="190">
        <v>390402293.52999997</v>
      </c>
      <c r="O52" s="190">
        <v>395693007.80000001</v>
      </c>
      <c r="P52" s="190">
        <v>390946237.61000001</v>
      </c>
      <c r="Q52" s="190">
        <v>397503360.81999999</v>
      </c>
      <c r="R52" s="190">
        <v>392443251.63</v>
      </c>
      <c r="S52" s="190">
        <v>397521952.61000001</v>
      </c>
      <c r="T52" s="190">
        <v>403387978.83999997</v>
      </c>
      <c r="U52" s="190">
        <v>407928568.80000001</v>
      </c>
      <c r="V52" s="190">
        <v>325765584.14999998</v>
      </c>
      <c r="W52" s="190">
        <v>328137977.91000003</v>
      </c>
      <c r="X52" s="190">
        <v>328664938.44999999</v>
      </c>
      <c r="Y52" s="190">
        <v>334824871.51999998</v>
      </c>
      <c r="Z52" s="190">
        <v>332916373.94</v>
      </c>
      <c r="AA52" s="190">
        <v>248829080.34</v>
      </c>
      <c r="AB52" s="190">
        <v>248914102.15000001</v>
      </c>
      <c r="AC52" s="190">
        <v>249966842.94</v>
      </c>
      <c r="AD52" s="190">
        <v>125511902.36</v>
      </c>
      <c r="AE52" s="190">
        <v>86220540.829999998</v>
      </c>
      <c r="AF52" s="190">
        <v>84605227.299999997</v>
      </c>
      <c r="AG52" s="190">
        <v>84235402.629999995</v>
      </c>
      <c r="AH52" s="190">
        <v>77945026.120000005</v>
      </c>
      <c r="AI52" s="190">
        <v>77504194.579999998</v>
      </c>
      <c r="AJ52" s="190">
        <v>77668880.290000007</v>
      </c>
      <c r="AK52" s="190">
        <v>78949390.819999993</v>
      </c>
      <c r="AL52" s="190">
        <v>79720945.200000003</v>
      </c>
      <c r="AM52" s="190">
        <v>80968896.030000001</v>
      </c>
      <c r="AN52" s="190">
        <v>82222263.489999995</v>
      </c>
      <c r="AO52" s="190">
        <v>60766014.450000003</v>
      </c>
      <c r="AP52" s="190">
        <v>47596871.630000003</v>
      </c>
      <c r="AQ52" s="190">
        <v>0</v>
      </c>
      <c r="AR52" s="190"/>
      <c r="AS52" s="190"/>
      <c r="AT52" s="190"/>
      <c r="AU52" s="190"/>
      <c r="AV52" s="190"/>
      <c r="AW52" s="190"/>
      <c r="AX52" s="190"/>
      <c r="AY52" s="190"/>
      <c r="AZ52" s="190"/>
      <c r="BA52" s="190"/>
      <c r="BB52" s="190"/>
      <c r="BC52" s="190"/>
      <c r="BD52" s="190"/>
      <c r="BE52" s="190"/>
      <c r="BF52" s="190"/>
      <c r="BG52" s="190"/>
      <c r="BH52" s="190"/>
      <c r="BI52" s="190"/>
      <c r="BJ52" s="190"/>
      <c r="BK52" s="190"/>
      <c r="BL52" s="190"/>
      <c r="BM52" s="190"/>
      <c r="BN52" s="190"/>
      <c r="BO52" s="190"/>
      <c r="BP52" s="190"/>
      <c r="BQ52" s="190"/>
      <c r="BR52" s="190"/>
      <c r="BS52" s="190"/>
      <c r="BT52" s="190"/>
      <c r="BU52" s="190"/>
      <c r="BV52" s="190"/>
      <c r="BW52" s="190"/>
      <c r="BX52" s="190"/>
      <c r="BY52" s="190"/>
      <c r="BZ52" s="190"/>
      <c r="CA52" s="190"/>
      <c r="CB52" s="190"/>
      <c r="CC52" s="190"/>
      <c r="CD52" s="190"/>
      <c r="CE52" s="190"/>
      <c r="CF52" s="190"/>
      <c r="CG52" s="190"/>
      <c r="CH52" s="190"/>
      <c r="CI52" s="190"/>
      <c r="CJ52" s="190"/>
      <c r="CK52" s="190"/>
      <c r="CL52" s="190"/>
    </row>
    <row r="53" spans="1:90" s="193" customFormat="1" x14ac:dyDescent="0.25">
      <c r="A53" s="193" t="s">
        <v>35</v>
      </c>
      <c r="B53" s="190">
        <v>23682948.329999998</v>
      </c>
      <c r="C53" s="190">
        <v>26006424.219999999</v>
      </c>
      <c r="D53" s="190">
        <v>15601822.970000001</v>
      </c>
      <c r="E53" s="190">
        <v>8989773.8000000007</v>
      </c>
      <c r="F53" s="190">
        <v>25669698.649999999</v>
      </c>
      <c r="G53" s="190">
        <v>21599109.84</v>
      </c>
      <c r="H53" s="190">
        <v>20240701.100000001</v>
      </c>
      <c r="I53" s="190">
        <v>7884796.1200000001</v>
      </c>
      <c r="J53" s="190">
        <v>15397381.529999999</v>
      </c>
      <c r="K53" s="190">
        <v>13701536.6</v>
      </c>
      <c r="L53" s="190">
        <v>12874743.26</v>
      </c>
      <c r="M53" s="190">
        <v>11604165.609999999</v>
      </c>
      <c r="N53" s="190">
        <v>20430685.149999999</v>
      </c>
      <c r="O53" s="190">
        <v>12776418.76</v>
      </c>
      <c r="P53" s="190">
        <v>21241440.440000001</v>
      </c>
      <c r="Q53" s="190">
        <v>9578658.2200000007</v>
      </c>
      <c r="R53" s="190">
        <v>15817383.17</v>
      </c>
      <c r="S53" s="190">
        <v>6650276.6200000001</v>
      </c>
      <c r="T53" s="190">
        <v>2547847.0499999998</v>
      </c>
      <c r="U53" s="190">
        <v>2050000</v>
      </c>
      <c r="V53" s="190">
        <v>82286664.459999993</v>
      </c>
      <c r="W53" s="190">
        <v>49111965.100000001</v>
      </c>
      <c r="X53" s="190">
        <v>38208937.420000002</v>
      </c>
      <c r="Y53" s="190">
        <v>29105269.140000001</v>
      </c>
      <c r="Z53" s="190">
        <v>17622460.850000001</v>
      </c>
      <c r="AA53" s="190">
        <v>49511361.219999999</v>
      </c>
      <c r="AB53" s="190">
        <v>42077971.189999998</v>
      </c>
      <c r="AC53" s="190">
        <v>23413300.07</v>
      </c>
      <c r="AD53" s="190">
        <v>70618503.939999998</v>
      </c>
      <c r="AE53" s="190">
        <v>64998837.409999996</v>
      </c>
      <c r="AF53" s="190">
        <v>59754084.57</v>
      </c>
      <c r="AG53" s="190">
        <v>46221172.68</v>
      </c>
      <c r="AH53" s="190">
        <v>10074928</v>
      </c>
      <c r="AI53" s="190">
        <v>3126577.64</v>
      </c>
      <c r="AJ53" s="190">
        <v>1725129.21</v>
      </c>
      <c r="AK53" s="190">
        <v>24062856.719999999</v>
      </c>
      <c r="AL53" s="190">
        <v>0</v>
      </c>
      <c r="AM53" s="190">
        <v>0</v>
      </c>
      <c r="AN53" s="190">
        <v>799996.06</v>
      </c>
      <c r="AO53" s="190">
        <v>0</v>
      </c>
      <c r="AP53" s="190">
        <v>442457.92</v>
      </c>
      <c r="AQ53" s="190">
        <v>0</v>
      </c>
      <c r="AR53" s="190"/>
      <c r="AS53" s="190"/>
      <c r="AT53" s="190"/>
      <c r="AU53" s="190"/>
      <c r="AV53" s="190"/>
      <c r="AW53" s="190"/>
      <c r="AX53" s="190"/>
      <c r="AY53" s="190"/>
      <c r="AZ53" s="190"/>
      <c r="BA53" s="190"/>
      <c r="BB53" s="190"/>
      <c r="BC53" s="190"/>
      <c r="BD53" s="190"/>
      <c r="BE53" s="190"/>
      <c r="BF53" s="190"/>
      <c r="BG53" s="190"/>
      <c r="BH53" s="190"/>
      <c r="BI53" s="190"/>
      <c r="BJ53" s="190"/>
      <c r="BK53" s="190"/>
      <c r="BL53" s="190"/>
      <c r="BM53" s="190"/>
      <c r="BN53" s="190"/>
      <c r="BO53" s="190"/>
      <c r="BP53" s="190"/>
      <c r="BQ53" s="190"/>
      <c r="BR53" s="190"/>
      <c r="BS53" s="190"/>
      <c r="BT53" s="190"/>
      <c r="BU53" s="190"/>
      <c r="BV53" s="190"/>
      <c r="BW53" s="190"/>
      <c r="BX53" s="190"/>
      <c r="BY53" s="190"/>
      <c r="BZ53" s="190"/>
      <c r="CA53" s="190"/>
      <c r="CB53" s="190"/>
      <c r="CC53" s="190"/>
      <c r="CD53" s="190"/>
      <c r="CE53" s="190"/>
      <c r="CF53" s="190"/>
      <c r="CG53" s="190"/>
      <c r="CH53" s="190"/>
      <c r="CI53" s="190"/>
      <c r="CJ53" s="190"/>
      <c r="CK53" s="190"/>
      <c r="CL53" s="190"/>
    </row>
    <row r="54" spans="1:90" s="193" customFormat="1" x14ac:dyDescent="0.25">
      <c r="A54" s="193" t="s">
        <v>36</v>
      </c>
      <c r="B54" s="190">
        <v>0</v>
      </c>
      <c r="C54" s="190">
        <v>0</v>
      </c>
      <c r="D54" s="190">
        <v>0</v>
      </c>
      <c r="E54" s="190">
        <v>0</v>
      </c>
      <c r="F54" s="190">
        <v>0</v>
      </c>
      <c r="G54" s="190">
        <v>0</v>
      </c>
      <c r="H54" s="190">
        <v>0</v>
      </c>
      <c r="I54" s="190">
        <v>0</v>
      </c>
      <c r="J54" s="190">
        <v>0</v>
      </c>
      <c r="K54" s="190">
        <v>0</v>
      </c>
      <c r="L54" s="190">
        <v>0</v>
      </c>
      <c r="M54" s="190">
        <v>0</v>
      </c>
      <c r="N54" s="190">
        <v>0</v>
      </c>
      <c r="O54" s="190">
        <v>0</v>
      </c>
      <c r="P54" s="190">
        <v>0</v>
      </c>
      <c r="Q54" s="190">
        <v>0</v>
      </c>
      <c r="R54" s="190">
        <v>0</v>
      </c>
      <c r="S54" s="190">
        <v>0</v>
      </c>
      <c r="T54" s="190">
        <v>0</v>
      </c>
      <c r="U54" s="190">
        <v>0</v>
      </c>
      <c r="V54" s="190">
        <v>0</v>
      </c>
      <c r="W54" s="190">
        <v>0</v>
      </c>
      <c r="X54" s="190">
        <v>0</v>
      </c>
      <c r="Y54" s="190">
        <v>0</v>
      </c>
      <c r="Z54" s="190">
        <v>0</v>
      </c>
      <c r="AA54" s="190">
        <v>0</v>
      </c>
      <c r="AB54" s="190">
        <v>0</v>
      </c>
      <c r="AC54" s="190">
        <v>0</v>
      </c>
      <c r="AD54" s="190">
        <v>0</v>
      </c>
      <c r="AE54" s="190">
        <v>0</v>
      </c>
      <c r="AF54" s="190">
        <v>0</v>
      </c>
      <c r="AG54" s="190">
        <v>0</v>
      </c>
      <c r="AH54" s="190">
        <v>0</v>
      </c>
      <c r="AI54" s="190">
        <v>0</v>
      </c>
      <c r="AJ54" s="190">
        <v>0</v>
      </c>
      <c r="AK54" s="190">
        <v>0</v>
      </c>
      <c r="AL54" s="190">
        <v>0</v>
      </c>
      <c r="AM54" s="190">
        <v>0</v>
      </c>
      <c r="AN54" s="190">
        <v>0</v>
      </c>
      <c r="AO54" s="190">
        <v>0</v>
      </c>
      <c r="AP54" s="190">
        <v>0</v>
      </c>
      <c r="AQ54" s="190">
        <v>0</v>
      </c>
      <c r="AR54" s="190"/>
      <c r="AS54" s="190"/>
      <c r="AT54" s="190"/>
      <c r="AU54" s="190"/>
      <c r="AV54" s="190"/>
      <c r="AW54" s="190"/>
      <c r="AX54" s="190"/>
      <c r="AY54" s="190"/>
      <c r="AZ54" s="190"/>
      <c r="BA54" s="190"/>
      <c r="BB54" s="190"/>
      <c r="BC54" s="190"/>
      <c r="BD54" s="190"/>
      <c r="BE54" s="190"/>
      <c r="BF54" s="190"/>
      <c r="BG54" s="190"/>
      <c r="BH54" s="190"/>
      <c r="BI54" s="190"/>
      <c r="BJ54" s="190"/>
      <c r="BK54" s="190"/>
      <c r="BL54" s="190"/>
      <c r="BM54" s="190"/>
      <c r="BN54" s="190"/>
      <c r="BO54" s="190"/>
      <c r="BP54" s="190"/>
      <c r="BQ54" s="190"/>
      <c r="BR54" s="190"/>
      <c r="BS54" s="190"/>
      <c r="BT54" s="190"/>
      <c r="BU54" s="190"/>
      <c r="BV54" s="190"/>
      <c r="BW54" s="190"/>
      <c r="BX54" s="190"/>
      <c r="BY54" s="190"/>
      <c r="BZ54" s="190"/>
      <c r="CA54" s="190"/>
      <c r="CB54" s="190"/>
      <c r="CC54" s="190"/>
      <c r="CD54" s="190"/>
      <c r="CE54" s="190"/>
      <c r="CF54" s="190"/>
      <c r="CG54" s="190"/>
      <c r="CH54" s="190"/>
      <c r="CI54" s="190"/>
      <c r="CJ54" s="190"/>
      <c r="CK54" s="190"/>
      <c r="CL54" s="190"/>
    </row>
    <row r="55" spans="1:90" s="193" customFormat="1" x14ac:dyDescent="0.25">
      <c r="A55" s="193" t="s">
        <v>37</v>
      </c>
      <c r="B55" s="190">
        <v>0</v>
      </c>
      <c r="C55" s="190">
        <v>0</v>
      </c>
      <c r="D55" s="190">
        <v>0</v>
      </c>
      <c r="E55" s="190">
        <v>0</v>
      </c>
      <c r="F55" s="190">
        <v>0</v>
      </c>
      <c r="G55" s="190">
        <v>0</v>
      </c>
      <c r="H55" s="190">
        <v>0</v>
      </c>
      <c r="I55" s="190">
        <v>0</v>
      </c>
      <c r="J55" s="190">
        <v>0</v>
      </c>
      <c r="K55" s="190">
        <v>0</v>
      </c>
      <c r="L55" s="190">
        <v>0</v>
      </c>
      <c r="M55" s="190">
        <v>0</v>
      </c>
      <c r="N55" s="190">
        <v>0</v>
      </c>
      <c r="O55" s="190">
        <v>0</v>
      </c>
      <c r="P55" s="190">
        <v>0</v>
      </c>
      <c r="Q55" s="190">
        <v>0</v>
      </c>
      <c r="R55" s="190">
        <v>0</v>
      </c>
      <c r="S55" s="190">
        <v>0</v>
      </c>
      <c r="T55" s="190">
        <v>0</v>
      </c>
      <c r="U55" s="190">
        <v>0</v>
      </c>
      <c r="V55" s="190">
        <v>0</v>
      </c>
      <c r="W55" s="190">
        <v>0</v>
      </c>
      <c r="X55" s="190">
        <v>0</v>
      </c>
      <c r="Y55" s="190">
        <v>0</v>
      </c>
      <c r="Z55" s="190">
        <v>0</v>
      </c>
      <c r="AA55" s="190">
        <v>0</v>
      </c>
      <c r="AB55" s="190">
        <v>0</v>
      </c>
      <c r="AC55" s="190">
        <v>0</v>
      </c>
      <c r="AD55" s="190">
        <v>0</v>
      </c>
      <c r="AE55" s="190">
        <v>0</v>
      </c>
      <c r="AF55" s="190">
        <v>0</v>
      </c>
      <c r="AG55" s="190">
        <v>0</v>
      </c>
      <c r="AH55" s="190">
        <v>0</v>
      </c>
      <c r="AI55" s="190">
        <v>0</v>
      </c>
      <c r="AJ55" s="190">
        <v>0</v>
      </c>
      <c r="AK55" s="190">
        <v>0</v>
      </c>
      <c r="AL55" s="190">
        <v>0</v>
      </c>
      <c r="AM55" s="190">
        <v>0</v>
      </c>
      <c r="AN55" s="190">
        <v>0</v>
      </c>
      <c r="AO55" s="190">
        <v>0</v>
      </c>
      <c r="AP55" s="190">
        <v>0</v>
      </c>
      <c r="AQ55" s="190">
        <v>0</v>
      </c>
      <c r="AR55" s="190"/>
      <c r="AS55" s="190"/>
      <c r="AT55" s="190"/>
      <c r="AU55" s="190"/>
      <c r="AV55" s="190"/>
      <c r="AW55" s="190"/>
      <c r="AX55" s="190"/>
      <c r="AY55" s="190"/>
      <c r="AZ55" s="190"/>
      <c r="BA55" s="190"/>
      <c r="BB55" s="190"/>
      <c r="BC55" s="190"/>
      <c r="BD55" s="190"/>
      <c r="BE55" s="190"/>
      <c r="BF55" s="190"/>
      <c r="BG55" s="190"/>
      <c r="BH55" s="190"/>
      <c r="BI55" s="190"/>
      <c r="BJ55" s="190"/>
      <c r="BK55" s="190"/>
      <c r="BL55" s="190"/>
      <c r="BM55" s="190"/>
      <c r="BN55" s="190"/>
      <c r="BO55" s="190"/>
      <c r="BP55" s="190"/>
      <c r="BQ55" s="190"/>
      <c r="BR55" s="190"/>
      <c r="BS55" s="190"/>
      <c r="BT55" s="190"/>
      <c r="BU55" s="190"/>
      <c r="BV55" s="190"/>
      <c r="BW55" s="190"/>
      <c r="BX55" s="190"/>
      <c r="BY55" s="190"/>
      <c r="BZ55" s="190"/>
      <c r="CA55" s="190"/>
      <c r="CB55" s="190"/>
      <c r="CC55" s="190"/>
      <c r="CD55" s="190"/>
      <c r="CE55" s="190"/>
      <c r="CF55" s="190"/>
      <c r="CG55" s="190"/>
      <c r="CH55" s="190"/>
      <c r="CI55" s="190"/>
      <c r="CJ55" s="190"/>
      <c r="CK55" s="190"/>
      <c r="CL55" s="190"/>
    </row>
    <row r="56" spans="1:90" s="193" customFormat="1" x14ac:dyDescent="0.25">
      <c r="A56" s="193" t="s">
        <v>38</v>
      </c>
      <c r="B56" s="190">
        <v>0</v>
      </c>
      <c r="C56" s="190">
        <v>0</v>
      </c>
      <c r="D56" s="190">
        <v>0</v>
      </c>
      <c r="E56" s="190">
        <v>0</v>
      </c>
      <c r="F56" s="190">
        <v>0</v>
      </c>
      <c r="G56" s="190">
        <v>0</v>
      </c>
      <c r="H56" s="190">
        <v>0</v>
      </c>
      <c r="I56" s="190">
        <v>0</v>
      </c>
      <c r="J56" s="190">
        <v>0</v>
      </c>
      <c r="K56" s="190">
        <v>0</v>
      </c>
      <c r="L56" s="190">
        <v>0</v>
      </c>
      <c r="M56" s="190">
        <v>0</v>
      </c>
      <c r="N56" s="190">
        <v>0</v>
      </c>
      <c r="O56" s="190">
        <v>0</v>
      </c>
      <c r="P56" s="190">
        <v>0</v>
      </c>
      <c r="Q56" s="190">
        <v>0</v>
      </c>
      <c r="R56" s="190">
        <v>0</v>
      </c>
      <c r="S56" s="190">
        <v>0</v>
      </c>
      <c r="T56" s="190">
        <v>0</v>
      </c>
      <c r="U56" s="190">
        <v>0</v>
      </c>
      <c r="V56" s="190">
        <v>0</v>
      </c>
      <c r="W56" s="190">
        <v>0</v>
      </c>
      <c r="X56" s="190">
        <v>0</v>
      </c>
      <c r="Y56" s="190">
        <v>0</v>
      </c>
      <c r="Z56" s="190">
        <v>0</v>
      </c>
      <c r="AA56" s="190">
        <v>0</v>
      </c>
      <c r="AB56" s="190">
        <v>0</v>
      </c>
      <c r="AC56" s="190">
        <v>0</v>
      </c>
      <c r="AD56" s="190">
        <v>0</v>
      </c>
      <c r="AE56" s="190">
        <v>0</v>
      </c>
      <c r="AF56" s="190">
        <v>0</v>
      </c>
      <c r="AG56" s="190">
        <v>0</v>
      </c>
      <c r="AH56" s="190">
        <v>0</v>
      </c>
      <c r="AI56" s="190">
        <v>0</v>
      </c>
      <c r="AJ56" s="190">
        <v>0</v>
      </c>
      <c r="AK56" s="190">
        <v>0</v>
      </c>
      <c r="AL56" s="190">
        <v>0</v>
      </c>
      <c r="AM56" s="190">
        <v>0</v>
      </c>
      <c r="AN56" s="190">
        <v>0</v>
      </c>
      <c r="AO56" s="190">
        <v>0</v>
      </c>
      <c r="AP56" s="190">
        <v>0</v>
      </c>
      <c r="AQ56" s="190">
        <v>0</v>
      </c>
      <c r="AR56" s="190"/>
      <c r="AS56" s="190"/>
      <c r="AT56" s="190"/>
      <c r="AU56" s="190"/>
      <c r="AV56" s="190"/>
      <c r="AW56" s="190"/>
      <c r="AX56" s="190"/>
      <c r="AY56" s="190"/>
      <c r="AZ56" s="190"/>
      <c r="BA56" s="190"/>
      <c r="BB56" s="190"/>
      <c r="BC56" s="190"/>
      <c r="BD56" s="190"/>
      <c r="BE56" s="190"/>
      <c r="BF56" s="190"/>
      <c r="BG56" s="190"/>
      <c r="BH56" s="190"/>
      <c r="BI56" s="190"/>
      <c r="BJ56" s="190"/>
      <c r="BK56" s="190"/>
      <c r="BL56" s="190"/>
      <c r="BM56" s="190"/>
      <c r="BN56" s="190"/>
      <c r="BO56" s="190"/>
      <c r="BP56" s="190"/>
      <c r="BQ56" s="190"/>
      <c r="BR56" s="190"/>
      <c r="BS56" s="190"/>
      <c r="BT56" s="190"/>
      <c r="BU56" s="190"/>
      <c r="BV56" s="190"/>
      <c r="BW56" s="190"/>
      <c r="BX56" s="190"/>
      <c r="BY56" s="190"/>
      <c r="BZ56" s="190"/>
      <c r="CA56" s="190"/>
      <c r="CB56" s="190"/>
      <c r="CC56" s="190"/>
      <c r="CD56" s="190"/>
      <c r="CE56" s="190"/>
      <c r="CF56" s="190"/>
      <c r="CG56" s="190"/>
      <c r="CH56" s="190"/>
      <c r="CI56" s="190"/>
      <c r="CJ56" s="190"/>
      <c r="CK56" s="190"/>
      <c r="CL56" s="190"/>
    </row>
    <row r="57" spans="1:90" s="193" customFormat="1" x14ac:dyDescent="0.25">
      <c r="A57" s="193" t="s">
        <v>39</v>
      </c>
      <c r="B57" s="190">
        <v>0</v>
      </c>
      <c r="C57" s="190">
        <v>0</v>
      </c>
      <c r="D57" s="190">
        <v>0</v>
      </c>
      <c r="E57" s="190">
        <v>0</v>
      </c>
      <c r="F57" s="190">
        <v>0</v>
      </c>
      <c r="G57" s="190">
        <v>0</v>
      </c>
      <c r="H57" s="190">
        <v>0</v>
      </c>
      <c r="I57" s="190">
        <v>0</v>
      </c>
      <c r="J57" s="190">
        <v>0</v>
      </c>
      <c r="K57" s="190">
        <v>0</v>
      </c>
      <c r="L57" s="190">
        <v>0</v>
      </c>
      <c r="M57" s="190">
        <v>0</v>
      </c>
      <c r="N57" s="190">
        <v>0</v>
      </c>
      <c r="O57" s="190">
        <v>0</v>
      </c>
      <c r="P57" s="190">
        <v>0</v>
      </c>
      <c r="Q57" s="190">
        <v>0</v>
      </c>
      <c r="R57" s="190">
        <v>0</v>
      </c>
      <c r="S57" s="190">
        <v>0</v>
      </c>
      <c r="T57" s="190">
        <v>0</v>
      </c>
      <c r="U57" s="190">
        <v>0</v>
      </c>
      <c r="V57" s="190">
        <v>0</v>
      </c>
      <c r="W57" s="190">
        <v>0</v>
      </c>
      <c r="X57" s="190">
        <v>0</v>
      </c>
      <c r="Y57" s="190">
        <v>0</v>
      </c>
      <c r="Z57" s="190">
        <v>0</v>
      </c>
      <c r="AA57" s="190">
        <v>0</v>
      </c>
      <c r="AB57" s="190">
        <v>0</v>
      </c>
      <c r="AC57" s="190">
        <v>0</v>
      </c>
      <c r="AD57" s="190">
        <v>0</v>
      </c>
      <c r="AE57" s="190">
        <v>0</v>
      </c>
      <c r="AF57" s="190">
        <v>0</v>
      </c>
      <c r="AG57" s="190">
        <v>0</v>
      </c>
      <c r="AH57" s="190">
        <v>0</v>
      </c>
      <c r="AI57" s="190">
        <v>0</v>
      </c>
      <c r="AJ57" s="190">
        <v>0</v>
      </c>
      <c r="AK57" s="190">
        <v>0</v>
      </c>
      <c r="AL57" s="190">
        <v>0</v>
      </c>
      <c r="AM57" s="190">
        <v>0</v>
      </c>
      <c r="AN57" s="190">
        <v>0</v>
      </c>
      <c r="AO57" s="190">
        <v>0</v>
      </c>
      <c r="AP57" s="190">
        <v>0</v>
      </c>
      <c r="AQ57" s="190">
        <v>0</v>
      </c>
      <c r="AR57" s="190"/>
      <c r="AS57" s="190"/>
      <c r="AT57" s="190"/>
      <c r="AU57" s="190"/>
      <c r="AV57" s="190"/>
      <c r="AW57" s="190"/>
      <c r="AX57" s="190"/>
      <c r="AY57" s="190"/>
      <c r="AZ57" s="190"/>
      <c r="BA57" s="190"/>
      <c r="BB57" s="190"/>
      <c r="BC57" s="190"/>
      <c r="BD57" s="190"/>
      <c r="BE57" s="190"/>
      <c r="BF57" s="190"/>
      <c r="BG57" s="190"/>
      <c r="BH57" s="190"/>
      <c r="BI57" s="190"/>
      <c r="BJ57" s="190"/>
      <c r="BK57" s="190"/>
      <c r="BL57" s="190"/>
      <c r="BM57" s="190"/>
      <c r="BN57" s="190"/>
      <c r="BO57" s="190"/>
      <c r="BP57" s="190"/>
      <c r="BQ57" s="190"/>
      <c r="BR57" s="190"/>
      <c r="BS57" s="190"/>
      <c r="BT57" s="190"/>
      <c r="BU57" s="190"/>
      <c r="BV57" s="190"/>
      <c r="BW57" s="190"/>
      <c r="BX57" s="190"/>
      <c r="BY57" s="190"/>
      <c r="BZ57" s="190"/>
      <c r="CA57" s="190"/>
      <c r="CB57" s="190"/>
      <c r="CC57" s="190"/>
      <c r="CD57" s="190"/>
      <c r="CE57" s="190"/>
      <c r="CF57" s="190"/>
      <c r="CG57" s="190"/>
      <c r="CH57" s="190"/>
      <c r="CI57" s="190"/>
      <c r="CJ57" s="190"/>
      <c r="CK57" s="190"/>
      <c r="CL57" s="190"/>
    </row>
    <row r="58" spans="1:90" s="193" customFormat="1" x14ac:dyDescent="0.25">
      <c r="A58" s="193" t="s">
        <v>40</v>
      </c>
      <c r="B58" s="190">
        <v>308191331.69</v>
      </c>
      <c r="C58" s="190">
        <v>302341982.07999998</v>
      </c>
      <c r="D58" s="190">
        <v>295395421.49000001</v>
      </c>
      <c r="E58" s="190">
        <v>306530006.25</v>
      </c>
      <c r="F58" s="190">
        <v>323481827.06</v>
      </c>
      <c r="G58" s="190">
        <v>332029194.92000002</v>
      </c>
      <c r="H58" s="190">
        <v>331416349.85000002</v>
      </c>
      <c r="I58" s="190">
        <v>118170720.79000001</v>
      </c>
      <c r="J58" s="190">
        <v>111435999.70999999</v>
      </c>
      <c r="K58" s="190">
        <v>113087078.09</v>
      </c>
      <c r="L58" s="190">
        <v>114290815.06999999</v>
      </c>
      <c r="M58" s="190">
        <v>115277269.56999999</v>
      </c>
      <c r="N58" s="190">
        <v>101655338.19</v>
      </c>
      <c r="O58" s="190">
        <v>102732342.14</v>
      </c>
      <c r="P58" s="190">
        <v>103485214.91</v>
      </c>
      <c r="Q58" s="190">
        <v>104149223.65000001</v>
      </c>
      <c r="R58" s="190">
        <v>104006611.81999999</v>
      </c>
      <c r="S58" s="190">
        <v>104953963.73999999</v>
      </c>
      <c r="T58" s="190">
        <v>105966556.81999999</v>
      </c>
      <c r="U58" s="190">
        <v>107131650.09</v>
      </c>
      <c r="V58" s="190">
        <v>105477980.48999999</v>
      </c>
      <c r="W58" s="190">
        <v>76697891.120000005</v>
      </c>
      <c r="X58" s="190">
        <v>77512018.849999994</v>
      </c>
      <c r="Y58" s="190">
        <v>78511748.140000001</v>
      </c>
      <c r="Z58" s="190">
        <v>75008661.75</v>
      </c>
      <c r="AA58" s="190">
        <v>75533792.769999996</v>
      </c>
      <c r="AB58" s="190">
        <v>76417045.849999994</v>
      </c>
      <c r="AC58" s="190">
        <v>77223131.420000002</v>
      </c>
      <c r="AD58" s="190">
        <v>49561700.560000002</v>
      </c>
      <c r="AE58" s="190">
        <v>48784322.049999997</v>
      </c>
      <c r="AF58" s="190">
        <v>37756780.240000002</v>
      </c>
      <c r="AG58" s="190">
        <v>37874398.460000001</v>
      </c>
      <c r="AH58" s="190">
        <v>35041483.909999996</v>
      </c>
      <c r="AI58" s="190">
        <v>35254621.369999997</v>
      </c>
      <c r="AJ58" s="190">
        <v>35448231.049999997</v>
      </c>
      <c r="AK58" s="190">
        <v>12441501.48</v>
      </c>
      <c r="AL58" s="190">
        <v>12567010.58</v>
      </c>
      <c r="AM58" s="190">
        <v>12702441.859999999</v>
      </c>
      <c r="AN58" s="190">
        <v>12773722.76</v>
      </c>
      <c r="AO58" s="190">
        <v>13253983.52</v>
      </c>
      <c r="AP58" s="190">
        <v>13373966.359999999</v>
      </c>
      <c r="AQ58" s="190">
        <v>0</v>
      </c>
      <c r="AR58" s="190"/>
      <c r="AS58" s="190"/>
      <c r="AT58" s="190"/>
      <c r="AU58" s="190"/>
      <c r="AV58" s="190"/>
      <c r="AW58" s="190"/>
      <c r="AX58" s="190"/>
      <c r="AY58" s="190"/>
      <c r="AZ58" s="190"/>
      <c r="BA58" s="190"/>
      <c r="BB58" s="190"/>
      <c r="BC58" s="190"/>
      <c r="BD58" s="190"/>
      <c r="BE58" s="190"/>
      <c r="BF58" s="190"/>
      <c r="BG58" s="190"/>
      <c r="BH58" s="190"/>
      <c r="BI58" s="190"/>
      <c r="BJ58" s="190"/>
      <c r="BK58" s="190"/>
      <c r="BL58" s="190"/>
      <c r="BM58" s="190"/>
      <c r="BN58" s="190"/>
      <c r="BO58" s="190"/>
      <c r="BP58" s="190"/>
      <c r="BQ58" s="190"/>
      <c r="BR58" s="190"/>
      <c r="BS58" s="190"/>
      <c r="BT58" s="190"/>
      <c r="BU58" s="190"/>
      <c r="BV58" s="190"/>
      <c r="BW58" s="190"/>
      <c r="BX58" s="190"/>
      <c r="BY58" s="190"/>
      <c r="BZ58" s="190"/>
      <c r="CA58" s="190"/>
      <c r="CB58" s="190"/>
      <c r="CC58" s="190"/>
      <c r="CD58" s="190"/>
      <c r="CE58" s="190"/>
      <c r="CF58" s="190"/>
      <c r="CG58" s="190"/>
      <c r="CH58" s="190"/>
      <c r="CI58" s="190"/>
      <c r="CJ58" s="190"/>
      <c r="CK58" s="190"/>
      <c r="CL58" s="190"/>
    </row>
    <row r="59" spans="1:90" s="193" customFormat="1" x14ac:dyDescent="0.25">
      <c r="A59" s="193" t="s">
        <v>41</v>
      </c>
      <c r="B59" s="190">
        <v>0</v>
      </c>
      <c r="C59" s="190">
        <v>0</v>
      </c>
      <c r="D59" s="190">
        <v>0</v>
      </c>
      <c r="E59" s="190">
        <v>0</v>
      </c>
      <c r="F59" s="190">
        <v>0</v>
      </c>
      <c r="G59" s="190">
        <v>0</v>
      </c>
      <c r="H59" s="190">
        <v>0</v>
      </c>
      <c r="I59" s="190">
        <v>0</v>
      </c>
      <c r="J59" s="190">
        <v>0</v>
      </c>
      <c r="K59" s="190">
        <v>0</v>
      </c>
      <c r="L59" s="190">
        <v>0</v>
      </c>
      <c r="M59" s="190">
        <v>0</v>
      </c>
      <c r="N59" s="190">
        <v>0</v>
      </c>
      <c r="O59" s="190">
        <v>0</v>
      </c>
      <c r="P59" s="190">
        <v>0</v>
      </c>
      <c r="Q59" s="190">
        <v>0</v>
      </c>
      <c r="R59" s="190">
        <v>0</v>
      </c>
      <c r="S59" s="190">
        <v>0</v>
      </c>
      <c r="T59" s="190">
        <v>0</v>
      </c>
      <c r="U59" s="190">
        <v>0</v>
      </c>
      <c r="V59" s="190">
        <v>0</v>
      </c>
      <c r="W59" s="190">
        <v>0</v>
      </c>
      <c r="X59" s="190">
        <v>0</v>
      </c>
      <c r="Y59" s="190">
        <v>0</v>
      </c>
      <c r="Z59" s="190">
        <v>0</v>
      </c>
      <c r="AA59" s="190">
        <v>0</v>
      </c>
      <c r="AB59" s="190">
        <v>0</v>
      </c>
      <c r="AC59" s="190">
        <v>0</v>
      </c>
      <c r="AD59" s="190">
        <v>0</v>
      </c>
      <c r="AE59" s="190">
        <v>0</v>
      </c>
      <c r="AF59" s="190">
        <v>0</v>
      </c>
      <c r="AG59" s="190">
        <v>0</v>
      </c>
      <c r="AH59" s="190">
        <v>0</v>
      </c>
      <c r="AI59" s="190">
        <v>0</v>
      </c>
      <c r="AJ59" s="190">
        <v>0</v>
      </c>
      <c r="AK59" s="190">
        <v>0</v>
      </c>
      <c r="AL59" s="190">
        <v>0</v>
      </c>
      <c r="AM59" s="190">
        <v>0</v>
      </c>
      <c r="AN59" s="190">
        <v>0</v>
      </c>
      <c r="AO59" s="190">
        <v>0</v>
      </c>
      <c r="AP59" s="190">
        <v>0</v>
      </c>
      <c r="AQ59" s="190">
        <v>0</v>
      </c>
      <c r="AR59" s="190"/>
      <c r="AS59" s="190"/>
      <c r="AT59" s="190"/>
      <c r="AU59" s="190"/>
      <c r="AV59" s="190"/>
      <c r="AW59" s="190"/>
      <c r="AX59" s="190"/>
      <c r="AY59" s="190"/>
      <c r="AZ59" s="190"/>
      <c r="BA59" s="190"/>
      <c r="BB59" s="190"/>
      <c r="BC59" s="190"/>
      <c r="BD59" s="190"/>
      <c r="BE59" s="190"/>
      <c r="BF59" s="190"/>
      <c r="BG59" s="190"/>
      <c r="BH59" s="190"/>
      <c r="BI59" s="190"/>
      <c r="BJ59" s="190"/>
      <c r="BK59" s="190"/>
      <c r="BL59" s="190"/>
      <c r="BM59" s="190"/>
      <c r="BN59" s="190"/>
      <c r="BO59" s="190"/>
      <c r="BP59" s="190"/>
      <c r="BQ59" s="190"/>
      <c r="BR59" s="190"/>
      <c r="BS59" s="190"/>
      <c r="BT59" s="190"/>
      <c r="BU59" s="190"/>
      <c r="BV59" s="190"/>
      <c r="BW59" s="190"/>
      <c r="BX59" s="190"/>
      <c r="BY59" s="190"/>
      <c r="BZ59" s="190"/>
      <c r="CA59" s="190"/>
      <c r="CB59" s="190"/>
      <c r="CC59" s="190"/>
      <c r="CD59" s="190"/>
      <c r="CE59" s="190"/>
      <c r="CF59" s="190"/>
      <c r="CG59" s="190"/>
      <c r="CH59" s="190"/>
      <c r="CI59" s="190"/>
      <c r="CJ59" s="190"/>
      <c r="CK59" s="190"/>
      <c r="CL59" s="190"/>
    </row>
    <row r="60" spans="1:90" s="193" customFormat="1" x14ac:dyDescent="0.25">
      <c r="A60" s="193" t="s">
        <v>42</v>
      </c>
      <c r="B60" s="190">
        <v>243655266.56</v>
      </c>
      <c r="C60" s="190">
        <v>243655266.56</v>
      </c>
      <c r="D60" s="190">
        <v>235212831.53</v>
      </c>
      <c r="E60" s="190">
        <v>242110082.27000001</v>
      </c>
      <c r="F60" s="190">
        <v>316329792.22000003</v>
      </c>
      <c r="G60" s="190">
        <v>319336551.69</v>
      </c>
      <c r="H60" s="190">
        <v>321700134.58999997</v>
      </c>
      <c r="I60" s="190">
        <v>171198432.88999999</v>
      </c>
      <c r="J60" s="190">
        <v>196618493.28999999</v>
      </c>
      <c r="K60" s="190">
        <v>196618493.28999999</v>
      </c>
      <c r="L60" s="190">
        <v>196618493.28999999</v>
      </c>
      <c r="M60" s="190">
        <v>196618493.28999999</v>
      </c>
      <c r="N60" s="190">
        <v>169278079.88999999</v>
      </c>
      <c r="O60" s="190">
        <v>167731606.88999999</v>
      </c>
      <c r="P60" s="190">
        <v>167731606.88999999</v>
      </c>
      <c r="Q60" s="190">
        <v>167731606.88999999</v>
      </c>
      <c r="R60" s="190">
        <v>0</v>
      </c>
      <c r="S60" s="190">
        <v>0</v>
      </c>
      <c r="T60" s="190">
        <v>0</v>
      </c>
      <c r="U60" s="190">
        <v>0</v>
      </c>
      <c r="V60" s="190">
        <v>0</v>
      </c>
      <c r="W60" s="190">
        <v>0</v>
      </c>
      <c r="X60" s="190">
        <v>0</v>
      </c>
      <c r="Y60" s="190">
        <v>0</v>
      </c>
      <c r="Z60" s="190">
        <v>0</v>
      </c>
      <c r="AA60" s="190">
        <v>0</v>
      </c>
      <c r="AB60" s="190">
        <v>0</v>
      </c>
      <c r="AC60" s="190">
        <v>0</v>
      </c>
      <c r="AD60" s="190">
        <v>0</v>
      </c>
      <c r="AE60" s="190">
        <v>0</v>
      </c>
      <c r="AF60" s="190">
        <v>0</v>
      </c>
      <c r="AG60" s="190">
        <v>0</v>
      </c>
      <c r="AH60" s="190">
        <v>21180.67</v>
      </c>
      <c r="AI60" s="190">
        <v>21180.67</v>
      </c>
      <c r="AJ60" s="190">
        <v>21180.67</v>
      </c>
      <c r="AK60" s="190">
        <v>21180.67</v>
      </c>
      <c r="AL60" s="190">
        <v>21180.67</v>
      </c>
      <c r="AM60" s="190">
        <v>21180.67</v>
      </c>
      <c r="AN60" s="190">
        <v>21180.67</v>
      </c>
      <c r="AO60" s="190">
        <v>0</v>
      </c>
      <c r="AP60" s="190">
        <v>0</v>
      </c>
      <c r="AQ60" s="190">
        <v>0</v>
      </c>
      <c r="AR60" s="190"/>
      <c r="AS60" s="190"/>
      <c r="AT60" s="190"/>
      <c r="AU60" s="190"/>
      <c r="AV60" s="190"/>
      <c r="AW60" s="190"/>
      <c r="AX60" s="190"/>
      <c r="AY60" s="190"/>
      <c r="AZ60" s="190"/>
      <c r="BA60" s="190"/>
      <c r="BB60" s="190"/>
      <c r="BC60" s="190"/>
      <c r="BD60" s="190"/>
      <c r="BE60" s="190"/>
      <c r="BF60" s="190"/>
      <c r="BG60" s="190"/>
      <c r="BH60" s="190"/>
      <c r="BI60" s="190"/>
      <c r="BJ60" s="190"/>
      <c r="BK60" s="190"/>
      <c r="BL60" s="190"/>
      <c r="BM60" s="190"/>
      <c r="BN60" s="190"/>
      <c r="BO60" s="190"/>
      <c r="BP60" s="190"/>
      <c r="BQ60" s="190"/>
      <c r="BR60" s="190"/>
      <c r="BS60" s="190"/>
      <c r="BT60" s="190"/>
      <c r="BU60" s="190"/>
      <c r="BV60" s="190"/>
      <c r="BW60" s="190"/>
      <c r="BX60" s="190"/>
      <c r="BY60" s="190"/>
      <c r="BZ60" s="190"/>
      <c r="CA60" s="190"/>
      <c r="CB60" s="190"/>
      <c r="CC60" s="190"/>
      <c r="CD60" s="190"/>
      <c r="CE60" s="190"/>
      <c r="CF60" s="190"/>
      <c r="CG60" s="190"/>
      <c r="CH60" s="190"/>
      <c r="CI60" s="190"/>
      <c r="CJ60" s="190"/>
      <c r="CK60" s="190"/>
      <c r="CL60" s="190"/>
    </row>
    <row r="61" spans="1:90" s="193" customFormat="1" x14ac:dyDescent="0.25">
      <c r="A61" s="193" t="s">
        <v>43</v>
      </c>
      <c r="B61" s="190">
        <v>43475749.869999997</v>
      </c>
      <c r="C61" s="190">
        <v>33872230.049999997</v>
      </c>
      <c r="D61" s="190">
        <v>44410205.869999997</v>
      </c>
      <c r="E61" s="190">
        <v>45947172.509999998</v>
      </c>
      <c r="F61" s="190">
        <v>29544182.129999999</v>
      </c>
      <c r="G61" s="190">
        <v>33023768.449999999</v>
      </c>
      <c r="H61" s="190">
        <v>41923633.200000003</v>
      </c>
      <c r="I61" s="190">
        <v>43253422.079999998</v>
      </c>
      <c r="J61" s="190">
        <v>48680532.130000003</v>
      </c>
      <c r="K61" s="190">
        <v>51199288.490000002</v>
      </c>
      <c r="L61" s="190">
        <v>50568500.950000003</v>
      </c>
      <c r="M61" s="190">
        <v>50655055.060000002</v>
      </c>
      <c r="N61" s="190">
        <v>53577405.07</v>
      </c>
      <c r="O61" s="190">
        <v>55914826.670000002</v>
      </c>
      <c r="P61" s="190">
        <v>59083791.030000001</v>
      </c>
      <c r="Q61" s="190">
        <v>60762776.060000002</v>
      </c>
      <c r="R61" s="190">
        <v>63982086.710000001</v>
      </c>
      <c r="S61" s="190">
        <v>67359719.879999995</v>
      </c>
      <c r="T61" s="190">
        <v>69801468.840000004</v>
      </c>
      <c r="U61" s="190">
        <v>70760454.409999996</v>
      </c>
      <c r="V61" s="190">
        <v>56419955.990000002</v>
      </c>
      <c r="W61" s="190">
        <v>39435138.039999999</v>
      </c>
      <c r="X61" s="190">
        <v>29161215.899999999</v>
      </c>
      <c r="Y61" s="190">
        <v>17715115.059999999</v>
      </c>
      <c r="Z61" s="190">
        <v>17778744.809999999</v>
      </c>
      <c r="AA61" s="190">
        <v>15884098.449999999</v>
      </c>
      <c r="AB61" s="190">
        <v>14905670.91</v>
      </c>
      <c r="AC61" s="190">
        <v>12321576.76</v>
      </c>
      <c r="AD61" s="190">
        <v>10256905.619999999</v>
      </c>
      <c r="AE61" s="190">
        <v>7566624.9100000001</v>
      </c>
      <c r="AF61" s="190">
        <v>7658282.04</v>
      </c>
      <c r="AG61" s="190">
        <v>6663584</v>
      </c>
      <c r="AH61" s="190">
        <v>5604783.4100000001</v>
      </c>
      <c r="AI61" s="190">
        <v>5014467.38</v>
      </c>
      <c r="AJ61" s="190">
        <v>5238906.71</v>
      </c>
      <c r="AK61" s="190">
        <v>4722656.8099999996</v>
      </c>
      <c r="AL61" s="190">
        <v>0</v>
      </c>
      <c r="AM61" s="190">
        <v>0</v>
      </c>
      <c r="AN61" s="190">
        <v>0</v>
      </c>
      <c r="AO61" s="190">
        <v>0</v>
      </c>
      <c r="AP61" s="190">
        <v>0</v>
      </c>
      <c r="AQ61" s="190">
        <v>0</v>
      </c>
      <c r="AR61" s="190"/>
      <c r="AS61" s="190"/>
      <c r="AT61" s="190"/>
      <c r="AU61" s="190"/>
      <c r="AV61" s="190"/>
      <c r="AW61" s="190"/>
      <c r="AX61" s="190"/>
      <c r="AY61" s="190"/>
      <c r="AZ61" s="190"/>
      <c r="BA61" s="190"/>
      <c r="BB61" s="190"/>
      <c r="BC61" s="190"/>
      <c r="BD61" s="190"/>
      <c r="BE61" s="190"/>
      <c r="BF61" s="190"/>
      <c r="BG61" s="190"/>
      <c r="BH61" s="190"/>
      <c r="BI61" s="190"/>
      <c r="BJ61" s="190"/>
      <c r="BK61" s="190"/>
      <c r="BL61" s="190"/>
      <c r="BM61" s="190"/>
      <c r="BN61" s="190"/>
      <c r="BO61" s="190"/>
      <c r="BP61" s="190"/>
      <c r="BQ61" s="190"/>
      <c r="BR61" s="190"/>
      <c r="BS61" s="190"/>
      <c r="BT61" s="190"/>
      <c r="BU61" s="190"/>
      <c r="BV61" s="190"/>
      <c r="BW61" s="190"/>
      <c r="BX61" s="190"/>
      <c r="BY61" s="190"/>
      <c r="BZ61" s="190"/>
      <c r="CA61" s="190"/>
      <c r="CB61" s="190"/>
      <c r="CC61" s="190"/>
      <c r="CD61" s="190"/>
      <c r="CE61" s="190"/>
      <c r="CF61" s="190"/>
      <c r="CG61" s="190"/>
      <c r="CH61" s="190"/>
      <c r="CI61" s="190"/>
      <c r="CJ61" s="190"/>
      <c r="CK61" s="190"/>
      <c r="CL61" s="190"/>
    </row>
    <row r="62" spans="1:90" s="193" customFormat="1" x14ac:dyDescent="0.25">
      <c r="A62" s="193" t="s">
        <v>44</v>
      </c>
      <c r="B62" s="190">
        <v>123180603.91</v>
      </c>
      <c r="C62" s="190">
        <v>121891447.79000001</v>
      </c>
      <c r="D62" s="190">
        <v>113050132.55</v>
      </c>
      <c r="E62" s="190">
        <v>131652044.88</v>
      </c>
      <c r="F62" s="190">
        <v>128957242.54000001</v>
      </c>
      <c r="G62" s="190">
        <v>132821350.84</v>
      </c>
      <c r="H62" s="190">
        <v>124728664.06999999</v>
      </c>
      <c r="I62" s="190">
        <v>96568754.730000004</v>
      </c>
      <c r="J62" s="190">
        <v>97988507.489999995</v>
      </c>
      <c r="K62" s="190">
        <v>98726880.129999995</v>
      </c>
      <c r="L62" s="190">
        <v>106206337.41</v>
      </c>
      <c r="M62" s="190">
        <v>105045408.40000001</v>
      </c>
      <c r="N62" s="190">
        <v>94036413.329999998</v>
      </c>
      <c r="O62" s="190">
        <v>87281212.469999999</v>
      </c>
      <c r="P62" s="190">
        <v>82842026.349999994</v>
      </c>
      <c r="Q62" s="190">
        <v>85776389.219999999</v>
      </c>
      <c r="R62" s="190">
        <v>82492392.150000006</v>
      </c>
      <c r="S62" s="190">
        <v>66264750.82</v>
      </c>
      <c r="T62" s="190">
        <v>56403144.689999998</v>
      </c>
      <c r="U62" s="190">
        <v>58415483.549999997</v>
      </c>
      <c r="V62" s="190">
        <v>67799202.469999999</v>
      </c>
      <c r="W62" s="190">
        <v>62611670.850000001</v>
      </c>
      <c r="X62" s="190">
        <v>51492596.219999999</v>
      </c>
      <c r="Y62" s="190">
        <v>54394134.75</v>
      </c>
      <c r="Z62" s="190">
        <v>53462105.979999997</v>
      </c>
      <c r="AA62" s="190">
        <v>48277776.359999999</v>
      </c>
      <c r="AB62" s="190">
        <v>42246032.509999998</v>
      </c>
      <c r="AC62" s="190">
        <v>43324488.460000001</v>
      </c>
      <c r="AD62" s="190">
        <v>57206608.259999998</v>
      </c>
      <c r="AE62" s="190">
        <v>48133149.729999997</v>
      </c>
      <c r="AF62" s="190">
        <v>44207607.390000001</v>
      </c>
      <c r="AG62" s="190">
        <v>39821139.329999998</v>
      </c>
      <c r="AH62" s="190">
        <v>6938403.5800000001</v>
      </c>
      <c r="AI62" s="190">
        <v>6785539.7000000002</v>
      </c>
      <c r="AJ62" s="190">
        <v>8018973.6100000003</v>
      </c>
      <c r="AK62" s="190">
        <v>7742787.0199999996</v>
      </c>
      <c r="AL62" s="190">
        <v>4851029.58</v>
      </c>
      <c r="AM62" s="190">
        <v>4560809.71</v>
      </c>
      <c r="AN62" s="190">
        <v>6155362.0300000003</v>
      </c>
      <c r="AO62" s="190">
        <v>3866563.8</v>
      </c>
      <c r="AP62" s="190">
        <v>2783130.85</v>
      </c>
      <c r="AQ62" s="190">
        <v>0</v>
      </c>
      <c r="AR62" s="190"/>
      <c r="AS62" s="190"/>
      <c r="AT62" s="190"/>
      <c r="AU62" s="190"/>
      <c r="AV62" s="190"/>
      <c r="AW62" s="190"/>
      <c r="AX62" s="190"/>
      <c r="AY62" s="190"/>
      <c r="AZ62" s="190"/>
      <c r="BA62" s="190"/>
      <c r="BB62" s="190"/>
      <c r="BC62" s="190"/>
      <c r="BD62" s="190"/>
      <c r="BE62" s="190"/>
      <c r="BF62" s="190"/>
      <c r="BG62" s="190"/>
      <c r="BH62" s="190"/>
      <c r="BI62" s="190"/>
      <c r="BJ62" s="190"/>
      <c r="BK62" s="190"/>
      <c r="BL62" s="190"/>
      <c r="BM62" s="190"/>
      <c r="BN62" s="190"/>
      <c r="BO62" s="190"/>
      <c r="BP62" s="190"/>
      <c r="BQ62" s="190"/>
      <c r="BR62" s="190"/>
      <c r="BS62" s="190"/>
      <c r="BT62" s="190"/>
      <c r="BU62" s="190"/>
      <c r="BV62" s="190"/>
      <c r="BW62" s="190"/>
      <c r="BX62" s="190"/>
      <c r="BY62" s="190"/>
      <c r="BZ62" s="190"/>
      <c r="CA62" s="190"/>
      <c r="CB62" s="190"/>
      <c r="CC62" s="190"/>
      <c r="CD62" s="190"/>
      <c r="CE62" s="190"/>
      <c r="CF62" s="190"/>
      <c r="CG62" s="190"/>
      <c r="CH62" s="190"/>
      <c r="CI62" s="190"/>
      <c r="CJ62" s="190"/>
      <c r="CK62" s="190"/>
      <c r="CL62" s="190"/>
    </row>
    <row r="63" spans="1:90" s="193" customFormat="1" x14ac:dyDescent="0.25">
      <c r="A63" s="193" t="s">
        <v>45</v>
      </c>
      <c r="B63" s="190">
        <v>59138703.289999999</v>
      </c>
      <c r="C63" s="190">
        <v>57105693.060000002</v>
      </c>
      <c r="D63" s="190">
        <v>53020453.700000003</v>
      </c>
      <c r="E63" s="190">
        <v>53232849.850000001</v>
      </c>
      <c r="F63" s="190">
        <v>81163867.950000003</v>
      </c>
      <c r="G63" s="190">
        <v>86052130.519999996</v>
      </c>
      <c r="H63" s="190">
        <v>88037017.060000002</v>
      </c>
      <c r="I63" s="190">
        <v>1125000</v>
      </c>
      <c r="J63" s="190">
        <v>1250000</v>
      </c>
      <c r="K63" s="190">
        <v>1250000</v>
      </c>
      <c r="L63" s="190">
        <v>1250000</v>
      </c>
      <c r="M63" s="190">
        <v>1250000</v>
      </c>
      <c r="N63" s="190">
        <v>0</v>
      </c>
      <c r="O63" s="190">
        <v>0</v>
      </c>
      <c r="P63" s="190">
        <v>0</v>
      </c>
      <c r="Q63" s="190">
        <v>0</v>
      </c>
      <c r="R63" s="190">
        <v>0</v>
      </c>
      <c r="S63" s="190">
        <v>0</v>
      </c>
      <c r="T63" s="190">
        <v>0</v>
      </c>
      <c r="U63" s="190">
        <v>0</v>
      </c>
      <c r="V63" s="190">
        <v>0</v>
      </c>
      <c r="W63" s="190">
        <v>0</v>
      </c>
      <c r="X63" s="190">
        <v>0</v>
      </c>
      <c r="Y63" s="190">
        <v>0</v>
      </c>
      <c r="Z63" s="190">
        <v>0</v>
      </c>
      <c r="AA63" s="190">
        <v>0</v>
      </c>
      <c r="AB63" s="190">
        <v>0</v>
      </c>
      <c r="AC63" s="190">
        <v>0</v>
      </c>
      <c r="AD63" s="190">
        <v>0</v>
      </c>
      <c r="AE63" s="190">
        <v>0</v>
      </c>
      <c r="AF63" s="190">
        <v>0</v>
      </c>
      <c r="AG63" s="190">
        <v>0</v>
      </c>
      <c r="AH63" s="190">
        <v>0</v>
      </c>
      <c r="AI63" s="190">
        <v>0</v>
      </c>
      <c r="AJ63" s="190">
        <v>0</v>
      </c>
      <c r="AK63" s="190">
        <v>0</v>
      </c>
      <c r="AL63" s="190">
        <v>0</v>
      </c>
      <c r="AM63" s="190">
        <v>0</v>
      </c>
      <c r="AN63" s="190">
        <v>0</v>
      </c>
      <c r="AO63" s="190">
        <v>0</v>
      </c>
      <c r="AP63" s="190">
        <v>0</v>
      </c>
      <c r="AQ63" s="190">
        <v>0</v>
      </c>
      <c r="AR63" s="190"/>
      <c r="AS63" s="190"/>
      <c r="AT63" s="190"/>
      <c r="AU63" s="190"/>
      <c r="AV63" s="190"/>
      <c r="AW63" s="190"/>
      <c r="AX63" s="190"/>
      <c r="AY63" s="190"/>
      <c r="AZ63" s="190"/>
      <c r="BA63" s="190"/>
      <c r="BB63" s="190"/>
      <c r="BC63" s="190"/>
      <c r="BD63" s="190"/>
      <c r="BE63" s="190"/>
      <c r="BF63" s="190"/>
      <c r="BG63" s="190"/>
      <c r="BH63" s="190"/>
      <c r="BI63" s="190"/>
      <c r="BJ63" s="190"/>
      <c r="BK63" s="190"/>
      <c r="BL63" s="190"/>
      <c r="BM63" s="190"/>
      <c r="BN63" s="190"/>
      <c r="BO63" s="190"/>
      <c r="BP63" s="190"/>
      <c r="BQ63" s="190"/>
      <c r="BR63" s="190"/>
      <c r="BS63" s="190"/>
      <c r="BT63" s="190"/>
      <c r="BU63" s="190"/>
      <c r="BV63" s="190"/>
      <c r="BW63" s="190"/>
      <c r="BX63" s="190"/>
      <c r="BY63" s="190"/>
      <c r="BZ63" s="190"/>
      <c r="CA63" s="190"/>
      <c r="CB63" s="190"/>
      <c r="CC63" s="190"/>
      <c r="CD63" s="190"/>
      <c r="CE63" s="190"/>
      <c r="CF63" s="190"/>
      <c r="CG63" s="190"/>
      <c r="CH63" s="190"/>
      <c r="CI63" s="190"/>
      <c r="CJ63" s="190"/>
      <c r="CK63" s="190"/>
      <c r="CL63" s="190"/>
    </row>
    <row r="64" spans="1:90" s="193" customFormat="1" x14ac:dyDescent="0.25">
      <c r="A64" s="193" t="s">
        <v>46</v>
      </c>
      <c r="B64" s="190">
        <v>11472387.039999999</v>
      </c>
      <c r="C64" s="190">
        <v>11399767.140000001</v>
      </c>
      <c r="D64" s="190">
        <v>11985893.65</v>
      </c>
      <c r="E64" s="190">
        <v>19932301.280000001</v>
      </c>
      <c r="F64" s="190">
        <v>11551859.84</v>
      </c>
      <c r="G64" s="190">
        <v>11592919.029999999</v>
      </c>
      <c r="H64" s="190">
        <v>15785000</v>
      </c>
      <c r="I64" s="190">
        <v>15785000</v>
      </c>
      <c r="J64" s="190">
        <v>0</v>
      </c>
      <c r="K64" s="190">
        <v>0</v>
      </c>
      <c r="L64" s="190">
        <v>0</v>
      </c>
      <c r="M64" s="190">
        <v>0</v>
      </c>
      <c r="N64" s="190">
        <v>0</v>
      </c>
      <c r="O64" s="190">
        <v>0</v>
      </c>
      <c r="P64" s="190">
        <v>0</v>
      </c>
      <c r="Q64" s="190">
        <v>0</v>
      </c>
      <c r="R64" s="190">
        <v>0</v>
      </c>
      <c r="S64" s="190">
        <v>0</v>
      </c>
      <c r="T64" s="190">
        <v>0</v>
      </c>
      <c r="U64" s="190">
        <v>0</v>
      </c>
      <c r="V64" s="190">
        <v>0</v>
      </c>
      <c r="W64" s="190">
        <v>0</v>
      </c>
      <c r="X64" s="190">
        <v>0</v>
      </c>
      <c r="Y64" s="190">
        <v>0</v>
      </c>
      <c r="Z64" s="190">
        <v>0</v>
      </c>
      <c r="AA64" s="190">
        <v>0</v>
      </c>
      <c r="AB64" s="190">
        <v>0</v>
      </c>
      <c r="AC64" s="190">
        <v>0</v>
      </c>
      <c r="AD64" s="190">
        <v>0</v>
      </c>
      <c r="AE64" s="190">
        <v>0</v>
      </c>
      <c r="AF64" s="190">
        <v>0</v>
      </c>
      <c r="AG64" s="190">
        <v>0</v>
      </c>
      <c r="AH64" s="190">
        <v>0</v>
      </c>
      <c r="AI64" s="190">
        <v>0</v>
      </c>
      <c r="AJ64" s="190">
        <v>0</v>
      </c>
      <c r="AK64" s="190">
        <v>0</v>
      </c>
      <c r="AL64" s="190">
        <v>0</v>
      </c>
      <c r="AM64" s="190">
        <v>0</v>
      </c>
      <c r="AN64" s="190">
        <v>0</v>
      </c>
      <c r="AO64" s="190">
        <v>0</v>
      </c>
      <c r="AP64" s="190">
        <v>0</v>
      </c>
      <c r="AQ64" s="190">
        <v>0</v>
      </c>
      <c r="AR64" s="190"/>
      <c r="AS64" s="190"/>
      <c r="AT64" s="190"/>
      <c r="AU64" s="190"/>
      <c r="AV64" s="190"/>
      <c r="AW64" s="190"/>
      <c r="AX64" s="190"/>
      <c r="AY64" s="190"/>
      <c r="AZ64" s="190"/>
      <c r="BA64" s="190"/>
      <c r="BB64" s="190"/>
      <c r="BC64" s="190"/>
      <c r="BD64" s="190"/>
      <c r="BE64" s="190"/>
      <c r="BF64" s="190"/>
      <c r="BG64" s="190"/>
      <c r="BH64" s="190"/>
      <c r="BI64" s="190"/>
      <c r="BJ64" s="190"/>
      <c r="BK64" s="190"/>
      <c r="BL64" s="190"/>
      <c r="BM64" s="190"/>
      <c r="BN64" s="190"/>
      <c r="BO64" s="190"/>
      <c r="BP64" s="190"/>
      <c r="BQ64" s="190"/>
      <c r="BR64" s="190"/>
      <c r="BS64" s="190"/>
      <c r="BT64" s="190"/>
      <c r="BU64" s="190"/>
      <c r="BV64" s="190"/>
      <c r="BW64" s="190"/>
      <c r="BX64" s="190"/>
      <c r="BY64" s="190"/>
      <c r="BZ64" s="190"/>
      <c r="CA64" s="190"/>
      <c r="CB64" s="190"/>
      <c r="CC64" s="190"/>
      <c r="CD64" s="190"/>
      <c r="CE64" s="190"/>
      <c r="CF64" s="190"/>
      <c r="CG64" s="190"/>
      <c r="CH64" s="190"/>
      <c r="CI64" s="190"/>
      <c r="CJ64" s="190"/>
      <c r="CK64" s="190"/>
      <c r="CL64" s="190"/>
    </row>
    <row r="65" spans="1:90" hidden="1" x14ac:dyDescent="0.25">
      <c r="B65" s="26"/>
      <c r="C65" s="26"/>
      <c r="D65" s="26"/>
      <c r="E65" s="26"/>
      <c r="F65" s="26"/>
      <c r="G65" s="26"/>
      <c r="H65" s="26"/>
      <c r="I65" s="26"/>
      <c r="J65" s="26"/>
      <c r="K65" s="26"/>
      <c r="L65" s="23"/>
    </row>
    <row r="66" spans="1:90" hidden="1" x14ac:dyDescent="0.25">
      <c r="B66" s="26"/>
      <c r="C66" s="26"/>
      <c r="D66" s="26"/>
      <c r="E66" s="26"/>
      <c r="F66" s="26"/>
      <c r="G66" s="26"/>
      <c r="H66" s="26"/>
      <c r="I66" s="26"/>
      <c r="J66" s="26"/>
      <c r="K66" s="26"/>
      <c r="L66" s="23"/>
    </row>
    <row r="67" spans="1:90" hidden="1" x14ac:dyDescent="0.25">
      <c r="B67" s="26"/>
      <c r="C67" s="26"/>
      <c r="D67" s="26"/>
      <c r="E67" s="26"/>
      <c r="F67" s="26"/>
      <c r="G67" s="26"/>
      <c r="H67" s="26"/>
      <c r="I67" s="26"/>
      <c r="J67" s="26"/>
      <c r="K67" s="26"/>
      <c r="L67" s="23"/>
    </row>
    <row r="68" spans="1:90" s="12" customFormat="1" x14ac:dyDescent="0.25">
      <c r="A68" s="125" t="s">
        <v>47</v>
      </c>
      <c r="B68" s="36">
        <f>SUM(B52:B64)-2*B63</f>
        <v>1066692205.0099999</v>
      </c>
      <c r="C68" s="36">
        <f t="shared" ref="C68:BN68" si="8">SUM(C52:C64)-2*C63</f>
        <v>1049185474.4599999</v>
      </c>
      <c r="D68" s="36">
        <f t="shared" si="8"/>
        <v>1034031701.7500001</v>
      </c>
      <c r="E68" s="36">
        <f t="shared" si="8"/>
        <v>1083016609.1099997</v>
      </c>
      <c r="F68" s="36">
        <f t="shared" si="8"/>
        <v>1135909896.98</v>
      </c>
      <c r="G68" s="36">
        <f t="shared" si="8"/>
        <v>1155300874.6399999</v>
      </c>
      <c r="H68" s="36">
        <f t="shared" si="8"/>
        <v>1164909636.75</v>
      </c>
      <c r="I68" s="36">
        <f t="shared" si="8"/>
        <v>838520601.88999999</v>
      </c>
      <c r="J68" s="36">
        <f t="shared" si="8"/>
        <v>860883066.41999996</v>
      </c>
      <c r="K68" s="36">
        <f t="shared" si="8"/>
        <v>853457919.58000004</v>
      </c>
      <c r="L68" s="36">
        <f t="shared" si="8"/>
        <v>868058308.17999995</v>
      </c>
      <c r="M68" s="36">
        <f t="shared" si="8"/>
        <v>871078382.76999986</v>
      </c>
      <c r="N68" s="36">
        <f t="shared" si="8"/>
        <v>829380215.16000009</v>
      </c>
      <c r="O68" s="36">
        <f t="shared" si="8"/>
        <v>822129414.7299999</v>
      </c>
      <c r="P68" s="36">
        <f t="shared" si="8"/>
        <v>825330317.23000002</v>
      </c>
      <c r="Q68" s="36">
        <f t="shared" si="8"/>
        <v>825502014.86000013</v>
      </c>
      <c r="R68" s="36">
        <f t="shared" si="8"/>
        <v>658741725.48000002</v>
      </c>
      <c r="S68" s="36">
        <f t="shared" si="8"/>
        <v>642750663.67000008</v>
      </c>
      <c r="T68" s="36">
        <f t="shared" si="8"/>
        <v>638106996.24000001</v>
      </c>
      <c r="U68" s="36">
        <f t="shared" si="8"/>
        <v>646286156.8499999</v>
      </c>
      <c r="V68" s="36">
        <f t="shared" si="8"/>
        <v>637749387.55999994</v>
      </c>
      <c r="W68" s="36">
        <f t="shared" si="8"/>
        <v>555994643.0200001</v>
      </c>
      <c r="X68" s="36">
        <f t="shared" si="8"/>
        <v>525039706.84000003</v>
      </c>
      <c r="Y68" s="36">
        <f t="shared" si="8"/>
        <v>514551138.60999995</v>
      </c>
      <c r="Z68" s="36">
        <f t="shared" si="8"/>
        <v>496788347.33000004</v>
      </c>
      <c r="AA68" s="36">
        <f t="shared" si="8"/>
        <v>438036109.13999999</v>
      </c>
      <c r="AB68" s="36">
        <f t="shared" si="8"/>
        <v>424560822.61000007</v>
      </c>
      <c r="AC68" s="36">
        <f t="shared" si="8"/>
        <v>406249339.64999998</v>
      </c>
      <c r="AD68" s="36">
        <f t="shared" si="8"/>
        <v>313155620.74000001</v>
      </c>
      <c r="AE68" s="36">
        <f t="shared" si="8"/>
        <v>255703474.93000001</v>
      </c>
      <c r="AF68" s="36">
        <f t="shared" si="8"/>
        <v>233981981.54000002</v>
      </c>
      <c r="AG68" s="36">
        <f t="shared" si="8"/>
        <v>214815697.10000002</v>
      </c>
      <c r="AH68" s="36">
        <f t="shared" si="8"/>
        <v>135625805.69</v>
      </c>
      <c r="AI68" s="36">
        <f t="shared" si="8"/>
        <v>127706581.34</v>
      </c>
      <c r="AJ68" s="36">
        <f t="shared" si="8"/>
        <v>128121301.53999999</v>
      </c>
      <c r="AK68" s="36">
        <f t="shared" si="8"/>
        <v>127940373.52</v>
      </c>
      <c r="AL68" s="36">
        <f t="shared" si="8"/>
        <v>97160166.030000001</v>
      </c>
      <c r="AM68" s="36">
        <f t="shared" si="8"/>
        <v>98253328.269999996</v>
      </c>
      <c r="AN68" s="36">
        <f t="shared" si="8"/>
        <v>101972525.01000001</v>
      </c>
      <c r="AO68" s="36">
        <f t="shared" si="8"/>
        <v>77886561.769999996</v>
      </c>
      <c r="AP68" s="36">
        <f t="shared" si="8"/>
        <v>64196426.760000005</v>
      </c>
      <c r="AQ68" s="36">
        <f t="shared" si="8"/>
        <v>0</v>
      </c>
      <c r="AR68" s="36">
        <f t="shared" si="8"/>
        <v>0</v>
      </c>
      <c r="AS68" s="36">
        <f t="shared" si="8"/>
        <v>0</v>
      </c>
      <c r="AT68" s="36">
        <f t="shared" si="8"/>
        <v>0</v>
      </c>
      <c r="AU68" s="36">
        <f t="shared" si="8"/>
        <v>0</v>
      </c>
      <c r="AV68" s="36">
        <f t="shared" si="8"/>
        <v>0</v>
      </c>
      <c r="AW68" s="36">
        <f t="shared" si="8"/>
        <v>0</v>
      </c>
      <c r="AX68" s="36">
        <f t="shared" si="8"/>
        <v>0</v>
      </c>
      <c r="AY68" s="36">
        <f t="shared" si="8"/>
        <v>0</v>
      </c>
      <c r="AZ68" s="36">
        <f t="shared" si="8"/>
        <v>0</v>
      </c>
      <c r="BA68" s="36">
        <f t="shared" si="8"/>
        <v>0</v>
      </c>
      <c r="BB68" s="36">
        <f t="shared" si="8"/>
        <v>0</v>
      </c>
      <c r="BC68" s="36">
        <f t="shared" si="8"/>
        <v>0</v>
      </c>
      <c r="BD68" s="36">
        <f t="shared" si="8"/>
        <v>0</v>
      </c>
      <c r="BE68" s="36">
        <f t="shared" si="8"/>
        <v>0</v>
      </c>
      <c r="BF68" s="36">
        <f t="shared" si="8"/>
        <v>0</v>
      </c>
      <c r="BG68" s="36">
        <f t="shared" si="8"/>
        <v>0</v>
      </c>
      <c r="BH68" s="36">
        <f t="shared" si="8"/>
        <v>0</v>
      </c>
      <c r="BI68" s="36">
        <f t="shared" si="8"/>
        <v>0</v>
      </c>
      <c r="BJ68" s="36">
        <f t="shared" si="8"/>
        <v>0</v>
      </c>
      <c r="BK68" s="36">
        <f t="shared" si="8"/>
        <v>0</v>
      </c>
      <c r="BL68" s="36">
        <f t="shared" si="8"/>
        <v>0</v>
      </c>
      <c r="BM68" s="36">
        <f t="shared" si="8"/>
        <v>0</v>
      </c>
      <c r="BN68" s="36">
        <f t="shared" si="8"/>
        <v>0</v>
      </c>
      <c r="BO68" s="36">
        <f t="shared" ref="BO68:CK68" si="9">SUM(BO52:BO64)-2*BO63</f>
        <v>0</v>
      </c>
      <c r="BP68" s="36">
        <f t="shared" si="9"/>
        <v>0</v>
      </c>
      <c r="BQ68" s="36">
        <f t="shared" si="9"/>
        <v>0</v>
      </c>
      <c r="BR68" s="36">
        <f t="shared" si="9"/>
        <v>0</v>
      </c>
      <c r="BS68" s="36">
        <f t="shared" si="9"/>
        <v>0</v>
      </c>
      <c r="BT68" s="36">
        <f t="shared" si="9"/>
        <v>0</v>
      </c>
      <c r="BU68" s="36">
        <f t="shared" si="9"/>
        <v>0</v>
      </c>
      <c r="BV68" s="36">
        <f t="shared" si="9"/>
        <v>0</v>
      </c>
      <c r="BW68" s="36">
        <f t="shared" si="9"/>
        <v>0</v>
      </c>
      <c r="BX68" s="36">
        <f t="shared" si="9"/>
        <v>0</v>
      </c>
      <c r="BY68" s="36">
        <f t="shared" si="9"/>
        <v>0</v>
      </c>
      <c r="BZ68" s="36">
        <f t="shared" si="9"/>
        <v>0</v>
      </c>
      <c r="CA68" s="36">
        <f t="shared" si="9"/>
        <v>0</v>
      </c>
      <c r="CB68" s="36">
        <f t="shared" si="9"/>
        <v>0</v>
      </c>
      <c r="CC68" s="36">
        <f t="shared" si="9"/>
        <v>0</v>
      </c>
      <c r="CD68" s="36">
        <f t="shared" si="9"/>
        <v>0</v>
      </c>
      <c r="CE68" s="36">
        <f t="shared" si="9"/>
        <v>0</v>
      </c>
      <c r="CF68" s="36">
        <f t="shared" si="9"/>
        <v>0</v>
      </c>
      <c r="CG68" s="36">
        <f t="shared" si="9"/>
        <v>0</v>
      </c>
      <c r="CH68" s="36">
        <f t="shared" si="9"/>
        <v>0</v>
      </c>
      <c r="CI68" s="36">
        <f t="shared" si="9"/>
        <v>0</v>
      </c>
      <c r="CJ68" s="36">
        <f t="shared" si="9"/>
        <v>0</v>
      </c>
      <c r="CK68" s="36">
        <f t="shared" si="9"/>
        <v>0</v>
      </c>
    </row>
    <row r="69" spans="1:90" s="5" customFormat="1" x14ac:dyDescent="0.25">
      <c r="A69" s="126" t="s">
        <v>48</v>
      </c>
      <c r="B69" s="33">
        <f>B50+B68</f>
        <v>3602684958.8399997</v>
      </c>
      <c r="C69" s="33">
        <f t="shared" ref="C69:BN69" si="10">C50+C68</f>
        <v>2764500729.0099998</v>
      </c>
      <c r="D69" s="33">
        <f t="shared" si="10"/>
        <v>2758705162.6700001</v>
      </c>
      <c r="E69" s="33">
        <f t="shared" si="10"/>
        <v>2680117320.0499992</v>
      </c>
      <c r="F69" s="33">
        <f t="shared" si="10"/>
        <v>2890560207.4200001</v>
      </c>
      <c r="G69" s="33">
        <f t="shared" si="10"/>
        <v>2504438056.0900002</v>
      </c>
      <c r="H69" s="33">
        <f t="shared" si="10"/>
        <v>2443659795.6799998</v>
      </c>
      <c r="I69" s="33">
        <f t="shared" si="10"/>
        <v>1787570001.7400002</v>
      </c>
      <c r="J69" s="33">
        <f t="shared" si="10"/>
        <v>2161379578.3899999</v>
      </c>
      <c r="K69" s="33">
        <f t="shared" si="10"/>
        <v>2188562170.0300002</v>
      </c>
      <c r="L69" s="33">
        <f t="shared" si="10"/>
        <v>2037984988.5599999</v>
      </c>
      <c r="M69" s="33">
        <f t="shared" si="10"/>
        <v>2028174239.1399999</v>
      </c>
      <c r="N69" s="33">
        <f t="shared" si="10"/>
        <v>1748731929.8800001</v>
      </c>
      <c r="O69" s="33">
        <f t="shared" si="10"/>
        <v>1782876392.8599999</v>
      </c>
      <c r="P69" s="33">
        <f t="shared" si="10"/>
        <v>1938506990.79</v>
      </c>
      <c r="Q69" s="33">
        <f t="shared" si="10"/>
        <v>1845710928.3200002</v>
      </c>
      <c r="R69" s="33">
        <f t="shared" si="10"/>
        <v>1679371097.1199999</v>
      </c>
      <c r="S69" s="33">
        <f t="shared" si="10"/>
        <v>1356669673.4099998</v>
      </c>
      <c r="T69" s="33">
        <f t="shared" si="10"/>
        <v>1344823173.3800001</v>
      </c>
      <c r="U69" s="33">
        <f t="shared" si="10"/>
        <v>1201029703.2</v>
      </c>
      <c r="V69" s="33">
        <f t="shared" si="10"/>
        <v>1077761632.8499999</v>
      </c>
      <c r="W69" s="33">
        <f t="shared" si="10"/>
        <v>1161551794.3099999</v>
      </c>
      <c r="X69" s="33">
        <f t="shared" si="10"/>
        <v>986132128.21000004</v>
      </c>
      <c r="Y69" s="33">
        <f t="shared" si="10"/>
        <v>936176717.49000001</v>
      </c>
      <c r="Z69" s="33">
        <f t="shared" si="10"/>
        <v>960246523.98999989</v>
      </c>
      <c r="AA69" s="33">
        <f t="shared" si="10"/>
        <v>976079955.10000002</v>
      </c>
      <c r="AB69" s="33">
        <f t="shared" si="10"/>
        <v>742810549.9000001</v>
      </c>
      <c r="AC69" s="33">
        <f t="shared" si="10"/>
        <v>648190675.69999993</v>
      </c>
      <c r="AD69" s="33">
        <f t="shared" si="10"/>
        <v>574388781.76999998</v>
      </c>
      <c r="AE69" s="33">
        <f t="shared" si="10"/>
        <v>577123182.08000016</v>
      </c>
      <c r="AF69" s="33">
        <f t="shared" si="10"/>
        <v>382002316.06999999</v>
      </c>
      <c r="AG69" s="33">
        <f t="shared" si="10"/>
        <v>419313608.45999998</v>
      </c>
      <c r="AH69" s="33">
        <f t="shared" si="10"/>
        <v>417632582.29000002</v>
      </c>
      <c r="AI69" s="33">
        <f t="shared" si="10"/>
        <v>380541206.63999999</v>
      </c>
      <c r="AJ69" s="33">
        <f t="shared" si="10"/>
        <v>255044536.88999999</v>
      </c>
      <c r="AK69" s="33">
        <f t="shared" si="10"/>
        <v>265364126.43000007</v>
      </c>
      <c r="AL69" s="33">
        <f t="shared" si="10"/>
        <v>230768906.96999997</v>
      </c>
      <c r="AM69" s="33">
        <f t="shared" si="10"/>
        <v>256199726.94999999</v>
      </c>
      <c r="AN69" s="33">
        <f t="shared" si="10"/>
        <v>222832050.40000004</v>
      </c>
      <c r="AO69" s="33">
        <f t="shared" si="10"/>
        <v>188152417.22999999</v>
      </c>
      <c r="AP69" s="33">
        <f t="shared" si="10"/>
        <v>103147268.55000003</v>
      </c>
      <c r="AQ69" s="33">
        <f t="shared" si="10"/>
        <v>0</v>
      </c>
      <c r="AR69" s="33">
        <f t="shared" si="10"/>
        <v>0</v>
      </c>
      <c r="AS69" s="33">
        <f t="shared" si="10"/>
        <v>0</v>
      </c>
      <c r="AT69" s="33">
        <f t="shared" si="10"/>
        <v>0</v>
      </c>
      <c r="AU69" s="33">
        <f t="shared" si="10"/>
        <v>0</v>
      </c>
      <c r="AV69" s="33">
        <f t="shared" si="10"/>
        <v>0</v>
      </c>
      <c r="AW69" s="33">
        <f t="shared" si="10"/>
        <v>0</v>
      </c>
      <c r="AX69" s="33">
        <f t="shared" si="10"/>
        <v>0</v>
      </c>
      <c r="AY69" s="33">
        <f t="shared" si="10"/>
        <v>0</v>
      </c>
      <c r="AZ69" s="33">
        <f t="shared" si="10"/>
        <v>0</v>
      </c>
      <c r="BA69" s="33">
        <f t="shared" si="10"/>
        <v>0</v>
      </c>
      <c r="BB69" s="33">
        <f t="shared" si="10"/>
        <v>0</v>
      </c>
      <c r="BC69" s="33">
        <f t="shared" si="10"/>
        <v>0</v>
      </c>
      <c r="BD69" s="33">
        <f t="shared" si="10"/>
        <v>0</v>
      </c>
      <c r="BE69" s="33">
        <f t="shared" si="10"/>
        <v>0</v>
      </c>
      <c r="BF69" s="33">
        <f t="shared" si="10"/>
        <v>0</v>
      </c>
      <c r="BG69" s="33">
        <f t="shared" si="10"/>
        <v>0</v>
      </c>
      <c r="BH69" s="33">
        <f t="shared" si="10"/>
        <v>0</v>
      </c>
      <c r="BI69" s="33">
        <f t="shared" si="10"/>
        <v>0</v>
      </c>
      <c r="BJ69" s="33">
        <f t="shared" si="10"/>
        <v>0</v>
      </c>
      <c r="BK69" s="33">
        <f t="shared" si="10"/>
        <v>0</v>
      </c>
      <c r="BL69" s="33">
        <f t="shared" si="10"/>
        <v>0</v>
      </c>
      <c r="BM69" s="33">
        <f t="shared" si="10"/>
        <v>0</v>
      </c>
      <c r="BN69" s="33">
        <f t="shared" si="10"/>
        <v>0</v>
      </c>
      <c r="BO69" s="33">
        <f t="shared" ref="BO69:CL69" si="11">BO50+BO68</f>
        <v>0</v>
      </c>
      <c r="BP69" s="33">
        <f t="shared" si="11"/>
        <v>0</v>
      </c>
      <c r="BQ69" s="33">
        <f t="shared" si="11"/>
        <v>0</v>
      </c>
      <c r="BR69" s="33">
        <f t="shared" si="11"/>
        <v>0</v>
      </c>
      <c r="BS69" s="33">
        <f t="shared" si="11"/>
        <v>0</v>
      </c>
      <c r="BT69" s="33">
        <f t="shared" si="11"/>
        <v>0</v>
      </c>
      <c r="BU69" s="33">
        <f t="shared" si="11"/>
        <v>0</v>
      </c>
      <c r="BV69" s="33">
        <f t="shared" si="11"/>
        <v>0</v>
      </c>
      <c r="BW69" s="33">
        <f t="shared" si="11"/>
        <v>0</v>
      </c>
      <c r="BX69" s="33">
        <f t="shared" si="11"/>
        <v>0</v>
      </c>
      <c r="BY69" s="33">
        <f t="shared" si="11"/>
        <v>0</v>
      </c>
      <c r="BZ69" s="33">
        <f t="shared" si="11"/>
        <v>0</v>
      </c>
      <c r="CA69" s="33">
        <f t="shared" si="11"/>
        <v>0</v>
      </c>
      <c r="CB69" s="33">
        <f t="shared" si="11"/>
        <v>0</v>
      </c>
      <c r="CC69" s="33">
        <f t="shared" si="11"/>
        <v>0</v>
      </c>
      <c r="CD69" s="33">
        <f t="shared" si="11"/>
        <v>0</v>
      </c>
      <c r="CE69" s="33">
        <f t="shared" si="11"/>
        <v>0</v>
      </c>
      <c r="CF69" s="33">
        <f t="shared" si="11"/>
        <v>0</v>
      </c>
      <c r="CG69" s="33">
        <f t="shared" si="11"/>
        <v>0</v>
      </c>
      <c r="CH69" s="33">
        <f t="shared" si="11"/>
        <v>0</v>
      </c>
      <c r="CI69" s="33">
        <f t="shared" si="11"/>
        <v>0</v>
      </c>
      <c r="CJ69" s="33">
        <f t="shared" si="11"/>
        <v>0</v>
      </c>
      <c r="CK69" s="33">
        <f t="shared" si="11"/>
        <v>0</v>
      </c>
      <c r="CL69" s="33">
        <f t="shared" si="11"/>
        <v>0</v>
      </c>
    </row>
    <row r="70" spans="1:90" s="9" customFormat="1" x14ac:dyDescent="0.25">
      <c r="A70" s="127" t="s">
        <v>49</v>
      </c>
      <c r="B70" s="37">
        <f>B17+B19+B69</f>
        <v>4542382349.5299997</v>
      </c>
      <c r="C70" s="37">
        <f t="shared" ref="C70:BN70" si="12">C17+C19+C69</f>
        <v>3850184406.0100002</v>
      </c>
      <c r="D70" s="37">
        <f t="shared" si="12"/>
        <v>3992874928.2600002</v>
      </c>
      <c r="E70" s="37">
        <f t="shared" si="12"/>
        <v>3415975678.7199993</v>
      </c>
      <c r="F70" s="37">
        <f t="shared" si="12"/>
        <v>3469234189.5599999</v>
      </c>
      <c r="G70" s="37">
        <f t="shared" si="12"/>
        <v>3334128665.5799999</v>
      </c>
      <c r="H70" s="37">
        <f t="shared" si="12"/>
        <v>3553104597.3199997</v>
      </c>
      <c r="I70" s="37">
        <f t="shared" si="12"/>
        <v>3379120624.0300002</v>
      </c>
      <c r="J70" s="37">
        <f t="shared" si="12"/>
        <v>3143130880.5099998</v>
      </c>
      <c r="K70" s="37">
        <f t="shared" si="12"/>
        <v>2963681471.9000001</v>
      </c>
      <c r="L70" s="37">
        <f t="shared" si="12"/>
        <v>2881482643.0299997</v>
      </c>
      <c r="M70" s="37">
        <f t="shared" si="12"/>
        <v>2770141834.1799998</v>
      </c>
      <c r="N70" s="37">
        <f t="shared" si="12"/>
        <v>2546401388.6300001</v>
      </c>
      <c r="O70" s="37">
        <f t="shared" si="12"/>
        <v>2402871215.6399999</v>
      </c>
      <c r="P70" s="37">
        <f t="shared" si="12"/>
        <v>2608400747.6599998</v>
      </c>
      <c r="Q70" s="37">
        <f t="shared" si="12"/>
        <v>2492915605.7700005</v>
      </c>
      <c r="R70" s="37">
        <f t="shared" si="12"/>
        <v>2308488151.73</v>
      </c>
      <c r="S70" s="37">
        <f t="shared" si="12"/>
        <v>2192212395.2799997</v>
      </c>
      <c r="T70" s="37">
        <f t="shared" si="12"/>
        <v>2229681235.0799999</v>
      </c>
      <c r="U70" s="37">
        <f t="shared" si="12"/>
        <v>2133306409.3499999</v>
      </c>
      <c r="V70" s="37">
        <f t="shared" si="12"/>
        <v>2030685494.9299998</v>
      </c>
      <c r="W70" s="37">
        <f t="shared" si="12"/>
        <v>1930708956.6900001</v>
      </c>
      <c r="X70" s="37">
        <f t="shared" si="12"/>
        <v>1977896014.0700002</v>
      </c>
      <c r="Y70" s="37">
        <f t="shared" si="12"/>
        <v>1892220602.73</v>
      </c>
      <c r="Z70" s="37">
        <f t="shared" si="12"/>
        <v>1763420146.3699999</v>
      </c>
      <c r="AA70" s="37">
        <f t="shared" si="12"/>
        <v>1643908869.0700002</v>
      </c>
      <c r="AB70" s="37">
        <f t="shared" si="12"/>
        <v>1756834966.6400001</v>
      </c>
      <c r="AC70" s="37">
        <f t="shared" si="12"/>
        <v>1650493578.27</v>
      </c>
      <c r="AD70" s="37">
        <f t="shared" si="12"/>
        <v>1556751168.1599998</v>
      </c>
      <c r="AE70" s="37">
        <f t="shared" si="12"/>
        <v>1439317961.3000002</v>
      </c>
      <c r="AF70" s="37">
        <f t="shared" si="12"/>
        <v>1533876742.3699999</v>
      </c>
      <c r="AG70" s="37">
        <f t="shared" si="12"/>
        <v>1476505584.9100001</v>
      </c>
      <c r="AH70" s="37">
        <f t="shared" si="12"/>
        <v>1378242583.3099999</v>
      </c>
      <c r="AI70" s="37">
        <f t="shared" si="12"/>
        <v>1311332115.0699999</v>
      </c>
      <c r="AJ70" s="37">
        <f t="shared" si="12"/>
        <v>1382399929.6199999</v>
      </c>
      <c r="AK70" s="37">
        <f t="shared" si="12"/>
        <v>1332248508.1300001</v>
      </c>
      <c r="AL70" s="37">
        <f t="shared" si="12"/>
        <v>1288752066.0799999</v>
      </c>
      <c r="AM70" s="37">
        <f t="shared" si="12"/>
        <v>331008478.93000001</v>
      </c>
      <c r="AN70" s="37">
        <f t="shared" si="12"/>
        <v>301337851.48000002</v>
      </c>
      <c r="AO70" s="37">
        <f t="shared" si="12"/>
        <v>238297533.64999998</v>
      </c>
      <c r="AP70" s="37">
        <f t="shared" si="12"/>
        <v>155756895.01000002</v>
      </c>
      <c r="AQ70" s="37">
        <f t="shared" si="12"/>
        <v>0</v>
      </c>
      <c r="AR70" s="37">
        <f t="shared" si="12"/>
        <v>0</v>
      </c>
      <c r="AS70" s="37">
        <f t="shared" si="12"/>
        <v>0</v>
      </c>
      <c r="AT70" s="37">
        <f t="shared" si="12"/>
        <v>0</v>
      </c>
      <c r="AU70" s="37">
        <f t="shared" si="12"/>
        <v>0</v>
      </c>
      <c r="AV70" s="37">
        <f t="shared" si="12"/>
        <v>0</v>
      </c>
      <c r="AW70" s="37">
        <f t="shared" si="12"/>
        <v>0</v>
      </c>
      <c r="AX70" s="37">
        <f t="shared" si="12"/>
        <v>0</v>
      </c>
      <c r="AY70" s="37">
        <f t="shared" si="12"/>
        <v>0</v>
      </c>
      <c r="AZ70" s="37">
        <f t="shared" si="12"/>
        <v>0</v>
      </c>
      <c r="BA70" s="37">
        <f t="shared" si="12"/>
        <v>0</v>
      </c>
      <c r="BB70" s="37">
        <f t="shared" si="12"/>
        <v>0</v>
      </c>
      <c r="BC70" s="37">
        <f t="shared" si="12"/>
        <v>0</v>
      </c>
      <c r="BD70" s="37">
        <f t="shared" si="12"/>
        <v>0</v>
      </c>
      <c r="BE70" s="37">
        <f t="shared" si="12"/>
        <v>0</v>
      </c>
      <c r="BF70" s="37">
        <f t="shared" si="12"/>
        <v>0</v>
      </c>
      <c r="BG70" s="37">
        <f t="shared" si="12"/>
        <v>0</v>
      </c>
      <c r="BH70" s="37">
        <f t="shared" si="12"/>
        <v>0</v>
      </c>
      <c r="BI70" s="37">
        <f t="shared" si="12"/>
        <v>0</v>
      </c>
      <c r="BJ70" s="37">
        <f t="shared" si="12"/>
        <v>0</v>
      </c>
      <c r="BK70" s="37">
        <f t="shared" si="12"/>
        <v>0</v>
      </c>
      <c r="BL70" s="37">
        <f t="shared" si="12"/>
        <v>0</v>
      </c>
      <c r="BM70" s="37">
        <f t="shared" si="12"/>
        <v>0</v>
      </c>
      <c r="BN70" s="37">
        <f t="shared" si="12"/>
        <v>0</v>
      </c>
      <c r="BO70" s="37">
        <f t="shared" ref="BO70:CL70" si="13">BO17+BO19+BO69</f>
        <v>0</v>
      </c>
      <c r="BP70" s="37">
        <f t="shared" si="13"/>
        <v>0</v>
      </c>
      <c r="BQ70" s="37">
        <f t="shared" si="13"/>
        <v>0</v>
      </c>
      <c r="BR70" s="37">
        <f t="shared" si="13"/>
        <v>0</v>
      </c>
      <c r="BS70" s="37">
        <f t="shared" si="13"/>
        <v>0</v>
      </c>
      <c r="BT70" s="37">
        <f t="shared" si="13"/>
        <v>0</v>
      </c>
      <c r="BU70" s="37">
        <f t="shared" si="13"/>
        <v>0</v>
      </c>
      <c r="BV70" s="37">
        <f t="shared" si="13"/>
        <v>0</v>
      </c>
      <c r="BW70" s="37">
        <f t="shared" si="13"/>
        <v>0</v>
      </c>
      <c r="BX70" s="37">
        <f t="shared" si="13"/>
        <v>0</v>
      </c>
      <c r="BY70" s="37">
        <f t="shared" si="13"/>
        <v>0</v>
      </c>
      <c r="BZ70" s="37">
        <f t="shared" si="13"/>
        <v>0</v>
      </c>
      <c r="CA70" s="37">
        <f t="shared" si="13"/>
        <v>0</v>
      </c>
      <c r="CB70" s="37">
        <f t="shared" si="13"/>
        <v>0</v>
      </c>
      <c r="CC70" s="37">
        <f t="shared" si="13"/>
        <v>0</v>
      </c>
      <c r="CD70" s="37">
        <f t="shared" si="13"/>
        <v>0</v>
      </c>
      <c r="CE70" s="37">
        <f t="shared" si="13"/>
        <v>0</v>
      </c>
      <c r="CF70" s="37">
        <f t="shared" si="13"/>
        <v>0</v>
      </c>
      <c r="CG70" s="37">
        <f t="shared" si="13"/>
        <v>0</v>
      </c>
      <c r="CH70" s="37">
        <f t="shared" si="13"/>
        <v>0</v>
      </c>
      <c r="CI70" s="37">
        <f t="shared" si="13"/>
        <v>0</v>
      </c>
      <c r="CJ70" s="37">
        <f t="shared" si="13"/>
        <v>0</v>
      </c>
      <c r="CK70" s="37">
        <f t="shared" si="13"/>
        <v>0</v>
      </c>
      <c r="CL70" s="37">
        <f t="shared" si="13"/>
        <v>0</v>
      </c>
    </row>
    <row r="71" spans="1:90" x14ac:dyDescent="0.25">
      <c r="A71" s="20" t="s">
        <v>50</v>
      </c>
      <c r="B71" s="26"/>
      <c r="C71" s="26"/>
      <c r="D71" s="26"/>
      <c r="E71" s="26"/>
      <c r="F71" s="26"/>
      <c r="G71" s="26"/>
      <c r="H71" s="26"/>
      <c r="I71" s="26"/>
      <c r="J71" s="26"/>
      <c r="K71" s="26"/>
      <c r="L71" s="23"/>
      <c r="M71" s="13"/>
      <c r="N71" s="13"/>
    </row>
    <row r="72" spans="1:90" s="2" customFormat="1" x14ac:dyDescent="0.25">
      <c r="A72" s="20" t="s">
        <v>51</v>
      </c>
      <c r="B72" s="28"/>
      <c r="C72" s="28"/>
      <c r="D72" s="28"/>
      <c r="E72" s="28">
        <f>SUM(E73:E77)</f>
        <v>197566288.30000001</v>
      </c>
      <c r="F72" s="28">
        <f t="shared" ref="F72:BQ72" si="14">SUM(F73:F77)</f>
        <v>362613245.42000002</v>
      </c>
      <c r="G72" s="28">
        <f t="shared" si="14"/>
        <v>361565942.50999999</v>
      </c>
      <c r="H72" s="28">
        <f t="shared" si="14"/>
        <v>391766634.35000002</v>
      </c>
      <c r="I72" s="28">
        <f t="shared" si="14"/>
        <v>400690979.23000002</v>
      </c>
      <c r="J72" s="28">
        <f t="shared" si="14"/>
        <v>240000000</v>
      </c>
      <c r="K72" s="28">
        <f t="shared" si="14"/>
        <v>270000000</v>
      </c>
      <c r="L72" s="28">
        <f t="shared" si="14"/>
        <v>100000000</v>
      </c>
      <c r="M72" s="28">
        <f t="shared" si="14"/>
        <v>100302083.33</v>
      </c>
      <c r="N72" s="28">
        <f t="shared" si="14"/>
        <v>0</v>
      </c>
      <c r="O72" s="28">
        <f t="shared" si="14"/>
        <v>0</v>
      </c>
      <c r="P72" s="28">
        <f t="shared" si="14"/>
        <v>0</v>
      </c>
      <c r="Q72" s="28">
        <f t="shared" si="14"/>
        <v>0</v>
      </c>
      <c r="R72" s="28">
        <f t="shared" si="14"/>
        <v>0</v>
      </c>
      <c r="S72" s="28">
        <f t="shared" si="14"/>
        <v>0</v>
      </c>
      <c r="T72" s="28">
        <f t="shared" si="14"/>
        <v>0</v>
      </c>
      <c r="U72" s="28">
        <f t="shared" si="14"/>
        <v>0</v>
      </c>
      <c r="V72" s="28">
        <f t="shared" si="14"/>
        <v>0</v>
      </c>
      <c r="W72" s="28">
        <f t="shared" si="14"/>
        <v>0</v>
      </c>
      <c r="X72" s="28">
        <f t="shared" si="14"/>
        <v>0</v>
      </c>
      <c r="Y72" s="28">
        <f t="shared" si="14"/>
        <v>0</v>
      </c>
      <c r="Z72" s="28">
        <f t="shared" si="14"/>
        <v>0</v>
      </c>
      <c r="AA72" s="28">
        <f t="shared" si="14"/>
        <v>0</v>
      </c>
      <c r="AB72" s="28">
        <f t="shared" si="14"/>
        <v>0</v>
      </c>
      <c r="AC72" s="28">
        <f t="shared" si="14"/>
        <v>0</v>
      </c>
      <c r="AD72" s="28">
        <f t="shared" si="14"/>
        <v>0</v>
      </c>
      <c r="AE72" s="28">
        <f t="shared" si="14"/>
        <v>0</v>
      </c>
      <c r="AF72" s="28">
        <f t="shared" si="14"/>
        <v>0</v>
      </c>
      <c r="AG72" s="28">
        <f t="shared" si="14"/>
        <v>0</v>
      </c>
      <c r="AH72" s="28">
        <f t="shared" si="14"/>
        <v>0</v>
      </c>
      <c r="AI72" s="28">
        <f t="shared" si="14"/>
        <v>0</v>
      </c>
      <c r="AJ72" s="28">
        <f t="shared" si="14"/>
        <v>0</v>
      </c>
      <c r="AK72" s="28">
        <f t="shared" si="14"/>
        <v>0</v>
      </c>
      <c r="AL72" s="28">
        <f t="shared" si="14"/>
        <v>0</v>
      </c>
      <c r="AM72" s="28">
        <f t="shared" si="14"/>
        <v>0</v>
      </c>
      <c r="AN72" s="28">
        <f t="shared" si="14"/>
        <v>0</v>
      </c>
      <c r="AO72" s="28">
        <f t="shared" si="14"/>
        <v>5010444.4400000004</v>
      </c>
      <c r="AP72" s="28">
        <f t="shared" si="14"/>
        <v>28049021.5</v>
      </c>
      <c r="AQ72" s="28">
        <f t="shared" si="14"/>
        <v>0</v>
      </c>
      <c r="AR72" s="28">
        <f t="shared" si="14"/>
        <v>0</v>
      </c>
      <c r="AS72" s="28">
        <f t="shared" si="14"/>
        <v>0</v>
      </c>
      <c r="AT72" s="28">
        <f t="shared" si="14"/>
        <v>0</v>
      </c>
      <c r="AU72" s="28">
        <f t="shared" si="14"/>
        <v>0</v>
      </c>
      <c r="AV72" s="28">
        <f t="shared" si="14"/>
        <v>0</v>
      </c>
      <c r="AW72" s="28">
        <f t="shared" si="14"/>
        <v>0</v>
      </c>
      <c r="AX72" s="28">
        <f t="shared" si="14"/>
        <v>0</v>
      </c>
      <c r="AY72" s="28">
        <f t="shared" si="14"/>
        <v>0</v>
      </c>
      <c r="AZ72" s="28">
        <f t="shared" si="14"/>
        <v>0</v>
      </c>
      <c r="BA72" s="28">
        <f t="shared" si="14"/>
        <v>0</v>
      </c>
      <c r="BB72" s="28">
        <f t="shared" si="14"/>
        <v>0</v>
      </c>
      <c r="BC72" s="28">
        <f t="shared" si="14"/>
        <v>0</v>
      </c>
      <c r="BD72" s="28">
        <f t="shared" si="14"/>
        <v>0</v>
      </c>
      <c r="BE72" s="28">
        <f t="shared" si="14"/>
        <v>0</v>
      </c>
      <c r="BF72" s="28">
        <f t="shared" si="14"/>
        <v>0</v>
      </c>
      <c r="BG72" s="28">
        <f t="shared" si="14"/>
        <v>0</v>
      </c>
      <c r="BH72" s="28">
        <f t="shared" si="14"/>
        <v>0</v>
      </c>
      <c r="BI72" s="28">
        <f t="shared" si="14"/>
        <v>0</v>
      </c>
      <c r="BJ72" s="28">
        <f t="shared" si="14"/>
        <v>0</v>
      </c>
      <c r="BK72" s="28">
        <f t="shared" si="14"/>
        <v>0</v>
      </c>
      <c r="BL72" s="28">
        <f t="shared" si="14"/>
        <v>0</v>
      </c>
      <c r="BM72" s="28">
        <f t="shared" si="14"/>
        <v>0</v>
      </c>
      <c r="BN72" s="28">
        <f t="shared" si="14"/>
        <v>0</v>
      </c>
      <c r="BO72" s="28">
        <f t="shared" si="14"/>
        <v>0</v>
      </c>
      <c r="BP72" s="28">
        <f t="shared" si="14"/>
        <v>0</v>
      </c>
      <c r="BQ72" s="28">
        <f t="shared" si="14"/>
        <v>0</v>
      </c>
      <c r="BR72" s="28">
        <f t="shared" ref="BR72:CL72" si="15">SUM(BR73:BR77)</f>
        <v>0</v>
      </c>
      <c r="BS72" s="28">
        <f t="shared" si="15"/>
        <v>0</v>
      </c>
      <c r="BT72" s="28">
        <f t="shared" si="15"/>
        <v>0</v>
      </c>
      <c r="BU72" s="28">
        <f t="shared" si="15"/>
        <v>0</v>
      </c>
      <c r="BV72" s="28">
        <f t="shared" si="15"/>
        <v>0</v>
      </c>
      <c r="BW72" s="28">
        <f t="shared" si="15"/>
        <v>0</v>
      </c>
      <c r="BX72" s="28">
        <f t="shared" si="15"/>
        <v>0</v>
      </c>
      <c r="BY72" s="28">
        <f t="shared" si="15"/>
        <v>0</v>
      </c>
      <c r="BZ72" s="28">
        <f t="shared" si="15"/>
        <v>0</v>
      </c>
      <c r="CA72" s="28">
        <f t="shared" si="15"/>
        <v>0</v>
      </c>
      <c r="CB72" s="28">
        <f t="shared" si="15"/>
        <v>0</v>
      </c>
      <c r="CC72" s="28">
        <f t="shared" si="15"/>
        <v>0</v>
      </c>
      <c r="CD72" s="28">
        <f t="shared" si="15"/>
        <v>0</v>
      </c>
      <c r="CE72" s="28">
        <f t="shared" si="15"/>
        <v>0</v>
      </c>
      <c r="CF72" s="28">
        <f t="shared" si="15"/>
        <v>0</v>
      </c>
      <c r="CG72" s="28">
        <f t="shared" si="15"/>
        <v>0</v>
      </c>
      <c r="CH72" s="28">
        <f t="shared" si="15"/>
        <v>0</v>
      </c>
      <c r="CI72" s="28">
        <f t="shared" si="15"/>
        <v>0</v>
      </c>
      <c r="CJ72" s="28">
        <f t="shared" si="15"/>
        <v>0</v>
      </c>
      <c r="CK72" s="28">
        <f t="shared" si="15"/>
        <v>0</v>
      </c>
      <c r="CL72" s="28">
        <f t="shared" si="15"/>
        <v>0</v>
      </c>
    </row>
    <row r="73" spans="1:90" x14ac:dyDescent="0.25">
      <c r="A73" s="128" t="s">
        <v>52</v>
      </c>
      <c r="B73" s="190">
        <v>188948864.02000001</v>
      </c>
      <c r="C73" s="190">
        <v>188460025.30000001</v>
      </c>
      <c r="D73" s="190">
        <v>197086499.49000001</v>
      </c>
      <c r="E73" s="190">
        <v>190000000</v>
      </c>
      <c r="F73" s="190">
        <v>347918379.06999999</v>
      </c>
      <c r="G73" s="190">
        <v>346399456.67000002</v>
      </c>
      <c r="H73" s="190">
        <v>376062024.37</v>
      </c>
      <c r="I73" s="190">
        <v>400000000</v>
      </c>
      <c r="J73" s="190">
        <v>240000000</v>
      </c>
      <c r="K73" s="190">
        <v>270000000</v>
      </c>
      <c r="L73" s="190">
        <v>100000000</v>
      </c>
      <c r="M73" s="190">
        <v>100000000</v>
      </c>
      <c r="N73" s="190">
        <v>0</v>
      </c>
      <c r="O73" s="190">
        <v>0</v>
      </c>
      <c r="P73" s="190">
        <v>0</v>
      </c>
      <c r="Q73" s="190">
        <v>0</v>
      </c>
      <c r="R73" s="190">
        <v>0</v>
      </c>
      <c r="S73" s="190">
        <v>0</v>
      </c>
      <c r="T73" s="190">
        <v>0</v>
      </c>
      <c r="U73" s="190">
        <v>0</v>
      </c>
      <c r="V73" s="190">
        <v>0</v>
      </c>
      <c r="W73" s="190">
        <v>0</v>
      </c>
      <c r="X73" s="190">
        <v>0</v>
      </c>
      <c r="Y73" s="190">
        <v>0</v>
      </c>
      <c r="Z73" s="190">
        <v>0</v>
      </c>
      <c r="AA73" s="190">
        <v>0</v>
      </c>
      <c r="AB73" s="190">
        <v>0</v>
      </c>
      <c r="AC73" s="190">
        <v>0</v>
      </c>
      <c r="AD73" s="190">
        <v>0</v>
      </c>
      <c r="AE73" s="190">
        <v>0</v>
      </c>
      <c r="AF73" s="190">
        <v>0</v>
      </c>
      <c r="AG73" s="190">
        <v>0</v>
      </c>
      <c r="AH73" s="190">
        <v>0</v>
      </c>
      <c r="AI73" s="190">
        <v>0</v>
      </c>
      <c r="AJ73" s="190">
        <v>0</v>
      </c>
      <c r="AK73" s="190">
        <v>0</v>
      </c>
      <c r="AL73" s="190">
        <v>0</v>
      </c>
      <c r="AM73" s="190">
        <v>0</v>
      </c>
      <c r="AN73" s="190">
        <v>0</v>
      </c>
      <c r="AO73" s="190">
        <v>5000000</v>
      </c>
      <c r="AP73" s="190">
        <v>28000000</v>
      </c>
      <c r="AQ73" s="190">
        <v>0</v>
      </c>
      <c r="AR73" s="190"/>
      <c r="AS73" s="190"/>
      <c r="AT73" s="190"/>
      <c r="AU73" s="190"/>
      <c r="AV73" s="190"/>
      <c r="AW73" s="190"/>
      <c r="AX73" s="190"/>
      <c r="AY73" s="190"/>
      <c r="AZ73" s="190"/>
      <c r="BA73" s="190"/>
      <c r="BB73" s="190"/>
      <c r="BC73" s="190"/>
      <c r="BD73" s="190"/>
      <c r="BE73" s="190"/>
      <c r="BF73" s="190"/>
      <c r="BG73" s="190"/>
      <c r="BH73" s="190"/>
      <c r="BI73" s="190"/>
      <c r="BJ73" s="190"/>
      <c r="BK73" s="190"/>
      <c r="BL73" s="190"/>
      <c r="BM73" s="190"/>
      <c r="BN73" s="190"/>
      <c r="BO73" s="190"/>
      <c r="BP73" s="190"/>
      <c r="BQ73" s="190"/>
      <c r="BR73" s="190"/>
      <c r="BS73" s="190"/>
      <c r="BT73" s="190"/>
      <c r="BU73" s="190"/>
      <c r="BV73" s="190"/>
      <c r="BW73" s="190"/>
      <c r="BX73" s="190"/>
      <c r="BY73" s="190"/>
      <c r="BZ73" s="190"/>
      <c r="CA73" s="190"/>
      <c r="CB73" s="190"/>
      <c r="CC73" s="190"/>
      <c r="CD73" s="190"/>
      <c r="CE73" s="190"/>
      <c r="CF73" s="190"/>
      <c r="CG73" s="190"/>
      <c r="CH73" s="190"/>
      <c r="CI73" s="190"/>
      <c r="CJ73" s="190"/>
      <c r="CK73" s="190"/>
      <c r="CL73" s="190"/>
    </row>
    <row r="74" spans="1:90" x14ac:dyDescent="0.25">
      <c r="A74" s="128" t="s">
        <v>77</v>
      </c>
      <c r="B74" s="190">
        <v>0</v>
      </c>
      <c r="C74" s="190">
        <v>120284.89</v>
      </c>
      <c r="D74" s="190">
        <v>92918.44</v>
      </c>
      <c r="E74" s="190">
        <v>378668.3</v>
      </c>
      <c r="F74" s="190">
        <v>93686.35</v>
      </c>
      <c r="G74" s="190">
        <v>262805.84000000003</v>
      </c>
      <c r="H74" s="190">
        <v>526149.98</v>
      </c>
      <c r="I74" s="190">
        <v>690979.23</v>
      </c>
      <c r="J74" s="190">
        <v>0</v>
      </c>
      <c r="K74" s="190">
        <v>0</v>
      </c>
      <c r="L74" s="190">
        <v>0</v>
      </c>
      <c r="M74" s="190">
        <v>302083.33</v>
      </c>
      <c r="N74" s="190">
        <v>0</v>
      </c>
      <c r="O74" s="190">
        <v>0</v>
      </c>
      <c r="P74" s="190">
        <v>0</v>
      </c>
      <c r="Q74" s="190">
        <v>0</v>
      </c>
      <c r="R74" s="190">
        <v>0</v>
      </c>
      <c r="S74" s="190">
        <v>0</v>
      </c>
      <c r="T74" s="190">
        <v>0</v>
      </c>
      <c r="U74" s="190">
        <v>0</v>
      </c>
      <c r="V74" s="190">
        <v>0</v>
      </c>
      <c r="W74" s="190">
        <v>0</v>
      </c>
      <c r="X74" s="190">
        <v>0</v>
      </c>
      <c r="Y74" s="190">
        <v>0</v>
      </c>
      <c r="Z74" s="190">
        <v>0</v>
      </c>
      <c r="AA74" s="190">
        <v>0</v>
      </c>
      <c r="AB74" s="190">
        <v>0</v>
      </c>
      <c r="AC74" s="190">
        <v>0</v>
      </c>
      <c r="AD74" s="190">
        <v>0</v>
      </c>
      <c r="AE74" s="190">
        <v>0</v>
      </c>
      <c r="AF74" s="190">
        <v>0</v>
      </c>
      <c r="AG74" s="190">
        <v>0</v>
      </c>
      <c r="AH74" s="190">
        <v>0</v>
      </c>
      <c r="AI74" s="190">
        <v>0</v>
      </c>
      <c r="AJ74" s="190">
        <v>0</v>
      </c>
      <c r="AK74" s="190">
        <v>0</v>
      </c>
      <c r="AL74" s="190">
        <v>0</v>
      </c>
      <c r="AM74" s="190">
        <v>0</v>
      </c>
      <c r="AN74" s="190">
        <v>0</v>
      </c>
      <c r="AO74" s="190">
        <v>10444.44</v>
      </c>
      <c r="AP74" s="190">
        <v>49021.5</v>
      </c>
      <c r="AQ74" s="190">
        <v>0</v>
      </c>
      <c r="AR74" s="190"/>
      <c r="AS74" s="190"/>
      <c r="AT74" s="190"/>
      <c r="AU74" s="190"/>
      <c r="AV74" s="190"/>
      <c r="AW74" s="190"/>
      <c r="AX74" s="190"/>
      <c r="AY74" s="190"/>
      <c r="AZ74" s="190"/>
      <c r="BA74" s="190"/>
      <c r="BB74" s="190"/>
      <c r="BC74" s="190"/>
      <c r="BD74" s="190"/>
      <c r="BE74" s="190"/>
      <c r="BF74" s="190"/>
      <c r="BG74" s="190"/>
      <c r="BH74" s="190"/>
      <c r="BI74" s="190"/>
      <c r="BJ74" s="190"/>
      <c r="BK74" s="190"/>
      <c r="BL74" s="190"/>
      <c r="BM74" s="190"/>
      <c r="BN74" s="190"/>
      <c r="BO74" s="190"/>
      <c r="BP74" s="190"/>
      <c r="BQ74" s="190"/>
      <c r="BR74" s="190"/>
      <c r="BS74" s="190"/>
      <c r="BT74" s="190"/>
      <c r="BU74" s="190"/>
      <c r="BV74" s="190"/>
      <c r="BW74" s="190"/>
      <c r="BX74" s="190"/>
      <c r="BY74" s="190"/>
      <c r="BZ74" s="190"/>
      <c r="CA74" s="190"/>
      <c r="CB74" s="190"/>
      <c r="CC74" s="190"/>
      <c r="CD74" s="190"/>
      <c r="CE74" s="190"/>
      <c r="CF74" s="190"/>
      <c r="CG74" s="190"/>
      <c r="CH74" s="190"/>
      <c r="CI74" s="190"/>
      <c r="CJ74" s="190"/>
      <c r="CK74" s="190"/>
      <c r="CL74" s="190"/>
    </row>
    <row r="75" spans="1:90" x14ac:dyDescent="0.25">
      <c r="A75" s="128" t="s">
        <v>53</v>
      </c>
      <c r="B75" s="190">
        <v>0</v>
      </c>
      <c r="C75" s="190">
        <v>0</v>
      </c>
      <c r="D75" s="190">
        <v>0</v>
      </c>
      <c r="E75" s="190">
        <v>0</v>
      </c>
      <c r="F75" s="190">
        <v>0</v>
      </c>
      <c r="G75" s="190">
        <v>0</v>
      </c>
      <c r="H75" s="190">
        <v>0</v>
      </c>
      <c r="I75" s="190">
        <v>0</v>
      </c>
      <c r="J75" s="190">
        <v>0</v>
      </c>
      <c r="K75" s="190">
        <v>0</v>
      </c>
      <c r="L75" s="190">
        <v>0</v>
      </c>
      <c r="M75" s="190">
        <v>0</v>
      </c>
      <c r="N75" s="190">
        <v>0</v>
      </c>
      <c r="O75" s="190">
        <v>0</v>
      </c>
      <c r="P75" s="190">
        <v>0</v>
      </c>
      <c r="Q75" s="190">
        <v>0</v>
      </c>
      <c r="R75" s="190">
        <v>0</v>
      </c>
      <c r="S75" s="190">
        <v>0</v>
      </c>
      <c r="T75" s="190">
        <v>0</v>
      </c>
      <c r="U75" s="190">
        <v>0</v>
      </c>
      <c r="V75" s="190">
        <v>0</v>
      </c>
      <c r="W75" s="190">
        <v>0</v>
      </c>
      <c r="X75" s="190">
        <v>0</v>
      </c>
      <c r="Y75" s="190">
        <v>0</v>
      </c>
      <c r="Z75" s="190">
        <v>0</v>
      </c>
      <c r="AA75" s="190">
        <v>0</v>
      </c>
      <c r="AB75" s="190">
        <v>0</v>
      </c>
      <c r="AC75" s="190">
        <v>0</v>
      </c>
      <c r="AD75" s="190">
        <v>0</v>
      </c>
      <c r="AE75" s="190">
        <v>0</v>
      </c>
      <c r="AF75" s="190">
        <v>0</v>
      </c>
      <c r="AG75" s="190">
        <v>0</v>
      </c>
      <c r="AH75" s="190">
        <v>0</v>
      </c>
      <c r="AI75" s="190">
        <v>0</v>
      </c>
      <c r="AJ75" s="190">
        <v>0</v>
      </c>
      <c r="AK75" s="190">
        <v>0</v>
      </c>
      <c r="AL75" s="190">
        <v>0</v>
      </c>
      <c r="AM75" s="190">
        <v>0</v>
      </c>
      <c r="AN75" s="190">
        <v>0</v>
      </c>
      <c r="AO75" s="190">
        <v>0</v>
      </c>
      <c r="AP75" s="190">
        <v>0</v>
      </c>
      <c r="AQ75" s="190">
        <v>0</v>
      </c>
      <c r="AR75" s="190"/>
      <c r="AS75" s="190"/>
      <c r="AT75" s="190"/>
      <c r="AU75" s="190"/>
      <c r="AV75" s="190"/>
      <c r="AW75" s="190"/>
      <c r="AX75" s="190"/>
      <c r="AY75" s="190"/>
      <c r="AZ75" s="190"/>
      <c r="BA75" s="190"/>
      <c r="BB75" s="190"/>
      <c r="BC75" s="190"/>
      <c r="BD75" s="190"/>
      <c r="BE75" s="190"/>
      <c r="BF75" s="190"/>
      <c r="BG75" s="190"/>
      <c r="BH75" s="190"/>
      <c r="BI75" s="190"/>
      <c r="BJ75" s="190"/>
      <c r="BK75" s="190"/>
      <c r="BL75" s="190"/>
      <c r="BM75" s="190"/>
      <c r="BN75" s="190"/>
      <c r="BO75" s="190"/>
      <c r="BP75" s="190"/>
      <c r="BQ75" s="190"/>
      <c r="BR75" s="190"/>
      <c r="BS75" s="190"/>
      <c r="BT75" s="190"/>
      <c r="BU75" s="190"/>
      <c r="BV75" s="190"/>
      <c r="BW75" s="190"/>
      <c r="BX75" s="190"/>
      <c r="BY75" s="190"/>
      <c r="BZ75" s="190"/>
      <c r="CA75" s="190"/>
      <c r="CB75" s="190"/>
      <c r="CC75" s="190"/>
      <c r="CD75" s="190"/>
      <c r="CE75" s="190"/>
      <c r="CF75" s="190"/>
      <c r="CG75" s="190"/>
      <c r="CH75" s="190"/>
      <c r="CI75" s="190"/>
      <c r="CJ75" s="190"/>
      <c r="CK75" s="190"/>
      <c r="CL75" s="190"/>
    </row>
    <row r="76" spans="1:90" x14ac:dyDescent="0.25">
      <c r="A76" s="128" t="s">
        <v>54</v>
      </c>
      <c r="B76" s="190">
        <v>0</v>
      </c>
      <c r="C76" s="190">
        <v>7278260</v>
      </c>
      <c r="D76" s="190">
        <v>6916910</v>
      </c>
      <c r="E76" s="190">
        <v>7187620</v>
      </c>
      <c r="F76" s="190">
        <v>14601180</v>
      </c>
      <c r="G76" s="190">
        <v>14903680</v>
      </c>
      <c r="H76" s="190">
        <v>15178460</v>
      </c>
      <c r="I76" s="190">
        <v>0</v>
      </c>
      <c r="J76" s="190">
        <v>0</v>
      </c>
      <c r="K76" s="190">
        <v>0</v>
      </c>
      <c r="L76" s="190">
        <v>0</v>
      </c>
      <c r="M76" s="190">
        <v>0</v>
      </c>
      <c r="N76" s="190">
        <v>0</v>
      </c>
      <c r="O76" s="190">
        <v>0</v>
      </c>
      <c r="P76" s="190">
        <v>0</v>
      </c>
      <c r="Q76" s="190">
        <v>0</v>
      </c>
      <c r="R76" s="190">
        <v>0</v>
      </c>
      <c r="S76" s="190">
        <v>0</v>
      </c>
      <c r="T76" s="190">
        <v>0</v>
      </c>
      <c r="U76" s="190">
        <v>0</v>
      </c>
      <c r="V76" s="190">
        <v>0</v>
      </c>
      <c r="W76" s="190">
        <v>0</v>
      </c>
      <c r="X76" s="190">
        <v>0</v>
      </c>
      <c r="Y76" s="190">
        <v>0</v>
      </c>
      <c r="Z76" s="190">
        <v>0</v>
      </c>
      <c r="AA76" s="190">
        <v>0</v>
      </c>
      <c r="AB76" s="190">
        <v>0</v>
      </c>
      <c r="AC76" s="190">
        <v>0</v>
      </c>
      <c r="AD76" s="190">
        <v>0</v>
      </c>
      <c r="AE76" s="190">
        <v>0</v>
      </c>
      <c r="AF76" s="190">
        <v>0</v>
      </c>
      <c r="AG76" s="190">
        <v>0</v>
      </c>
      <c r="AH76" s="190">
        <v>0</v>
      </c>
      <c r="AI76" s="190">
        <v>0</v>
      </c>
      <c r="AJ76" s="190">
        <v>0</v>
      </c>
      <c r="AK76" s="190">
        <v>0</v>
      </c>
      <c r="AL76" s="190">
        <v>0</v>
      </c>
      <c r="AM76" s="190">
        <v>0</v>
      </c>
      <c r="AN76" s="190">
        <v>0</v>
      </c>
      <c r="AO76" s="190">
        <v>0</v>
      </c>
      <c r="AP76" s="190">
        <v>0</v>
      </c>
      <c r="AQ76" s="190">
        <v>0</v>
      </c>
      <c r="AR76" s="190"/>
      <c r="AS76" s="190"/>
      <c r="AT76" s="190"/>
      <c r="AU76" s="190"/>
      <c r="AV76" s="190"/>
      <c r="AW76" s="190"/>
      <c r="AX76" s="190"/>
      <c r="AY76" s="190"/>
      <c r="AZ76" s="190"/>
      <c r="BA76" s="190"/>
      <c r="BB76" s="190"/>
      <c r="BC76" s="190"/>
      <c r="BD76" s="190"/>
      <c r="BE76" s="190"/>
      <c r="BF76" s="190"/>
      <c r="BG76" s="190"/>
      <c r="BH76" s="190"/>
      <c r="BI76" s="190"/>
      <c r="BJ76" s="190"/>
      <c r="BK76" s="190"/>
      <c r="BL76" s="190"/>
      <c r="BM76" s="190"/>
      <c r="BN76" s="190"/>
      <c r="BO76" s="190"/>
      <c r="BP76" s="190"/>
      <c r="BQ76" s="190"/>
      <c r="BR76" s="190"/>
      <c r="BS76" s="190"/>
      <c r="BT76" s="190"/>
      <c r="BU76" s="190"/>
      <c r="BV76" s="190"/>
      <c r="BW76" s="190"/>
      <c r="BX76" s="190"/>
      <c r="BY76" s="190"/>
      <c r="BZ76" s="190"/>
      <c r="CA76" s="190"/>
      <c r="CB76" s="190"/>
      <c r="CC76" s="190"/>
      <c r="CD76" s="190"/>
      <c r="CE76" s="190"/>
      <c r="CF76" s="190"/>
      <c r="CG76" s="190"/>
      <c r="CH76" s="190"/>
      <c r="CI76" s="190"/>
      <c r="CJ76" s="190"/>
      <c r="CK76" s="190"/>
      <c r="CL76" s="190"/>
    </row>
    <row r="77" spans="1:90" x14ac:dyDescent="0.25">
      <c r="A77" s="128" t="s">
        <v>55</v>
      </c>
      <c r="B77" s="190">
        <v>0</v>
      </c>
      <c r="C77" s="190">
        <v>0</v>
      </c>
      <c r="D77" s="190">
        <v>0</v>
      </c>
      <c r="E77" s="190">
        <v>0</v>
      </c>
      <c r="F77" s="190">
        <v>0</v>
      </c>
      <c r="G77" s="190">
        <v>0</v>
      </c>
      <c r="H77" s="190">
        <v>0</v>
      </c>
      <c r="I77" s="190">
        <v>0</v>
      </c>
      <c r="J77" s="190">
        <v>0</v>
      </c>
      <c r="K77" s="190">
        <v>0</v>
      </c>
      <c r="L77" s="190">
        <v>0</v>
      </c>
      <c r="M77" s="190">
        <v>0</v>
      </c>
      <c r="N77" s="190">
        <v>0</v>
      </c>
      <c r="O77" s="190">
        <v>0</v>
      </c>
      <c r="P77" s="190">
        <v>0</v>
      </c>
      <c r="Q77" s="190">
        <v>0</v>
      </c>
      <c r="R77" s="190">
        <v>0</v>
      </c>
      <c r="S77" s="190">
        <v>0</v>
      </c>
      <c r="T77" s="190">
        <v>0</v>
      </c>
      <c r="U77" s="190">
        <v>0</v>
      </c>
      <c r="V77" s="190">
        <v>0</v>
      </c>
      <c r="W77" s="190">
        <v>0</v>
      </c>
      <c r="X77" s="190">
        <v>0</v>
      </c>
      <c r="Y77" s="190">
        <v>0</v>
      </c>
      <c r="Z77" s="190">
        <v>0</v>
      </c>
      <c r="AA77" s="190">
        <v>0</v>
      </c>
      <c r="AB77" s="190">
        <v>0</v>
      </c>
      <c r="AC77" s="190">
        <v>0</v>
      </c>
      <c r="AD77" s="190">
        <v>0</v>
      </c>
      <c r="AE77" s="190">
        <v>0</v>
      </c>
      <c r="AF77" s="190">
        <v>0</v>
      </c>
      <c r="AG77" s="190">
        <v>0</v>
      </c>
      <c r="AH77" s="190">
        <v>0</v>
      </c>
      <c r="AI77" s="190">
        <v>0</v>
      </c>
      <c r="AJ77" s="190">
        <v>0</v>
      </c>
      <c r="AK77" s="190">
        <v>0</v>
      </c>
      <c r="AL77" s="190">
        <v>0</v>
      </c>
      <c r="AM77" s="190">
        <v>0</v>
      </c>
      <c r="AN77" s="190">
        <v>0</v>
      </c>
      <c r="AO77" s="190">
        <v>0</v>
      </c>
      <c r="AP77" s="190">
        <v>0</v>
      </c>
      <c r="AQ77" s="190">
        <v>0</v>
      </c>
      <c r="AR77" s="190"/>
      <c r="AS77" s="190"/>
      <c r="AT77" s="190"/>
      <c r="AU77" s="190"/>
      <c r="AV77" s="190"/>
      <c r="AW77" s="190"/>
      <c r="AX77" s="190"/>
      <c r="AY77" s="190"/>
      <c r="AZ77" s="190"/>
      <c r="BA77" s="190"/>
      <c r="BB77" s="190"/>
      <c r="BC77" s="190"/>
      <c r="BD77" s="190"/>
      <c r="BE77" s="190"/>
      <c r="BF77" s="190"/>
      <c r="BG77" s="190"/>
      <c r="BH77" s="190"/>
      <c r="BI77" s="190"/>
      <c r="BJ77" s="190"/>
      <c r="BK77" s="190"/>
      <c r="BL77" s="190"/>
      <c r="BM77" s="190"/>
      <c r="BN77" s="190"/>
      <c r="BO77" s="190"/>
      <c r="BP77" s="190"/>
      <c r="BQ77" s="190"/>
      <c r="BR77" s="190"/>
      <c r="BS77" s="190"/>
      <c r="BT77" s="190"/>
      <c r="BU77" s="190"/>
      <c r="BV77" s="190"/>
      <c r="BW77" s="190"/>
      <c r="BX77" s="190"/>
      <c r="BY77" s="190"/>
      <c r="BZ77" s="190"/>
      <c r="CA77" s="190"/>
      <c r="CB77" s="190"/>
      <c r="CC77" s="190"/>
      <c r="CD77" s="190"/>
      <c r="CE77" s="190"/>
      <c r="CF77" s="190"/>
      <c r="CG77" s="190"/>
      <c r="CH77" s="190"/>
      <c r="CI77" s="190"/>
      <c r="CJ77" s="190"/>
      <c r="CK77" s="190"/>
      <c r="CL77" s="190"/>
    </row>
    <row r="78" spans="1:90" hidden="1" x14ac:dyDescent="0.25">
      <c r="A78" s="128"/>
      <c r="B78" s="26"/>
      <c r="C78" s="26"/>
      <c r="D78" s="26"/>
      <c r="E78" s="26"/>
      <c r="F78" s="26"/>
      <c r="G78" s="26"/>
      <c r="H78" s="26"/>
      <c r="I78" s="26"/>
      <c r="J78" s="26"/>
      <c r="K78" s="26"/>
      <c r="L78" s="23"/>
    </row>
    <row r="79" spans="1:90" hidden="1" x14ac:dyDescent="0.25">
      <c r="A79" s="128"/>
      <c r="B79" s="26"/>
      <c r="C79" s="26"/>
      <c r="D79" s="26"/>
      <c r="E79" s="26"/>
      <c r="F79" s="26"/>
      <c r="G79" s="26"/>
      <c r="H79" s="26"/>
      <c r="I79" s="26"/>
      <c r="J79" s="26"/>
      <c r="K79" s="26"/>
      <c r="L79" s="23"/>
    </row>
    <row r="80" spans="1:90" hidden="1" x14ac:dyDescent="0.25">
      <c r="A80" s="128"/>
      <c r="B80" s="26"/>
      <c r="C80" s="26"/>
      <c r="D80" s="26"/>
      <c r="E80" s="26"/>
      <c r="F80" s="26"/>
      <c r="G80" s="26"/>
      <c r="H80" s="26"/>
      <c r="I80" s="26"/>
      <c r="J80" s="26"/>
      <c r="K80" s="26"/>
      <c r="L80" s="23"/>
    </row>
    <row r="81" spans="1:90" s="2" customFormat="1" x14ac:dyDescent="0.25">
      <c r="A81" s="20" t="s">
        <v>56</v>
      </c>
      <c r="B81" s="28"/>
      <c r="C81" s="28"/>
      <c r="D81" s="28"/>
      <c r="E81" s="28">
        <f>SUM(E82:E85)</f>
        <v>55836774.140000001</v>
      </c>
      <c r="F81" s="28">
        <f t="shared" ref="F81:BQ81" si="16">SUM(F82:F85)</f>
        <v>63071031.310000002</v>
      </c>
      <c r="G81" s="28">
        <f t="shared" si="16"/>
        <v>67620216.969999999</v>
      </c>
      <c r="H81" s="28">
        <f t="shared" si="16"/>
        <v>155295199.61000001</v>
      </c>
      <c r="I81" s="28">
        <f t="shared" si="16"/>
        <v>98171473.140000001</v>
      </c>
      <c r="J81" s="28">
        <f t="shared" si="16"/>
        <v>93090977.900000006</v>
      </c>
      <c r="K81" s="28">
        <f t="shared" si="16"/>
        <v>17439146.66</v>
      </c>
      <c r="L81" s="28">
        <f t="shared" si="16"/>
        <v>10690043.33</v>
      </c>
      <c r="M81" s="28">
        <f t="shared" si="16"/>
        <v>14380137.460000001</v>
      </c>
      <c r="N81" s="28">
        <f t="shared" si="16"/>
        <v>0</v>
      </c>
      <c r="O81" s="28">
        <f t="shared" si="16"/>
        <v>3913327.12</v>
      </c>
      <c r="P81" s="28">
        <f t="shared" si="16"/>
        <v>2666935.96</v>
      </c>
      <c r="Q81" s="28">
        <f t="shared" si="16"/>
        <v>5587351.7300000004</v>
      </c>
      <c r="R81" s="28">
        <f t="shared" si="16"/>
        <v>4419412.5999999996</v>
      </c>
      <c r="S81" s="28">
        <f t="shared" si="16"/>
        <v>7430086.4699999997</v>
      </c>
      <c r="T81" s="28">
        <f t="shared" si="16"/>
        <v>5284150.0999999996</v>
      </c>
      <c r="U81" s="28">
        <f t="shared" si="16"/>
        <v>7877039.8899999997</v>
      </c>
      <c r="V81" s="28">
        <f t="shared" si="16"/>
        <v>0</v>
      </c>
      <c r="W81" s="28">
        <f t="shared" si="16"/>
        <v>0</v>
      </c>
      <c r="X81" s="28">
        <f t="shared" si="16"/>
        <v>0</v>
      </c>
      <c r="Y81" s="28">
        <f t="shared" si="16"/>
        <v>0</v>
      </c>
      <c r="Z81" s="28">
        <f t="shared" si="16"/>
        <v>0</v>
      </c>
      <c r="AA81" s="28">
        <f t="shared" si="16"/>
        <v>0</v>
      </c>
      <c r="AB81" s="28">
        <f t="shared" si="16"/>
        <v>0</v>
      </c>
      <c r="AC81" s="28">
        <f t="shared" si="16"/>
        <v>0</v>
      </c>
      <c r="AD81" s="28">
        <f t="shared" si="16"/>
        <v>0</v>
      </c>
      <c r="AE81" s="28">
        <f t="shared" si="16"/>
        <v>0</v>
      </c>
      <c r="AF81" s="28">
        <f t="shared" si="16"/>
        <v>0</v>
      </c>
      <c r="AG81" s="28">
        <f t="shared" si="16"/>
        <v>0</v>
      </c>
      <c r="AH81" s="28">
        <f t="shared" si="16"/>
        <v>0</v>
      </c>
      <c r="AI81" s="28">
        <f t="shared" si="16"/>
        <v>0</v>
      </c>
      <c r="AJ81" s="28">
        <f t="shared" si="16"/>
        <v>0</v>
      </c>
      <c r="AK81" s="28">
        <f t="shared" si="16"/>
        <v>0</v>
      </c>
      <c r="AL81" s="28">
        <f t="shared" si="16"/>
        <v>0</v>
      </c>
      <c r="AM81" s="28">
        <f t="shared" si="16"/>
        <v>0</v>
      </c>
      <c r="AN81" s="28">
        <f t="shared" si="16"/>
        <v>0</v>
      </c>
      <c r="AO81" s="28">
        <f t="shared" si="16"/>
        <v>0</v>
      </c>
      <c r="AP81" s="28">
        <f t="shared" si="16"/>
        <v>0</v>
      </c>
      <c r="AQ81" s="28">
        <f t="shared" si="16"/>
        <v>0</v>
      </c>
      <c r="AR81" s="28">
        <f t="shared" si="16"/>
        <v>0</v>
      </c>
      <c r="AS81" s="28">
        <f t="shared" si="16"/>
        <v>0</v>
      </c>
      <c r="AT81" s="28">
        <f t="shared" si="16"/>
        <v>0</v>
      </c>
      <c r="AU81" s="28">
        <f t="shared" si="16"/>
        <v>0</v>
      </c>
      <c r="AV81" s="28">
        <f t="shared" si="16"/>
        <v>0</v>
      </c>
      <c r="AW81" s="28">
        <f t="shared" si="16"/>
        <v>0</v>
      </c>
      <c r="AX81" s="28">
        <f t="shared" si="16"/>
        <v>0</v>
      </c>
      <c r="AY81" s="28">
        <f t="shared" si="16"/>
        <v>0</v>
      </c>
      <c r="AZ81" s="28">
        <f t="shared" si="16"/>
        <v>0</v>
      </c>
      <c r="BA81" s="28">
        <f t="shared" si="16"/>
        <v>0</v>
      </c>
      <c r="BB81" s="28">
        <f t="shared" si="16"/>
        <v>0</v>
      </c>
      <c r="BC81" s="28">
        <f t="shared" si="16"/>
        <v>0</v>
      </c>
      <c r="BD81" s="28">
        <f t="shared" si="16"/>
        <v>0</v>
      </c>
      <c r="BE81" s="28">
        <f t="shared" si="16"/>
        <v>0</v>
      </c>
      <c r="BF81" s="28">
        <f t="shared" si="16"/>
        <v>0</v>
      </c>
      <c r="BG81" s="28">
        <f t="shared" si="16"/>
        <v>0</v>
      </c>
      <c r="BH81" s="28">
        <f t="shared" si="16"/>
        <v>0</v>
      </c>
      <c r="BI81" s="28">
        <f t="shared" si="16"/>
        <v>0</v>
      </c>
      <c r="BJ81" s="28">
        <f t="shared" si="16"/>
        <v>0</v>
      </c>
      <c r="BK81" s="28">
        <f t="shared" si="16"/>
        <v>0</v>
      </c>
      <c r="BL81" s="28">
        <f t="shared" si="16"/>
        <v>0</v>
      </c>
      <c r="BM81" s="28">
        <f t="shared" si="16"/>
        <v>0</v>
      </c>
      <c r="BN81" s="28">
        <f t="shared" si="16"/>
        <v>0</v>
      </c>
      <c r="BO81" s="28">
        <f t="shared" si="16"/>
        <v>0</v>
      </c>
      <c r="BP81" s="28">
        <f t="shared" si="16"/>
        <v>0</v>
      </c>
      <c r="BQ81" s="28">
        <f t="shared" si="16"/>
        <v>0</v>
      </c>
      <c r="BR81" s="28">
        <f t="shared" ref="BR81:CG81" si="17">SUM(BR82:BR85)</f>
        <v>0</v>
      </c>
      <c r="BS81" s="28">
        <f t="shared" si="17"/>
        <v>0</v>
      </c>
      <c r="BT81" s="28">
        <f t="shared" si="17"/>
        <v>0</v>
      </c>
      <c r="BU81" s="28">
        <f t="shared" si="17"/>
        <v>0</v>
      </c>
      <c r="BV81" s="28">
        <f t="shared" si="17"/>
        <v>0</v>
      </c>
      <c r="BW81" s="28">
        <f t="shared" si="17"/>
        <v>0</v>
      </c>
      <c r="BX81" s="28">
        <f t="shared" si="17"/>
        <v>0</v>
      </c>
      <c r="BY81" s="28">
        <f t="shared" si="17"/>
        <v>0</v>
      </c>
      <c r="BZ81" s="28">
        <f t="shared" si="17"/>
        <v>0</v>
      </c>
      <c r="CA81" s="28">
        <f t="shared" si="17"/>
        <v>0</v>
      </c>
      <c r="CB81" s="28">
        <f t="shared" si="17"/>
        <v>0</v>
      </c>
      <c r="CC81" s="28">
        <f t="shared" si="17"/>
        <v>0</v>
      </c>
      <c r="CD81" s="28">
        <f t="shared" si="17"/>
        <v>0</v>
      </c>
      <c r="CE81" s="28">
        <f t="shared" si="17"/>
        <v>0</v>
      </c>
      <c r="CF81" s="28">
        <f t="shared" si="17"/>
        <v>0</v>
      </c>
      <c r="CG81" s="28">
        <f t="shared" si="17"/>
        <v>0</v>
      </c>
      <c r="CH81" s="28">
        <f>SUM(CH82:CH85)</f>
        <v>0</v>
      </c>
      <c r="CI81" s="28">
        <f>SUM(CI82:CI85)</f>
        <v>0</v>
      </c>
      <c r="CJ81" s="28">
        <f>SUM(CJ82:CJ85)</f>
        <v>0</v>
      </c>
      <c r="CK81" s="28">
        <f>SUM(CK82:CK85)</f>
        <v>0</v>
      </c>
    </row>
    <row r="82" spans="1:90" x14ac:dyDescent="0.25">
      <c r="A82" s="128" t="s">
        <v>57</v>
      </c>
      <c r="B82" s="190">
        <v>0</v>
      </c>
      <c r="C82" s="190">
        <v>43669560</v>
      </c>
      <c r="D82" s="190">
        <v>48418370</v>
      </c>
      <c r="E82" s="190">
        <v>50313340</v>
      </c>
      <c r="F82" s="190">
        <v>58404720</v>
      </c>
      <c r="G82" s="190">
        <v>59614720</v>
      </c>
      <c r="H82" s="190">
        <v>148610922</v>
      </c>
      <c r="I82" s="190">
        <v>88377380</v>
      </c>
      <c r="J82" s="190">
        <v>84840756</v>
      </c>
      <c r="K82" s="190">
        <v>0</v>
      </c>
      <c r="L82" s="190">
        <v>0</v>
      </c>
      <c r="M82" s="190">
        <v>0</v>
      </c>
      <c r="N82" s="190">
        <v>0</v>
      </c>
      <c r="O82" s="190">
        <v>0</v>
      </c>
      <c r="P82" s="190">
        <v>0</v>
      </c>
      <c r="Q82" s="190">
        <v>0</v>
      </c>
      <c r="R82" s="190">
        <v>0</v>
      </c>
      <c r="S82" s="190">
        <v>0</v>
      </c>
      <c r="T82" s="190">
        <v>0</v>
      </c>
      <c r="U82" s="190">
        <v>0</v>
      </c>
      <c r="V82" s="190">
        <v>0</v>
      </c>
      <c r="W82" s="190">
        <v>0</v>
      </c>
      <c r="X82" s="190">
        <v>0</v>
      </c>
      <c r="Y82" s="190">
        <v>0</v>
      </c>
      <c r="Z82" s="190">
        <v>0</v>
      </c>
      <c r="AA82" s="190">
        <v>0</v>
      </c>
      <c r="AB82" s="190">
        <v>0</v>
      </c>
      <c r="AC82" s="190">
        <v>0</v>
      </c>
      <c r="AD82" s="190">
        <v>0</v>
      </c>
      <c r="AE82" s="190">
        <v>0</v>
      </c>
      <c r="AF82" s="190">
        <v>0</v>
      </c>
      <c r="AG82" s="190">
        <v>0</v>
      </c>
      <c r="AH82" s="190">
        <v>0</v>
      </c>
      <c r="AI82" s="190">
        <v>0</v>
      </c>
      <c r="AJ82" s="190">
        <v>0</v>
      </c>
      <c r="AK82" s="190">
        <v>0</v>
      </c>
      <c r="AL82" s="190">
        <v>0</v>
      </c>
      <c r="AM82" s="190">
        <v>0</v>
      </c>
      <c r="AN82" s="190">
        <v>0</v>
      </c>
      <c r="AO82" s="190">
        <v>0</v>
      </c>
      <c r="AP82" s="190">
        <v>0</v>
      </c>
      <c r="AQ82" s="190">
        <v>0</v>
      </c>
      <c r="AR82" s="190"/>
      <c r="AS82" s="190"/>
      <c r="AT82" s="190"/>
      <c r="AU82" s="190"/>
      <c r="AV82" s="190"/>
      <c r="AW82" s="190"/>
      <c r="AX82" s="190"/>
      <c r="AY82" s="190"/>
      <c r="AZ82" s="190"/>
      <c r="BA82" s="190"/>
      <c r="BB82" s="190"/>
      <c r="BC82" s="190"/>
      <c r="BD82" s="190"/>
      <c r="BE82" s="190"/>
      <c r="BF82" s="190"/>
      <c r="BG82" s="190"/>
      <c r="BH82" s="190"/>
      <c r="BI82" s="190"/>
      <c r="BJ82" s="190"/>
      <c r="BK82" s="190"/>
      <c r="BL82" s="190"/>
      <c r="BM82" s="190"/>
      <c r="BN82" s="190"/>
      <c r="BO82" s="190"/>
      <c r="BP82" s="190"/>
      <c r="BQ82" s="190"/>
      <c r="BR82" s="190"/>
      <c r="BS82" s="190"/>
      <c r="BT82" s="190"/>
      <c r="BU82" s="190"/>
      <c r="BV82" s="190"/>
      <c r="BW82" s="190"/>
      <c r="BX82" s="190"/>
      <c r="BY82" s="190"/>
      <c r="BZ82" s="190"/>
      <c r="CA82" s="190"/>
      <c r="CB82" s="190"/>
      <c r="CC82" s="190"/>
      <c r="CD82" s="190"/>
      <c r="CE82" s="190"/>
      <c r="CF82" s="190"/>
      <c r="CG82" s="190"/>
      <c r="CH82" s="190"/>
      <c r="CI82" s="190"/>
      <c r="CJ82" s="190"/>
      <c r="CK82" s="190"/>
      <c r="CL82" s="190"/>
    </row>
    <row r="83" spans="1:90" x14ac:dyDescent="0.25">
      <c r="A83" s="128" t="s">
        <v>58</v>
      </c>
      <c r="B83" s="190">
        <v>0</v>
      </c>
      <c r="C83" s="190">
        <v>0</v>
      </c>
      <c r="D83" s="190">
        <v>0</v>
      </c>
      <c r="E83" s="190">
        <v>0</v>
      </c>
      <c r="F83" s="190">
        <v>0</v>
      </c>
      <c r="G83" s="190">
        <v>0</v>
      </c>
      <c r="H83" s="190">
        <v>0</v>
      </c>
      <c r="I83" s="190">
        <v>0</v>
      </c>
      <c r="J83" s="190">
        <v>0</v>
      </c>
      <c r="K83" s="190">
        <v>0</v>
      </c>
      <c r="L83" s="190">
        <v>0</v>
      </c>
      <c r="M83" s="190">
        <v>0</v>
      </c>
      <c r="N83" s="190">
        <v>0</v>
      </c>
      <c r="O83" s="190">
        <v>0</v>
      </c>
      <c r="P83" s="190">
        <v>0</v>
      </c>
      <c r="Q83" s="190">
        <v>0</v>
      </c>
      <c r="R83" s="190">
        <v>0</v>
      </c>
      <c r="S83" s="190">
        <v>0</v>
      </c>
      <c r="T83" s="190">
        <v>0</v>
      </c>
      <c r="U83" s="190">
        <v>0</v>
      </c>
      <c r="V83" s="190">
        <v>0</v>
      </c>
      <c r="W83" s="190">
        <v>0</v>
      </c>
      <c r="X83" s="190">
        <v>0</v>
      </c>
      <c r="Y83" s="190">
        <v>0</v>
      </c>
      <c r="Z83" s="190">
        <v>0</v>
      </c>
      <c r="AA83" s="190">
        <v>0</v>
      </c>
      <c r="AB83" s="190">
        <v>0</v>
      </c>
      <c r="AC83" s="190">
        <v>0</v>
      </c>
      <c r="AD83" s="190">
        <v>0</v>
      </c>
      <c r="AE83" s="190">
        <v>0</v>
      </c>
      <c r="AF83" s="190">
        <v>0</v>
      </c>
      <c r="AG83" s="190">
        <v>0</v>
      </c>
      <c r="AH83" s="190">
        <v>0</v>
      </c>
      <c r="AI83" s="190">
        <v>0</v>
      </c>
      <c r="AJ83" s="190">
        <v>0</v>
      </c>
      <c r="AK83" s="190">
        <v>0</v>
      </c>
      <c r="AL83" s="190">
        <v>0</v>
      </c>
      <c r="AM83" s="190">
        <v>0</v>
      </c>
      <c r="AN83" s="190">
        <v>0</v>
      </c>
      <c r="AO83" s="190">
        <v>0</v>
      </c>
      <c r="AP83" s="190">
        <v>0</v>
      </c>
      <c r="AQ83" s="190">
        <v>0</v>
      </c>
      <c r="AR83" s="190"/>
      <c r="AS83" s="190"/>
      <c r="AT83" s="190"/>
      <c r="AU83" s="190"/>
      <c r="AV83" s="190"/>
      <c r="AW83" s="190"/>
      <c r="AX83" s="190"/>
      <c r="AY83" s="190"/>
      <c r="AZ83" s="190"/>
      <c r="BA83" s="190"/>
      <c r="BB83" s="190"/>
      <c r="BC83" s="190"/>
      <c r="BD83" s="190"/>
      <c r="BE83" s="190"/>
      <c r="BF83" s="190"/>
      <c r="BG83" s="190"/>
      <c r="BH83" s="190"/>
      <c r="BI83" s="190"/>
      <c r="BJ83" s="190"/>
      <c r="BK83" s="190"/>
      <c r="BL83" s="190"/>
      <c r="BM83" s="190"/>
      <c r="BN83" s="190"/>
      <c r="BO83" s="190"/>
      <c r="BP83" s="190"/>
      <c r="BQ83" s="190"/>
      <c r="BR83" s="190"/>
      <c r="BS83" s="190"/>
      <c r="BT83" s="190"/>
      <c r="BU83" s="190"/>
      <c r="BV83" s="190"/>
      <c r="BW83" s="190"/>
      <c r="BX83" s="190"/>
      <c r="BY83" s="190"/>
      <c r="BZ83" s="190"/>
      <c r="CA83" s="190"/>
      <c r="CB83" s="190"/>
      <c r="CC83" s="190"/>
      <c r="CD83" s="190"/>
      <c r="CE83" s="190"/>
      <c r="CF83" s="190"/>
      <c r="CG83" s="190"/>
      <c r="CH83" s="190"/>
      <c r="CI83" s="190"/>
      <c r="CJ83" s="190"/>
      <c r="CK83" s="190"/>
      <c r="CL83" s="190"/>
    </row>
    <row r="84" spans="1:90" x14ac:dyDescent="0.25">
      <c r="A84" s="128" t="s">
        <v>59</v>
      </c>
      <c r="B84" s="190">
        <v>0</v>
      </c>
      <c r="C84" s="190">
        <v>0</v>
      </c>
      <c r="D84" s="190">
        <v>0</v>
      </c>
      <c r="E84" s="190">
        <v>0</v>
      </c>
      <c r="F84" s="190">
        <v>0</v>
      </c>
      <c r="G84" s="190">
        <v>0</v>
      </c>
      <c r="H84" s="190">
        <v>0</v>
      </c>
      <c r="I84" s="190">
        <v>0</v>
      </c>
      <c r="J84" s="190">
        <v>0</v>
      </c>
      <c r="K84" s="190">
        <v>0</v>
      </c>
      <c r="L84" s="190">
        <v>0</v>
      </c>
      <c r="M84" s="190">
        <v>0</v>
      </c>
      <c r="N84" s="190">
        <v>0</v>
      </c>
      <c r="O84" s="190">
        <v>0</v>
      </c>
      <c r="P84" s="190">
        <v>0</v>
      </c>
      <c r="Q84" s="190">
        <v>0</v>
      </c>
      <c r="R84" s="190">
        <v>0</v>
      </c>
      <c r="S84" s="190">
        <v>0</v>
      </c>
      <c r="T84" s="190">
        <v>0</v>
      </c>
      <c r="U84" s="190">
        <v>0</v>
      </c>
      <c r="V84" s="190">
        <v>0</v>
      </c>
      <c r="W84" s="190">
        <v>0</v>
      </c>
      <c r="X84" s="190">
        <v>0</v>
      </c>
      <c r="Y84" s="190">
        <v>0</v>
      </c>
      <c r="Z84" s="190">
        <v>0</v>
      </c>
      <c r="AA84" s="190">
        <v>0</v>
      </c>
      <c r="AB84" s="190">
        <v>0</v>
      </c>
      <c r="AC84" s="190">
        <v>0</v>
      </c>
      <c r="AD84" s="190">
        <v>0</v>
      </c>
      <c r="AE84" s="190">
        <v>0</v>
      </c>
      <c r="AF84" s="190">
        <v>0</v>
      </c>
      <c r="AG84" s="190">
        <v>0</v>
      </c>
      <c r="AH84" s="190">
        <v>0</v>
      </c>
      <c r="AI84" s="190">
        <v>0</v>
      </c>
      <c r="AJ84" s="190">
        <v>0</v>
      </c>
      <c r="AK84" s="190">
        <v>0</v>
      </c>
      <c r="AL84" s="190">
        <v>0</v>
      </c>
      <c r="AM84" s="190">
        <v>0</v>
      </c>
      <c r="AN84" s="190">
        <v>0</v>
      </c>
      <c r="AO84" s="190">
        <v>0</v>
      </c>
      <c r="AP84" s="190">
        <v>0</v>
      </c>
      <c r="AQ84" s="190">
        <v>0</v>
      </c>
      <c r="AR84" s="190"/>
      <c r="AS84" s="190"/>
      <c r="AT84" s="190"/>
      <c r="AU84" s="190"/>
      <c r="AV84" s="190"/>
      <c r="AW84" s="190"/>
      <c r="AX84" s="190"/>
      <c r="AY84" s="190"/>
      <c r="AZ84" s="190"/>
      <c r="BA84" s="190"/>
      <c r="BB84" s="190"/>
      <c r="BC84" s="190"/>
      <c r="BD84" s="190"/>
      <c r="BE84" s="190"/>
      <c r="BF84" s="190"/>
      <c r="BG84" s="190"/>
      <c r="BH84" s="190"/>
      <c r="BI84" s="190"/>
      <c r="BJ84" s="190"/>
      <c r="BK84" s="190"/>
      <c r="BL84" s="190"/>
      <c r="BM84" s="190"/>
      <c r="BN84" s="190"/>
      <c r="BO84" s="190"/>
      <c r="BP84" s="190"/>
      <c r="BQ84" s="190"/>
      <c r="BR84" s="190"/>
      <c r="BS84" s="190"/>
      <c r="BT84" s="190"/>
      <c r="BU84" s="190"/>
      <c r="BV84" s="190"/>
      <c r="BW84" s="190"/>
      <c r="BX84" s="190"/>
      <c r="BY84" s="190"/>
      <c r="BZ84" s="190"/>
      <c r="CA84" s="190"/>
      <c r="CB84" s="190"/>
      <c r="CC84" s="190"/>
      <c r="CD84" s="190"/>
      <c r="CE84" s="190"/>
      <c r="CF84" s="190"/>
      <c r="CG84" s="190"/>
      <c r="CH84" s="190"/>
      <c r="CI84" s="190"/>
      <c r="CJ84" s="190"/>
      <c r="CK84" s="190"/>
      <c r="CL84" s="190"/>
    </row>
    <row r="85" spans="1:90" x14ac:dyDescent="0.25">
      <c r="A85" s="128" t="s">
        <v>83</v>
      </c>
      <c r="B85" s="190">
        <v>753429.11</v>
      </c>
      <c r="C85" s="190">
        <v>3245885.74</v>
      </c>
      <c r="D85" s="190">
        <v>2932846.91</v>
      </c>
      <c r="E85" s="190">
        <v>5523434.1399999997</v>
      </c>
      <c r="F85" s="190">
        <v>4666311.3099999996</v>
      </c>
      <c r="G85" s="190">
        <v>8005496.9699999997</v>
      </c>
      <c r="H85" s="190">
        <v>6684277.6100000003</v>
      </c>
      <c r="I85" s="190">
        <v>9794093.1400000006</v>
      </c>
      <c r="J85" s="190">
        <v>8250221.9000000004</v>
      </c>
      <c r="K85" s="190">
        <v>17439146.66</v>
      </c>
      <c r="L85" s="190">
        <v>10690043.33</v>
      </c>
      <c r="M85" s="190">
        <v>14380137.460000001</v>
      </c>
      <c r="N85" s="190">
        <v>0</v>
      </c>
      <c r="O85" s="190">
        <v>3913327.12</v>
      </c>
      <c r="P85" s="190">
        <v>2666935.96</v>
      </c>
      <c r="Q85" s="190">
        <v>5587351.7300000004</v>
      </c>
      <c r="R85" s="190">
        <v>4419412.5999999996</v>
      </c>
      <c r="S85" s="190">
        <v>7430086.4699999997</v>
      </c>
      <c r="T85" s="190">
        <v>5284150.0999999996</v>
      </c>
      <c r="U85" s="190">
        <v>7877039.8899999997</v>
      </c>
      <c r="V85" s="190">
        <v>0</v>
      </c>
      <c r="W85" s="190">
        <v>0</v>
      </c>
      <c r="X85" s="190">
        <v>0</v>
      </c>
      <c r="Y85" s="190">
        <v>0</v>
      </c>
      <c r="Z85" s="190">
        <v>0</v>
      </c>
      <c r="AA85" s="190">
        <v>0</v>
      </c>
      <c r="AB85" s="190">
        <v>0</v>
      </c>
      <c r="AC85" s="190">
        <v>0</v>
      </c>
      <c r="AD85" s="190">
        <v>0</v>
      </c>
      <c r="AE85" s="190">
        <v>0</v>
      </c>
      <c r="AF85" s="190">
        <v>0</v>
      </c>
      <c r="AG85" s="190">
        <v>0</v>
      </c>
      <c r="AH85" s="190">
        <v>0</v>
      </c>
      <c r="AI85" s="190">
        <v>0</v>
      </c>
      <c r="AJ85" s="190">
        <v>0</v>
      </c>
      <c r="AK85" s="190">
        <v>0</v>
      </c>
      <c r="AL85" s="190">
        <v>0</v>
      </c>
      <c r="AM85" s="190">
        <v>0</v>
      </c>
      <c r="AN85" s="190">
        <v>0</v>
      </c>
      <c r="AO85" s="190">
        <v>0</v>
      </c>
      <c r="AP85" s="190">
        <v>0</v>
      </c>
      <c r="AQ85" s="190">
        <v>0</v>
      </c>
      <c r="AR85" s="190"/>
      <c r="AS85" s="190"/>
      <c r="AT85" s="190"/>
      <c r="AU85" s="190"/>
      <c r="AV85" s="190"/>
      <c r="AW85" s="190"/>
      <c r="AX85" s="190"/>
      <c r="AY85" s="190"/>
      <c r="AZ85" s="190"/>
      <c r="BA85" s="190"/>
      <c r="BB85" s="190"/>
      <c r="BC85" s="190"/>
      <c r="BD85" s="190"/>
      <c r="BE85" s="190"/>
      <c r="BF85" s="190"/>
      <c r="BG85" s="190"/>
      <c r="BH85" s="190"/>
      <c r="BI85" s="190"/>
      <c r="BJ85" s="190"/>
      <c r="BK85" s="190"/>
      <c r="BL85" s="190"/>
      <c r="BM85" s="190"/>
      <c r="BN85" s="190"/>
      <c r="BO85" s="190"/>
      <c r="BP85" s="190"/>
      <c r="BQ85" s="190"/>
      <c r="BR85" s="190"/>
      <c r="BS85" s="190"/>
      <c r="BT85" s="190"/>
      <c r="BU85" s="190"/>
      <c r="BV85" s="190"/>
      <c r="BW85" s="190"/>
      <c r="BX85" s="190"/>
      <c r="BY85" s="190"/>
      <c r="BZ85" s="190"/>
      <c r="CA85" s="190"/>
      <c r="CB85" s="190"/>
      <c r="CC85" s="190"/>
      <c r="CD85" s="190"/>
      <c r="CE85" s="190"/>
      <c r="CF85" s="190"/>
      <c r="CG85" s="190"/>
      <c r="CH85" s="190"/>
      <c r="CI85" s="190"/>
      <c r="CJ85" s="190"/>
      <c r="CK85" s="190"/>
      <c r="CL85" s="190"/>
    </row>
    <row r="86" spans="1:90" hidden="1" x14ac:dyDescent="0.25">
      <c r="A86" s="128"/>
      <c r="B86" s="26"/>
      <c r="C86" s="26"/>
      <c r="D86" s="26"/>
      <c r="E86" s="26"/>
      <c r="F86" s="26"/>
      <c r="G86" s="26"/>
      <c r="H86" s="26"/>
      <c r="I86" s="26"/>
      <c r="J86" s="26"/>
      <c r="K86" s="26"/>
      <c r="L86" s="23"/>
    </row>
    <row r="87" spans="1:90" hidden="1" x14ac:dyDescent="0.25">
      <c r="A87" s="128"/>
      <c r="B87" s="26"/>
      <c r="C87" s="26"/>
      <c r="D87" s="26"/>
      <c r="E87" s="26"/>
      <c r="F87" s="26"/>
      <c r="G87" s="26"/>
      <c r="H87" s="26"/>
      <c r="I87" s="26"/>
      <c r="J87" s="26"/>
      <c r="K87" s="26"/>
      <c r="L87" s="23"/>
    </row>
    <row r="88" spans="1:90" hidden="1" x14ac:dyDescent="0.25">
      <c r="A88" s="128"/>
      <c r="B88" s="26"/>
      <c r="C88" s="26"/>
      <c r="D88" s="26"/>
      <c r="E88" s="26"/>
      <c r="F88" s="26"/>
      <c r="G88" s="26"/>
      <c r="H88" s="26"/>
      <c r="I88" s="26"/>
      <c r="J88" s="26"/>
      <c r="K88" s="26"/>
      <c r="L88" s="23"/>
    </row>
    <row r="89" spans="1:90" s="5" customFormat="1" x14ac:dyDescent="0.25">
      <c r="A89" s="129" t="s">
        <v>60</v>
      </c>
      <c r="B89" s="33">
        <f>SUM(B73:B85)</f>
        <v>189702293.13000003</v>
      </c>
      <c r="C89" s="33">
        <f>SUM(C73:C85)</f>
        <v>242774015.93000001</v>
      </c>
      <c r="D89" s="33">
        <f>SUM(D73:D85)</f>
        <v>255447544.84</v>
      </c>
      <c r="E89" s="33">
        <f>E72+E81</f>
        <v>253403062.44</v>
      </c>
      <c r="F89" s="33">
        <f t="shared" ref="F89:BQ89" si="18">F72+F81</f>
        <v>425684276.73000002</v>
      </c>
      <c r="G89" s="33">
        <f t="shared" si="18"/>
        <v>429186159.48000002</v>
      </c>
      <c r="H89" s="33">
        <f t="shared" si="18"/>
        <v>547061833.96000004</v>
      </c>
      <c r="I89" s="33">
        <f t="shared" si="18"/>
        <v>498862452.37</v>
      </c>
      <c r="J89" s="33">
        <f t="shared" si="18"/>
        <v>333090977.89999998</v>
      </c>
      <c r="K89" s="33">
        <f t="shared" si="18"/>
        <v>287439146.66000003</v>
      </c>
      <c r="L89" s="33">
        <f t="shared" si="18"/>
        <v>110690043.33</v>
      </c>
      <c r="M89" s="33">
        <f t="shared" si="18"/>
        <v>114682220.78999999</v>
      </c>
      <c r="N89" s="33">
        <f t="shared" si="18"/>
        <v>0</v>
      </c>
      <c r="O89" s="33">
        <f t="shared" si="18"/>
        <v>3913327.12</v>
      </c>
      <c r="P89" s="33">
        <f t="shared" si="18"/>
        <v>2666935.96</v>
      </c>
      <c r="Q89" s="33">
        <f t="shared" si="18"/>
        <v>5587351.7300000004</v>
      </c>
      <c r="R89" s="33">
        <f t="shared" si="18"/>
        <v>4419412.5999999996</v>
      </c>
      <c r="S89" s="33">
        <f t="shared" si="18"/>
        <v>7430086.4699999997</v>
      </c>
      <c r="T89" s="33">
        <f t="shared" si="18"/>
        <v>5284150.0999999996</v>
      </c>
      <c r="U89" s="33">
        <f t="shared" si="18"/>
        <v>7877039.8899999997</v>
      </c>
      <c r="V89" s="33">
        <f t="shared" si="18"/>
        <v>0</v>
      </c>
      <c r="W89" s="33">
        <f t="shared" si="18"/>
        <v>0</v>
      </c>
      <c r="X89" s="33">
        <f t="shared" si="18"/>
        <v>0</v>
      </c>
      <c r="Y89" s="33">
        <f t="shared" si="18"/>
        <v>0</v>
      </c>
      <c r="Z89" s="33">
        <f t="shared" si="18"/>
        <v>0</v>
      </c>
      <c r="AA89" s="33">
        <f t="shared" si="18"/>
        <v>0</v>
      </c>
      <c r="AB89" s="33">
        <f t="shared" si="18"/>
        <v>0</v>
      </c>
      <c r="AC89" s="33">
        <f t="shared" si="18"/>
        <v>0</v>
      </c>
      <c r="AD89" s="33">
        <f t="shared" si="18"/>
        <v>0</v>
      </c>
      <c r="AE89" s="33">
        <f t="shared" si="18"/>
        <v>0</v>
      </c>
      <c r="AF89" s="33">
        <f t="shared" si="18"/>
        <v>0</v>
      </c>
      <c r="AG89" s="33">
        <f t="shared" si="18"/>
        <v>0</v>
      </c>
      <c r="AH89" s="33">
        <f t="shared" si="18"/>
        <v>0</v>
      </c>
      <c r="AI89" s="33">
        <f t="shared" si="18"/>
        <v>0</v>
      </c>
      <c r="AJ89" s="33">
        <f t="shared" si="18"/>
        <v>0</v>
      </c>
      <c r="AK89" s="33">
        <f t="shared" si="18"/>
        <v>0</v>
      </c>
      <c r="AL89" s="33">
        <f t="shared" si="18"/>
        <v>0</v>
      </c>
      <c r="AM89" s="33">
        <f t="shared" si="18"/>
        <v>0</v>
      </c>
      <c r="AN89" s="33">
        <f t="shared" si="18"/>
        <v>0</v>
      </c>
      <c r="AO89" s="33">
        <f t="shared" si="18"/>
        <v>5010444.4400000004</v>
      </c>
      <c r="AP89" s="33">
        <f t="shared" si="18"/>
        <v>28049021.5</v>
      </c>
      <c r="AQ89" s="33">
        <f t="shared" si="18"/>
        <v>0</v>
      </c>
      <c r="AR89" s="33">
        <f t="shared" si="18"/>
        <v>0</v>
      </c>
      <c r="AS89" s="33">
        <f t="shared" si="18"/>
        <v>0</v>
      </c>
      <c r="AT89" s="33">
        <f t="shared" si="18"/>
        <v>0</v>
      </c>
      <c r="AU89" s="33">
        <f t="shared" si="18"/>
        <v>0</v>
      </c>
      <c r="AV89" s="33">
        <f t="shared" si="18"/>
        <v>0</v>
      </c>
      <c r="AW89" s="33">
        <f t="shared" si="18"/>
        <v>0</v>
      </c>
      <c r="AX89" s="33">
        <f t="shared" si="18"/>
        <v>0</v>
      </c>
      <c r="AY89" s="33">
        <f t="shared" si="18"/>
        <v>0</v>
      </c>
      <c r="AZ89" s="33">
        <f t="shared" si="18"/>
        <v>0</v>
      </c>
      <c r="BA89" s="33">
        <f t="shared" si="18"/>
        <v>0</v>
      </c>
      <c r="BB89" s="33">
        <f t="shared" si="18"/>
        <v>0</v>
      </c>
      <c r="BC89" s="33">
        <f t="shared" si="18"/>
        <v>0</v>
      </c>
      <c r="BD89" s="33">
        <f t="shared" si="18"/>
        <v>0</v>
      </c>
      <c r="BE89" s="33">
        <f t="shared" si="18"/>
        <v>0</v>
      </c>
      <c r="BF89" s="33">
        <f t="shared" si="18"/>
        <v>0</v>
      </c>
      <c r="BG89" s="33">
        <f t="shared" si="18"/>
        <v>0</v>
      </c>
      <c r="BH89" s="33">
        <f t="shared" si="18"/>
        <v>0</v>
      </c>
      <c r="BI89" s="33">
        <f t="shared" si="18"/>
        <v>0</v>
      </c>
      <c r="BJ89" s="33">
        <f t="shared" si="18"/>
        <v>0</v>
      </c>
      <c r="BK89" s="33">
        <f t="shared" si="18"/>
        <v>0</v>
      </c>
      <c r="BL89" s="33">
        <f t="shared" si="18"/>
        <v>0</v>
      </c>
      <c r="BM89" s="33">
        <f t="shared" si="18"/>
        <v>0</v>
      </c>
      <c r="BN89" s="33">
        <f t="shared" si="18"/>
        <v>0</v>
      </c>
      <c r="BO89" s="33">
        <f t="shared" si="18"/>
        <v>0</v>
      </c>
      <c r="BP89" s="33">
        <f t="shared" si="18"/>
        <v>0</v>
      </c>
      <c r="BQ89" s="33">
        <f t="shared" si="18"/>
        <v>0</v>
      </c>
      <c r="BR89" s="33">
        <f t="shared" ref="BR89:CK89" si="19">BR72+BR81</f>
        <v>0</v>
      </c>
      <c r="BS89" s="33">
        <f t="shared" si="19"/>
        <v>0</v>
      </c>
      <c r="BT89" s="33">
        <f t="shared" si="19"/>
        <v>0</v>
      </c>
      <c r="BU89" s="33">
        <f t="shared" si="19"/>
        <v>0</v>
      </c>
      <c r="BV89" s="33">
        <f t="shared" si="19"/>
        <v>0</v>
      </c>
      <c r="BW89" s="33">
        <f t="shared" si="19"/>
        <v>0</v>
      </c>
      <c r="BX89" s="33">
        <f t="shared" si="19"/>
        <v>0</v>
      </c>
      <c r="BY89" s="33">
        <f t="shared" si="19"/>
        <v>0</v>
      </c>
      <c r="BZ89" s="33">
        <f t="shared" si="19"/>
        <v>0</v>
      </c>
      <c r="CA89" s="33">
        <f t="shared" si="19"/>
        <v>0</v>
      </c>
      <c r="CB89" s="33">
        <f t="shared" si="19"/>
        <v>0</v>
      </c>
      <c r="CC89" s="33">
        <f t="shared" si="19"/>
        <v>0</v>
      </c>
      <c r="CD89" s="33">
        <f t="shared" si="19"/>
        <v>0</v>
      </c>
      <c r="CE89" s="33">
        <f t="shared" si="19"/>
        <v>0</v>
      </c>
      <c r="CF89" s="33">
        <f t="shared" si="19"/>
        <v>0</v>
      </c>
      <c r="CG89" s="33">
        <f t="shared" si="19"/>
        <v>0</v>
      </c>
      <c r="CH89" s="33">
        <f t="shared" si="19"/>
        <v>0</v>
      </c>
      <c r="CI89" s="33">
        <f t="shared" si="19"/>
        <v>0</v>
      </c>
      <c r="CJ89" s="33">
        <f t="shared" si="19"/>
        <v>0</v>
      </c>
      <c r="CK89" s="33">
        <f t="shared" si="19"/>
        <v>0</v>
      </c>
    </row>
    <row r="90" spans="1:90" x14ac:dyDescent="0.25">
      <c r="A90" s="20" t="s">
        <v>61</v>
      </c>
      <c r="B90" s="26"/>
      <c r="C90" s="26"/>
      <c r="D90" s="26"/>
      <c r="E90" s="26"/>
      <c r="F90" s="26"/>
      <c r="G90" s="26"/>
      <c r="H90" s="26"/>
      <c r="I90" s="26"/>
      <c r="J90" s="26"/>
      <c r="K90" s="26"/>
      <c r="L90" s="23"/>
      <c r="M90" s="13"/>
      <c r="N90" s="13"/>
    </row>
    <row r="91" spans="1:90" x14ac:dyDescent="0.25">
      <c r="A91" s="128" t="s">
        <v>62</v>
      </c>
      <c r="B91" s="190">
        <v>744729147</v>
      </c>
      <c r="C91" s="190">
        <v>744729147</v>
      </c>
      <c r="D91" s="190">
        <v>744919147</v>
      </c>
      <c r="E91" s="190">
        <v>704905500</v>
      </c>
      <c r="F91" s="190">
        <v>704905500</v>
      </c>
      <c r="G91" s="190">
        <v>704905500</v>
      </c>
      <c r="H91" s="190">
        <v>701815500</v>
      </c>
      <c r="I91" s="190">
        <v>701815500</v>
      </c>
      <c r="J91" s="190">
        <v>701815500</v>
      </c>
      <c r="K91" s="190">
        <v>701815500</v>
      </c>
      <c r="L91" s="190">
        <v>701815500</v>
      </c>
      <c r="M91" s="190">
        <v>701815500</v>
      </c>
      <c r="N91" s="190">
        <v>701815500</v>
      </c>
      <c r="O91" s="190">
        <v>701815500</v>
      </c>
      <c r="P91" s="190">
        <v>280726200</v>
      </c>
      <c r="Q91" s="190">
        <v>280726200</v>
      </c>
      <c r="R91" s="190">
        <v>280726200</v>
      </c>
      <c r="S91" s="190">
        <v>280726200</v>
      </c>
      <c r="T91" s="190">
        <v>280726200</v>
      </c>
      <c r="U91" s="190">
        <v>280726200</v>
      </c>
      <c r="V91" s="190">
        <v>280726200</v>
      </c>
      <c r="W91" s="190">
        <v>280726200</v>
      </c>
      <c r="X91" s="190">
        <v>140363100</v>
      </c>
      <c r="Y91" s="190">
        <v>140363100</v>
      </c>
      <c r="Z91" s="190">
        <v>140363100</v>
      </c>
      <c r="AA91" s="190">
        <v>140363100</v>
      </c>
      <c r="AB91" s="190">
        <v>140363100</v>
      </c>
      <c r="AC91" s="190">
        <v>140363100</v>
      </c>
      <c r="AD91" s="190">
        <v>140363100</v>
      </c>
      <c r="AE91" s="190">
        <v>140363100</v>
      </c>
      <c r="AF91" s="190">
        <v>140363100</v>
      </c>
      <c r="AG91" s="190">
        <v>140363100</v>
      </c>
      <c r="AH91" s="190">
        <v>140363100</v>
      </c>
      <c r="AI91" s="190">
        <v>140363100</v>
      </c>
      <c r="AJ91" s="190">
        <v>140363100</v>
      </c>
      <c r="AK91" s="190">
        <v>140363100</v>
      </c>
      <c r="AL91" s="190">
        <v>140363100</v>
      </c>
      <c r="AM91" s="190">
        <v>105263100</v>
      </c>
      <c r="AN91" s="190">
        <v>105263100</v>
      </c>
      <c r="AO91" s="190">
        <v>105263100</v>
      </c>
      <c r="AP91" s="190">
        <v>14943456</v>
      </c>
      <c r="AQ91" s="190">
        <v>0</v>
      </c>
      <c r="AR91" s="190"/>
      <c r="AS91" s="190"/>
      <c r="AT91" s="190"/>
      <c r="AU91" s="190"/>
      <c r="AV91" s="190"/>
      <c r="AW91" s="190"/>
      <c r="AX91" s="190"/>
      <c r="AY91" s="190"/>
      <c r="AZ91" s="190"/>
      <c r="BA91" s="190"/>
      <c r="BB91" s="190"/>
      <c r="BC91" s="190"/>
      <c r="BD91" s="190"/>
      <c r="BE91" s="190"/>
      <c r="BF91" s="190"/>
      <c r="BG91" s="190"/>
      <c r="BH91" s="190"/>
      <c r="BI91" s="190"/>
      <c r="BJ91" s="190"/>
      <c r="BK91" s="190"/>
      <c r="BL91" s="190"/>
      <c r="BM91" s="190"/>
      <c r="BN91" s="190"/>
      <c r="BO91" s="190"/>
      <c r="BP91" s="190"/>
      <c r="BQ91" s="190"/>
      <c r="BR91" s="190"/>
      <c r="BS91" s="190"/>
      <c r="BT91" s="190"/>
      <c r="BU91" s="190"/>
      <c r="BV91" s="190"/>
      <c r="BW91" s="190"/>
      <c r="BX91" s="190"/>
      <c r="BY91" s="190"/>
      <c r="BZ91" s="190"/>
      <c r="CA91" s="190"/>
      <c r="CB91" s="190"/>
      <c r="CC91" s="190"/>
      <c r="CD91" s="190"/>
      <c r="CE91" s="190"/>
      <c r="CF91" s="190"/>
      <c r="CG91" s="190"/>
      <c r="CH91" s="190"/>
      <c r="CI91" s="190"/>
      <c r="CJ91" s="190"/>
      <c r="CK91" s="190"/>
      <c r="CL91" s="190"/>
    </row>
    <row r="92" spans="1:90" x14ac:dyDescent="0.25">
      <c r="A92" s="128" t="s">
        <v>63</v>
      </c>
      <c r="B92" s="190">
        <v>799073930.01999998</v>
      </c>
      <c r="C92" s="190">
        <v>796160462.83000004</v>
      </c>
      <c r="D92" s="190">
        <v>770521940.25</v>
      </c>
      <c r="E92" s="190">
        <v>370838881.36000001</v>
      </c>
      <c r="F92" s="190">
        <v>367084618.66000003</v>
      </c>
      <c r="G92" s="190">
        <v>365372843.69</v>
      </c>
      <c r="H92" s="190">
        <v>343661998.69999999</v>
      </c>
      <c r="I92" s="190">
        <v>348501443.69</v>
      </c>
      <c r="J92" s="190">
        <v>348501443.69</v>
      </c>
      <c r="K92" s="190">
        <v>348237589.52999997</v>
      </c>
      <c r="L92" s="190">
        <v>345579812.58999997</v>
      </c>
      <c r="M92" s="190">
        <v>345579812.58999997</v>
      </c>
      <c r="N92" s="190">
        <v>345579812.58999997</v>
      </c>
      <c r="O92" s="190">
        <v>345579812.58999997</v>
      </c>
      <c r="P92" s="190">
        <v>766669112.59000003</v>
      </c>
      <c r="Q92" s="190">
        <v>766669112.59000003</v>
      </c>
      <c r="R92" s="190">
        <v>766669112.59000003</v>
      </c>
      <c r="S92" s="190">
        <v>766669112.59000003</v>
      </c>
      <c r="T92" s="190">
        <v>766669112.59000003</v>
      </c>
      <c r="U92" s="190">
        <v>766669112.59000003</v>
      </c>
      <c r="V92" s="190">
        <v>766669112.59000003</v>
      </c>
      <c r="W92" s="190">
        <v>766669112.59000003</v>
      </c>
      <c r="X92" s="190">
        <v>907032212.59000003</v>
      </c>
      <c r="Y92" s="190">
        <v>907032212.59000003</v>
      </c>
      <c r="Z92" s="190">
        <v>907032212.59000003</v>
      </c>
      <c r="AA92" s="190">
        <v>907032212.59000003</v>
      </c>
      <c r="AB92" s="190">
        <v>907032212.59000003</v>
      </c>
      <c r="AC92" s="190">
        <v>907032212.59000003</v>
      </c>
      <c r="AD92" s="190">
        <v>907032212.59000003</v>
      </c>
      <c r="AE92" s="190">
        <v>907032212.59000003</v>
      </c>
      <c r="AF92" s="190">
        <v>907032212.59000003</v>
      </c>
      <c r="AG92" s="190">
        <v>907032212.59000003</v>
      </c>
      <c r="AH92" s="190">
        <v>909088421.73000002</v>
      </c>
      <c r="AI92" s="190">
        <v>909088421.73000002</v>
      </c>
      <c r="AJ92" s="190">
        <v>909088421.73000002</v>
      </c>
      <c r="AK92" s="190">
        <v>909088421.73000002</v>
      </c>
      <c r="AL92" s="190">
        <v>908208321.07000005</v>
      </c>
      <c r="AM92" s="190">
        <v>36175321.07</v>
      </c>
      <c r="AN92" s="190">
        <v>36175321.07</v>
      </c>
      <c r="AO92" s="190">
        <v>36175321.07</v>
      </c>
      <c r="AP92" s="190">
        <v>1758251.73</v>
      </c>
      <c r="AQ92" s="190">
        <v>0</v>
      </c>
      <c r="AR92" s="190"/>
      <c r="AS92" s="190"/>
      <c r="AT92" s="190"/>
      <c r="AU92" s="190"/>
      <c r="AV92" s="190"/>
      <c r="AW92" s="190"/>
      <c r="AX92" s="190"/>
      <c r="AY92" s="190"/>
      <c r="AZ92" s="190"/>
      <c r="BA92" s="190"/>
      <c r="BB92" s="190"/>
      <c r="BC92" s="190"/>
      <c r="BD92" s="190"/>
      <c r="BE92" s="190"/>
      <c r="BF92" s="190"/>
      <c r="BG92" s="190"/>
      <c r="BH92" s="190"/>
      <c r="BI92" s="190"/>
      <c r="BJ92" s="190"/>
      <c r="BK92" s="190"/>
      <c r="BL92" s="190"/>
      <c r="BM92" s="190"/>
      <c r="BN92" s="190"/>
      <c r="BO92" s="190"/>
      <c r="BP92" s="190"/>
      <c r="BQ92" s="190"/>
      <c r="BR92" s="190"/>
      <c r="BS92" s="190"/>
      <c r="BT92" s="190"/>
      <c r="BU92" s="190"/>
      <c r="BV92" s="190"/>
      <c r="BW92" s="190"/>
      <c r="BX92" s="190"/>
      <c r="BY92" s="190"/>
      <c r="BZ92" s="190"/>
      <c r="CA92" s="190"/>
      <c r="CB92" s="190"/>
      <c r="CC92" s="190"/>
      <c r="CD92" s="190"/>
      <c r="CE92" s="190"/>
      <c r="CF92" s="190"/>
      <c r="CG92" s="190"/>
      <c r="CH92" s="190"/>
      <c r="CI92" s="190"/>
      <c r="CJ92" s="190"/>
      <c r="CK92" s="190"/>
      <c r="CL92" s="190"/>
    </row>
    <row r="93" spans="1:90" x14ac:dyDescent="0.25">
      <c r="A93" s="128" t="s">
        <v>64</v>
      </c>
      <c r="B93" s="190">
        <v>25622400</v>
      </c>
      <c r="C93" s="190">
        <v>25622400</v>
      </c>
      <c r="D93" s="190">
        <v>25622400</v>
      </c>
      <c r="E93" s="190">
        <v>19961400</v>
      </c>
      <c r="F93" s="190">
        <v>19961400</v>
      </c>
      <c r="G93" s="190">
        <v>19961400</v>
      </c>
      <c r="H93" s="190">
        <v>0</v>
      </c>
      <c r="I93" s="190">
        <v>0</v>
      </c>
      <c r="J93" s="190">
        <v>0</v>
      </c>
      <c r="K93" s="190">
        <v>0</v>
      </c>
      <c r="L93" s="190">
        <v>0</v>
      </c>
      <c r="M93" s="190">
        <v>0</v>
      </c>
      <c r="N93" s="190">
        <v>0</v>
      </c>
      <c r="O93" s="190">
        <v>0</v>
      </c>
      <c r="P93" s="190">
        <v>0</v>
      </c>
      <c r="Q93" s="190">
        <v>0</v>
      </c>
      <c r="R93" s="190">
        <v>0</v>
      </c>
      <c r="S93" s="190">
        <v>0</v>
      </c>
      <c r="T93" s="190">
        <v>0</v>
      </c>
      <c r="U93" s="190">
        <v>0</v>
      </c>
      <c r="V93" s="190">
        <v>0</v>
      </c>
      <c r="W93" s="190">
        <v>0</v>
      </c>
      <c r="X93" s="190">
        <v>0</v>
      </c>
      <c r="Y93" s="190">
        <v>0</v>
      </c>
      <c r="Z93" s="190">
        <v>0</v>
      </c>
      <c r="AA93" s="190">
        <v>0</v>
      </c>
      <c r="AB93" s="190">
        <v>0</v>
      </c>
      <c r="AC93" s="190">
        <v>0</v>
      </c>
      <c r="AD93" s="190">
        <v>0</v>
      </c>
      <c r="AE93" s="190">
        <v>0</v>
      </c>
      <c r="AF93" s="190">
        <v>0</v>
      </c>
      <c r="AG93" s="190">
        <v>0</v>
      </c>
      <c r="AH93" s="190">
        <v>0</v>
      </c>
      <c r="AI93" s="190">
        <v>0</v>
      </c>
      <c r="AJ93" s="190">
        <v>0</v>
      </c>
      <c r="AK93" s="190">
        <v>0</v>
      </c>
      <c r="AL93" s="190">
        <v>0</v>
      </c>
      <c r="AM93" s="190">
        <v>0</v>
      </c>
      <c r="AN93" s="190">
        <v>0</v>
      </c>
      <c r="AO93" s="190">
        <v>0</v>
      </c>
      <c r="AP93" s="190">
        <v>0</v>
      </c>
      <c r="AQ93" s="190">
        <v>0</v>
      </c>
      <c r="AR93" s="190">
        <v>0</v>
      </c>
      <c r="AS93" s="190">
        <v>0</v>
      </c>
      <c r="AT93" s="190">
        <v>0</v>
      </c>
      <c r="AU93" s="190">
        <v>0</v>
      </c>
      <c r="AV93" s="190">
        <v>0</v>
      </c>
      <c r="AW93" s="190">
        <v>0</v>
      </c>
      <c r="AX93" s="190">
        <v>0</v>
      </c>
      <c r="AY93" s="190">
        <v>0</v>
      </c>
      <c r="AZ93" s="190">
        <v>0</v>
      </c>
      <c r="BA93" s="190">
        <v>0</v>
      </c>
      <c r="BB93" s="190">
        <v>0</v>
      </c>
      <c r="BC93" s="190">
        <v>0</v>
      </c>
      <c r="BD93" s="190">
        <v>0</v>
      </c>
      <c r="BE93" s="190">
        <v>0</v>
      </c>
      <c r="BF93" s="190">
        <v>0</v>
      </c>
      <c r="BG93" s="190">
        <v>0</v>
      </c>
      <c r="BH93" s="190">
        <v>0</v>
      </c>
      <c r="BI93" s="190">
        <v>0</v>
      </c>
      <c r="BJ93" s="190">
        <v>0</v>
      </c>
      <c r="BK93" s="190">
        <v>0</v>
      </c>
      <c r="BL93" s="190">
        <v>0</v>
      </c>
      <c r="BM93" s="190">
        <v>0</v>
      </c>
      <c r="BN93" s="190">
        <v>0</v>
      </c>
      <c r="BO93" s="190">
        <v>0</v>
      </c>
      <c r="BP93" s="190">
        <v>0</v>
      </c>
      <c r="BQ93" s="190">
        <v>0</v>
      </c>
      <c r="BR93" s="190">
        <v>0</v>
      </c>
      <c r="BS93" s="190">
        <v>0</v>
      </c>
      <c r="BT93" s="190">
        <v>0</v>
      </c>
      <c r="BU93" s="190">
        <v>0</v>
      </c>
      <c r="BV93" s="190">
        <v>0</v>
      </c>
      <c r="BW93" s="190">
        <v>0</v>
      </c>
      <c r="BX93" s="190">
        <v>0</v>
      </c>
      <c r="BY93" s="190">
        <v>0</v>
      </c>
      <c r="BZ93" s="190">
        <v>0</v>
      </c>
      <c r="CA93" s="190">
        <v>0</v>
      </c>
      <c r="CB93" s="190">
        <v>0</v>
      </c>
      <c r="CC93" s="190">
        <v>0</v>
      </c>
      <c r="CD93" s="190">
        <v>0</v>
      </c>
      <c r="CE93" s="190">
        <v>0</v>
      </c>
      <c r="CF93" s="190">
        <v>0</v>
      </c>
      <c r="CG93" s="190">
        <v>0</v>
      </c>
      <c r="CH93" s="190">
        <v>0</v>
      </c>
      <c r="CI93" s="190">
        <v>0</v>
      </c>
      <c r="CJ93" s="190">
        <v>0</v>
      </c>
      <c r="CK93" s="190">
        <v>0</v>
      </c>
      <c r="CL93" s="190">
        <v>0</v>
      </c>
    </row>
    <row r="94" spans="1:90" x14ac:dyDescent="0.25">
      <c r="A94" s="128" t="s">
        <v>65</v>
      </c>
      <c r="B94" s="190">
        <v>2034023.42</v>
      </c>
      <c r="C94" s="190">
        <v>-15462040.77</v>
      </c>
      <c r="D94" s="190">
        <v>-47760818.689999998</v>
      </c>
      <c r="E94" s="190">
        <v>-24230454.379999999</v>
      </c>
      <c r="F94" s="190">
        <v>-18217345.870000001</v>
      </c>
      <c r="G94" s="190">
        <v>-6939857.9900000002</v>
      </c>
      <c r="H94" s="190">
        <v>8285101.3700000001</v>
      </c>
      <c r="I94" s="190">
        <v>2775399.74</v>
      </c>
      <c r="J94" s="190">
        <v>1347499.98</v>
      </c>
      <c r="K94" s="190">
        <v>1044258.23</v>
      </c>
      <c r="L94" s="190">
        <v>25377.54</v>
      </c>
      <c r="M94" s="190">
        <v>29224.77</v>
      </c>
      <c r="N94" s="190">
        <v>-350887.55</v>
      </c>
      <c r="O94" s="190">
        <v>-1738250.4</v>
      </c>
      <c r="P94" s="190">
        <v>-1596939.08</v>
      </c>
      <c r="Q94" s="190">
        <v>-1718413.22</v>
      </c>
      <c r="R94" s="190">
        <v>0</v>
      </c>
      <c r="S94" s="190">
        <v>0</v>
      </c>
      <c r="T94" s="190">
        <v>0</v>
      </c>
      <c r="U94" s="190">
        <v>0</v>
      </c>
      <c r="V94" s="190">
        <v>0</v>
      </c>
      <c r="W94" s="190">
        <v>0</v>
      </c>
      <c r="X94" s="190">
        <v>0</v>
      </c>
      <c r="Y94" s="190">
        <v>0</v>
      </c>
      <c r="Z94" s="190">
        <v>0</v>
      </c>
      <c r="AA94" s="190">
        <v>0</v>
      </c>
      <c r="AB94" s="190">
        <v>0</v>
      </c>
      <c r="AC94" s="190">
        <v>0</v>
      </c>
      <c r="AD94" s="190">
        <v>0</v>
      </c>
      <c r="AE94" s="190">
        <v>0</v>
      </c>
      <c r="AF94" s="190">
        <v>0</v>
      </c>
      <c r="AG94" s="190">
        <v>0</v>
      </c>
      <c r="AH94" s="190">
        <v>0</v>
      </c>
      <c r="AI94" s="190">
        <v>0</v>
      </c>
      <c r="AJ94" s="190">
        <v>0</v>
      </c>
      <c r="AK94" s="190">
        <v>0</v>
      </c>
      <c r="AL94" s="190">
        <v>0</v>
      </c>
      <c r="AM94" s="190">
        <v>0</v>
      </c>
      <c r="AN94" s="190">
        <v>0</v>
      </c>
      <c r="AO94" s="190">
        <v>0</v>
      </c>
      <c r="AP94" s="190">
        <v>0</v>
      </c>
      <c r="AQ94" s="190">
        <v>0</v>
      </c>
      <c r="AR94" s="190">
        <v>0</v>
      </c>
      <c r="AS94" s="190">
        <v>0</v>
      </c>
      <c r="AT94" s="190">
        <v>0</v>
      </c>
      <c r="AU94" s="190">
        <v>0</v>
      </c>
      <c r="AV94" s="190">
        <v>0</v>
      </c>
      <c r="AW94" s="190">
        <v>0</v>
      </c>
      <c r="AX94" s="190">
        <v>0</v>
      </c>
      <c r="AY94" s="190">
        <v>0</v>
      </c>
      <c r="AZ94" s="190">
        <v>0</v>
      </c>
      <c r="BA94" s="190">
        <v>0</v>
      </c>
      <c r="BB94" s="190">
        <v>0</v>
      </c>
      <c r="BC94" s="190">
        <v>0</v>
      </c>
      <c r="BD94" s="190">
        <v>0</v>
      </c>
      <c r="BE94" s="190">
        <v>0</v>
      </c>
      <c r="BF94" s="190">
        <v>0</v>
      </c>
      <c r="BG94" s="190">
        <v>0</v>
      </c>
      <c r="BH94" s="190">
        <v>0</v>
      </c>
      <c r="BI94" s="190">
        <v>0</v>
      </c>
      <c r="BJ94" s="190">
        <v>0</v>
      </c>
      <c r="BK94" s="190">
        <v>0</v>
      </c>
      <c r="BL94" s="190">
        <v>0</v>
      </c>
      <c r="BM94" s="190">
        <v>0</v>
      </c>
      <c r="BN94" s="190">
        <v>0</v>
      </c>
      <c r="BO94" s="190">
        <v>0</v>
      </c>
      <c r="BP94" s="190">
        <v>0</v>
      </c>
      <c r="BQ94" s="190">
        <v>0</v>
      </c>
      <c r="BR94" s="190">
        <v>0</v>
      </c>
      <c r="BS94" s="190">
        <v>0</v>
      </c>
      <c r="BT94" s="190">
        <v>0</v>
      </c>
      <c r="BU94" s="190">
        <v>0</v>
      </c>
      <c r="BV94" s="190">
        <v>0</v>
      </c>
      <c r="BW94" s="190">
        <v>0</v>
      </c>
      <c r="BX94" s="190">
        <v>0</v>
      </c>
      <c r="BY94" s="190">
        <v>0</v>
      </c>
      <c r="BZ94" s="190">
        <v>0</v>
      </c>
      <c r="CA94" s="190">
        <v>0</v>
      </c>
      <c r="CB94" s="190">
        <v>0</v>
      </c>
      <c r="CC94" s="190">
        <v>0</v>
      </c>
      <c r="CD94" s="190">
        <v>0</v>
      </c>
      <c r="CE94" s="190">
        <v>0</v>
      </c>
      <c r="CF94" s="190">
        <v>0</v>
      </c>
      <c r="CG94" s="190">
        <v>0</v>
      </c>
      <c r="CH94" s="190">
        <v>0</v>
      </c>
      <c r="CI94" s="190">
        <v>0</v>
      </c>
      <c r="CJ94" s="190">
        <v>0</v>
      </c>
      <c r="CK94" s="190">
        <v>0</v>
      </c>
      <c r="CL94" s="190">
        <v>0</v>
      </c>
    </row>
    <row r="95" spans="1:90" x14ac:dyDescent="0.25">
      <c r="A95" s="128" t="s">
        <v>66</v>
      </c>
      <c r="B95" s="190">
        <v>0</v>
      </c>
      <c r="C95" s="190">
        <v>0</v>
      </c>
      <c r="D95" s="190">
        <v>0</v>
      </c>
      <c r="E95" s="190">
        <v>0</v>
      </c>
      <c r="F95" s="190">
        <v>0</v>
      </c>
      <c r="G95" s="190">
        <v>0</v>
      </c>
      <c r="H95" s="190">
        <v>0</v>
      </c>
      <c r="I95" s="190">
        <v>0</v>
      </c>
      <c r="J95" s="190">
        <v>0</v>
      </c>
      <c r="K95" s="190">
        <v>0</v>
      </c>
      <c r="L95" s="190">
        <v>0</v>
      </c>
      <c r="M95" s="190">
        <v>0</v>
      </c>
      <c r="N95" s="190">
        <v>0</v>
      </c>
      <c r="O95" s="190">
        <v>0</v>
      </c>
      <c r="P95" s="190">
        <v>0</v>
      </c>
      <c r="Q95" s="190">
        <v>0</v>
      </c>
      <c r="R95" s="190">
        <v>0</v>
      </c>
      <c r="S95" s="190">
        <v>0</v>
      </c>
      <c r="T95" s="190">
        <v>0</v>
      </c>
      <c r="U95" s="190">
        <v>0</v>
      </c>
      <c r="V95" s="190">
        <v>0</v>
      </c>
      <c r="W95" s="190">
        <v>0</v>
      </c>
      <c r="X95" s="190">
        <v>0</v>
      </c>
      <c r="Y95" s="190">
        <v>0</v>
      </c>
      <c r="Z95" s="190">
        <v>0</v>
      </c>
      <c r="AA95" s="190">
        <v>0</v>
      </c>
      <c r="AB95" s="190">
        <v>0</v>
      </c>
      <c r="AC95" s="190">
        <v>0</v>
      </c>
      <c r="AD95" s="190">
        <v>0</v>
      </c>
      <c r="AE95" s="190">
        <v>0</v>
      </c>
      <c r="AF95" s="190">
        <v>0</v>
      </c>
      <c r="AG95" s="190">
        <v>0</v>
      </c>
      <c r="AH95" s="190">
        <v>0</v>
      </c>
      <c r="AI95" s="190">
        <v>0</v>
      </c>
      <c r="AJ95" s="190">
        <v>0</v>
      </c>
      <c r="AK95" s="190">
        <v>0</v>
      </c>
      <c r="AL95" s="190">
        <v>0</v>
      </c>
      <c r="AM95" s="190">
        <v>0</v>
      </c>
      <c r="AN95" s="190">
        <v>0</v>
      </c>
      <c r="AO95" s="190">
        <v>0</v>
      </c>
      <c r="AP95" s="190">
        <v>0</v>
      </c>
      <c r="AQ95" s="190">
        <v>0</v>
      </c>
      <c r="AR95" s="190">
        <v>0</v>
      </c>
      <c r="AS95" s="190">
        <v>0</v>
      </c>
      <c r="AT95" s="190">
        <v>0</v>
      </c>
      <c r="AU95" s="190">
        <v>0</v>
      </c>
      <c r="AV95" s="190">
        <v>0</v>
      </c>
      <c r="AW95" s="190">
        <v>0</v>
      </c>
      <c r="AX95" s="190">
        <v>0</v>
      </c>
      <c r="AY95" s="190">
        <v>0</v>
      </c>
      <c r="AZ95" s="190">
        <v>0</v>
      </c>
      <c r="BA95" s="190">
        <v>0</v>
      </c>
      <c r="BB95" s="190">
        <v>0</v>
      </c>
      <c r="BC95" s="190">
        <v>0</v>
      </c>
      <c r="BD95" s="190">
        <v>0</v>
      </c>
      <c r="BE95" s="190">
        <v>0</v>
      </c>
      <c r="BF95" s="190">
        <v>0</v>
      </c>
      <c r="BG95" s="190">
        <v>0</v>
      </c>
      <c r="BH95" s="190">
        <v>0</v>
      </c>
      <c r="BI95" s="190">
        <v>0</v>
      </c>
      <c r="BJ95" s="190">
        <v>0</v>
      </c>
      <c r="BK95" s="190">
        <v>0</v>
      </c>
      <c r="BL95" s="190">
        <v>0</v>
      </c>
      <c r="BM95" s="190">
        <v>0</v>
      </c>
      <c r="BN95" s="190">
        <v>0</v>
      </c>
      <c r="BO95" s="190">
        <v>0</v>
      </c>
      <c r="BP95" s="190">
        <v>0</v>
      </c>
      <c r="BQ95" s="190">
        <v>0</v>
      </c>
      <c r="BR95" s="190">
        <v>0</v>
      </c>
      <c r="BS95" s="190">
        <v>0</v>
      </c>
      <c r="BT95" s="190">
        <v>0</v>
      </c>
      <c r="BU95" s="190">
        <v>0</v>
      </c>
      <c r="BV95" s="190">
        <v>0</v>
      </c>
      <c r="BW95" s="190">
        <v>0</v>
      </c>
      <c r="BX95" s="190">
        <v>0</v>
      </c>
      <c r="BY95" s="190">
        <v>0</v>
      </c>
      <c r="BZ95" s="190">
        <v>0</v>
      </c>
      <c r="CA95" s="190">
        <v>0</v>
      </c>
      <c r="CB95" s="190">
        <v>0</v>
      </c>
      <c r="CC95" s="190">
        <v>0</v>
      </c>
      <c r="CD95" s="190">
        <v>0</v>
      </c>
      <c r="CE95" s="190">
        <v>0</v>
      </c>
      <c r="CF95" s="190">
        <v>0</v>
      </c>
      <c r="CG95" s="190">
        <v>0</v>
      </c>
      <c r="CH95" s="190">
        <v>0</v>
      </c>
      <c r="CI95" s="190">
        <v>0</v>
      </c>
      <c r="CJ95" s="190">
        <v>0</v>
      </c>
      <c r="CK95" s="190">
        <v>0</v>
      </c>
      <c r="CL95" s="190">
        <v>0</v>
      </c>
    </row>
    <row r="96" spans="1:90" x14ac:dyDescent="0.25">
      <c r="A96" s="128" t="s">
        <v>67</v>
      </c>
      <c r="B96" s="190">
        <v>333942631.27999997</v>
      </c>
      <c r="C96" s="190">
        <v>333942631.27999997</v>
      </c>
      <c r="D96" s="190">
        <v>333942631.27999997</v>
      </c>
      <c r="E96" s="190">
        <v>333942631.27999997</v>
      </c>
      <c r="F96" s="190">
        <v>286181596.91000003</v>
      </c>
      <c r="G96" s="190">
        <v>286181596.91000003</v>
      </c>
      <c r="H96" s="190">
        <v>286181596.91000003</v>
      </c>
      <c r="I96" s="190">
        <v>286181596.91000003</v>
      </c>
      <c r="J96" s="190">
        <v>258069600.65000001</v>
      </c>
      <c r="K96" s="190">
        <v>258069600.65000001</v>
      </c>
      <c r="L96" s="190">
        <v>258069600.65000001</v>
      </c>
      <c r="M96" s="190">
        <v>258069600.65000001</v>
      </c>
      <c r="N96" s="190">
        <v>214396957.88</v>
      </c>
      <c r="O96" s="190">
        <v>214396957.88</v>
      </c>
      <c r="P96" s="190">
        <v>214396957.88</v>
      </c>
      <c r="Q96" s="190">
        <v>214396957.88</v>
      </c>
      <c r="R96" s="190">
        <v>170059530.44999999</v>
      </c>
      <c r="S96" s="190">
        <v>170059530.44999999</v>
      </c>
      <c r="T96" s="190">
        <v>170059530.44999999</v>
      </c>
      <c r="U96" s="190">
        <v>170059530.44999999</v>
      </c>
      <c r="V96" s="190">
        <v>134414074.22999999</v>
      </c>
      <c r="W96" s="190">
        <v>134414074.22999999</v>
      </c>
      <c r="X96" s="190">
        <v>134414074.22999999</v>
      </c>
      <c r="Y96" s="190">
        <v>134414074.22999999</v>
      </c>
      <c r="Z96" s="190">
        <v>93959960.069999993</v>
      </c>
      <c r="AA96" s="190">
        <v>93959960.069999993</v>
      </c>
      <c r="AB96" s="190">
        <v>93959960.069999993</v>
      </c>
      <c r="AC96" s="190">
        <v>93959960.069999993</v>
      </c>
      <c r="AD96" s="190">
        <v>58711023.469999999</v>
      </c>
      <c r="AE96" s="190">
        <v>58711023.469999999</v>
      </c>
      <c r="AF96" s="190">
        <v>55755062.170000002</v>
      </c>
      <c r="AG96" s="190">
        <v>58711023.469999999</v>
      </c>
      <c r="AH96" s="190">
        <v>33367477.82</v>
      </c>
      <c r="AI96" s="190">
        <v>33367477.82</v>
      </c>
      <c r="AJ96" s="190">
        <v>33367477.82</v>
      </c>
      <c r="AK96" s="190">
        <v>33367477.82</v>
      </c>
      <c r="AL96" s="190">
        <v>22190473.329999998</v>
      </c>
      <c r="AM96" s="190">
        <v>22190473.329999998</v>
      </c>
      <c r="AN96" s="190">
        <v>22190473.329999998</v>
      </c>
      <c r="AO96" s="190">
        <v>10637841.689999999</v>
      </c>
      <c r="AP96" s="190">
        <v>17556289.039999999</v>
      </c>
      <c r="AQ96" s="190">
        <v>0</v>
      </c>
      <c r="AR96" s="190">
        <v>1904071967.1600001</v>
      </c>
      <c r="AS96" s="190">
        <v>1803743654.97</v>
      </c>
      <c r="AT96" s="190">
        <v>1784842154.0899999</v>
      </c>
      <c r="AU96" s="190">
        <v>1769499231.54</v>
      </c>
      <c r="AV96" s="190">
        <v>1728597077.04</v>
      </c>
      <c r="AW96" s="190">
        <v>1656111478.8599999</v>
      </c>
      <c r="AX96" s="190">
        <v>1605045274.6500001</v>
      </c>
      <c r="AY96" s="190">
        <v>1586050475.99</v>
      </c>
      <c r="AZ96" s="190">
        <v>1503840551.3499999</v>
      </c>
      <c r="BA96" s="190">
        <v>1421686339.5</v>
      </c>
      <c r="BB96" s="190">
        <v>1389360858.45</v>
      </c>
      <c r="BC96" s="190">
        <v>1382274938.1900001</v>
      </c>
      <c r="BD96" s="190">
        <v>1254574026.6800001</v>
      </c>
      <c r="BE96" s="190">
        <v>1187372649.6400001</v>
      </c>
      <c r="BF96" s="190">
        <v>1118260147.0599999</v>
      </c>
      <c r="BG96" s="190">
        <v>1098510367.5599999</v>
      </c>
      <c r="BH96" s="190">
        <v>994296939.84000003</v>
      </c>
      <c r="BI96" s="190">
        <v>939688251.88</v>
      </c>
      <c r="BJ96" s="190">
        <v>870801644.83000004</v>
      </c>
      <c r="BK96" s="190">
        <v>854086763.44000006</v>
      </c>
      <c r="BL96" s="190">
        <v>772450547.37</v>
      </c>
      <c r="BM96" s="190">
        <v>719760715.63</v>
      </c>
      <c r="BN96" s="190">
        <v>664546335.02999997</v>
      </c>
      <c r="BO96" s="190">
        <v>643227764.61000001</v>
      </c>
      <c r="BP96" s="190">
        <v>576048176.03999996</v>
      </c>
      <c r="BQ96" s="190">
        <v>532864074.19999999</v>
      </c>
      <c r="BR96" s="190">
        <v>0</v>
      </c>
      <c r="BS96" s="190">
        <v>381752149.10000002</v>
      </c>
      <c r="BT96" s="190">
        <v>352223969.88999999</v>
      </c>
      <c r="BU96" s="190">
        <v>309989497.47000003</v>
      </c>
      <c r="BV96" s="190">
        <v>259244599.52000001</v>
      </c>
      <c r="BW96" s="190">
        <v>194772679.46000001</v>
      </c>
      <c r="BX96" s="190">
        <v>144007744.87</v>
      </c>
      <c r="BY96" s="190">
        <v>96446307.129999995</v>
      </c>
      <c r="BZ96" s="190">
        <v>51390553.909999996</v>
      </c>
      <c r="CA96" s="190">
        <v>13452642.869999999</v>
      </c>
      <c r="CB96" s="190">
        <v>0</v>
      </c>
      <c r="CC96" s="190">
        <v>0</v>
      </c>
      <c r="CD96" s="190">
        <v>0</v>
      </c>
      <c r="CE96" s="190">
        <v>34778000</v>
      </c>
      <c r="CF96" s="190">
        <v>10546287.800000001</v>
      </c>
      <c r="CG96" s="190">
        <v>1136843.69</v>
      </c>
      <c r="CH96" s="190">
        <v>0</v>
      </c>
      <c r="CI96" s="190">
        <v>0</v>
      </c>
      <c r="CJ96" s="190">
        <v>0</v>
      </c>
      <c r="CK96" s="190">
        <v>0</v>
      </c>
      <c r="CL96" s="190">
        <v>0</v>
      </c>
    </row>
    <row r="97" spans="1:90" x14ac:dyDescent="0.25">
      <c r="A97" s="128" t="s">
        <v>68</v>
      </c>
      <c r="B97" s="190">
        <v>0</v>
      </c>
      <c r="C97" s="190">
        <v>0</v>
      </c>
      <c r="D97" s="190">
        <v>0</v>
      </c>
      <c r="E97" s="190">
        <v>0</v>
      </c>
      <c r="F97" s="190">
        <v>0</v>
      </c>
      <c r="G97" s="190">
        <v>0</v>
      </c>
      <c r="H97" s="190">
        <v>0</v>
      </c>
      <c r="I97" s="190">
        <v>0</v>
      </c>
      <c r="J97" s="190">
        <v>0</v>
      </c>
      <c r="K97" s="190">
        <v>0</v>
      </c>
      <c r="L97" s="190">
        <v>0</v>
      </c>
      <c r="M97" s="190">
        <v>0</v>
      </c>
      <c r="N97" s="190">
        <v>0</v>
      </c>
      <c r="O97" s="190">
        <v>0</v>
      </c>
      <c r="P97" s="190">
        <v>0</v>
      </c>
      <c r="Q97" s="190">
        <v>0</v>
      </c>
      <c r="R97" s="190">
        <v>0</v>
      </c>
      <c r="S97" s="190">
        <v>0</v>
      </c>
      <c r="T97" s="190">
        <v>0</v>
      </c>
      <c r="U97" s="190">
        <v>0</v>
      </c>
      <c r="V97" s="190">
        <v>0</v>
      </c>
      <c r="W97" s="190">
        <v>0</v>
      </c>
      <c r="X97" s="190">
        <v>0</v>
      </c>
      <c r="Y97" s="190">
        <v>0</v>
      </c>
      <c r="Z97" s="190">
        <v>0</v>
      </c>
      <c r="AA97" s="190">
        <v>0</v>
      </c>
      <c r="AB97" s="190">
        <v>0</v>
      </c>
      <c r="AC97" s="190">
        <v>0</v>
      </c>
      <c r="AD97" s="190">
        <v>0</v>
      </c>
      <c r="AE97" s="190">
        <v>0</v>
      </c>
      <c r="AF97" s="190">
        <v>0</v>
      </c>
      <c r="AG97" s="190">
        <v>0</v>
      </c>
      <c r="AH97" s="190">
        <v>0</v>
      </c>
      <c r="AI97" s="190">
        <v>0</v>
      </c>
      <c r="AJ97" s="190">
        <v>0</v>
      </c>
      <c r="AK97" s="190">
        <v>0</v>
      </c>
      <c r="AL97" s="190">
        <v>0</v>
      </c>
      <c r="AM97" s="190">
        <v>0</v>
      </c>
      <c r="AN97" s="190">
        <v>0</v>
      </c>
      <c r="AO97" s="190">
        <v>0</v>
      </c>
      <c r="AP97" s="190">
        <v>0</v>
      </c>
      <c r="AQ97" s="190">
        <v>0</v>
      </c>
      <c r="AR97" s="190">
        <v>0</v>
      </c>
      <c r="AS97" s="190">
        <v>0</v>
      </c>
      <c r="AT97" s="190">
        <v>0</v>
      </c>
      <c r="AU97" s="190">
        <v>0</v>
      </c>
      <c r="AV97" s="190">
        <v>0</v>
      </c>
      <c r="AW97" s="190">
        <v>0</v>
      </c>
      <c r="AX97" s="190">
        <v>0</v>
      </c>
      <c r="AY97" s="190">
        <v>0</v>
      </c>
      <c r="AZ97" s="190">
        <v>0</v>
      </c>
      <c r="BA97" s="190">
        <v>0</v>
      </c>
      <c r="BB97" s="190">
        <v>0</v>
      </c>
      <c r="BC97" s="190">
        <v>0</v>
      </c>
      <c r="BD97" s="190">
        <v>0</v>
      </c>
      <c r="BE97" s="190">
        <v>0</v>
      </c>
      <c r="BF97" s="190">
        <v>0</v>
      </c>
      <c r="BG97" s="190">
        <v>0</v>
      </c>
      <c r="BH97" s="190">
        <v>0</v>
      </c>
      <c r="BI97" s="190">
        <v>0</v>
      </c>
      <c r="BJ97" s="190">
        <v>0</v>
      </c>
      <c r="BK97" s="190">
        <v>0</v>
      </c>
      <c r="BL97" s="190">
        <v>0</v>
      </c>
      <c r="BM97" s="190">
        <v>0</v>
      </c>
      <c r="BN97" s="190">
        <v>0</v>
      </c>
      <c r="BO97" s="190">
        <v>0</v>
      </c>
      <c r="BP97" s="190">
        <v>0</v>
      </c>
      <c r="BQ97" s="190">
        <v>0</v>
      </c>
      <c r="BR97" s="190">
        <v>0</v>
      </c>
      <c r="BS97" s="190">
        <v>0</v>
      </c>
      <c r="BT97" s="190">
        <v>0</v>
      </c>
      <c r="BU97" s="190">
        <v>0</v>
      </c>
      <c r="BV97" s="190">
        <v>0</v>
      </c>
      <c r="BW97" s="190">
        <v>0</v>
      </c>
      <c r="BX97" s="190">
        <v>0</v>
      </c>
      <c r="BY97" s="190">
        <v>0</v>
      </c>
      <c r="BZ97" s="190">
        <v>0</v>
      </c>
      <c r="CA97" s="190">
        <v>0</v>
      </c>
      <c r="CB97" s="190">
        <v>0</v>
      </c>
      <c r="CC97" s="190">
        <v>0</v>
      </c>
      <c r="CD97" s="190">
        <v>0</v>
      </c>
      <c r="CE97" s="190">
        <v>0</v>
      </c>
      <c r="CF97" s="190">
        <v>0</v>
      </c>
      <c r="CG97" s="190">
        <v>0</v>
      </c>
      <c r="CH97" s="190">
        <v>0</v>
      </c>
      <c r="CI97" s="190">
        <v>0</v>
      </c>
      <c r="CJ97" s="190">
        <v>0</v>
      </c>
      <c r="CK97" s="190">
        <v>0</v>
      </c>
      <c r="CL97" s="190">
        <v>0</v>
      </c>
    </row>
    <row r="98" spans="1:90" x14ac:dyDescent="0.25">
      <c r="A98" s="128" t="s">
        <v>69</v>
      </c>
      <c r="B98" s="190">
        <v>1756122910.02</v>
      </c>
      <c r="C98" s="190">
        <v>1597456143.1700001</v>
      </c>
      <c r="D98" s="190">
        <v>1796004757.3</v>
      </c>
      <c r="E98" s="190">
        <v>1639515988.21</v>
      </c>
      <c r="F98" s="190">
        <v>1569927010.5999999</v>
      </c>
      <c r="G98" s="190">
        <v>1421034201.5899999</v>
      </c>
      <c r="H98" s="190">
        <v>1516602206.3699999</v>
      </c>
      <c r="I98" s="190">
        <v>1399763125.4400001</v>
      </c>
      <c r="J98" s="190">
        <v>1370033724.22</v>
      </c>
      <c r="K98" s="190">
        <v>1261415134.47</v>
      </c>
      <c r="L98" s="190">
        <v>1359753909.76</v>
      </c>
      <c r="M98" s="190">
        <v>1250941350.79</v>
      </c>
      <c r="N98" s="190">
        <v>1208347465.52</v>
      </c>
      <c r="O98" s="190">
        <v>1068295724.63</v>
      </c>
      <c r="P98" s="190">
        <v>1281431019.3199999</v>
      </c>
      <c r="Q98" s="190">
        <v>1165251874.99</v>
      </c>
      <c r="R98" s="190">
        <v>1088200440.6300001</v>
      </c>
      <c r="S98" s="190">
        <v>968867455.89999998</v>
      </c>
      <c r="T98" s="190">
        <v>1008503054.0599999</v>
      </c>
      <c r="U98" s="190">
        <v>909753702.34000003</v>
      </c>
      <c r="V98" s="190">
        <v>850428398.08000004</v>
      </c>
      <c r="W98" s="190">
        <v>750350402.75</v>
      </c>
      <c r="X98" s="190">
        <v>797255248.05999994</v>
      </c>
      <c r="Y98" s="190">
        <v>711498676.40999997</v>
      </c>
      <c r="Z98" s="190">
        <v>623008496.62</v>
      </c>
      <c r="AA98" s="190">
        <v>503552118.06</v>
      </c>
      <c r="AB98" s="190">
        <v>616572912.17999995</v>
      </c>
      <c r="AC98" s="190">
        <v>510229123.81</v>
      </c>
      <c r="AD98" s="190">
        <v>451626737.39999998</v>
      </c>
      <c r="AE98" s="190">
        <v>333903403.31999999</v>
      </c>
      <c r="AF98" s="190">
        <v>431242525.72000003</v>
      </c>
      <c r="AG98" s="190">
        <v>370783524.22000003</v>
      </c>
      <c r="AH98" s="190">
        <v>289614593.99000001</v>
      </c>
      <c r="AI98" s="190">
        <v>223495470.13999999</v>
      </c>
      <c r="AJ98" s="190">
        <v>294620676.75</v>
      </c>
      <c r="AK98" s="190">
        <v>244953989.93000001</v>
      </c>
      <c r="AL98" s="190">
        <v>214216081.68000001</v>
      </c>
      <c r="AM98" s="190">
        <v>164238846.41999999</v>
      </c>
      <c r="AN98" s="190">
        <v>134425609.84</v>
      </c>
      <c r="AO98" s="190">
        <v>78016353.280000001</v>
      </c>
      <c r="AP98" s="190">
        <v>93449876.739999995</v>
      </c>
      <c r="AQ98" s="190">
        <v>0</v>
      </c>
      <c r="AR98" s="190">
        <v>3939446493.21</v>
      </c>
      <c r="AS98" s="190">
        <v>3016465972.27</v>
      </c>
      <c r="AT98" s="190">
        <v>2895687323</v>
      </c>
      <c r="AU98" s="190">
        <v>2731195492.8200002</v>
      </c>
      <c r="AV98" s="190">
        <v>3619192723.04</v>
      </c>
      <c r="AW98" s="190">
        <v>2936492710.1799998</v>
      </c>
      <c r="AX98" s="190">
        <v>2836202850</v>
      </c>
      <c r="AY98" s="190">
        <v>2655440755.9699998</v>
      </c>
      <c r="AZ98" s="190">
        <v>2735881568.3699999</v>
      </c>
      <c r="BA98" s="190">
        <v>2271940792.2399998</v>
      </c>
      <c r="BB98" s="190">
        <v>2281862701.6399999</v>
      </c>
      <c r="BC98" s="190">
        <v>2108410721.51</v>
      </c>
      <c r="BD98" s="190">
        <v>2060554311.6199999</v>
      </c>
      <c r="BE98" s="190">
        <v>1714905685.0599999</v>
      </c>
      <c r="BF98" s="190">
        <v>1634285513.4000001</v>
      </c>
      <c r="BG98" s="190">
        <v>1512716042.76</v>
      </c>
      <c r="BH98" s="190">
        <v>2819154405.8699999</v>
      </c>
      <c r="BI98" s="190">
        <v>2490295331.4000001</v>
      </c>
      <c r="BJ98" s="190">
        <v>2403776470.8899999</v>
      </c>
      <c r="BK98" s="190">
        <v>2262549503.6999998</v>
      </c>
      <c r="BL98" s="190">
        <v>2243103077.8499999</v>
      </c>
      <c r="BM98" s="190">
        <v>2007248389.73</v>
      </c>
      <c r="BN98" s="190">
        <v>1951462497.3</v>
      </c>
      <c r="BO98" s="190">
        <v>1830539949.02</v>
      </c>
      <c r="BP98" s="190">
        <v>1872926600.26</v>
      </c>
      <c r="BQ98" s="190">
        <v>1667814393.3199999</v>
      </c>
      <c r="BR98" s="190">
        <v>0</v>
      </c>
      <c r="BS98" s="190">
        <v>1712342274.8299999</v>
      </c>
      <c r="BT98" s="190">
        <v>1595935829.22</v>
      </c>
      <c r="BU98" s="190">
        <v>1356607152.1700001</v>
      </c>
      <c r="BV98" s="190">
        <v>1069052730.5</v>
      </c>
      <c r="BW98" s="190">
        <v>703711850.11000001</v>
      </c>
      <c r="BX98" s="190">
        <v>423675870.94999999</v>
      </c>
      <c r="BY98" s="190">
        <v>146529073.66</v>
      </c>
      <c r="BZ98" s="190">
        <v>291213138.67000002</v>
      </c>
      <c r="CA98" s="190">
        <v>76231642.829999998</v>
      </c>
      <c r="CB98" s="190">
        <v>0</v>
      </c>
      <c r="CC98" s="190">
        <v>0</v>
      </c>
      <c r="CD98" s="190">
        <v>0</v>
      </c>
      <c r="CE98" s="190">
        <v>129889000</v>
      </c>
      <c r="CF98" s="190">
        <v>81321459.170000002</v>
      </c>
      <c r="CG98" s="190">
        <v>12975517.09</v>
      </c>
      <c r="CH98" s="190">
        <v>0</v>
      </c>
      <c r="CI98" s="190">
        <v>0</v>
      </c>
      <c r="CJ98" s="190">
        <v>0</v>
      </c>
      <c r="CK98" s="190">
        <v>0</v>
      </c>
      <c r="CL98" s="190">
        <v>0</v>
      </c>
    </row>
    <row r="99" spans="1:90" x14ac:dyDescent="0.25">
      <c r="A99" s="128" t="s">
        <v>70</v>
      </c>
      <c r="B99" s="190">
        <v>0</v>
      </c>
      <c r="C99" s="190">
        <v>0</v>
      </c>
      <c r="D99" s="190">
        <v>0</v>
      </c>
      <c r="E99" s="190">
        <v>0</v>
      </c>
      <c r="F99" s="190">
        <v>0</v>
      </c>
      <c r="G99" s="190">
        <v>0</v>
      </c>
      <c r="H99" s="190">
        <v>0</v>
      </c>
      <c r="I99" s="190">
        <v>0</v>
      </c>
      <c r="J99" s="190">
        <v>0</v>
      </c>
      <c r="K99" s="190">
        <v>0</v>
      </c>
      <c r="L99" s="190">
        <v>0</v>
      </c>
      <c r="M99" s="190">
        <v>0</v>
      </c>
      <c r="N99" s="190">
        <v>0</v>
      </c>
      <c r="O99" s="190">
        <v>0</v>
      </c>
      <c r="P99" s="190">
        <v>0</v>
      </c>
      <c r="Q99" s="190">
        <v>0</v>
      </c>
      <c r="R99" s="190">
        <v>0</v>
      </c>
      <c r="S99" s="190">
        <v>0</v>
      </c>
      <c r="T99" s="190">
        <v>0</v>
      </c>
      <c r="U99" s="190">
        <v>0</v>
      </c>
      <c r="V99" s="190">
        <v>0</v>
      </c>
      <c r="W99" s="190">
        <v>0</v>
      </c>
      <c r="X99" s="190">
        <v>0</v>
      </c>
      <c r="Y99" s="190">
        <v>0</v>
      </c>
      <c r="Z99" s="190">
        <v>0</v>
      </c>
      <c r="AA99" s="190">
        <v>0</v>
      </c>
      <c r="AB99" s="190">
        <v>0</v>
      </c>
      <c r="AC99" s="190">
        <v>0</v>
      </c>
      <c r="AD99" s="190">
        <v>0</v>
      </c>
      <c r="AE99" s="190">
        <v>0</v>
      </c>
      <c r="AF99" s="190">
        <v>0</v>
      </c>
      <c r="AG99" s="190">
        <v>0</v>
      </c>
      <c r="AH99" s="190">
        <v>0</v>
      </c>
      <c r="AI99" s="190">
        <v>0</v>
      </c>
      <c r="AJ99" s="190">
        <v>0</v>
      </c>
      <c r="AK99" s="190">
        <v>0</v>
      </c>
      <c r="AL99" s="190">
        <v>0</v>
      </c>
      <c r="AM99" s="190">
        <v>0</v>
      </c>
      <c r="AN99" s="190">
        <v>0</v>
      </c>
      <c r="AO99" s="190">
        <v>0</v>
      </c>
      <c r="AP99" s="190">
        <v>0</v>
      </c>
      <c r="AQ99" s="190">
        <v>0</v>
      </c>
      <c r="AR99" s="190">
        <v>0</v>
      </c>
      <c r="AS99" s="190">
        <v>0</v>
      </c>
      <c r="AT99" s="190">
        <v>100000000</v>
      </c>
      <c r="AU99" s="190">
        <v>100000000</v>
      </c>
      <c r="AV99" s="190">
        <v>0</v>
      </c>
      <c r="AW99" s="190">
        <v>0</v>
      </c>
      <c r="AX99" s="190">
        <v>0</v>
      </c>
      <c r="AY99" s="190">
        <v>41778688</v>
      </c>
      <c r="AZ99" s="190">
        <v>0</v>
      </c>
      <c r="BA99" s="190">
        <v>0</v>
      </c>
      <c r="BB99" s="190">
        <v>0</v>
      </c>
      <c r="BC99" s="190">
        <v>0</v>
      </c>
      <c r="BD99" s="190">
        <v>0</v>
      </c>
      <c r="BE99" s="190">
        <v>0</v>
      </c>
      <c r="BF99" s="190">
        <v>0</v>
      </c>
      <c r="BG99" s="190">
        <v>0</v>
      </c>
      <c r="BH99" s="190">
        <v>0</v>
      </c>
      <c r="BI99" s="190">
        <v>0</v>
      </c>
      <c r="BJ99" s="190">
        <v>15606000</v>
      </c>
      <c r="BK99" s="190">
        <v>15606000</v>
      </c>
      <c r="BL99" s="190">
        <v>15606000</v>
      </c>
      <c r="BM99" s="190">
        <v>15606000</v>
      </c>
      <c r="BN99" s="190">
        <v>15606000</v>
      </c>
      <c r="BO99" s="190">
        <v>15606000</v>
      </c>
      <c r="BP99" s="190">
        <v>21726000</v>
      </c>
      <c r="BQ99" s="190">
        <v>21726000</v>
      </c>
      <c r="BR99" s="190">
        <v>0</v>
      </c>
      <c r="BS99" s="190">
        <v>51120000</v>
      </c>
      <c r="BT99" s="190">
        <v>0</v>
      </c>
      <c r="BU99" s="190">
        <v>0</v>
      </c>
      <c r="BV99" s="190">
        <v>0</v>
      </c>
      <c r="BW99" s="190">
        <v>0</v>
      </c>
      <c r="BX99" s="190">
        <v>0</v>
      </c>
      <c r="BY99" s="190">
        <v>400000000</v>
      </c>
      <c r="BZ99" s="190">
        <v>0</v>
      </c>
      <c r="CA99" s="190">
        <v>0</v>
      </c>
      <c r="CB99" s="190">
        <v>0</v>
      </c>
      <c r="CC99" s="190">
        <v>0</v>
      </c>
      <c r="CD99" s="190">
        <v>0</v>
      </c>
      <c r="CE99" s="190">
        <v>0</v>
      </c>
      <c r="CF99" s="190">
        <v>0</v>
      </c>
      <c r="CG99" s="190">
        <v>0</v>
      </c>
      <c r="CH99" s="190">
        <v>0</v>
      </c>
      <c r="CI99" s="190">
        <v>0</v>
      </c>
      <c r="CJ99" s="190">
        <v>0</v>
      </c>
      <c r="CK99" s="190">
        <v>0</v>
      </c>
      <c r="CL99" s="190">
        <v>0</v>
      </c>
    </row>
    <row r="100" spans="1:90" x14ac:dyDescent="0.25">
      <c r="A100" s="128" t="s">
        <v>291</v>
      </c>
      <c r="B100" s="40"/>
      <c r="C100" s="40"/>
      <c r="D100" s="40"/>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c r="CD100" s="26"/>
      <c r="CE100" s="26"/>
      <c r="CF100" s="26"/>
      <c r="CG100" s="26"/>
      <c r="CH100" s="26"/>
      <c r="CI100" s="26"/>
      <c r="CJ100" s="26"/>
      <c r="CK100" s="26"/>
      <c r="CL100" s="40"/>
    </row>
    <row r="101" spans="1:90" x14ac:dyDescent="0.25">
      <c r="A101" s="128" t="s">
        <v>71</v>
      </c>
      <c r="B101" s="190">
        <v>0</v>
      </c>
      <c r="C101" s="190">
        <v>0</v>
      </c>
      <c r="D101" s="190">
        <v>0</v>
      </c>
      <c r="E101" s="190">
        <v>0</v>
      </c>
      <c r="F101" s="190">
        <v>0</v>
      </c>
      <c r="G101" s="190">
        <v>0</v>
      </c>
      <c r="H101" s="190">
        <v>0</v>
      </c>
      <c r="I101" s="190">
        <v>0</v>
      </c>
      <c r="J101" s="190">
        <v>0</v>
      </c>
      <c r="K101" s="190">
        <v>0</v>
      </c>
      <c r="L101" s="190">
        <v>0</v>
      </c>
      <c r="M101" s="190">
        <v>0</v>
      </c>
      <c r="N101" s="190">
        <v>0</v>
      </c>
      <c r="O101" s="190">
        <v>0</v>
      </c>
      <c r="P101" s="190">
        <v>0</v>
      </c>
      <c r="Q101" s="190">
        <v>0</v>
      </c>
      <c r="R101" s="190">
        <v>0</v>
      </c>
      <c r="S101" s="190">
        <v>0</v>
      </c>
      <c r="T101" s="190">
        <v>0</v>
      </c>
      <c r="U101" s="190">
        <v>0</v>
      </c>
      <c r="V101" s="190">
        <v>0</v>
      </c>
      <c r="W101" s="190">
        <v>0</v>
      </c>
      <c r="X101" s="190">
        <v>0</v>
      </c>
      <c r="Y101" s="190">
        <v>0</v>
      </c>
      <c r="Z101" s="190">
        <v>0</v>
      </c>
      <c r="AA101" s="190">
        <v>0</v>
      </c>
      <c r="AB101" s="190">
        <v>0</v>
      </c>
      <c r="AC101" s="190">
        <v>0</v>
      </c>
      <c r="AD101" s="190">
        <v>0</v>
      </c>
      <c r="AE101" s="190">
        <v>0</v>
      </c>
      <c r="AF101" s="190">
        <v>0</v>
      </c>
      <c r="AG101" s="190">
        <v>0</v>
      </c>
      <c r="AH101" s="190">
        <v>0</v>
      </c>
      <c r="AI101" s="190">
        <v>0</v>
      </c>
      <c r="AJ101" s="190">
        <v>0</v>
      </c>
      <c r="AK101" s="190">
        <v>0</v>
      </c>
      <c r="AL101" s="190">
        <v>0</v>
      </c>
      <c r="AM101" s="190">
        <v>0</v>
      </c>
      <c r="AN101" s="190">
        <v>0</v>
      </c>
      <c r="AO101" s="190">
        <v>0</v>
      </c>
      <c r="AP101" s="190">
        <v>0</v>
      </c>
      <c r="AQ101" s="190">
        <v>0</v>
      </c>
      <c r="AR101" s="190">
        <v>0</v>
      </c>
      <c r="AS101" s="190">
        <v>0</v>
      </c>
      <c r="AT101" s="190">
        <v>0</v>
      </c>
      <c r="AU101" s="190">
        <v>0</v>
      </c>
      <c r="AV101" s="190">
        <v>0</v>
      </c>
      <c r="AW101" s="190">
        <v>0</v>
      </c>
      <c r="AX101" s="190">
        <v>0</v>
      </c>
      <c r="AY101" s="190">
        <v>0</v>
      </c>
      <c r="AZ101" s="190">
        <v>0</v>
      </c>
      <c r="BA101" s="190">
        <v>0</v>
      </c>
      <c r="BB101" s="190">
        <v>0</v>
      </c>
      <c r="BC101" s="190">
        <v>0</v>
      </c>
      <c r="BD101" s="190">
        <v>0</v>
      </c>
      <c r="BE101" s="190">
        <v>0</v>
      </c>
      <c r="BF101" s="190">
        <v>0</v>
      </c>
      <c r="BG101" s="190">
        <v>0</v>
      </c>
      <c r="BH101" s="190">
        <v>0</v>
      </c>
      <c r="BI101" s="190">
        <v>0</v>
      </c>
      <c r="BJ101" s="190">
        <v>0</v>
      </c>
      <c r="BK101" s="190">
        <v>0</v>
      </c>
      <c r="BL101" s="190">
        <v>0</v>
      </c>
      <c r="BM101" s="190">
        <v>0</v>
      </c>
      <c r="BN101" s="190">
        <v>0</v>
      </c>
      <c r="BO101" s="190">
        <v>0</v>
      </c>
      <c r="BP101" s="190">
        <v>0</v>
      </c>
      <c r="BQ101" s="190">
        <v>0</v>
      </c>
      <c r="BR101" s="190">
        <v>0</v>
      </c>
      <c r="BS101" s="190">
        <v>0</v>
      </c>
      <c r="BT101" s="190">
        <v>0</v>
      </c>
      <c r="BU101" s="190">
        <v>0</v>
      </c>
      <c r="BV101" s="190">
        <v>0</v>
      </c>
      <c r="BW101" s="190"/>
      <c r="BX101" s="190"/>
      <c r="BY101" s="190"/>
      <c r="BZ101" s="190"/>
      <c r="CA101" s="190"/>
      <c r="CB101" s="190"/>
      <c r="CC101" s="190"/>
      <c r="CD101" s="190"/>
      <c r="CE101" s="190"/>
      <c r="CF101" s="190"/>
      <c r="CG101" s="190"/>
      <c r="CH101" s="190"/>
      <c r="CI101" s="190"/>
      <c r="CJ101" s="190"/>
      <c r="CK101" s="190"/>
      <c r="CL101" s="190"/>
    </row>
    <row r="102" spans="1:90" x14ac:dyDescent="0.25">
      <c r="A102" s="128" t="s">
        <v>72</v>
      </c>
      <c r="B102" s="190">
        <v>3610280241.7399998</v>
      </c>
      <c r="C102" s="190">
        <v>3431203943.5100002</v>
      </c>
      <c r="D102" s="190">
        <v>3572005257.1399999</v>
      </c>
      <c r="E102" s="190">
        <v>3005011146.4699998</v>
      </c>
      <c r="F102" s="190">
        <v>2889919980.3000002</v>
      </c>
      <c r="G102" s="190">
        <v>2750592884.1999998</v>
      </c>
      <c r="H102" s="190">
        <v>2856546403.3499999</v>
      </c>
      <c r="I102" s="190">
        <v>2739037065.7800002</v>
      </c>
      <c r="J102" s="190">
        <v>2679767768.54</v>
      </c>
      <c r="K102" s="190">
        <v>2570582082.8800001</v>
      </c>
      <c r="L102" s="190">
        <v>2665244200.54</v>
      </c>
      <c r="M102" s="190">
        <v>2556435488.8000002</v>
      </c>
      <c r="N102" s="190">
        <v>2469788848.4400001</v>
      </c>
      <c r="O102" s="190">
        <v>2328349744.6999998</v>
      </c>
      <c r="P102" s="190">
        <v>2541626350.71</v>
      </c>
      <c r="Q102" s="190">
        <v>2425325732.2399998</v>
      </c>
      <c r="R102" s="190">
        <v>2304068739.1300001</v>
      </c>
      <c r="S102" s="190">
        <v>2184782308.8099999</v>
      </c>
      <c r="T102" s="190">
        <v>2224397084.98</v>
      </c>
      <c r="U102" s="190">
        <v>2125429369.46</v>
      </c>
      <c r="V102" s="190">
        <v>2030685494.9300001</v>
      </c>
      <c r="W102" s="190">
        <v>1930708956.6900001</v>
      </c>
      <c r="X102" s="190">
        <v>1977896014.0699999</v>
      </c>
      <c r="Y102" s="190">
        <v>1892220602.73</v>
      </c>
      <c r="Z102" s="190">
        <v>1763420146.3699999</v>
      </c>
      <c r="AA102" s="190">
        <v>1643908869.0699999</v>
      </c>
      <c r="AB102" s="190">
        <v>1756834966.6400001</v>
      </c>
      <c r="AC102" s="190">
        <v>1650493578.27</v>
      </c>
      <c r="AD102" s="190">
        <v>1556751168.1600001</v>
      </c>
      <c r="AE102" s="190">
        <v>1439317961.3</v>
      </c>
      <c r="AF102" s="190">
        <v>1533876742.3699999</v>
      </c>
      <c r="AG102" s="190">
        <v>1476505584.9100001</v>
      </c>
      <c r="AH102" s="190">
        <v>1372213383.73</v>
      </c>
      <c r="AI102" s="190">
        <v>1306209020</v>
      </c>
      <c r="AJ102" s="190">
        <v>1377416891.96</v>
      </c>
      <c r="AK102" s="190">
        <v>1327763903.6099999</v>
      </c>
      <c r="AL102" s="190">
        <v>1284977976.0799999</v>
      </c>
      <c r="AM102" s="190">
        <v>327867740.81999999</v>
      </c>
      <c r="AN102" s="190">
        <v>298054504.24000001</v>
      </c>
      <c r="AO102" s="190">
        <v>230092616.03999999</v>
      </c>
      <c r="AP102" s="190">
        <v>127707873.51000001</v>
      </c>
      <c r="AQ102" s="190">
        <v>0</v>
      </c>
      <c r="AR102" s="190">
        <v>10592688648.690001</v>
      </c>
      <c r="AS102" s="190">
        <v>9569379815.5599995</v>
      </c>
      <c r="AT102" s="190">
        <v>9444699665.4099998</v>
      </c>
      <c r="AU102" s="190">
        <v>9264864912.6800003</v>
      </c>
      <c r="AV102" s="190">
        <v>9012398068.3999996</v>
      </c>
      <c r="AW102" s="190">
        <v>8257212457.3599997</v>
      </c>
      <c r="AX102" s="190">
        <v>8106355261.6899996</v>
      </c>
      <c r="AY102" s="190">
        <v>7906099500.2799997</v>
      </c>
      <c r="AZ102" s="190">
        <v>7904330388.04</v>
      </c>
      <c r="BA102" s="190">
        <v>7358235400.0600004</v>
      </c>
      <c r="BB102" s="190">
        <v>7335831828.4099998</v>
      </c>
      <c r="BC102" s="190">
        <v>7155293928.0200005</v>
      </c>
      <c r="BD102" s="190">
        <v>6979736606.6199999</v>
      </c>
      <c r="BE102" s="190">
        <v>6566886603.0200005</v>
      </c>
      <c r="BF102" s="190">
        <v>6417153928.7799997</v>
      </c>
      <c r="BG102" s="190">
        <v>6275834678.6400003</v>
      </c>
      <c r="BH102" s="190">
        <v>6393497694.0299997</v>
      </c>
      <c r="BI102" s="190">
        <v>6010029931.6000004</v>
      </c>
      <c r="BJ102" s="190">
        <v>5854624464.04</v>
      </c>
      <c r="BK102" s="190">
        <v>5696682615.46</v>
      </c>
      <c r="BL102" s="190">
        <v>5595599973.54</v>
      </c>
      <c r="BM102" s="190">
        <v>5307055453.6800003</v>
      </c>
      <c r="BN102" s="190">
        <v>5196040467.4899998</v>
      </c>
      <c r="BO102" s="190">
        <v>5053742967.6300001</v>
      </c>
      <c r="BP102" s="190">
        <v>4942046030.3000002</v>
      </c>
      <c r="BQ102" s="190">
        <v>4693749721.5200005</v>
      </c>
      <c r="BR102" s="190">
        <v>4554380000</v>
      </c>
      <c r="BS102" s="190">
        <v>4382685677.9300003</v>
      </c>
      <c r="BT102" s="190">
        <v>4235751053.1100001</v>
      </c>
      <c r="BU102" s="190">
        <v>3188611486.52</v>
      </c>
      <c r="BV102" s="190">
        <v>2850312166.9000001</v>
      </c>
      <c r="BW102" s="190">
        <v>2420499366.4499998</v>
      </c>
      <c r="BX102" s="190">
        <v>2089698452.7</v>
      </c>
      <c r="BY102" s="190">
        <v>1764990217.6700001</v>
      </c>
      <c r="BZ102" s="190">
        <v>1864618529.46</v>
      </c>
      <c r="CA102" s="190">
        <v>392384778.43000001</v>
      </c>
      <c r="CB102" s="190">
        <v>264958379.21000001</v>
      </c>
      <c r="CC102" s="190">
        <v>225967479.94999999</v>
      </c>
      <c r="CD102" s="190">
        <v>0</v>
      </c>
      <c r="CE102" s="190">
        <v>1079642000</v>
      </c>
      <c r="CF102" s="190">
        <v>1003922431.86</v>
      </c>
      <c r="CG102" s="190">
        <v>492362941.67000002</v>
      </c>
      <c r="CH102" s="190">
        <v>203800000</v>
      </c>
      <c r="CI102" s="190">
        <v>162870000</v>
      </c>
      <c r="CJ102" s="190">
        <v>92660000</v>
      </c>
      <c r="CK102" s="190">
        <v>75420000</v>
      </c>
      <c r="CL102" s="190">
        <v>0</v>
      </c>
    </row>
    <row r="103" spans="1:90" x14ac:dyDescent="0.25">
      <c r="A103" s="128" t="s">
        <v>73</v>
      </c>
      <c r="B103" s="190">
        <v>104518374.09999999</v>
      </c>
      <c r="C103" s="190">
        <v>149466388.61000001</v>
      </c>
      <c r="D103" s="190">
        <v>149689080</v>
      </c>
      <c r="E103" s="190">
        <v>147714110.66</v>
      </c>
      <c r="F103" s="190">
        <v>153629932.53</v>
      </c>
      <c r="G103" s="190">
        <v>154349621.90000001</v>
      </c>
      <c r="H103" s="190">
        <v>149496360.00999999</v>
      </c>
      <c r="I103" s="190">
        <v>141221105.88</v>
      </c>
      <c r="J103" s="190">
        <v>130272134.06999999</v>
      </c>
      <c r="K103" s="190">
        <v>105660242.36</v>
      </c>
      <c r="L103" s="190">
        <v>105548399.16</v>
      </c>
      <c r="M103" s="190">
        <v>99024124.590000004</v>
      </c>
      <c r="N103" s="190">
        <v>76612540.189999998</v>
      </c>
      <c r="O103" s="190">
        <v>70608143.819999993</v>
      </c>
      <c r="P103" s="190">
        <v>64107460.990000002</v>
      </c>
      <c r="Q103" s="190">
        <v>62002521.799999997</v>
      </c>
      <c r="R103" s="190">
        <v>0</v>
      </c>
      <c r="S103" s="190">
        <v>0</v>
      </c>
      <c r="T103" s="190">
        <v>0</v>
      </c>
      <c r="U103" s="190">
        <v>0</v>
      </c>
      <c r="V103" s="190">
        <v>0</v>
      </c>
      <c r="W103" s="190">
        <v>0</v>
      </c>
      <c r="X103" s="190">
        <v>0</v>
      </c>
      <c r="Y103" s="190">
        <v>0</v>
      </c>
      <c r="Z103" s="190">
        <v>0</v>
      </c>
      <c r="AA103" s="190">
        <v>0</v>
      </c>
      <c r="AB103" s="190">
        <v>0</v>
      </c>
      <c r="AC103" s="190">
        <v>0</v>
      </c>
      <c r="AD103" s="190">
        <v>0</v>
      </c>
      <c r="AE103" s="190">
        <v>0</v>
      </c>
      <c r="AF103" s="190">
        <v>0</v>
      </c>
      <c r="AG103" s="190">
        <v>0</v>
      </c>
      <c r="AH103" s="190">
        <v>6029199.5800000001</v>
      </c>
      <c r="AI103" s="190">
        <v>5123095.07</v>
      </c>
      <c r="AJ103" s="190">
        <v>4983037.66</v>
      </c>
      <c r="AK103" s="190">
        <v>4484604.5199999996</v>
      </c>
      <c r="AL103" s="190">
        <v>3774090</v>
      </c>
      <c r="AM103" s="190">
        <v>3140738.11</v>
      </c>
      <c r="AN103" s="190">
        <v>3283347.24</v>
      </c>
      <c r="AO103" s="190">
        <v>3194473.17</v>
      </c>
      <c r="AP103" s="190">
        <v>0</v>
      </c>
      <c r="AQ103" s="190">
        <v>0</v>
      </c>
      <c r="AR103" s="190">
        <v>49256028.789999999</v>
      </c>
      <c r="AS103" s="190">
        <v>56857168.609999999</v>
      </c>
      <c r="AT103" s="190">
        <v>40888487.079999998</v>
      </c>
      <c r="AU103" s="190">
        <v>39150237.640000001</v>
      </c>
      <c r="AV103" s="190">
        <v>39251320.369999997</v>
      </c>
      <c r="AW103" s="190">
        <v>37956057.280000001</v>
      </c>
      <c r="AX103" s="190">
        <v>33329921.27</v>
      </c>
      <c r="AY103" s="190">
        <v>32650863.870000001</v>
      </c>
      <c r="AZ103" s="190">
        <v>30454120.460000001</v>
      </c>
      <c r="BA103" s="190">
        <v>27733578.48</v>
      </c>
      <c r="BB103" s="190">
        <v>24884323.18</v>
      </c>
      <c r="BC103" s="190">
        <v>24132037.629999999</v>
      </c>
      <c r="BD103" s="190">
        <v>23728982.75</v>
      </c>
      <c r="BE103" s="190">
        <v>20075298.75</v>
      </c>
      <c r="BF103" s="190">
        <v>16762352.4</v>
      </c>
      <c r="BG103" s="190">
        <v>16880188.02</v>
      </c>
      <c r="BH103" s="190">
        <v>15789115.83</v>
      </c>
      <c r="BI103" s="190">
        <v>15862755.060000001</v>
      </c>
      <c r="BJ103" s="190">
        <v>15780686.800000001</v>
      </c>
      <c r="BK103" s="190">
        <v>15072018.689999999</v>
      </c>
      <c r="BL103" s="190">
        <v>16011767.529999999</v>
      </c>
      <c r="BM103" s="190">
        <v>15044502.029999999</v>
      </c>
      <c r="BN103" s="190">
        <v>18252665.030000001</v>
      </c>
      <c r="BO103" s="190">
        <v>21619133.460000001</v>
      </c>
      <c r="BP103" s="190">
        <v>12934639.26</v>
      </c>
      <c r="BQ103" s="190">
        <v>8493411.2799999993</v>
      </c>
      <c r="BR103" s="190">
        <v>7400000</v>
      </c>
      <c r="BS103" s="190">
        <v>2970143.71</v>
      </c>
      <c r="BT103" s="190">
        <v>2872138.39</v>
      </c>
      <c r="BU103" s="190">
        <v>2604712.4300000002</v>
      </c>
      <c r="BV103" s="190">
        <v>0</v>
      </c>
      <c r="BW103" s="190">
        <v>0</v>
      </c>
      <c r="BX103" s="190">
        <v>0</v>
      </c>
      <c r="BY103" s="190">
        <v>0</v>
      </c>
      <c r="BZ103" s="190">
        <v>0</v>
      </c>
      <c r="CA103" s="190">
        <v>0</v>
      </c>
      <c r="CB103" s="190">
        <v>0</v>
      </c>
      <c r="CC103" s="190">
        <v>0</v>
      </c>
      <c r="CD103" s="190">
        <v>0</v>
      </c>
      <c r="CE103" s="190">
        <v>96000</v>
      </c>
      <c r="CF103" s="190">
        <v>305920.90000000002</v>
      </c>
      <c r="CG103" s="190">
        <v>326958.7</v>
      </c>
      <c r="CH103" s="190">
        <v>0</v>
      </c>
      <c r="CI103" s="190">
        <v>0</v>
      </c>
      <c r="CJ103" s="190">
        <v>0</v>
      </c>
      <c r="CK103" s="190">
        <v>0</v>
      </c>
      <c r="CL103" s="190">
        <v>0</v>
      </c>
    </row>
    <row r="104" spans="1:90" hidden="1" x14ac:dyDescent="0.25">
      <c r="A104" s="128"/>
      <c r="B104" s="26"/>
      <c r="C104" s="26"/>
      <c r="D104" s="26"/>
      <c r="E104" s="26"/>
      <c r="F104" s="26"/>
      <c r="G104" s="26"/>
      <c r="H104" s="26"/>
      <c r="I104" s="26"/>
      <c r="J104" s="26"/>
      <c r="K104" s="26"/>
      <c r="L104" s="23"/>
    </row>
    <row r="105" spans="1:90" hidden="1" x14ac:dyDescent="0.25">
      <c r="A105" s="128"/>
      <c r="B105" s="26"/>
      <c r="C105" s="26"/>
      <c r="D105" s="26"/>
      <c r="E105" s="26"/>
      <c r="F105" s="26"/>
      <c r="G105" s="26"/>
      <c r="H105" s="26"/>
      <c r="I105" s="26"/>
      <c r="J105" s="26"/>
      <c r="K105" s="26"/>
      <c r="L105" s="23"/>
    </row>
    <row r="106" spans="1:90" hidden="1" x14ac:dyDescent="0.25">
      <c r="A106" s="128"/>
      <c r="B106" s="26"/>
      <c r="C106" s="26"/>
      <c r="D106" s="26"/>
      <c r="E106" s="26"/>
      <c r="F106" s="26"/>
      <c r="G106" s="26"/>
      <c r="H106" s="26"/>
      <c r="I106" s="26"/>
      <c r="J106" s="26"/>
      <c r="K106" s="26"/>
      <c r="L106" s="23"/>
    </row>
    <row r="107" spans="1:90" s="5" customFormat="1" x14ac:dyDescent="0.25">
      <c r="A107" s="129" t="s">
        <v>74</v>
      </c>
      <c r="B107" s="33">
        <f>B102+B103</f>
        <v>3714798615.8399997</v>
      </c>
      <c r="C107" s="33">
        <f>C102+C103</f>
        <v>3580670332.1200004</v>
      </c>
      <c r="D107" s="33">
        <f>D102+D103</f>
        <v>3721694337.1399999</v>
      </c>
      <c r="E107" s="33">
        <f>E102+E103</f>
        <v>3152725257.1299996</v>
      </c>
      <c r="F107" s="33">
        <f t="shared" ref="F107:BQ107" si="20">F102+F103</f>
        <v>3043549912.8300004</v>
      </c>
      <c r="G107" s="33">
        <f t="shared" si="20"/>
        <v>2904942506.0999999</v>
      </c>
      <c r="H107" s="33">
        <f t="shared" si="20"/>
        <v>3006042763.3599997</v>
      </c>
      <c r="I107" s="33">
        <f t="shared" si="20"/>
        <v>2880258171.6600003</v>
      </c>
      <c r="J107" s="33">
        <f t="shared" si="20"/>
        <v>2810039902.6100001</v>
      </c>
      <c r="K107" s="33">
        <f t="shared" si="20"/>
        <v>2676242325.2400002</v>
      </c>
      <c r="L107" s="33">
        <f t="shared" si="20"/>
        <v>2770792599.6999998</v>
      </c>
      <c r="M107" s="33">
        <f t="shared" si="20"/>
        <v>2655459613.3900003</v>
      </c>
      <c r="N107" s="33">
        <f t="shared" si="20"/>
        <v>2546401388.6300001</v>
      </c>
      <c r="O107" s="33">
        <f t="shared" si="20"/>
        <v>2398957888.52</v>
      </c>
      <c r="P107" s="33">
        <f t="shared" si="20"/>
        <v>2605733811.6999998</v>
      </c>
      <c r="Q107" s="33">
        <f t="shared" si="20"/>
        <v>2487328254.04</v>
      </c>
      <c r="R107" s="33">
        <f t="shared" si="20"/>
        <v>2304068739.1300001</v>
      </c>
      <c r="S107" s="33">
        <f t="shared" si="20"/>
        <v>2184782308.8099999</v>
      </c>
      <c r="T107" s="33">
        <f t="shared" si="20"/>
        <v>2224397084.98</v>
      </c>
      <c r="U107" s="33">
        <f t="shared" si="20"/>
        <v>2125429369.46</v>
      </c>
      <c r="V107" s="33">
        <f t="shared" si="20"/>
        <v>2030685494.9300001</v>
      </c>
      <c r="W107" s="33">
        <f t="shared" si="20"/>
        <v>1930708956.6900001</v>
      </c>
      <c r="X107" s="33">
        <f t="shared" si="20"/>
        <v>1977896014.0699999</v>
      </c>
      <c r="Y107" s="33">
        <f t="shared" si="20"/>
        <v>1892220602.73</v>
      </c>
      <c r="Z107" s="33">
        <f t="shared" si="20"/>
        <v>1763420146.3699999</v>
      </c>
      <c r="AA107" s="33">
        <f t="shared" si="20"/>
        <v>1643908869.0699999</v>
      </c>
      <c r="AB107" s="33">
        <f t="shared" si="20"/>
        <v>1756834966.6400001</v>
      </c>
      <c r="AC107" s="33">
        <f t="shared" si="20"/>
        <v>1650493578.27</v>
      </c>
      <c r="AD107" s="33">
        <f t="shared" si="20"/>
        <v>1556751168.1600001</v>
      </c>
      <c r="AE107" s="33">
        <f t="shared" si="20"/>
        <v>1439317961.3</v>
      </c>
      <c r="AF107" s="33">
        <f t="shared" si="20"/>
        <v>1533876742.3699999</v>
      </c>
      <c r="AG107" s="33">
        <f t="shared" si="20"/>
        <v>1476505584.9100001</v>
      </c>
      <c r="AH107" s="33">
        <f t="shared" si="20"/>
        <v>1378242583.3099999</v>
      </c>
      <c r="AI107" s="33">
        <f t="shared" si="20"/>
        <v>1311332115.0699999</v>
      </c>
      <c r="AJ107" s="33">
        <f t="shared" si="20"/>
        <v>1382399929.6200001</v>
      </c>
      <c r="AK107" s="33">
        <f t="shared" si="20"/>
        <v>1332248508.1299999</v>
      </c>
      <c r="AL107" s="33">
        <f t="shared" si="20"/>
        <v>1288752066.0799999</v>
      </c>
      <c r="AM107" s="33">
        <f t="shared" si="20"/>
        <v>331008478.93000001</v>
      </c>
      <c r="AN107" s="33">
        <f t="shared" si="20"/>
        <v>301337851.48000002</v>
      </c>
      <c r="AO107" s="33">
        <f t="shared" si="20"/>
        <v>233287089.20999998</v>
      </c>
      <c r="AP107" s="33">
        <f t="shared" si="20"/>
        <v>127707873.51000001</v>
      </c>
      <c r="AQ107" s="33">
        <f t="shared" si="20"/>
        <v>0</v>
      </c>
      <c r="AR107" s="33">
        <f t="shared" si="20"/>
        <v>10641944677.480001</v>
      </c>
      <c r="AS107" s="33">
        <f t="shared" si="20"/>
        <v>9626236984.1700001</v>
      </c>
      <c r="AT107" s="33">
        <f t="shared" si="20"/>
        <v>9485588152.4899998</v>
      </c>
      <c r="AU107" s="33">
        <f t="shared" si="20"/>
        <v>9304015150.3199997</v>
      </c>
      <c r="AV107" s="33">
        <f t="shared" si="20"/>
        <v>9051649388.7700005</v>
      </c>
      <c r="AW107" s="33">
        <f t="shared" si="20"/>
        <v>8295168514.6399994</v>
      </c>
      <c r="AX107" s="33">
        <f t="shared" si="20"/>
        <v>8139685182.96</v>
      </c>
      <c r="AY107" s="33">
        <f t="shared" si="20"/>
        <v>7938750364.1499996</v>
      </c>
      <c r="AZ107" s="33">
        <f t="shared" si="20"/>
        <v>7934784508.5</v>
      </c>
      <c r="BA107" s="33">
        <f t="shared" si="20"/>
        <v>7385968978.54</v>
      </c>
      <c r="BB107" s="33">
        <f t="shared" si="20"/>
        <v>7360716151.5900002</v>
      </c>
      <c r="BC107" s="33">
        <f t="shared" si="20"/>
        <v>7179425965.6500006</v>
      </c>
      <c r="BD107" s="33">
        <f t="shared" si="20"/>
        <v>7003465589.3699999</v>
      </c>
      <c r="BE107" s="33">
        <f t="shared" si="20"/>
        <v>6586961901.7700005</v>
      </c>
      <c r="BF107" s="33">
        <f t="shared" si="20"/>
        <v>6433916281.1799994</v>
      </c>
      <c r="BG107" s="33">
        <f t="shared" si="20"/>
        <v>6292714866.6600008</v>
      </c>
      <c r="BH107" s="33">
        <f t="shared" si="20"/>
        <v>6409286809.8599997</v>
      </c>
      <c r="BI107" s="33">
        <f t="shared" si="20"/>
        <v>6025892686.6600008</v>
      </c>
      <c r="BJ107" s="33">
        <f t="shared" si="20"/>
        <v>5870405150.8400002</v>
      </c>
      <c r="BK107" s="33">
        <f t="shared" si="20"/>
        <v>5711754634.1499996</v>
      </c>
      <c r="BL107" s="33">
        <f t="shared" si="20"/>
        <v>5611611741.0699997</v>
      </c>
      <c r="BM107" s="33">
        <f t="shared" si="20"/>
        <v>5322099955.71</v>
      </c>
      <c r="BN107" s="33">
        <f t="shared" si="20"/>
        <v>5214293132.5199995</v>
      </c>
      <c r="BO107" s="33">
        <f t="shared" si="20"/>
        <v>5075362101.0900002</v>
      </c>
      <c r="BP107" s="33">
        <f t="shared" si="20"/>
        <v>4954980669.5600004</v>
      </c>
      <c r="BQ107" s="33">
        <f t="shared" si="20"/>
        <v>4702243132.8000002</v>
      </c>
      <c r="BR107" s="33">
        <f t="shared" ref="BR107:CK107" si="21">BR102+BR103</f>
        <v>4561780000</v>
      </c>
      <c r="BS107" s="33">
        <f t="shared" si="21"/>
        <v>4385655821.6400003</v>
      </c>
      <c r="BT107" s="33">
        <f t="shared" si="21"/>
        <v>4238623191.5</v>
      </c>
      <c r="BU107" s="33">
        <f t="shared" si="21"/>
        <v>3191216198.9499998</v>
      </c>
      <c r="BV107" s="33">
        <f t="shared" si="21"/>
        <v>2850312166.9000001</v>
      </c>
      <c r="BW107" s="33">
        <f t="shared" si="21"/>
        <v>2420499366.4499998</v>
      </c>
      <c r="BX107" s="33">
        <f t="shared" si="21"/>
        <v>2089698452.7</v>
      </c>
      <c r="BY107" s="33">
        <f t="shared" si="21"/>
        <v>1764990217.6700001</v>
      </c>
      <c r="BZ107" s="33">
        <f t="shared" si="21"/>
        <v>1864618529.46</v>
      </c>
      <c r="CA107" s="33">
        <f t="shared" si="21"/>
        <v>392384778.43000001</v>
      </c>
      <c r="CB107" s="33">
        <f t="shared" si="21"/>
        <v>264958379.21000001</v>
      </c>
      <c r="CC107" s="33">
        <f t="shared" si="21"/>
        <v>225967479.94999999</v>
      </c>
      <c r="CD107" s="33">
        <f t="shared" si="21"/>
        <v>0</v>
      </c>
      <c r="CE107" s="33">
        <f t="shared" si="21"/>
        <v>1079738000</v>
      </c>
      <c r="CF107" s="33">
        <f t="shared" si="21"/>
        <v>1004228352.76</v>
      </c>
      <c r="CG107" s="33">
        <f t="shared" si="21"/>
        <v>492689900.37</v>
      </c>
      <c r="CH107" s="33">
        <f t="shared" si="21"/>
        <v>203800000</v>
      </c>
      <c r="CI107" s="33">
        <f t="shared" si="21"/>
        <v>162870000</v>
      </c>
      <c r="CJ107" s="33">
        <f t="shared" si="21"/>
        <v>92660000</v>
      </c>
      <c r="CK107" s="33">
        <f t="shared" si="21"/>
        <v>75420000</v>
      </c>
      <c r="CL107" s="33">
        <f>CL102+CL103</f>
        <v>0</v>
      </c>
    </row>
    <row r="108" spans="1:90" s="8" customFormat="1" x14ac:dyDescent="0.25">
      <c r="A108" s="130" t="s">
        <v>75</v>
      </c>
      <c r="B108" s="38">
        <f>SUM(B89+B107)</f>
        <v>3904500908.9699998</v>
      </c>
      <c r="C108" s="38">
        <f t="shared" ref="C108:BN108" si="22">SUM(C89+C107)</f>
        <v>3823444348.0500002</v>
      </c>
      <c r="D108" s="38">
        <f t="shared" si="22"/>
        <v>3977141881.98</v>
      </c>
      <c r="E108" s="38">
        <f>SUM(E107+E89)</f>
        <v>3406128319.5699997</v>
      </c>
      <c r="F108" s="38">
        <f t="shared" si="22"/>
        <v>3469234189.5600004</v>
      </c>
      <c r="G108" s="38">
        <f t="shared" si="22"/>
        <v>3334128665.5799999</v>
      </c>
      <c r="H108" s="38">
        <f t="shared" si="22"/>
        <v>3553104597.3199997</v>
      </c>
      <c r="I108" s="38">
        <f t="shared" si="22"/>
        <v>3379120624.0300002</v>
      </c>
      <c r="J108" s="38">
        <f t="shared" si="22"/>
        <v>3143130880.5100002</v>
      </c>
      <c r="K108" s="38">
        <f t="shared" si="22"/>
        <v>2963681471.9000001</v>
      </c>
      <c r="L108" s="38">
        <f t="shared" si="22"/>
        <v>2881482643.0299997</v>
      </c>
      <c r="M108" s="38">
        <f t="shared" si="22"/>
        <v>2770141834.1800003</v>
      </c>
      <c r="N108" s="38">
        <f t="shared" si="22"/>
        <v>2546401388.6300001</v>
      </c>
      <c r="O108" s="38">
        <f t="shared" si="22"/>
        <v>2402871215.6399999</v>
      </c>
      <c r="P108" s="38">
        <f t="shared" si="22"/>
        <v>2608400747.6599998</v>
      </c>
      <c r="Q108" s="38">
        <f t="shared" si="22"/>
        <v>2492915605.77</v>
      </c>
      <c r="R108" s="38">
        <f t="shared" si="22"/>
        <v>2308488151.73</v>
      </c>
      <c r="S108" s="38">
        <f t="shared" si="22"/>
        <v>2192212395.2799997</v>
      </c>
      <c r="T108" s="38">
        <f t="shared" si="22"/>
        <v>2229681235.0799999</v>
      </c>
      <c r="U108" s="38">
        <f t="shared" si="22"/>
        <v>2133306409.3500001</v>
      </c>
      <c r="V108" s="38">
        <f t="shared" si="22"/>
        <v>2030685494.9300001</v>
      </c>
      <c r="W108" s="38">
        <f t="shared" si="22"/>
        <v>1930708956.6900001</v>
      </c>
      <c r="X108" s="38">
        <f t="shared" si="22"/>
        <v>1977896014.0699999</v>
      </c>
      <c r="Y108" s="38">
        <f t="shared" si="22"/>
        <v>1892220602.73</v>
      </c>
      <c r="Z108" s="38">
        <f t="shared" si="22"/>
        <v>1763420146.3699999</v>
      </c>
      <c r="AA108" s="38">
        <f t="shared" si="22"/>
        <v>1643908869.0699999</v>
      </c>
      <c r="AB108" s="38">
        <f t="shared" si="22"/>
        <v>1756834966.6400001</v>
      </c>
      <c r="AC108" s="38">
        <f t="shared" si="22"/>
        <v>1650493578.27</v>
      </c>
      <c r="AD108" s="38">
        <f t="shared" si="22"/>
        <v>1556751168.1600001</v>
      </c>
      <c r="AE108" s="38">
        <f t="shared" si="22"/>
        <v>1439317961.3</v>
      </c>
      <c r="AF108" s="38">
        <f t="shared" si="22"/>
        <v>1533876742.3699999</v>
      </c>
      <c r="AG108" s="38">
        <f t="shared" si="22"/>
        <v>1476505584.9100001</v>
      </c>
      <c r="AH108" s="38">
        <f t="shared" si="22"/>
        <v>1378242583.3099999</v>
      </c>
      <c r="AI108" s="38">
        <f t="shared" si="22"/>
        <v>1311332115.0699999</v>
      </c>
      <c r="AJ108" s="38">
        <f t="shared" si="22"/>
        <v>1382399929.6200001</v>
      </c>
      <c r="AK108" s="38">
        <f t="shared" si="22"/>
        <v>1332248508.1299999</v>
      </c>
      <c r="AL108" s="38">
        <f t="shared" si="22"/>
        <v>1288752066.0799999</v>
      </c>
      <c r="AM108" s="38">
        <f t="shared" si="22"/>
        <v>331008478.93000001</v>
      </c>
      <c r="AN108" s="38">
        <f t="shared" si="22"/>
        <v>301337851.48000002</v>
      </c>
      <c r="AO108" s="38">
        <f t="shared" si="22"/>
        <v>238297533.64999998</v>
      </c>
      <c r="AP108" s="38">
        <f t="shared" si="22"/>
        <v>155756895.00999999</v>
      </c>
      <c r="AQ108" s="38">
        <f t="shared" si="22"/>
        <v>0</v>
      </c>
      <c r="AR108" s="38">
        <f t="shared" si="22"/>
        <v>10641944677.480001</v>
      </c>
      <c r="AS108" s="38">
        <f t="shared" si="22"/>
        <v>9626236984.1700001</v>
      </c>
      <c r="AT108" s="38">
        <f t="shared" si="22"/>
        <v>9485588152.4899998</v>
      </c>
      <c r="AU108" s="38">
        <f t="shared" si="22"/>
        <v>9304015150.3199997</v>
      </c>
      <c r="AV108" s="38">
        <f t="shared" si="22"/>
        <v>9051649388.7700005</v>
      </c>
      <c r="AW108" s="38">
        <f t="shared" si="22"/>
        <v>8295168514.6399994</v>
      </c>
      <c r="AX108" s="38">
        <f t="shared" si="22"/>
        <v>8139685182.96</v>
      </c>
      <c r="AY108" s="38">
        <f t="shared" si="22"/>
        <v>7938750364.1499996</v>
      </c>
      <c r="AZ108" s="38">
        <f t="shared" si="22"/>
        <v>7934784508.5</v>
      </c>
      <c r="BA108" s="38">
        <f t="shared" si="22"/>
        <v>7385968978.54</v>
      </c>
      <c r="BB108" s="38">
        <f t="shared" si="22"/>
        <v>7360716151.5900002</v>
      </c>
      <c r="BC108" s="38">
        <f t="shared" si="22"/>
        <v>7179425965.6500006</v>
      </c>
      <c r="BD108" s="38">
        <f t="shared" si="22"/>
        <v>7003465589.3699999</v>
      </c>
      <c r="BE108" s="38">
        <f t="shared" si="22"/>
        <v>6586961901.7700005</v>
      </c>
      <c r="BF108" s="38">
        <f t="shared" si="22"/>
        <v>6433916281.1799994</v>
      </c>
      <c r="BG108" s="38">
        <f t="shared" si="22"/>
        <v>6292714866.6600008</v>
      </c>
      <c r="BH108" s="38">
        <f t="shared" si="22"/>
        <v>6409286809.8599997</v>
      </c>
      <c r="BI108" s="38">
        <f t="shared" si="22"/>
        <v>6025892686.6600008</v>
      </c>
      <c r="BJ108" s="38">
        <f t="shared" si="22"/>
        <v>5870405150.8400002</v>
      </c>
      <c r="BK108" s="38">
        <f t="shared" si="22"/>
        <v>5711754634.1499996</v>
      </c>
      <c r="BL108" s="38">
        <f t="shared" si="22"/>
        <v>5611611741.0699997</v>
      </c>
      <c r="BM108" s="38">
        <f t="shared" si="22"/>
        <v>5322099955.71</v>
      </c>
      <c r="BN108" s="38">
        <f t="shared" si="22"/>
        <v>5214293132.5199995</v>
      </c>
      <c r="BO108" s="38">
        <f t="shared" ref="BO108:CK108" si="23">SUM(BO89+BO107)</f>
        <v>5075362101.0900002</v>
      </c>
      <c r="BP108" s="38">
        <f t="shared" si="23"/>
        <v>4954980669.5600004</v>
      </c>
      <c r="BQ108" s="38">
        <f t="shared" si="23"/>
        <v>4702243132.8000002</v>
      </c>
      <c r="BR108" s="38">
        <f t="shared" si="23"/>
        <v>4561780000</v>
      </c>
      <c r="BS108" s="38">
        <f t="shared" si="23"/>
        <v>4385655821.6400003</v>
      </c>
      <c r="BT108" s="38">
        <f t="shared" si="23"/>
        <v>4238623191.5</v>
      </c>
      <c r="BU108" s="38">
        <f t="shared" si="23"/>
        <v>3191216198.9499998</v>
      </c>
      <c r="BV108" s="38">
        <f t="shared" si="23"/>
        <v>2850312166.9000001</v>
      </c>
      <c r="BW108" s="38">
        <f t="shared" si="23"/>
        <v>2420499366.4499998</v>
      </c>
      <c r="BX108" s="38">
        <f t="shared" si="23"/>
        <v>2089698452.7</v>
      </c>
      <c r="BY108" s="38">
        <f t="shared" si="23"/>
        <v>1764990217.6700001</v>
      </c>
      <c r="BZ108" s="38">
        <f t="shared" si="23"/>
        <v>1864618529.46</v>
      </c>
      <c r="CA108" s="38">
        <f t="shared" si="23"/>
        <v>392384778.43000001</v>
      </c>
      <c r="CB108" s="38">
        <f t="shared" si="23"/>
        <v>264958379.21000001</v>
      </c>
      <c r="CC108" s="38">
        <f t="shared" si="23"/>
        <v>225967479.94999999</v>
      </c>
      <c r="CD108" s="38">
        <f t="shared" si="23"/>
        <v>0</v>
      </c>
      <c r="CE108" s="38">
        <f t="shared" si="23"/>
        <v>1079738000</v>
      </c>
      <c r="CF108" s="38">
        <f t="shared" si="23"/>
        <v>1004228352.76</v>
      </c>
      <c r="CG108" s="38">
        <f t="shared" si="23"/>
        <v>492689900.37</v>
      </c>
      <c r="CH108" s="38">
        <f t="shared" si="23"/>
        <v>203800000</v>
      </c>
      <c r="CI108" s="38">
        <f t="shared" si="23"/>
        <v>162870000</v>
      </c>
      <c r="CJ108" s="38">
        <f t="shared" si="23"/>
        <v>92660000</v>
      </c>
      <c r="CK108" s="38">
        <f t="shared" si="23"/>
        <v>75420000</v>
      </c>
    </row>
    <row r="110" spans="1:90" x14ac:dyDescent="0.25">
      <c r="E110" s="26"/>
    </row>
  </sheetData>
  <phoneticPr fontId="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股权价值增加表"/>
  <dimension ref="A1:CK70"/>
  <sheetViews>
    <sheetView topLeftCell="U41" workbookViewId="0">
      <selection activeCell="AO55" sqref="AO55"/>
    </sheetView>
  </sheetViews>
  <sheetFormatPr defaultRowHeight="14.4" x14ac:dyDescent="0.25"/>
  <cols>
    <col min="1" max="1" width="57.21875" style="17" bestFit="1" customWidth="1"/>
    <col min="2" max="2" width="19.33203125" hidden="1" customWidth="1"/>
    <col min="3" max="3" width="19" hidden="1" customWidth="1"/>
    <col min="4" max="4" width="20.21875" hidden="1" customWidth="1"/>
    <col min="5" max="5" width="19.33203125" bestFit="1" customWidth="1"/>
    <col min="6" max="6" width="19.33203125" hidden="1" customWidth="1"/>
    <col min="7" max="7" width="19" hidden="1" customWidth="1"/>
    <col min="8" max="8" width="20.21875" hidden="1" customWidth="1"/>
    <col min="9" max="9" width="19.33203125" bestFit="1" customWidth="1"/>
    <col min="10" max="10" width="19.33203125" hidden="1" customWidth="1"/>
    <col min="11" max="11" width="19" hidden="1" customWidth="1"/>
    <col min="12" max="12" width="20.21875" hidden="1" customWidth="1"/>
    <col min="13" max="13" width="19.33203125" bestFit="1" customWidth="1"/>
    <col min="14" max="16" width="19" hidden="1" customWidth="1"/>
    <col min="17" max="17" width="19.33203125" bestFit="1" customWidth="1"/>
    <col min="18" max="20" width="19" hidden="1" customWidth="1"/>
    <col min="21" max="21" width="19.33203125" bestFit="1" customWidth="1"/>
    <col min="22" max="24" width="19" hidden="1" customWidth="1"/>
    <col min="25" max="25" width="19.33203125" bestFit="1" customWidth="1"/>
    <col min="26" max="28" width="19" hidden="1" customWidth="1"/>
    <col min="29" max="29" width="19.33203125" bestFit="1" customWidth="1"/>
    <col min="30" max="32" width="19" hidden="1" customWidth="1"/>
    <col min="33" max="33" width="19" bestFit="1" customWidth="1"/>
    <col min="34" max="36" width="19" hidden="1" customWidth="1"/>
    <col min="37" max="37" width="19" bestFit="1" customWidth="1"/>
    <col min="38" max="38" width="19" hidden="1" customWidth="1"/>
    <col min="39" max="40" width="17.77734375" hidden="1" customWidth="1"/>
    <col min="41" max="41" width="19" bestFit="1" customWidth="1"/>
    <col min="42" max="42" width="19" hidden="1" customWidth="1"/>
    <col min="43" max="43" width="19" bestFit="1" customWidth="1"/>
    <col min="44" max="44" width="17.77734375" bestFit="1" customWidth="1"/>
    <col min="45" max="45" width="9.5546875" hidden="1" customWidth="1"/>
    <col min="46" max="51" width="22.6640625" bestFit="1" customWidth="1"/>
    <col min="52" max="81" width="20.21875" bestFit="1" customWidth="1"/>
    <col min="82" max="82" width="9.5546875" bestFit="1" customWidth="1"/>
    <col min="83" max="83" width="20.21875" bestFit="1" customWidth="1"/>
    <col min="84" max="85" width="19" bestFit="1" customWidth="1"/>
    <col min="86" max="86" width="17.77734375" bestFit="1" customWidth="1"/>
    <col min="87" max="87" width="19" bestFit="1" customWidth="1"/>
    <col min="88" max="88" width="17.77734375" bestFit="1" customWidth="1"/>
    <col min="89" max="89" width="9.5546875" bestFit="1" customWidth="1"/>
  </cols>
  <sheetData>
    <row r="1" spans="1:89" x14ac:dyDescent="0.25">
      <c r="A1" s="17">
        <v>2293</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39447</v>
      </c>
      <c r="AR1" s="1">
        <v>39082</v>
      </c>
      <c r="AS1" s="1">
        <v>25569</v>
      </c>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x14ac:dyDescent="0.25">
      <c r="A2" s="17" t="s">
        <v>84</v>
      </c>
    </row>
    <row r="3" spans="1:89" s="6" customFormat="1" x14ac:dyDescent="0.25">
      <c r="A3" s="18" t="s">
        <v>85</v>
      </c>
    </row>
    <row r="4" spans="1:89" x14ac:dyDescent="0.25">
      <c r="A4" s="17" t="s">
        <v>384</v>
      </c>
      <c r="B4" s="190">
        <v>3451681484.4400001</v>
      </c>
      <c r="C4" s="190">
        <v>2196906569.27</v>
      </c>
      <c r="D4" s="190">
        <v>1171508749.5999999</v>
      </c>
      <c r="E4" s="190">
        <v>4661850865.5100002</v>
      </c>
      <c r="F4" s="190">
        <v>3182670009.3200002</v>
      </c>
      <c r="G4" s="190">
        <v>1981435890.6199999</v>
      </c>
      <c r="H4" s="190">
        <v>1057767260.42</v>
      </c>
      <c r="I4" s="190">
        <v>3152216442.1500001</v>
      </c>
      <c r="J4" s="190">
        <v>2155264290.48</v>
      </c>
      <c r="K4" s="190">
        <v>1343083310.6500001</v>
      </c>
      <c r="L4" s="190">
        <v>762846279.96000004</v>
      </c>
      <c r="M4" s="190">
        <v>2915633891.98</v>
      </c>
      <c r="N4" s="190">
        <v>2046094586.02</v>
      </c>
      <c r="O4" s="190">
        <v>1249976092.8499999</v>
      </c>
      <c r="P4" s="190">
        <v>705394935.15999997</v>
      </c>
      <c r="Q4" s="190">
        <v>2761400573.5100002</v>
      </c>
      <c r="R4" s="190">
        <v>1879993912.9100001</v>
      </c>
      <c r="S4" s="190">
        <v>1112279848.48</v>
      </c>
      <c r="T4" s="190">
        <v>657308577.96000004</v>
      </c>
      <c r="U4" s="190">
        <v>2524209416.4000001</v>
      </c>
      <c r="V4" s="190">
        <v>1722646961.76</v>
      </c>
      <c r="W4" s="190">
        <v>1078073329.79</v>
      </c>
      <c r="X4" s="190">
        <v>615351177.55999994</v>
      </c>
      <c r="Y4" s="190">
        <v>2724953861.21</v>
      </c>
      <c r="Z4" s="190">
        <v>1847721787.6600001</v>
      </c>
      <c r="AA4" s="190">
        <v>1036490112.66</v>
      </c>
      <c r="AB4" s="190">
        <v>614320304.89999998</v>
      </c>
      <c r="AC4" s="190">
        <v>2382434788.48</v>
      </c>
      <c r="AD4" s="190">
        <v>1633896787.0999999</v>
      </c>
      <c r="AE4" s="190">
        <v>1003246147.98</v>
      </c>
      <c r="AF4" s="190">
        <v>583149853.35000002</v>
      </c>
      <c r="AG4" s="190">
        <v>1818814620.1400001</v>
      </c>
      <c r="AH4" s="190">
        <v>1145669244.4200001</v>
      </c>
      <c r="AI4" s="190">
        <v>661829336.29999995</v>
      </c>
      <c r="AJ4" s="190">
        <v>359335837.14999998</v>
      </c>
      <c r="AK4" s="190">
        <v>1145306750.3299999</v>
      </c>
      <c r="AL4" s="190">
        <v>723914564.5</v>
      </c>
      <c r="AM4" s="190">
        <v>407570538.00999999</v>
      </c>
      <c r="AN4" s="190">
        <v>255192022.33000001</v>
      </c>
      <c r="AO4" s="190">
        <v>902684684.88</v>
      </c>
      <c r="AP4" s="190">
        <v>632875455.57000005</v>
      </c>
      <c r="AQ4" s="190">
        <v>755362629.51999998</v>
      </c>
      <c r="AR4" s="190">
        <v>552487592.55999994</v>
      </c>
      <c r="AS4" s="190">
        <v>0</v>
      </c>
      <c r="AT4" s="190"/>
      <c r="AU4" s="190"/>
      <c r="AV4" s="190"/>
      <c r="AW4" s="190"/>
      <c r="AX4" s="190"/>
      <c r="AY4" s="190"/>
      <c r="AZ4" s="190"/>
      <c r="BA4" s="190"/>
      <c r="BB4" s="190"/>
      <c r="BC4" s="190"/>
      <c r="BD4" s="190"/>
      <c r="BE4" s="190"/>
      <c r="BF4" s="190"/>
      <c r="BG4" s="190"/>
      <c r="BH4" s="190"/>
      <c r="BI4" s="190"/>
      <c r="BJ4" s="190"/>
      <c r="BK4" s="190"/>
      <c r="BL4" s="190"/>
      <c r="BM4" s="190"/>
      <c r="BN4" s="190"/>
      <c r="BO4" s="190"/>
      <c r="BP4" s="190"/>
      <c r="BQ4" s="190"/>
      <c r="BR4" s="190"/>
      <c r="BS4" s="190"/>
      <c r="BT4" s="190"/>
      <c r="BU4" s="190"/>
      <c r="BV4" s="190"/>
      <c r="BW4" s="190"/>
      <c r="BX4" s="190"/>
      <c r="BY4" s="190"/>
      <c r="BZ4" s="190"/>
      <c r="CA4" s="190"/>
      <c r="CB4" s="190"/>
      <c r="CC4" s="190"/>
      <c r="CD4" s="190"/>
      <c r="CE4" s="190"/>
      <c r="CF4" s="190"/>
      <c r="CG4" s="190"/>
      <c r="CH4" s="190"/>
      <c r="CI4" s="190"/>
      <c r="CJ4" s="190"/>
      <c r="CK4" s="190"/>
    </row>
    <row r="5" spans="1:89" x14ac:dyDescent="0.25">
      <c r="A5" s="19" t="s">
        <v>385</v>
      </c>
      <c r="B5" s="190">
        <v>1953613952.27</v>
      </c>
      <c r="C5" s="190">
        <v>1200957199.22</v>
      </c>
      <c r="D5" s="190">
        <v>666621300.82000005</v>
      </c>
      <c r="E5" s="190">
        <v>2635590846.21</v>
      </c>
      <c r="F5" s="190">
        <v>1773993047.99</v>
      </c>
      <c r="G5" s="190">
        <v>1090223199.48</v>
      </c>
      <c r="H5" s="190">
        <v>586351416.38999999</v>
      </c>
      <c r="I5" s="190">
        <v>1624554797.76</v>
      </c>
      <c r="J5" s="190">
        <v>1105706598.52</v>
      </c>
      <c r="K5" s="190">
        <v>676890906.00999999</v>
      </c>
      <c r="L5" s="190">
        <v>382181848.41000003</v>
      </c>
      <c r="M5" s="190">
        <v>1488077938.76</v>
      </c>
      <c r="N5" s="190">
        <v>1070685858.4</v>
      </c>
      <c r="O5" s="190">
        <v>646044667.88</v>
      </c>
      <c r="P5" s="190">
        <v>368353515.80000001</v>
      </c>
      <c r="Q5" s="190">
        <v>1522590313.74</v>
      </c>
      <c r="R5" s="190">
        <v>1049502064.09</v>
      </c>
      <c r="S5" s="190">
        <v>614113615.22000003</v>
      </c>
      <c r="T5" s="190">
        <v>364584481.94</v>
      </c>
      <c r="U5" s="190">
        <v>1414058164.54</v>
      </c>
      <c r="V5" s="190">
        <v>987390552.35000002</v>
      </c>
      <c r="W5" s="190">
        <v>613641321.99000001</v>
      </c>
      <c r="X5" s="190">
        <v>354907772.18000001</v>
      </c>
      <c r="Y5" s="190">
        <v>1574584274.8199999</v>
      </c>
      <c r="Z5" s="190">
        <v>1075633938.99</v>
      </c>
      <c r="AA5" s="190">
        <v>583133528.04999995</v>
      </c>
      <c r="AB5" s="190">
        <v>327439565.81</v>
      </c>
      <c r="AC5" s="190">
        <v>1377436916.3499999</v>
      </c>
      <c r="AD5" s="190">
        <v>987289834.52999997</v>
      </c>
      <c r="AE5" s="190">
        <v>593673817.29999995</v>
      </c>
      <c r="AF5" s="190">
        <v>349417553.02999997</v>
      </c>
      <c r="AG5" s="190">
        <v>1131280282.5999999</v>
      </c>
      <c r="AH5" s="190">
        <v>712739208.15999997</v>
      </c>
      <c r="AI5" s="190">
        <v>401643789.75</v>
      </c>
      <c r="AJ5" s="190">
        <v>217129319.08000001</v>
      </c>
      <c r="AK5" s="190">
        <v>697436260.83000004</v>
      </c>
      <c r="AL5" s="190">
        <v>441509914.73000002</v>
      </c>
      <c r="AM5" s="190">
        <v>245422172.28</v>
      </c>
      <c r="AN5" s="190">
        <v>160507029.72999999</v>
      </c>
      <c r="AO5" s="190">
        <v>568121133.83000004</v>
      </c>
      <c r="AP5" s="190">
        <v>392963008.33999997</v>
      </c>
      <c r="AQ5" s="190">
        <v>492404923.29000002</v>
      </c>
      <c r="AR5" s="190">
        <v>410889235.10000002</v>
      </c>
      <c r="AS5" s="190">
        <v>0</v>
      </c>
      <c r="AT5" s="190"/>
      <c r="AU5" s="190"/>
      <c r="AV5" s="190"/>
      <c r="AW5" s="190"/>
      <c r="AX5" s="190"/>
      <c r="AY5" s="190"/>
      <c r="AZ5" s="190"/>
      <c r="BA5" s="190"/>
      <c r="BB5" s="190"/>
      <c r="BC5" s="190"/>
      <c r="BD5" s="190"/>
      <c r="BE5" s="190"/>
      <c r="BF5" s="190"/>
      <c r="BG5" s="190"/>
      <c r="BH5" s="190"/>
      <c r="BI5" s="190"/>
      <c r="BJ5" s="190"/>
      <c r="BK5" s="190"/>
      <c r="BL5" s="190"/>
      <c r="BM5" s="190"/>
      <c r="BN5" s="190"/>
      <c r="BO5" s="190"/>
      <c r="BP5" s="190"/>
      <c r="BQ5" s="190"/>
      <c r="BR5" s="190"/>
      <c r="BS5" s="190"/>
      <c r="BT5" s="190"/>
      <c r="BU5" s="190"/>
      <c r="BV5" s="190"/>
      <c r="BW5" s="190"/>
      <c r="BX5" s="190"/>
      <c r="BY5" s="190"/>
      <c r="BZ5" s="190"/>
      <c r="CA5" s="190"/>
      <c r="CB5" s="190"/>
      <c r="CC5" s="190"/>
      <c r="CD5" s="190"/>
      <c r="CE5" s="190"/>
      <c r="CF5" s="190"/>
      <c r="CG5" s="190"/>
      <c r="CH5" s="190"/>
      <c r="CI5" s="190"/>
      <c r="CJ5" s="190"/>
      <c r="CK5" s="190"/>
    </row>
    <row r="6" spans="1:89" s="3" customFormat="1" x14ac:dyDescent="0.25">
      <c r="A6" s="20" t="s">
        <v>386</v>
      </c>
      <c r="B6" s="27">
        <f>B4-B5</f>
        <v>1498067532.1700001</v>
      </c>
      <c r="C6" s="27">
        <f t="shared" ref="C6:BN6" si="0">C4-C5</f>
        <v>995949370.04999995</v>
      </c>
      <c r="D6" s="27">
        <f t="shared" si="0"/>
        <v>504887448.77999985</v>
      </c>
      <c r="E6" s="27">
        <f t="shared" si="0"/>
        <v>2026260019.3000002</v>
      </c>
      <c r="F6" s="27">
        <f t="shared" si="0"/>
        <v>1408676961.3300002</v>
      </c>
      <c r="G6" s="27">
        <f t="shared" si="0"/>
        <v>891212691.13999987</v>
      </c>
      <c r="H6" s="27">
        <f t="shared" si="0"/>
        <v>471415844.02999997</v>
      </c>
      <c r="I6" s="27">
        <f t="shared" si="0"/>
        <v>1527661644.3900001</v>
      </c>
      <c r="J6" s="27">
        <f t="shared" si="0"/>
        <v>1049557691.96</v>
      </c>
      <c r="K6" s="27">
        <f t="shared" si="0"/>
        <v>666192404.6400001</v>
      </c>
      <c r="L6" s="27">
        <f t="shared" si="0"/>
        <v>380664431.55000001</v>
      </c>
      <c r="M6" s="27">
        <f t="shared" si="0"/>
        <v>1427555953.22</v>
      </c>
      <c r="N6" s="27">
        <f t="shared" si="0"/>
        <v>975408727.62</v>
      </c>
      <c r="O6" s="27">
        <f t="shared" si="0"/>
        <v>603931424.96999991</v>
      </c>
      <c r="P6" s="27">
        <f t="shared" si="0"/>
        <v>337041419.35999995</v>
      </c>
      <c r="Q6" s="27">
        <f t="shared" si="0"/>
        <v>1238810259.7700002</v>
      </c>
      <c r="R6" s="27">
        <f t="shared" si="0"/>
        <v>830491848.82000005</v>
      </c>
      <c r="S6" s="27">
        <f t="shared" si="0"/>
        <v>498166233.25999999</v>
      </c>
      <c r="T6" s="27">
        <f t="shared" si="0"/>
        <v>292724096.02000004</v>
      </c>
      <c r="U6" s="27">
        <f t="shared" si="0"/>
        <v>1110151251.8600001</v>
      </c>
      <c r="V6" s="27">
        <f t="shared" si="0"/>
        <v>735256409.40999997</v>
      </c>
      <c r="W6" s="27">
        <f t="shared" si="0"/>
        <v>464432007.79999995</v>
      </c>
      <c r="X6" s="27">
        <f t="shared" si="0"/>
        <v>260443405.37999994</v>
      </c>
      <c r="Y6" s="27">
        <f t="shared" si="0"/>
        <v>1150369586.3900001</v>
      </c>
      <c r="Z6" s="27">
        <f t="shared" si="0"/>
        <v>772087848.67000008</v>
      </c>
      <c r="AA6" s="27">
        <f t="shared" si="0"/>
        <v>453356584.61000001</v>
      </c>
      <c r="AB6" s="27">
        <f t="shared" si="0"/>
        <v>286880739.08999997</v>
      </c>
      <c r="AC6" s="27">
        <f t="shared" si="0"/>
        <v>1004997872.1300001</v>
      </c>
      <c r="AD6" s="27">
        <f t="shared" si="0"/>
        <v>646606952.56999993</v>
      </c>
      <c r="AE6" s="27">
        <f t="shared" si="0"/>
        <v>409572330.68000007</v>
      </c>
      <c r="AF6" s="27">
        <f t="shared" si="0"/>
        <v>233732300.32000005</v>
      </c>
      <c r="AG6" s="27">
        <f t="shared" si="0"/>
        <v>687534337.5400002</v>
      </c>
      <c r="AH6" s="27">
        <f t="shared" si="0"/>
        <v>432930036.26000011</v>
      </c>
      <c r="AI6" s="27">
        <f t="shared" si="0"/>
        <v>260185546.54999995</v>
      </c>
      <c r="AJ6" s="27">
        <f t="shared" si="0"/>
        <v>142206518.06999996</v>
      </c>
      <c r="AK6" s="27">
        <f t="shared" si="0"/>
        <v>447870489.49999988</v>
      </c>
      <c r="AL6" s="27">
        <f t="shared" si="0"/>
        <v>282404649.76999998</v>
      </c>
      <c r="AM6" s="27">
        <f t="shared" si="0"/>
        <v>162148365.72999999</v>
      </c>
      <c r="AN6" s="27">
        <f t="shared" si="0"/>
        <v>94684992.600000024</v>
      </c>
      <c r="AO6" s="27">
        <f t="shared" si="0"/>
        <v>334563551.04999995</v>
      </c>
      <c r="AP6" s="27">
        <f t="shared" si="0"/>
        <v>239912447.23000008</v>
      </c>
      <c r="AQ6" s="27">
        <f t="shared" si="0"/>
        <v>262957706.22999996</v>
      </c>
      <c r="AR6" s="27">
        <f t="shared" si="0"/>
        <v>141598357.45999992</v>
      </c>
      <c r="AS6" s="27">
        <f t="shared" si="0"/>
        <v>0</v>
      </c>
      <c r="AT6" s="27">
        <f t="shared" si="0"/>
        <v>0</v>
      </c>
      <c r="AU6" s="27">
        <f t="shared" si="0"/>
        <v>0</v>
      </c>
      <c r="AV6" s="27">
        <f t="shared" si="0"/>
        <v>0</v>
      </c>
      <c r="AW6" s="27">
        <f t="shared" si="0"/>
        <v>0</v>
      </c>
      <c r="AX6" s="27">
        <f t="shared" si="0"/>
        <v>0</v>
      </c>
      <c r="AY6" s="27">
        <f t="shared" si="0"/>
        <v>0</v>
      </c>
      <c r="AZ6" s="27">
        <f t="shared" si="0"/>
        <v>0</v>
      </c>
      <c r="BA6" s="27">
        <f t="shared" si="0"/>
        <v>0</v>
      </c>
      <c r="BB6" s="27">
        <f t="shared" si="0"/>
        <v>0</v>
      </c>
      <c r="BC6" s="27">
        <f t="shared" si="0"/>
        <v>0</v>
      </c>
      <c r="BD6" s="27">
        <f t="shared" si="0"/>
        <v>0</v>
      </c>
      <c r="BE6" s="27">
        <f t="shared" si="0"/>
        <v>0</v>
      </c>
      <c r="BF6" s="27">
        <f t="shared" si="0"/>
        <v>0</v>
      </c>
      <c r="BG6" s="27">
        <f t="shared" si="0"/>
        <v>0</v>
      </c>
      <c r="BH6" s="27">
        <f t="shared" si="0"/>
        <v>0</v>
      </c>
      <c r="BI6" s="27">
        <f t="shared" si="0"/>
        <v>0</v>
      </c>
      <c r="BJ6" s="27">
        <f t="shared" si="0"/>
        <v>0</v>
      </c>
      <c r="BK6" s="27">
        <f t="shared" si="0"/>
        <v>0</v>
      </c>
      <c r="BL6" s="27">
        <f t="shared" si="0"/>
        <v>0</v>
      </c>
      <c r="BM6" s="27">
        <f t="shared" si="0"/>
        <v>0</v>
      </c>
      <c r="BN6" s="27">
        <f t="shared" si="0"/>
        <v>0</v>
      </c>
      <c r="BO6" s="27">
        <f t="shared" ref="BO6:CK6" si="1">BO4-BO5</f>
        <v>0</v>
      </c>
      <c r="BP6" s="27">
        <f t="shared" si="1"/>
        <v>0</v>
      </c>
      <c r="BQ6" s="27">
        <f t="shared" si="1"/>
        <v>0</v>
      </c>
      <c r="BR6" s="27">
        <f t="shared" si="1"/>
        <v>0</v>
      </c>
      <c r="BS6" s="27">
        <f t="shared" si="1"/>
        <v>0</v>
      </c>
      <c r="BT6" s="27">
        <f t="shared" si="1"/>
        <v>0</v>
      </c>
      <c r="BU6" s="27">
        <f t="shared" si="1"/>
        <v>0</v>
      </c>
      <c r="BV6" s="27">
        <f t="shared" si="1"/>
        <v>0</v>
      </c>
      <c r="BW6" s="27">
        <f t="shared" si="1"/>
        <v>0</v>
      </c>
      <c r="BX6" s="27">
        <f t="shared" si="1"/>
        <v>0</v>
      </c>
      <c r="BY6" s="27">
        <f t="shared" si="1"/>
        <v>0</v>
      </c>
      <c r="BZ6" s="27">
        <f t="shared" si="1"/>
        <v>0</v>
      </c>
      <c r="CA6" s="27">
        <f t="shared" si="1"/>
        <v>0</v>
      </c>
      <c r="CB6" s="27">
        <f t="shared" si="1"/>
        <v>0</v>
      </c>
      <c r="CC6" s="27">
        <f t="shared" si="1"/>
        <v>0</v>
      </c>
      <c r="CD6" s="27">
        <f t="shared" si="1"/>
        <v>0</v>
      </c>
      <c r="CE6" s="27">
        <f t="shared" si="1"/>
        <v>0</v>
      </c>
      <c r="CF6" s="27">
        <f t="shared" si="1"/>
        <v>0</v>
      </c>
      <c r="CG6" s="27">
        <f t="shared" si="1"/>
        <v>0</v>
      </c>
      <c r="CH6" s="27">
        <f t="shared" si="1"/>
        <v>0</v>
      </c>
      <c r="CI6" s="27">
        <f t="shared" si="1"/>
        <v>0</v>
      </c>
      <c r="CJ6" s="27">
        <f t="shared" si="1"/>
        <v>0</v>
      </c>
      <c r="CK6" s="27">
        <f t="shared" si="1"/>
        <v>0</v>
      </c>
    </row>
    <row r="7" spans="1:89" s="57" customFormat="1" x14ac:dyDescent="0.25">
      <c r="A7" s="57" t="s">
        <v>387</v>
      </c>
      <c r="B7" s="57">
        <f>B6/B4*100</f>
        <v>43.401094189113628</v>
      </c>
      <c r="C7" s="57">
        <f t="shared" ref="C7:D7" si="2">C6/C4*100</f>
        <v>45.334170509624336</v>
      </c>
      <c r="D7" s="57">
        <f t="shared" si="2"/>
        <v>43.097198288308874</v>
      </c>
      <c r="E7" s="57">
        <f>E6/E4</f>
        <v>0.43464711286475916</v>
      </c>
      <c r="F7" s="57">
        <f t="shared" ref="F7:BQ7" si="3">F6/F4</f>
        <v>0.44260855106086661</v>
      </c>
      <c r="G7" s="57">
        <f t="shared" si="3"/>
        <v>0.44978123963482641</v>
      </c>
      <c r="H7" s="57">
        <f t="shared" si="3"/>
        <v>0.4456706703540988</v>
      </c>
      <c r="I7" s="57">
        <f t="shared" si="3"/>
        <v>0.4846309485487118</v>
      </c>
      <c r="J7" s="57">
        <f t="shared" si="3"/>
        <v>0.48697400898627263</v>
      </c>
      <c r="K7" s="57">
        <f t="shared" si="3"/>
        <v>0.49601718624408259</v>
      </c>
      <c r="L7" s="57">
        <f t="shared" si="3"/>
        <v>0.49900542422512728</v>
      </c>
      <c r="M7" s="57">
        <f t="shared" si="3"/>
        <v>0.48962112738048541</v>
      </c>
      <c r="N7" s="57">
        <f t="shared" si="3"/>
        <v>0.47671732005182366</v>
      </c>
      <c r="O7" s="57">
        <f t="shared" si="3"/>
        <v>0.48315438065140109</v>
      </c>
      <c r="P7" s="57">
        <f t="shared" si="3"/>
        <v>0.47780527270663081</v>
      </c>
      <c r="Q7" s="57">
        <f t="shared" si="3"/>
        <v>0.44861664463093659</v>
      </c>
      <c r="R7" s="57">
        <f t="shared" si="3"/>
        <v>0.44175241372696811</v>
      </c>
      <c r="S7" s="57">
        <f t="shared" si="3"/>
        <v>0.44787850282532343</v>
      </c>
      <c r="T7" s="57">
        <f t="shared" si="3"/>
        <v>0.44533740443261571</v>
      </c>
      <c r="U7" s="57">
        <f t="shared" si="3"/>
        <v>0.43980156505528201</v>
      </c>
      <c r="V7" s="57">
        <f t="shared" si="3"/>
        <v>0.42681781336020275</v>
      </c>
      <c r="W7" s="57">
        <f t="shared" si="3"/>
        <v>0.43079816091032286</v>
      </c>
      <c r="X7" s="57">
        <f t="shared" si="3"/>
        <v>0.42324353129982489</v>
      </c>
      <c r="Y7" s="57">
        <f t="shared" si="3"/>
        <v>0.42216112454806304</v>
      </c>
      <c r="Z7" s="57">
        <f t="shared" si="3"/>
        <v>0.41785936271704138</v>
      </c>
      <c r="AA7" s="57">
        <f t="shared" si="3"/>
        <v>0.43739595686689842</v>
      </c>
      <c r="AB7" s="57">
        <f t="shared" si="3"/>
        <v>0.46698886037422915</v>
      </c>
      <c r="AC7" s="57">
        <f t="shared" si="3"/>
        <v>0.42183646620237253</v>
      </c>
      <c r="AD7" s="57">
        <f t="shared" si="3"/>
        <v>0.39574528677399584</v>
      </c>
      <c r="AE7" s="57">
        <f t="shared" si="3"/>
        <v>0.40824710018040855</v>
      </c>
      <c r="AF7" s="57">
        <f t="shared" si="3"/>
        <v>0.40081001303058983</v>
      </c>
      <c r="AG7" s="57">
        <f t="shared" si="3"/>
        <v>0.37801232183139061</v>
      </c>
      <c r="AH7" s="57">
        <f t="shared" si="3"/>
        <v>0.37788396465087337</v>
      </c>
      <c r="AI7" s="57">
        <f t="shared" si="3"/>
        <v>0.39313087570971728</v>
      </c>
      <c r="AJ7" s="57">
        <f t="shared" si="3"/>
        <v>0.39574822037757884</v>
      </c>
      <c r="AK7" s="57">
        <f t="shared" si="3"/>
        <v>0.39104850239549704</v>
      </c>
      <c r="AL7" s="57">
        <f t="shared" si="3"/>
        <v>0.39010770554817314</v>
      </c>
      <c r="AM7" s="57">
        <f t="shared" si="3"/>
        <v>0.39784123386764914</v>
      </c>
      <c r="AN7" s="57">
        <f t="shared" si="3"/>
        <v>0.37103429697954549</v>
      </c>
      <c r="AO7" s="57">
        <f t="shared" si="3"/>
        <v>0.37063169083728914</v>
      </c>
      <c r="AP7" s="57">
        <f t="shared" si="3"/>
        <v>0.37908319104257671</v>
      </c>
      <c r="AQ7" s="57">
        <f t="shared" si="3"/>
        <v>0.34812114864233901</v>
      </c>
      <c r="AR7" s="57">
        <f t="shared" si="3"/>
        <v>0.2562923753706241</v>
      </c>
      <c r="AS7" s="57" t="e">
        <f t="shared" si="3"/>
        <v>#DIV/0!</v>
      </c>
      <c r="AT7" s="57" t="e">
        <f t="shared" si="3"/>
        <v>#DIV/0!</v>
      </c>
      <c r="AU7" s="57" t="e">
        <f t="shared" si="3"/>
        <v>#DIV/0!</v>
      </c>
      <c r="AV7" s="57" t="e">
        <f t="shared" si="3"/>
        <v>#DIV/0!</v>
      </c>
      <c r="AW7" s="57" t="e">
        <f t="shared" si="3"/>
        <v>#DIV/0!</v>
      </c>
      <c r="AX7" s="57" t="e">
        <f t="shared" si="3"/>
        <v>#DIV/0!</v>
      </c>
      <c r="AY7" s="57" t="e">
        <f t="shared" si="3"/>
        <v>#DIV/0!</v>
      </c>
      <c r="AZ7" s="57" t="e">
        <f t="shared" si="3"/>
        <v>#DIV/0!</v>
      </c>
      <c r="BA7" s="57" t="e">
        <f t="shared" si="3"/>
        <v>#DIV/0!</v>
      </c>
      <c r="BB7" s="57" t="e">
        <f t="shared" si="3"/>
        <v>#DIV/0!</v>
      </c>
      <c r="BC7" s="57" t="e">
        <f t="shared" si="3"/>
        <v>#DIV/0!</v>
      </c>
      <c r="BD7" s="57" t="e">
        <f t="shared" si="3"/>
        <v>#DIV/0!</v>
      </c>
      <c r="BE7" s="57" t="e">
        <f t="shared" si="3"/>
        <v>#DIV/0!</v>
      </c>
      <c r="BF7" s="57" t="e">
        <f t="shared" si="3"/>
        <v>#DIV/0!</v>
      </c>
      <c r="BG7" s="57" t="e">
        <f t="shared" si="3"/>
        <v>#DIV/0!</v>
      </c>
      <c r="BH7" s="57" t="e">
        <f t="shared" si="3"/>
        <v>#DIV/0!</v>
      </c>
      <c r="BI7" s="57" t="e">
        <f t="shared" si="3"/>
        <v>#DIV/0!</v>
      </c>
      <c r="BJ7" s="57" t="e">
        <f t="shared" si="3"/>
        <v>#DIV/0!</v>
      </c>
      <c r="BK7" s="57" t="e">
        <f t="shared" si="3"/>
        <v>#DIV/0!</v>
      </c>
      <c r="BL7" s="57" t="e">
        <f t="shared" si="3"/>
        <v>#DIV/0!</v>
      </c>
      <c r="BM7" s="57" t="e">
        <f t="shared" si="3"/>
        <v>#DIV/0!</v>
      </c>
      <c r="BN7" s="57" t="e">
        <f t="shared" si="3"/>
        <v>#DIV/0!</v>
      </c>
      <c r="BO7" s="57" t="e">
        <f t="shared" si="3"/>
        <v>#DIV/0!</v>
      </c>
      <c r="BP7" s="57" t="e">
        <f t="shared" si="3"/>
        <v>#DIV/0!</v>
      </c>
      <c r="BQ7" s="57" t="e">
        <f t="shared" si="3"/>
        <v>#DIV/0!</v>
      </c>
      <c r="BR7" s="57" t="e">
        <f t="shared" ref="BR7:CK7" si="4">BR6/BR4</f>
        <v>#DIV/0!</v>
      </c>
      <c r="BS7" s="57" t="e">
        <f t="shared" si="4"/>
        <v>#DIV/0!</v>
      </c>
      <c r="BT7" s="57" t="e">
        <f t="shared" si="4"/>
        <v>#DIV/0!</v>
      </c>
      <c r="BU7" s="57" t="e">
        <f t="shared" si="4"/>
        <v>#DIV/0!</v>
      </c>
      <c r="BV7" s="57" t="e">
        <f t="shared" si="4"/>
        <v>#DIV/0!</v>
      </c>
      <c r="BW7" s="57" t="e">
        <f t="shared" si="4"/>
        <v>#DIV/0!</v>
      </c>
      <c r="BX7" s="57" t="e">
        <f t="shared" si="4"/>
        <v>#DIV/0!</v>
      </c>
      <c r="BY7" s="57" t="e">
        <f t="shared" si="4"/>
        <v>#DIV/0!</v>
      </c>
      <c r="BZ7" s="57" t="e">
        <f t="shared" si="4"/>
        <v>#DIV/0!</v>
      </c>
      <c r="CA7" s="57" t="e">
        <f t="shared" si="4"/>
        <v>#DIV/0!</v>
      </c>
      <c r="CB7" s="57" t="e">
        <f t="shared" si="4"/>
        <v>#DIV/0!</v>
      </c>
      <c r="CC7" s="57" t="e">
        <f t="shared" si="4"/>
        <v>#DIV/0!</v>
      </c>
      <c r="CD7" s="57" t="e">
        <f t="shared" si="4"/>
        <v>#DIV/0!</v>
      </c>
      <c r="CE7" s="57" t="e">
        <f t="shared" si="4"/>
        <v>#DIV/0!</v>
      </c>
      <c r="CF7" s="57" t="e">
        <f t="shared" si="4"/>
        <v>#DIV/0!</v>
      </c>
      <c r="CG7" s="57" t="e">
        <f t="shared" si="4"/>
        <v>#DIV/0!</v>
      </c>
      <c r="CH7" s="57" t="e">
        <f t="shared" si="4"/>
        <v>#DIV/0!</v>
      </c>
      <c r="CI7" s="57" t="e">
        <f t="shared" si="4"/>
        <v>#DIV/0!</v>
      </c>
      <c r="CJ7" s="57" t="e">
        <f t="shared" si="4"/>
        <v>#DIV/0!</v>
      </c>
      <c r="CK7" s="57" t="e">
        <f t="shared" si="4"/>
        <v>#DIV/0!</v>
      </c>
    </row>
    <row r="8" spans="1:89" x14ac:dyDescent="0.25">
      <c r="A8" s="17" t="s">
        <v>388</v>
      </c>
      <c r="B8" s="190">
        <v>29093419.890000001</v>
      </c>
      <c r="C8" s="190">
        <v>19260305.050000001</v>
      </c>
      <c r="D8" s="190">
        <v>13849213.380000001</v>
      </c>
      <c r="E8" s="190">
        <v>32932432.359999999</v>
      </c>
      <c r="F8" s="190">
        <v>24728521.48</v>
      </c>
      <c r="G8" s="190">
        <v>14894526.470000001</v>
      </c>
      <c r="H8" s="190">
        <v>9865506.8200000003</v>
      </c>
      <c r="I8" s="190">
        <v>32879503.960000001</v>
      </c>
      <c r="J8" s="190">
        <v>20342783.280000001</v>
      </c>
      <c r="K8" s="190">
        <v>13315984.83</v>
      </c>
      <c r="L8" s="190">
        <v>7704992.5800000001</v>
      </c>
      <c r="M8" s="190">
        <v>30934802.02</v>
      </c>
      <c r="N8" s="190">
        <v>20220350.57</v>
      </c>
      <c r="O8" s="190">
        <v>12017562.199999999</v>
      </c>
      <c r="P8" s="190">
        <v>7554547.1799999997</v>
      </c>
      <c r="Q8" s="190">
        <v>27435568.34</v>
      </c>
      <c r="R8" s="190">
        <v>17807929.550000001</v>
      </c>
      <c r="S8" s="190">
        <v>11308254.77</v>
      </c>
      <c r="T8" s="190">
        <v>5527106.5300000003</v>
      </c>
      <c r="U8" s="190">
        <v>23672166.359999999</v>
      </c>
      <c r="V8" s="190">
        <v>12926448.15</v>
      </c>
      <c r="W8" s="190">
        <v>9723886.5899999999</v>
      </c>
      <c r="X8" s="190">
        <v>5275688.63</v>
      </c>
      <c r="Y8" s="190">
        <v>22326739.899999999</v>
      </c>
      <c r="Z8" s="190">
        <v>13533150.76</v>
      </c>
      <c r="AA8" s="190">
        <v>7258365.5199999996</v>
      </c>
      <c r="AB8" s="190">
        <v>5066982.6900000004</v>
      </c>
      <c r="AC8" s="190">
        <v>19437504.949999999</v>
      </c>
      <c r="AD8" s="190">
        <v>12671718.359999999</v>
      </c>
      <c r="AE8" s="190">
        <v>7795564.7300000004</v>
      </c>
      <c r="AF8" s="190">
        <v>5459671.6500000004</v>
      </c>
      <c r="AG8" s="190">
        <v>3629038.82</v>
      </c>
      <c r="AH8" s="190">
        <v>1551522</v>
      </c>
      <c r="AI8" s="190">
        <v>1301715.54</v>
      </c>
      <c r="AJ8" s="190">
        <v>769782.76</v>
      </c>
      <c r="AK8" s="190">
        <v>4176943.63</v>
      </c>
      <c r="AL8" s="190">
        <v>2354174.79</v>
      </c>
      <c r="AM8" s="190">
        <v>1255018.1100000001</v>
      </c>
      <c r="AN8" s="190">
        <v>1133909.1599999999</v>
      </c>
      <c r="AO8" s="190">
        <v>2255947.33</v>
      </c>
      <c r="AP8" s="190">
        <v>1536038.19</v>
      </c>
      <c r="AQ8" s="190">
        <v>1488397.64</v>
      </c>
      <c r="AR8" s="190">
        <v>355681.75</v>
      </c>
      <c r="AS8" s="190">
        <v>0</v>
      </c>
      <c r="AT8" s="190"/>
      <c r="AU8" s="190"/>
      <c r="AV8" s="190"/>
      <c r="AW8" s="190"/>
      <c r="AX8" s="190"/>
      <c r="AY8" s="190"/>
      <c r="AZ8" s="190"/>
      <c r="BA8" s="190"/>
      <c r="BB8" s="190"/>
      <c r="BC8" s="190"/>
      <c r="BD8" s="190"/>
      <c r="BE8" s="190"/>
      <c r="BF8" s="190"/>
      <c r="BG8" s="190"/>
      <c r="BH8" s="190"/>
      <c r="BI8" s="190"/>
      <c r="BJ8" s="190"/>
      <c r="BK8" s="190"/>
      <c r="BL8" s="190"/>
      <c r="BM8" s="190"/>
      <c r="BN8" s="190"/>
      <c r="BO8" s="190"/>
      <c r="BP8" s="190"/>
      <c r="BQ8" s="190"/>
      <c r="BR8" s="190"/>
      <c r="BS8" s="190"/>
      <c r="BT8" s="190"/>
      <c r="BU8" s="190"/>
      <c r="BV8" s="190"/>
      <c r="BW8" s="190"/>
      <c r="BX8" s="190"/>
      <c r="BY8" s="190"/>
      <c r="BZ8" s="190"/>
      <c r="CA8" s="190"/>
      <c r="CB8" s="190"/>
      <c r="CC8" s="190"/>
      <c r="CD8" s="190"/>
      <c r="CE8" s="190"/>
      <c r="CF8" s="190"/>
      <c r="CG8" s="190"/>
      <c r="CH8" s="190"/>
      <c r="CI8" s="190"/>
      <c r="CJ8" s="190"/>
      <c r="CK8" s="190"/>
    </row>
    <row r="9" spans="1:89" x14ac:dyDescent="0.25">
      <c r="A9" s="17" t="s">
        <v>389</v>
      </c>
      <c r="B9" s="190">
        <v>755046524.91999996</v>
      </c>
      <c r="C9" s="190">
        <v>502691033.01999998</v>
      </c>
      <c r="D9" s="190">
        <v>226395056.80000001</v>
      </c>
      <c r="E9" s="190">
        <v>1007425379.27</v>
      </c>
      <c r="F9" s="190">
        <v>642493739.66999996</v>
      </c>
      <c r="G9" s="190">
        <v>417544038.85000002</v>
      </c>
      <c r="H9" s="190">
        <v>189585387.75999999</v>
      </c>
      <c r="I9" s="190">
        <v>786045478.57000005</v>
      </c>
      <c r="J9" s="190">
        <v>518638726.98000002</v>
      </c>
      <c r="K9" s="190">
        <v>333015243.95999998</v>
      </c>
      <c r="L9" s="190">
        <v>166825730.5</v>
      </c>
      <c r="M9" s="190">
        <v>702088845.51999998</v>
      </c>
      <c r="N9" s="190">
        <v>462448442.44999999</v>
      </c>
      <c r="O9" s="190">
        <v>299124416.25999999</v>
      </c>
      <c r="P9" s="190">
        <v>151757162.58000001</v>
      </c>
      <c r="Q9" s="190">
        <v>602729979.85000002</v>
      </c>
      <c r="R9" s="190">
        <v>405825925.36000001</v>
      </c>
      <c r="S9" s="190">
        <v>244311835.50999999</v>
      </c>
      <c r="T9" s="190">
        <v>144974860.56999999</v>
      </c>
      <c r="U9" s="190">
        <v>555013206.99000001</v>
      </c>
      <c r="V9" s="190">
        <v>365059735.88999999</v>
      </c>
      <c r="W9" s="190">
        <v>236966282.15000001</v>
      </c>
      <c r="X9" s="190">
        <v>117960513.40000001</v>
      </c>
      <c r="Y9" s="190">
        <v>566653559.66999996</v>
      </c>
      <c r="Z9" s="190">
        <v>392084110.52999997</v>
      </c>
      <c r="AA9" s="190">
        <v>240286794.72</v>
      </c>
      <c r="AB9" s="190">
        <v>122620158.45999999</v>
      </c>
      <c r="AC9" s="190">
        <v>441418204.77999997</v>
      </c>
      <c r="AD9" s="190">
        <v>252776641.69999999</v>
      </c>
      <c r="AE9" s="190">
        <v>190131843.62</v>
      </c>
      <c r="AF9" s="190">
        <v>100718712.59</v>
      </c>
      <c r="AG9" s="190">
        <v>342283901.14999998</v>
      </c>
      <c r="AH9" s="190">
        <v>186370356</v>
      </c>
      <c r="AI9" s="190">
        <v>123963819.84999999</v>
      </c>
      <c r="AJ9" s="190">
        <v>59543448.259999998</v>
      </c>
      <c r="AK9" s="190">
        <v>201046926.90000001</v>
      </c>
      <c r="AL9" s="190">
        <v>114316617.67</v>
      </c>
      <c r="AM9" s="190">
        <v>73363262.760000005</v>
      </c>
      <c r="AN9" s="190">
        <v>37534225.119999997</v>
      </c>
      <c r="AO9" s="190">
        <v>136129878.31</v>
      </c>
      <c r="AP9" s="190">
        <v>92577271.849999994</v>
      </c>
      <c r="AQ9" s="190">
        <v>105794634.05</v>
      </c>
      <c r="AR9" s="190">
        <v>63423441.579999998</v>
      </c>
      <c r="AS9" s="190">
        <v>0</v>
      </c>
      <c r="AT9" s="190"/>
      <c r="AU9" s="190"/>
      <c r="AV9" s="190"/>
      <c r="AW9" s="190"/>
      <c r="AX9" s="190"/>
      <c r="AY9" s="190"/>
      <c r="AZ9" s="190"/>
      <c r="BA9" s="190"/>
      <c r="BB9" s="190"/>
      <c r="BC9" s="190"/>
      <c r="BD9" s="190"/>
      <c r="BE9" s="190"/>
      <c r="BF9" s="190"/>
      <c r="BG9" s="190"/>
      <c r="BH9" s="190"/>
      <c r="BI9" s="190"/>
      <c r="BJ9" s="190"/>
      <c r="BK9" s="190"/>
      <c r="BL9" s="190"/>
      <c r="BM9" s="190"/>
      <c r="BN9" s="190"/>
      <c r="BO9" s="190"/>
      <c r="BP9" s="190"/>
      <c r="BQ9" s="190"/>
      <c r="BR9" s="190"/>
      <c r="BS9" s="190"/>
      <c r="BT9" s="190"/>
      <c r="BU9" s="190"/>
      <c r="BV9" s="190"/>
      <c r="BW9" s="190"/>
      <c r="BX9" s="190"/>
      <c r="BY9" s="190"/>
      <c r="BZ9" s="190"/>
      <c r="CA9" s="190"/>
      <c r="CB9" s="190"/>
      <c r="CC9" s="190"/>
      <c r="CD9" s="190"/>
      <c r="CE9" s="190"/>
      <c r="CF9" s="190"/>
      <c r="CG9" s="190"/>
      <c r="CH9" s="190"/>
      <c r="CI9" s="190"/>
      <c r="CJ9" s="190"/>
      <c r="CK9" s="190"/>
    </row>
    <row r="10" spans="1:89" x14ac:dyDescent="0.25">
      <c r="A10" s="17" t="s">
        <v>390</v>
      </c>
      <c r="B10" s="190">
        <v>304103117.33999997</v>
      </c>
      <c r="C10" s="190">
        <v>188159567.47</v>
      </c>
      <c r="D10" s="190">
        <v>90367590.790000007</v>
      </c>
      <c r="E10" s="190">
        <v>412185796.76999998</v>
      </c>
      <c r="F10" s="190">
        <v>305179569.81</v>
      </c>
      <c r="G10" s="190">
        <v>217049153.30000001</v>
      </c>
      <c r="H10" s="190">
        <v>126733545.47</v>
      </c>
      <c r="I10" s="190">
        <v>306957023.29000002</v>
      </c>
      <c r="J10" s="190">
        <v>200845799.02000001</v>
      </c>
      <c r="K10" s="190">
        <v>135839900.40000001</v>
      </c>
      <c r="L10" s="190">
        <v>80503404.650000006</v>
      </c>
      <c r="M10" s="190">
        <v>250439497.83000001</v>
      </c>
      <c r="N10" s="190">
        <v>167560243.09</v>
      </c>
      <c r="O10" s="190">
        <v>109574535.88</v>
      </c>
      <c r="P10" s="190">
        <v>44760306.32</v>
      </c>
      <c r="Q10" s="190">
        <v>199260636.24000001</v>
      </c>
      <c r="R10" s="190">
        <v>126303234.48999999</v>
      </c>
      <c r="S10" s="190">
        <v>83119643.409999996</v>
      </c>
      <c r="T10" s="190">
        <v>43236491.380000003</v>
      </c>
      <c r="U10" s="190">
        <v>172813849.13999999</v>
      </c>
      <c r="V10" s="190">
        <v>114401332.89</v>
      </c>
      <c r="W10" s="190">
        <v>78974700.060000002</v>
      </c>
      <c r="X10" s="190">
        <v>42789633.460000001</v>
      </c>
      <c r="Y10" s="190">
        <v>155585073.68000001</v>
      </c>
      <c r="Z10" s="190">
        <v>107818106.62</v>
      </c>
      <c r="AA10" s="190">
        <v>70303997.909999996</v>
      </c>
      <c r="AB10" s="190">
        <v>36267100.840000004</v>
      </c>
      <c r="AC10" s="190">
        <v>145851485.24000001</v>
      </c>
      <c r="AD10" s="190">
        <v>95195047.700000003</v>
      </c>
      <c r="AE10" s="190">
        <v>52930645.890000001</v>
      </c>
      <c r="AF10" s="190">
        <v>22465149.68</v>
      </c>
      <c r="AG10" s="190">
        <v>76624889.430000007</v>
      </c>
      <c r="AH10" s="190">
        <v>49568897</v>
      </c>
      <c r="AI10" s="190">
        <v>31523521.989999998</v>
      </c>
      <c r="AJ10" s="190">
        <v>14004284.33</v>
      </c>
      <c r="AK10" s="190">
        <v>54529063.93</v>
      </c>
      <c r="AL10" s="190">
        <v>36218004.359999999</v>
      </c>
      <c r="AM10" s="190">
        <v>24891093.989999998</v>
      </c>
      <c r="AN10" s="190">
        <v>13710230.73</v>
      </c>
      <c r="AO10" s="190">
        <v>50602456.740000002</v>
      </c>
      <c r="AP10" s="190">
        <v>36383370.460000001</v>
      </c>
      <c r="AQ10" s="190">
        <v>39988361.549999997</v>
      </c>
      <c r="AR10" s="190">
        <v>26062197.600000001</v>
      </c>
      <c r="AS10" s="190">
        <v>0</v>
      </c>
      <c r="AT10" s="190"/>
      <c r="AU10" s="190"/>
      <c r="AV10" s="190"/>
      <c r="AW10" s="190"/>
      <c r="AX10" s="190"/>
      <c r="AY10" s="190"/>
      <c r="AZ10" s="190"/>
      <c r="BA10" s="190"/>
      <c r="BB10" s="190"/>
      <c r="BC10" s="190"/>
      <c r="BD10" s="190"/>
      <c r="BE10" s="190"/>
      <c r="BF10" s="190"/>
      <c r="BG10" s="190"/>
      <c r="BH10" s="190"/>
      <c r="BI10" s="190"/>
      <c r="BJ10" s="190"/>
      <c r="BK10" s="190"/>
      <c r="BL10" s="190"/>
      <c r="BM10" s="190"/>
      <c r="BN10" s="190"/>
      <c r="BO10" s="190"/>
      <c r="BP10" s="190"/>
      <c r="BQ10" s="190"/>
      <c r="BR10" s="190"/>
      <c r="BS10" s="190"/>
      <c r="BT10" s="190"/>
      <c r="BU10" s="190"/>
      <c r="BV10" s="190"/>
      <c r="BW10" s="190"/>
      <c r="BX10" s="190"/>
      <c r="BY10" s="190"/>
      <c r="BZ10" s="190"/>
      <c r="CA10" s="190"/>
      <c r="CB10" s="190"/>
      <c r="CC10" s="190"/>
      <c r="CD10" s="190"/>
      <c r="CE10" s="190"/>
      <c r="CF10" s="190"/>
      <c r="CG10" s="190"/>
      <c r="CH10" s="190"/>
      <c r="CI10" s="190"/>
      <c r="CJ10" s="190"/>
      <c r="CK10" s="190"/>
    </row>
    <row r="11" spans="1:89" x14ac:dyDescent="0.25">
      <c r="A11" s="17" t="s">
        <v>391</v>
      </c>
      <c r="B11" s="190">
        <v>56819551.770000003</v>
      </c>
      <c r="C11" s="190">
        <v>51597733.710000001</v>
      </c>
      <c r="D11" s="190">
        <v>-445060.44</v>
      </c>
      <c r="E11" s="190">
        <v>65575512.200000003</v>
      </c>
      <c r="F11" s="190">
        <v>29317797.829999998</v>
      </c>
      <c r="G11" s="190">
        <v>26957049.120000001</v>
      </c>
      <c r="H11" s="190">
        <v>-89647.65</v>
      </c>
      <c r="I11" s="190">
        <v>48551810.390000001</v>
      </c>
      <c r="J11" s="190">
        <v>11019699.98</v>
      </c>
      <c r="K11" s="190">
        <v>6649353.46</v>
      </c>
      <c r="L11" s="190">
        <v>85801.17</v>
      </c>
      <c r="M11" s="190">
        <v>31301733.23</v>
      </c>
      <c r="N11" s="190">
        <v>8445470.3900000006</v>
      </c>
      <c r="O11" s="190">
        <v>3336644.17</v>
      </c>
      <c r="P11" s="190">
        <v>0</v>
      </c>
      <c r="Q11" s="190">
        <v>16020971.09</v>
      </c>
      <c r="R11" s="190">
        <v>6427163.0099999998</v>
      </c>
      <c r="S11" s="190">
        <v>2690680.83</v>
      </c>
      <c r="T11" s="190">
        <v>-3177958.92</v>
      </c>
      <c r="U11" s="190">
        <v>11326349.439999999</v>
      </c>
      <c r="V11" s="190">
        <v>7270320.96</v>
      </c>
      <c r="W11" s="190">
        <v>2314149.34</v>
      </c>
      <c r="X11" s="190">
        <v>-3118573.26</v>
      </c>
      <c r="Y11" s="190">
        <v>7773704.8799999999</v>
      </c>
      <c r="Z11" s="190">
        <v>1176562.18</v>
      </c>
      <c r="AA11" s="190">
        <v>1176562.18</v>
      </c>
      <c r="AB11" s="190">
        <v>-1424905.41</v>
      </c>
      <c r="AC11" s="190">
        <v>6385375.54</v>
      </c>
      <c r="AD11" s="190">
        <v>-1478775.53</v>
      </c>
      <c r="AE11" s="190">
        <v>1288432.1299999999</v>
      </c>
      <c r="AF11" s="190">
        <v>1743020.67</v>
      </c>
      <c r="AG11" s="190">
        <v>11604270.25</v>
      </c>
      <c r="AH11" s="190">
        <v>3376746.29</v>
      </c>
      <c r="AI11" s="190">
        <v>2759387.69</v>
      </c>
      <c r="AJ11" s="190">
        <v>1105608.6299999999</v>
      </c>
      <c r="AK11" s="190">
        <v>-348833.67</v>
      </c>
      <c r="AL11" s="190">
        <v>2011126.59</v>
      </c>
      <c r="AM11" s="190">
        <v>527836.24</v>
      </c>
      <c r="AN11" s="190">
        <v>2092025.91</v>
      </c>
      <c r="AO11" s="190">
        <v>6621635.0700000003</v>
      </c>
      <c r="AP11" s="190">
        <v>2127303.25</v>
      </c>
      <c r="AQ11" s="190">
        <v>1747683.12</v>
      </c>
      <c r="AR11" s="190">
        <v>-2139051.2400000002</v>
      </c>
      <c r="AS11" s="190">
        <v>0</v>
      </c>
      <c r="AT11" s="190"/>
      <c r="AU11" s="190"/>
      <c r="AV11" s="190"/>
      <c r="AW11" s="190"/>
      <c r="AX11" s="190"/>
      <c r="AY11" s="190"/>
      <c r="AZ11" s="190"/>
      <c r="BA11" s="190"/>
      <c r="BB11" s="190"/>
      <c r="BC11" s="190"/>
      <c r="BD11" s="190"/>
      <c r="BE11" s="190"/>
      <c r="BF11" s="190"/>
      <c r="BG11" s="190"/>
      <c r="BH11" s="190"/>
      <c r="BI11" s="190"/>
      <c r="BJ11" s="190"/>
      <c r="BK11" s="190"/>
      <c r="BL11" s="190"/>
      <c r="BM11" s="190"/>
      <c r="BN11" s="190"/>
      <c r="BO11" s="190"/>
      <c r="BP11" s="190"/>
      <c r="BQ11" s="190"/>
      <c r="BR11" s="190"/>
      <c r="BS11" s="190"/>
      <c r="BT11" s="190"/>
      <c r="BU11" s="190"/>
      <c r="BV11" s="190"/>
      <c r="BW11" s="190"/>
      <c r="BX11" s="190"/>
      <c r="BY11" s="190"/>
      <c r="BZ11" s="190"/>
      <c r="CA11" s="190"/>
      <c r="CB11" s="190"/>
      <c r="CC11" s="190"/>
      <c r="CD11" s="190"/>
      <c r="CE11" s="190"/>
      <c r="CF11" s="190"/>
      <c r="CG11" s="190"/>
      <c r="CH11" s="190"/>
      <c r="CI11" s="190"/>
      <c r="CJ11" s="190"/>
      <c r="CK11" s="190"/>
    </row>
    <row r="12" spans="1:89" s="7" customFormat="1" x14ac:dyDescent="0.25">
      <c r="A12" s="21" t="s">
        <v>392</v>
      </c>
      <c r="B12" s="29">
        <f>B55</f>
        <v>463</v>
      </c>
      <c r="C12" s="29">
        <f t="shared" ref="C12:BN12" si="5">C55</f>
        <v>603</v>
      </c>
      <c r="D12" s="29">
        <f t="shared" si="5"/>
        <v>653</v>
      </c>
      <c r="E12" s="29">
        <f t="shared" si="5"/>
        <v>2436461.2000000002</v>
      </c>
      <c r="F12" s="29">
        <f t="shared" si="5"/>
        <v>1204</v>
      </c>
      <c r="G12" s="29">
        <f t="shared" si="5"/>
        <v>868</v>
      </c>
      <c r="H12" s="29">
        <f t="shared" si="5"/>
        <v>644</v>
      </c>
      <c r="I12" s="29">
        <f t="shared" si="5"/>
        <v>1454244.2</v>
      </c>
      <c r="J12" s="29">
        <f t="shared" si="5"/>
        <v>0</v>
      </c>
      <c r="K12" s="29">
        <f t="shared" si="5"/>
        <v>0</v>
      </c>
      <c r="L12" s="29">
        <f t="shared" si="5"/>
        <v>0</v>
      </c>
      <c r="M12" s="29">
        <f t="shared" si="5"/>
        <v>1094925.45</v>
      </c>
      <c r="N12" s="29">
        <f t="shared" si="5"/>
        <v>0</v>
      </c>
      <c r="O12" s="29">
        <f t="shared" si="5"/>
        <v>0</v>
      </c>
      <c r="P12" s="29">
        <f t="shared" si="5"/>
        <v>0</v>
      </c>
      <c r="Q12" s="29">
        <f t="shared" si="5"/>
        <v>1029644.95</v>
      </c>
      <c r="R12" s="29">
        <f t="shared" si="5"/>
        <v>0</v>
      </c>
      <c r="S12" s="29">
        <f t="shared" si="5"/>
        <v>0</v>
      </c>
      <c r="T12" s="29">
        <f t="shared" si="5"/>
        <v>0</v>
      </c>
      <c r="U12" s="29">
        <f t="shared" si="5"/>
        <v>1034258.26</v>
      </c>
      <c r="V12" s="29">
        <f t="shared" si="5"/>
        <v>0</v>
      </c>
      <c r="W12" s="29">
        <f t="shared" si="5"/>
        <v>0</v>
      </c>
      <c r="X12" s="29">
        <f t="shared" si="5"/>
        <v>0</v>
      </c>
      <c r="Y12" s="29">
        <f t="shared" si="5"/>
        <v>1085164.3500000001</v>
      </c>
      <c r="Z12" s="29">
        <f t="shared" si="5"/>
        <v>0</v>
      </c>
      <c r="AA12" s="29">
        <f t="shared" si="5"/>
        <v>0</v>
      </c>
      <c r="AB12" s="29">
        <f t="shared" si="5"/>
        <v>0</v>
      </c>
      <c r="AC12" s="29">
        <f t="shared" si="5"/>
        <v>1026408.6</v>
      </c>
      <c r="AD12" s="29">
        <f t="shared" si="5"/>
        <v>0</v>
      </c>
      <c r="AE12" s="29">
        <f t="shared" si="5"/>
        <v>0</v>
      </c>
      <c r="AF12" s="29">
        <f t="shared" si="5"/>
        <v>0</v>
      </c>
      <c r="AG12" s="29">
        <f t="shared" si="5"/>
        <v>718382.01</v>
      </c>
      <c r="AH12" s="29">
        <f t="shared" si="5"/>
        <v>0</v>
      </c>
      <c r="AI12" s="29">
        <f t="shared" si="5"/>
        <v>0</v>
      </c>
      <c r="AJ12" s="29">
        <f t="shared" si="5"/>
        <v>0</v>
      </c>
      <c r="AK12" s="29">
        <f t="shared" si="5"/>
        <v>542733.84</v>
      </c>
      <c r="AL12" s="29">
        <f t="shared" si="5"/>
        <v>0</v>
      </c>
      <c r="AM12" s="29">
        <f t="shared" si="5"/>
        <v>0</v>
      </c>
      <c r="AN12" s="29">
        <f t="shared" si="5"/>
        <v>0</v>
      </c>
      <c r="AO12" s="29">
        <f t="shared" si="5"/>
        <v>561409.23</v>
      </c>
      <c r="AP12" s="29">
        <f t="shared" si="5"/>
        <v>0</v>
      </c>
      <c r="AQ12" s="29">
        <f t="shared" si="5"/>
        <v>0</v>
      </c>
      <c r="AR12" s="29">
        <f t="shared" si="5"/>
        <v>0</v>
      </c>
      <c r="AS12" s="29">
        <f t="shared" si="5"/>
        <v>0</v>
      </c>
      <c r="AT12" s="29">
        <f t="shared" si="5"/>
        <v>0</v>
      </c>
      <c r="AU12" s="29">
        <f t="shared" si="5"/>
        <v>0</v>
      </c>
      <c r="AV12" s="29">
        <f t="shared" si="5"/>
        <v>0</v>
      </c>
      <c r="AW12" s="29">
        <f t="shared" si="5"/>
        <v>0</v>
      </c>
      <c r="AX12" s="29">
        <f t="shared" si="5"/>
        <v>0</v>
      </c>
      <c r="AY12" s="29">
        <f t="shared" si="5"/>
        <v>0</v>
      </c>
      <c r="AZ12" s="29">
        <f t="shared" si="5"/>
        <v>0</v>
      </c>
      <c r="BA12" s="29">
        <f t="shared" si="5"/>
        <v>0</v>
      </c>
      <c r="BB12" s="29">
        <f t="shared" si="5"/>
        <v>0</v>
      </c>
      <c r="BC12" s="29">
        <f t="shared" si="5"/>
        <v>0</v>
      </c>
      <c r="BD12" s="29">
        <f t="shared" si="5"/>
        <v>0</v>
      </c>
      <c r="BE12" s="29">
        <f t="shared" si="5"/>
        <v>0</v>
      </c>
      <c r="BF12" s="29">
        <f t="shared" si="5"/>
        <v>0</v>
      </c>
      <c r="BG12" s="29">
        <f t="shared" si="5"/>
        <v>0</v>
      </c>
      <c r="BH12" s="29">
        <f t="shared" si="5"/>
        <v>0</v>
      </c>
      <c r="BI12" s="29">
        <f t="shared" si="5"/>
        <v>0</v>
      </c>
      <c r="BJ12" s="29">
        <f t="shared" si="5"/>
        <v>0</v>
      </c>
      <c r="BK12" s="29">
        <f t="shared" si="5"/>
        <v>0</v>
      </c>
      <c r="BL12" s="29">
        <f t="shared" si="5"/>
        <v>0</v>
      </c>
      <c r="BM12" s="29">
        <f t="shared" si="5"/>
        <v>0</v>
      </c>
      <c r="BN12" s="29">
        <f t="shared" si="5"/>
        <v>0</v>
      </c>
      <c r="BO12" s="29">
        <f t="shared" ref="BO12:CJ12" si="6">BO55</f>
        <v>0</v>
      </c>
      <c r="BP12" s="29">
        <f t="shared" si="6"/>
        <v>0</v>
      </c>
      <c r="BQ12" s="29">
        <f t="shared" si="6"/>
        <v>0</v>
      </c>
      <c r="BR12" s="29">
        <f t="shared" si="6"/>
        <v>0</v>
      </c>
      <c r="BS12" s="29">
        <f t="shared" si="6"/>
        <v>0</v>
      </c>
      <c r="BT12" s="29">
        <f t="shared" si="6"/>
        <v>0</v>
      </c>
      <c r="BU12" s="29">
        <f t="shared" si="6"/>
        <v>0</v>
      </c>
      <c r="BV12" s="29">
        <f t="shared" si="6"/>
        <v>0</v>
      </c>
      <c r="BW12" s="29">
        <f t="shared" si="6"/>
        <v>0</v>
      </c>
      <c r="BX12" s="29">
        <f t="shared" si="6"/>
        <v>0</v>
      </c>
      <c r="BY12" s="29">
        <f t="shared" si="6"/>
        <v>0</v>
      </c>
      <c r="BZ12" s="29">
        <f t="shared" si="6"/>
        <v>0</v>
      </c>
      <c r="CA12" s="29">
        <f t="shared" si="6"/>
        <v>0</v>
      </c>
      <c r="CB12" s="29">
        <f t="shared" si="6"/>
        <v>0</v>
      </c>
      <c r="CC12" s="29">
        <f t="shared" si="6"/>
        <v>0</v>
      </c>
      <c r="CD12" s="29">
        <f t="shared" si="6"/>
        <v>0</v>
      </c>
      <c r="CE12" s="29">
        <f t="shared" si="6"/>
        <v>0</v>
      </c>
      <c r="CF12" s="29">
        <f t="shared" si="6"/>
        <v>0</v>
      </c>
      <c r="CG12" s="29">
        <f t="shared" si="6"/>
        <v>0</v>
      </c>
      <c r="CH12" s="29">
        <f t="shared" si="6"/>
        <v>0</v>
      </c>
      <c r="CI12" s="29">
        <f t="shared" si="6"/>
        <v>0</v>
      </c>
      <c r="CJ12" s="29">
        <f t="shared" si="6"/>
        <v>0</v>
      </c>
    </row>
    <row r="13" spans="1:89" x14ac:dyDescent="0.25">
      <c r="A13" s="17" t="s">
        <v>393</v>
      </c>
      <c r="B13" s="190">
        <v>39929318.539999999</v>
      </c>
      <c r="C13" s="190">
        <v>23790936.760000002</v>
      </c>
      <c r="D13" s="190">
        <v>17736596.469999999</v>
      </c>
      <c r="E13" s="190">
        <v>28741647.739999998</v>
      </c>
      <c r="F13" s="190">
        <v>16434561.65</v>
      </c>
      <c r="G13" s="190">
        <v>2835337.11</v>
      </c>
      <c r="H13" s="190">
        <v>1357217.05</v>
      </c>
      <c r="I13" s="190">
        <v>31515785.460000001</v>
      </c>
      <c r="J13" s="190">
        <v>15293382.17</v>
      </c>
      <c r="K13" s="190">
        <v>10253156.76</v>
      </c>
      <c r="L13" s="190">
        <v>1711428.02</v>
      </c>
      <c r="M13" s="190">
        <v>31200038.579999998</v>
      </c>
      <c r="N13" s="190">
        <v>21022194.91</v>
      </c>
      <c r="O13" s="190">
        <v>12411077.710000001</v>
      </c>
      <c r="P13" s="190">
        <v>1262648.01</v>
      </c>
      <c r="Q13" s="190">
        <v>27679898.23</v>
      </c>
      <c r="R13" s="190">
        <v>15925152.66</v>
      </c>
      <c r="S13" s="190">
        <v>5979681.0099999998</v>
      </c>
      <c r="T13" s="190">
        <v>5396342.3499999996</v>
      </c>
      <c r="U13" s="190">
        <v>23036917.629999999</v>
      </c>
      <c r="V13" s="190">
        <v>20315275.600000001</v>
      </c>
      <c r="W13" s="190">
        <v>12402328.41</v>
      </c>
      <c r="X13" s="190">
        <v>1236909.1599999999</v>
      </c>
      <c r="Y13" s="190">
        <v>25725825.120000001</v>
      </c>
      <c r="Z13" s="190">
        <v>22572257.73</v>
      </c>
      <c r="AA13" s="190">
        <v>12541591.51</v>
      </c>
      <c r="AB13" s="190">
        <v>736991.53</v>
      </c>
      <c r="AC13" s="190">
        <v>28791959.940000001</v>
      </c>
      <c r="AD13" s="190">
        <v>23673545.809999999</v>
      </c>
      <c r="AE13" s="190">
        <v>23195170.879999999</v>
      </c>
      <c r="AF13" s="190">
        <v>9335826.3499999996</v>
      </c>
      <c r="AG13" s="190">
        <v>11502189.32</v>
      </c>
      <c r="AH13" s="190">
        <v>11081732.949999999</v>
      </c>
      <c r="AI13" s="190">
        <v>10506330.810000001</v>
      </c>
      <c r="AJ13" s="190">
        <v>306738.96999999997</v>
      </c>
      <c r="AK13" s="190">
        <v>8216882.4100000001</v>
      </c>
      <c r="AL13" s="190">
        <v>5622129.3799999999</v>
      </c>
      <c r="AM13" s="190">
        <v>5011250.08</v>
      </c>
      <c r="AN13" s="190">
        <v>4726096.46</v>
      </c>
      <c r="AO13" s="190">
        <v>2143208.62</v>
      </c>
      <c r="AP13" s="190">
        <v>1094137.28</v>
      </c>
      <c r="AQ13" s="190">
        <v>1305351.04</v>
      </c>
      <c r="AR13" s="190">
        <v>1464492.06</v>
      </c>
      <c r="AS13" s="190">
        <v>0</v>
      </c>
      <c r="AT13" s="190"/>
      <c r="AU13" s="190"/>
      <c r="AV13" s="190"/>
      <c r="AW13" s="190"/>
      <c r="AX13" s="190"/>
      <c r="AY13" s="190"/>
      <c r="AZ13" s="190"/>
      <c r="BA13" s="190"/>
      <c r="BB13" s="190"/>
      <c r="BC13" s="190"/>
      <c r="BD13" s="190"/>
      <c r="BE13" s="190"/>
      <c r="BF13" s="190"/>
      <c r="BG13" s="190"/>
      <c r="BH13" s="190"/>
      <c r="BI13" s="190"/>
      <c r="BJ13" s="190"/>
      <c r="BK13" s="190"/>
      <c r="BL13" s="190"/>
      <c r="BM13" s="190"/>
      <c r="BN13" s="190"/>
      <c r="BO13" s="190"/>
      <c r="BP13" s="190"/>
      <c r="BQ13" s="190"/>
      <c r="BR13" s="190"/>
      <c r="BS13" s="190"/>
      <c r="BT13" s="190"/>
      <c r="BU13" s="190"/>
      <c r="BV13" s="190"/>
      <c r="BW13" s="190"/>
      <c r="BX13" s="190"/>
      <c r="BY13" s="190"/>
      <c r="BZ13" s="190"/>
      <c r="CA13" s="190"/>
      <c r="CB13" s="190"/>
      <c r="CC13" s="190"/>
      <c r="CD13" s="190"/>
      <c r="CE13" s="190"/>
      <c r="CF13" s="190"/>
      <c r="CG13" s="190"/>
      <c r="CH13" s="190"/>
      <c r="CI13" s="190"/>
      <c r="CJ13" s="190"/>
      <c r="CK13" s="190"/>
    </row>
    <row r="14" spans="1:89" x14ac:dyDescent="0.25">
      <c r="A14" s="17" t="s">
        <v>394</v>
      </c>
      <c r="B14" s="190">
        <v>3022696.12</v>
      </c>
      <c r="C14" s="190">
        <v>1350430.7</v>
      </c>
      <c r="D14" s="190">
        <v>355095.52</v>
      </c>
      <c r="E14" s="190">
        <v>11267737.029999999</v>
      </c>
      <c r="F14" s="190">
        <v>4310011.5199999996</v>
      </c>
      <c r="G14" s="190">
        <v>3057133.68</v>
      </c>
      <c r="H14" s="190">
        <v>1396838.08</v>
      </c>
      <c r="I14" s="190">
        <v>3016145.22</v>
      </c>
      <c r="J14" s="190">
        <v>2984350.44</v>
      </c>
      <c r="K14" s="190">
        <v>1908565.68</v>
      </c>
      <c r="L14" s="190">
        <v>1375277.48</v>
      </c>
      <c r="M14" s="190">
        <v>1318449.7</v>
      </c>
      <c r="N14" s="190">
        <v>1176236.1599999999</v>
      </c>
      <c r="O14" s="190">
        <v>817793.88</v>
      </c>
      <c r="P14" s="190">
        <v>35695.550000000003</v>
      </c>
      <c r="Q14" s="190">
        <v>7973745.25</v>
      </c>
      <c r="R14" s="190">
        <v>3519236.48</v>
      </c>
      <c r="S14" s="190">
        <v>1197350.04</v>
      </c>
      <c r="T14" s="190">
        <v>837081.26</v>
      </c>
      <c r="U14" s="190">
        <v>4159297.35</v>
      </c>
      <c r="V14" s="190">
        <v>1612090.29</v>
      </c>
      <c r="W14" s="190">
        <v>1509843.43</v>
      </c>
      <c r="X14" s="190">
        <v>1135977.08</v>
      </c>
      <c r="Y14" s="190">
        <v>1285680.17</v>
      </c>
      <c r="Z14" s="190">
        <v>953092.61</v>
      </c>
      <c r="AA14" s="190">
        <v>538791.31000000006</v>
      </c>
      <c r="AB14" s="190">
        <v>181978.5</v>
      </c>
      <c r="AC14" s="190">
        <v>1476315.36</v>
      </c>
      <c r="AD14" s="190">
        <v>433577.68</v>
      </c>
      <c r="AE14" s="190">
        <v>239452.44</v>
      </c>
      <c r="AF14" s="190">
        <v>50942.7</v>
      </c>
      <c r="AG14" s="190">
        <v>715739.19</v>
      </c>
      <c r="AH14" s="190">
        <v>1753115.35</v>
      </c>
      <c r="AI14" s="190">
        <v>1131050.3500000001</v>
      </c>
      <c r="AJ14" s="190">
        <v>12505.05</v>
      </c>
      <c r="AK14" s="190">
        <v>774457.16</v>
      </c>
      <c r="AL14" s="190">
        <v>91949.52</v>
      </c>
      <c r="AM14" s="190">
        <v>22292.07</v>
      </c>
      <c r="AN14" s="190">
        <v>16277.21</v>
      </c>
      <c r="AO14" s="190">
        <v>2531709.37</v>
      </c>
      <c r="AP14" s="190">
        <v>2594789.69</v>
      </c>
      <c r="AQ14" s="190">
        <v>1639750.96</v>
      </c>
      <c r="AR14" s="190">
        <v>339356.86</v>
      </c>
      <c r="AS14" s="190">
        <v>0</v>
      </c>
      <c r="AT14" s="190"/>
      <c r="AU14" s="190"/>
      <c r="AV14" s="190"/>
      <c r="AW14" s="190"/>
      <c r="AX14" s="190"/>
      <c r="AY14" s="190"/>
      <c r="AZ14" s="190"/>
      <c r="BA14" s="190"/>
      <c r="BB14" s="190"/>
      <c r="BC14" s="190"/>
      <c r="BD14" s="190"/>
      <c r="BE14" s="190"/>
      <c r="BF14" s="190"/>
      <c r="BG14" s="190"/>
      <c r="BH14" s="190"/>
      <c r="BI14" s="190"/>
      <c r="BJ14" s="190"/>
      <c r="BK14" s="190"/>
      <c r="BL14" s="190"/>
      <c r="BM14" s="190"/>
      <c r="BN14" s="190"/>
      <c r="BO14" s="190"/>
      <c r="BP14" s="190"/>
      <c r="BQ14" s="190"/>
      <c r="BR14" s="190"/>
      <c r="BS14" s="190"/>
      <c r="BT14" s="190"/>
      <c r="BU14" s="190"/>
      <c r="BV14" s="190"/>
      <c r="BW14" s="190"/>
      <c r="BX14" s="190"/>
      <c r="BY14" s="190"/>
      <c r="BZ14" s="190"/>
      <c r="CA14" s="190"/>
      <c r="CB14" s="190"/>
      <c r="CC14" s="190"/>
      <c r="CD14" s="190"/>
      <c r="CE14" s="190"/>
      <c r="CF14" s="190"/>
      <c r="CG14" s="190"/>
      <c r="CH14" s="190"/>
      <c r="CI14" s="190"/>
      <c r="CJ14" s="190"/>
      <c r="CK14" s="190"/>
    </row>
    <row r="15" spans="1:89" s="2" customFormat="1" x14ac:dyDescent="0.25">
      <c r="A15" s="20" t="s">
        <v>397</v>
      </c>
      <c r="B15" s="28">
        <f>B6-(B8+B9+B10+B11+B12)+B13-B14</f>
        <v>389911077.67000026</v>
      </c>
      <c r="C15" s="28">
        <f t="shared" ref="C15:BN15" si="7">C6-(C8+C9+C10+C11+C12)+C13-C14</f>
        <v>256680633.85999995</v>
      </c>
      <c r="D15" s="28">
        <f t="shared" si="7"/>
        <v>192101496.19999981</v>
      </c>
      <c r="E15" s="28">
        <f t="shared" si="7"/>
        <v>523178348.21000004</v>
      </c>
      <c r="F15" s="28">
        <f t="shared" si="7"/>
        <v>419080678.67000008</v>
      </c>
      <c r="G15" s="28">
        <f t="shared" si="7"/>
        <v>214545258.82999974</v>
      </c>
      <c r="H15" s="28">
        <f t="shared" si="7"/>
        <v>145280786.59999999</v>
      </c>
      <c r="I15" s="28">
        <f t="shared" si="7"/>
        <v>380273224.21999973</v>
      </c>
      <c r="J15" s="28">
        <f t="shared" si="7"/>
        <v>311019714.43000007</v>
      </c>
      <c r="K15" s="28">
        <f t="shared" si="7"/>
        <v>185716513.07000017</v>
      </c>
      <c r="L15" s="28">
        <f t="shared" si="7"/>
        <v>125880653.19</v>
      </c>
      <c r="M15" s="28">
        <f t="shared" si="7"/>
        <v>441577738.04999995</v>
      </c>
      <c r="N15" s="28">
        <f t="shared" si="7"/>
        <v>336580179.87</v>
      </c>
      <c r="O15" s="28">
        <f t="shared" si="7"/>
        <v>191471550.28999993</v>
      </c>
      <c r="P15" s="28">
        <f t="shared" si="7"/>
        <v>134196355.73999994</v>
      </c>
      <c r="Q15" s="28">
        <f t="shared" si="7"/>
        <v>412039612.28000009</v>
      </c>
      <c r="R15" s="28">
        <f t="shared" si="7"/>
        <v>286533512.59000009</v>
      </c>
      <c r="S15" s="28">
        <f t="shared" si="7"/>
        <v>161518149.71000001</v>
      </c>
      <c r="T15" s="28">
        <f t="shared" si="7"/>
        <v>106722857.55000003</v>
      </c>
      <c r="U15" s="28">
        <f t="shared" si="7"/>
        <v>365169041.95000005</v>
      </c>
      <c r="V15" s="28">
        <f t="shared" si="7"/>
        <v>254301756.83000004</v>
      </c>
      <c r="W15" s="28">
        <f t="shared" si="7"/>
        <v>147345474.63999996</v>
      </c>
      <c r="X15" s="28">
        <f t="shared" si="7"/>
        <v>97637075.229999915</v>
      </c>
      <c r="Y15" s="28">
        <f t="shared" si="7"/>
        <v>421385488.86000007</v>
      </c>
      <c r="Z15" s="28">
        <f t="shared" si="7"/>
        <v>279095083.70000011</v>
      </c>
      <c r="AA15" s="28">
        <f t="shared" si="7"/>
        <v>146333664.48000002</v>
      </c>
      <c r="AB15" s="28">
        <f t="shared" si="7"/>
        <v>124906415.53999996</v>
      </c>
      <c r="AC15" s="28">
        <f t="shared" si="7"/>
        <v>418194537.60000008</v>
      </c>
      <c r="AD15" s="28">
        <f t="shared" si="7"/>
        <v>310682288.46999991</v>
      </c>
      <c r="AE15" s="28">
        <f t="shared" si="7"/>
        <v>180381562.75000006</v>
      </c>
      <c r="AF15" s="28">
        <f t="shared" si="7"/>
        <v>112630629.38000003</v>
      </c>
      <c r="AG15" s="28">
        <f t="shared" si="7"/>
        <v>263460306.01000023</v>
      </c>
      <c r="AH15" s="28">
        <f t="shared" si="7"/>
        <v>201391132.57000011</v>
      </c>
      <c r="AI15" s="28">
        <f t="shared" si="7"/>
        <v>110012381.93999997</v>
      </c>
      <c r="AJ15" s="28">
        <f t="shared" si="7"/>
        <v>67077628.009999976</v>
      </c>
      <c r="AK15" s="28">
        <f t="shared" si="7"/>
        <v>195366080.11999986</v>
      </c>
      <c r="AL15" s="28">
        <f t="shared" si="7"/>
        <v>133034906.21999998</v>
      </c>
      <c r="AM15" s="28">
        <f t="shared" si="7"/>
        <v>67100112.639999993</v>
      </c>
      <c r="AN15" s="28">
        <f t="shared" si="7"/>
        <v>44924420.930000037</v>
      </c>
      <c r="AO15" s="28">
        <f t="shared" si="7"/>
        <v>138003723.61999995</v>
      </c>
      <c r="AP15" s="28">
        <f t="shared" si="7"/>
        <v>105787811.07000008</v>
      </c>
      <c r="AQ15" s="28">
        <f t="shared" si="7"/>
        <v>113604229.94999996</v>
      </c>
      <c r="AR15" s="28">
        <f t="shared" si="7"/>
        <v>55021222.969999909</v>
      </c>
      <c r="AS15" s="28">
        <f t="shared" si="7"/>
        <v>0</v>
      </c>
      <c r="AT15" s="28">
        <f t="shared" si="7"/>
        <v>0</v>
      </c>
      <c r="AU15" s="28">
        <f t="shared" si="7"/>
        <v>0</v>
      </c>
      <c r="AV15" s="28">
        <f t="shared" si="7"/>
        <v>0</v>
      </c>
      <c r="AW15" s="28">
        <f t="shared" si="7"/>
        <v>0</v>
      </c>
      <c r="AX15" s="28">
        <f t="shared" si="7"/>
        <v>0</v>
      </c>
      <c r="AY15" s="28">
        <f t="shared" si="7"/>
        <v>0</v>
      </c>
      <c r="AZ15" s="28">
        <f t="shared" si="7"/>
        <v>0</v>
      </c>
      <c r="BA15" s="28">
        <f t="shared" si="7"/>
        <v>0</v>
      </c>
      <c r="BB15" s="28">
        <f t="shared" si="7"/>
        <v>0</v>
      </c>
      <c r="BC15" s="28">
        <f t="shared" si="7"/>
        <v>0</v>
      </c>
      <c r="BD15" s="28">
        <f t="shared" si="7"/>
        <v>0</v>
      </c>
      <c r="BE15" s="28">
        <f t="shared" si="7"/>
        <v>0</v>
      </c>
      <c r="BF15" s="28">
        <f t="shared" si="7"/>
        <v>0</v>
      </c>
      <c r="BG15" s="28">
        <f t="shared" si="7"/>
        <v>0</v>
      </c>
      <c r="BH15" s="28">
        <f t="shared" si="7"/>
        <v>0</v>
      </c>
      <c r="BI15" s="28">
        <f t="shared" si="7"/>
        <v>0</v>
      </c>
      <c r="BJ15" s="28">
        <f t="shared" si="7"/>
        <v>0</v>
      </c>
      <c r="BK15" s="28">
        <f t="shared" si="7"/>
        <v>0</v>
      </c>
      <c r="BL15" s="28">
        <f t="shared" si="7"/>
        <v>0</v>
      </c>
      <c r="BM15" s="28">
        <f t="shared" si="7"/>
        <v>0</v>
      </c>
      <c r="BN15" s="28">
        <f t="shared" si="7"/>
        <v>0</v>
      </c>
      <c r="BO15" s="28">
        <f t="shared" ref="BO15:CJ15" si="8">BO6-(BO8+BO9+BO10+BO11+BO12)+BO13-BO14</f>
        <v>0</v>
      </c>
      <c r="BP15" s="28">
        <f t="shared" si="8"/>
        <v>0</v>
      </c>
      <c r="BQ15" s="28">
        <f t="shared" si="8"/>
        <v>0</v>
      </c>
      <c r="BR15" s="28">
        <f t="shared" si="8"/>
        <v>0</v>
      </c>
      <c r="BS15" s="28">
        <f t="shared" si="8"/>
        <v>0</v>
      </c>
      <c r="BT15" s="28">
        <f t="shared" si="8"/>
        <v>0</v>
      </c>
      <c r="BU15" s="28">
        <f t="shared" si="8"/>
        <v>0</v>
      </c>
      <c r="BV15" s="28">
        <f t="shared" si="8"/>
        <v>0</v>
      </c>
      <c r="BW15" s="28">
        <f t="shared" si="8"/>
        <v>0</v>
      </c>
      <c r="BX15" s="28">
        <f t="shared" si="8"/>
        <v>0</v>
      </c>
      <c r="BY15" s="28">
        <f t="shared" si="8"/>
        <v>0</v>
      </c>
      <c r="BZ15" s="28">
        <f t="shared" si="8"/>
        <v>0</v>
      </c>
      <c r="CA15" s="28">
        <f t="shared" si="8"/>
        <v>0</v>
      </c>
      <c r="CB15" s="28">
        <f t="shared" si="8"/>
        <v>0</v>
      </c>
      <c r="CC15" s="28">
        <f t="shared" si="8"/>
        <v>0</v>
      </c>
      <c r="CD15" s="28">
        <f t="shared" si="8"/>
        <v>0</v>
      </c>
      <c r="CE15" s="28">
        <f t="shared" si="8"/>
        <v>0</v>
      </c>
      <c r="CF15" s="28">
        <f t="shared" si="8"/>
        <v>0</v>
      </c>
      <c r="CG15" s="28">
        <f t="shared" si="8"/>
        <v>0</v>
      </c>
      <c r="CH15" s="28">
        <f t="shared" si="8"/>
        <v>0</v>
      </c>
      <c r="CI15" s="28">
        <f t="shared" si="8"/>
        <v>0</v>
      </c>
      <c r="CJ15" s="28">
        <f t="shared" si="8"/>
        <v>0</v>
      </c>
    </row>
    <row r="16" spans="1:89" s="23" customFormat="1" x14ac:dyDescent="0.25">
      <c r="A16" s="17" t="s">
        <v>395</v>
      </c>
      <c r="B16" s="26">
        <f>B15*B41</f>
        <v>68955156.073877648</v>
      </c>
      <c r="C16" s="26">
        <f t="shared" ref="C16:BN16" si="9">C15*C41</f>
        <v>50995575.160360552</v>
      </c>
      <c r="D16" s="26">
        <f t="shared" si="9"/>
        <v>46475113.393334545</v>
      </c>
      <c r="E16" s="26">
        <f t="shared" si="9"/>
        <v>95034318.146975026</v>
      </c>
      <c r="F16" s="26">
        <f t="shared" si="9"/>
        <v>94488878.078041852</v>
      </c>
      <c r="G16" s="26">
        <f t="shared" si="9"/>
        <v>45313561.332130015</v>
      </c>
      <c r="H16" s="26">
        <f t="shared" si="9"/>
        <v>21674596.805198077</v>
      </c>
      <c r="I16" s="26">
        <f t="shared" si="9"/>
        <v>71752744.443695158</v>
      </c>
      <c r="J16" s="26">
        <f t="shared" si="9"/>
        <v>58873452.215714134</v>
      </c>
      <c r="K16" s="26">
        <f t="shared" si="9"/>
        <v>40183713.495351292</v>
      </c>
      <c r="L16" s="26">
        <f t="shared" si="9"/>
        <v>21258194.538308334</v>
      </c>
      <c r="M16" s="26">
        <f t="shared" si="9"/>
        <v>76266188.042120382</v>
      </c>
      <c r="N16" s="26">
        <f t="shared" si="9"/>
        <v>43170996.650859125</v>
      </c>
      <c r="O16" s="26">
        <f t="shared" si="9"/>
        <v>26492443.183289044</v>
      </c>
      <c r="P16" s="26">
        <f t="shared" si="9"/>
        <v>20361705.18984174</v>
      </c>
      <c r="Q16" s="26">
        <f t="shared" si="9"/>
        <v>49055250.532667719</v>
      </c>
      <c r="R16" s="26">
        <f t="shared" si="9"/>
        <v>36417710.252916194</v>
      </c>
      <c r="S16" s="26">
        <f t="shared" si="9"/>
        <v>22367416.4101987</v>
      </c>
      <c r="T16" s="26">
        <f t="shared" si="9"/>
        <v>16193246.621311184</v>
      </c>
      <c r="U16" s="26">
        <f t="shared" si="9"/>
        <v>55988522.83590211</v>
      </c>
      <c r="V16" s="26">
        <f t="shared" si="9"/>
        <v>35124837.250707895</v>
      </c>
      <c r="W16" s="26">
        <f t="shared" si="9"/>
        <v>22969280.582162954</v>
      </c>
      <c r="X16" s="26">
        <f t="shared" si="9"/>
        <v>18115745.489392314</v>
      </c>
      <c r="Y16" s="26">
        <f t="shared" si="9"/>
        <v>58923937.707976364</v>
      </c>
      <c r="Z16" s="26">
        <f t="shared" si="9"/>
        <v>39878678.592192866</v>
      </c>
      <c r="AA16" s="26">
        <f t="shared" si="9"/>
        <v>23101184.221265651</v>
      </c>
      <c r="AB16" s="26">
        <f t="shared" si="9"/>
        <v>22202494.348475456</v>
      </c>
      <c r="AC16" s="26">
        <f t="shared" si="9"/>
        <v>66654262.518236391</v>
      </c>
      <c r="AD16" s="26">
        <f t="shared" si="9"/>
        <v>45473969.512606449</v>
      </c>
      <c r="AE16" s="26">
        <f t="shared" si="9"/>
        <v>24333794.728860296</v>
      </c>
      <c r="AF16" s="26">
        <f t="shared" si="9"/>
        <v>28083435.001055382</v>
      </c>
      <c r="AG16" s="26">
        <f t="shared" si="9"/>
        <v>66648718.677599736</v>
      </c>
      <c r="AH16" s="26">
        <f t="shared" si="9"/>
        <v>65685611.227290325</v>
      </c>
      <c r="AI16" s="26">
        <f t="shared" si="9"/>
        <v>34924247.200675659</v>
      </c>
      <c r="AJ16" s="26">
        <f t="shared" si="9"/>
        <v>18688617.131495982</v>
      </c>
      <c r="AK16" s="26">
        <f t="shared" si="9"/>
        <v>50666777.357483424</v>
      </c>
      <c r="AL16" s="26">
        <f t="shared" si="9"/>
        <v>31985636.285663821</v>
      </c>
      <c r="AM16" s="26">
        <f t="shared" si="9"/>
        <v>16194987.634757372</v>
      </c>
      <c r="AN16" s="26">
        <f t="shared" si="9"/>
        <v>11149366.305394353</v>
      </c>
      <c r="AO16" s="26">
        <f t="shared" si="9"/>
        <v>26470590.210119717</v>
      </c>
      <c r="AP16" s="26">
        <f t="shared" si="9"/>
        <v>20993290.5402788</v>
      </c>
      <c r="AQ16" s="26">
        <f t="shared" si="9"/>
        <v>26595920.011928406</v>
      </c>
      <c r="AR16" s="26">
        <f t="shared" si="9"/>
        <v>4164123.4336855947</v>
      </c>
      <c r="AS16" s="26" t="e">
        <f t="shared" si="9"/>
        <v>#DIV/0!</v>
      </c>
      <c r="AT16" s="26">
        <f t="shared" si="9"/>
        <v>0</v>
      </c>
      <c r="AU16" s="26">
        <f t="shared" si="9"/>
        <v>0</v>
      </c>
      <c r="AV16" s="26">
        <f t="shared" si="9"/>
        <v>0</v>
      </c>
      <c r="AW16" s="26">
        <f t="shared" si="9"/>
        <v>0</v>
      </c>
      <c r="AX16" s="26">
        <f t="shared" si="9"/>
        <v>0</v>
      </c>
      <c r="AY16" s="26">
        <f t="shared" si="9"/>
        <v>0</v>
      </c>
      <c r="AZ16" s="26">
        <f t="shared" si="9"/>
        <v>0</v>
      </c>
      <c r="BA16" s="26">
        <f t="shared" si="9"/>
        <v>0</v>
      </c>
      <c r="BB16" s="26">
        <f t="shared" si="9"/>
        <v>0</v>
      </c>
      <c r="BC16" s="26">
        <f t="shared" si="9"/>
        <v>0</v>
      </c>
      <c r="BD16" s="26">
        <f t="shared" si="9"/>
        <v>0</v>
      </c>
      <c r="BE16" s="26">
        <f t="shared" si="9"/>
        <v>0</v>
      </c>
      <c r="BF16" s="26">
        <f t="shared" si="9"/>
        <v>0</v>
      </c>
      <c r="BG16" s="26">
        <f t="shared" si="9"/>
        <v>0</v>
      </c>
      <c r="BH16" s="26">
        <f t="shared" si="9"/>
        <v>0</v>
      </c>
      <c r="BI16" s="26">
        <f t="shared" si="9"/>
        <v>0</v>
      </c>
      <c r="BJ16" s="26">
        <f t="shared" si="9"/>
        <v>0</v>
      </c>
      <c r="BK16" s="26">
        <f t="shared" si="9"/>
        <v>0</v>
      </c>
      <c r="BL16" s="26">
        <f t="shared" si="9"/>
        <v>0</v>
      </c>
      <c r="BM16" s="26">
        <f t="shared" si="9"/>
        <v>0</v>
      </c>
      <c r="BN16" s="26">
        <f t="shared" si="9"/>
        <v>0</v>
      </c>
      <c r="BO16" s="26">
        <f t="shared" ref="BO16:CK16" si="10">BO15*BO41</f>
        <v>0</v>
      </c>
      <c r="BP16" s="26">
        <f t="shared" si="10"/>
        <v>0</v>
      </c>
      <c r="BQ16" s="26">
        <f t="shared" si="10"/>
        <v>0</v>
      </c>
      <c r="BR16" s="26">
        <f t="shared" si="10"/>
        <v>0</v>
      </c>
      <c r="BS16" s="26">
        <f t="shared" si="10"/>
        <v>0</v>
      </c>
      <c r="BT16" s="26">
        <f t="shared" si="10"/>
        <v>0</v>
      </c>
      <c r="BU16" s="26">
        <f t="shared" si="10"/>
        <v>0</v>
      </c>
      <c r="BV16" s="26">
        <f t="shared" si="10"/>
        <v>0</v>
      </c>
      <c r="BW16" s="26">
        <f t="shared" si="10"/>
        <v>0</v>
      </c>
      <c r="BX16" s="26">
        <f t="shared" si="10"/>
        <v>0</v>
      </c>
      <c r="BY16" s="26">
        <f t="shared" si="10"/>
        <v>0</v>
      </c>
      <c r="BZ16" s="26">
        <f t="shared" si="10"/>
        <v>0</v>
      </c>
      <c r="CA16" s="26">
        <f t="shared" si="10"/>
        <v>0</v>
      </c>
      <c r="CB16" s="26">
        <f t="shared" si="10"/>
        <v>0</v>
      </c>
      <c r="CC16" s="26">
        <f t="shared" si="10"/>
        <v>0</v>
      </c>
      <c r="CD16" s="26" t="e">
        <f t="shared" si="10"/>
        <v>#DIV/0!</v>
      </c>
      <c r="CE16" s="26">
        <f t="shared" si="10"/>
        <v>0</v>
      </c>
      <c r="CF16" s="26">
        <f t="shared" si="10"/>
        <v>0</v>
      </c>
      <c r="CG16" s="26" t="e">
        <f t="shared" si="10"/>
        <v>#DIV/0!</v>
      </c>
      <c r="CH16" s="26" t="e">
        <f t="shared" si="10"/>
        <v>#DIV/0!</v>
      </c>
      <c r="CI16" s="26" t="e">
        <f t="shared" si="10"/>
        <v>#DIV/0!</v>
      </c>
      <c r="CJ16" s="26" t="e">
        <f t="shared" si="10"/>
        <v>#DIV/0!</v>
      </c>
      <c r="CK16" s="26">
        <f t="shared" si="10"/>
        <v>0</v>
      </c>
    </row>
    <row r="17" spans="1:89" s="25" customFormat="1" x14ac:dyDescent="0.25">
      <c r="A17" s="20" t="s">
        <v>396</v>
      </c>
      <c r="B17" s="27">
        <f>B15-B16</f>
        <v>320955921.59612262</v>
      </c>
      <c r="C17" s="27">
        <f t="shared" ref="C17:BN17" si="11">C15-C16</f>
        <v>205685058.69963941</v>
      </c>
      <c r="D17" s="27">
        <f t="shared" si="11"/>
        <v>145626382.80666527</v>
      </c>
      <c r="E17" s="27">
        <f t="shared" si="11"/>
        <v>428144030.063025</v>
      </c>
      <c r="F17" s="27">
        <f t="shared" si="11"/>
        <v>324591800.59195822</v>
      </c>
      <c r="G17" s="27">
        <f t="shared" si="11"/>
        <v>169231697.49786973</v>
      </c>
      <c r="H17" s="27">
        <f t="shared" si="11"/>
        <v>123606189.79480192</v>
      </c>
      <c r="I17" s="27">
        <f t="shared" si="11"/>
        <v>308520479.7763046</v>
      </c>
      <c r="J17" s="27">
        <f t="shared" si="11"/>
        <v>252146262.21428594</v>
      </c>
      <c r="K17" s="27">
        <f t="shared" si="11"/>
        <v>145532799.57464889</v>
      </c>
      <c r="L17" s="27">
        <f t="shared" si="11"/>
        <v>104622458.65169166</v>
      </c>
      <c r="M17" s="27">
        <f t="shared" si="11"/>
        <v>365311550.00787956</v>
      </c>
      <c r="N17" s="27">
        <f t="shared" si="11"/>
        <v>293409183.21914089</v>
      </c>
      <c r="O17" s="27">
        <f t="shared" si="11"/>
        <v>164979107.10671088</v>
      </c>
      <c r="P17" s="27">
        <f t="shared" si="11"/>
        <v>113834650.5501582</v>
      </c>
      <c r="Q17" s="27">
        <f t="shared" si="11"/>
        <v>362984361.74733239</v>
      </c>
      <c r="R17" s="27">
        <f t="shared" si="11"/>
        <v>250115802.33708391</v>
      </c>
      <c r="S17" s="27">
        <f t="shared" si="11"/>
        <v>139150733.29980132</v>
      </c>
      <c r="T17" s="27">
        <f t="shared" si="11"/>
        <v>90529610.928688839</v>
      </c>
      <c r="U17" s="27">
        <f t="shared" si="11"/>
        <v>309180519.11409795</v>
      </c>
      <c r="V17" s="27">
        <f t="shared" si="11"/>
        <v>219176919.57929215</v>
      </c>
      <c r="W17" s="27">
        <f t="shared" si="11"/>
        <v>124376194.05783701</v>
      </c>
      <c r="X17" s="27">
        <f t="shared" si="11"/>
        <v>79521329.740607604</v>
      </c>
      <c r="Y17" s="27">
        <f t="shared" si="11"/>
        <v>362461551.15202373</v>
      </c>
      <c r="Z17" s="27">
        <f t="shared" si="11"/>
        <v>239216405.10780725</v>
      </c>
      <c r="AA17" s="27">
        <f t="shared" si="11"/>
        <v>123232480.25873438</v>
      </c>
      <c r="AB17" s="27">
        <f t="shared" si="11"/>
        <v>102703921.19152451</v>
      </c>
      <c r="AC17" s="27">
        <f t="shared" si="11"/>
        <v>351540275.08176368</v>
      </c>
      <c r="AD17" s="27">
        <f t="shared" si="11"/>
        <v>265208318.95739347</v>
      </c>
      <c r="AE17" s="27">
        <f t="shared" si="11"/>
        <v>156047768.02113977</v>
      </c>
      <c r="AF17" s="27">
        <f t="shared" si="11"/>
        <v>84547194.378944635</v>
      </c>
      <c r="AG17" s="27">
        <f t="shared" si="11"/>
        <v>196811587.3324005</v>
      </c>
      <c r="AH17" s="27">
        <f t="shared" si="11"/>
        <v>135705521.34270978</v>
      </c>
      <c r="AI17" s="27">
        <f t="shared" si="11"/>
        <v>75088134.739324301</v>
      </c>
      <c r="AJ17" s="27">
        <f t="shared" si="11"/>
        <v>48389010.878503993</v>
      </c>
      <c r="AK17" s="27">
        <f t="shared" si="11"/>
        <v>144699302.76251644</v>
      </c>
      <c r="AL17" s="27">
        <f t="shared" si="11"/>
        <v>101049269.93433616</v>
      </c>
      <c r="AM17" s="27">
        <f t="shared" si="11"/>
        <v>50905125.005242623</v>
      </c>
      <c r="AN17" s="27">
        <f t="shared" si="11"/>
        <v>33775054.624605685</v>
      </c>
      <c r="AO17" s="27">
        <f t="shared" si="11"/>
        <v>111533133.40988022</v>
      </c>
      <c r="AP17" s="27">
        <f t="shared" si="11"/>
        <v>84794520.52972129</v>
      </c>
      <c r="AQ17" s="27">
        <f t="shared" si="11"/>
        <v>87008309.938071549</v>
      </c>
      <c r="AR17" s="27">
        <f t="shared" si="11"/>
        <v>50857099.536314316</v>
      </c>
      <c r="AS17" s="27" t="e">
        <f t="shared" si="11"/>
        <v>#DIV/0!</v>
      </c>
      <c r="AT17" s="27">
        <f t="shared" si="11"/>
        <v>0</v>
      </c>
      <c r="AU17" s="27">
        <f t="shared" si="11"/>
        <v>0</v>
      </c>
      <c r="AV17" s="27">
        <f t="shared" si="11"/>
        <v>0</v>
      </c>
      <c r="AW17" s="27">
        <f t="shared" si="11"/>
        <v>0</v>
      </c>
      <c r="AX17" s="27">
        <f t="shared" si="11"/>
        <v>0</v>
      </c>
      <c r="AY17" s="27">
        <f t="shared" si="11"/>
        <v>0</v>
      </c>
      <c r="AZ17" s="27">
        <f t="shared" si="11"/>
        <v>0</v>
      </c>
      <c r="BA17" s="27">
        <f t="shared" si="11"/>
        <v>0</v>
      </c>
      <c r="BB17" s="27">
        <f t="shared" si="11"/>
        <v>0</v>
      </c>
      <c r="BC17" s="27">
        <f t="shared" si="11"/>
        <v>0</v>
      </c>
      <c r="BD17" s="27">
        <f t="shared" si="11"/>
        <v>0</v>
      </c>
      <c r="BE17" s="27">
        <f t="shared" si="11"/>
        <v>0</v>
      </c>
      <c r="BF17" s="27">
        <f t="shared" si="11"/>
        <v>0</v>
      </c>
      <c r="BG17" s="27">
        <f t="shared" si="11"/>
        <v>0</v>
      </c>
      <c r="BH17" s="27">
        <f t="shared" si="11"/>
        <v>0</v>
      </c>
      <c r="BI17" s="27">
        <f t="shared" si="11"/>
        <v>0</v>
      </c>
      <c r="BJ17" s="27">
        <f t="shared" si="11"/>
        <v>0</v>
      </c>
      <c r="BK17" s="27">
        <f t="shared" si="11"/>
        <v>0</v>
      </c>
      <c r="BL17" s="27">
        <f t="shared" si="11"/>
        <v>0</v>
      </c>
      <c r="BM17" s="27">
        <f t="shared" si="11"/>
        <v>0</v>
      </c>
      <c r="BN17" s="27">
        <f t="shared" si="11"/>
        <v>0</v>
      </c>
      <c r="BO17" s="27">
        <f t="shared" ref="BO17:CJ17" si="12">BO15-BO16</f>
        <v>0</v>
      </c>
      <c r="BP17" s="27">
        <f t="shared" si="12"/>
        <v>0</v>
      </c>
      <c r="BQ17" s="27">
        <f t="shared" si="12"/>
        <v>0</v>
      </c>
      <c r="BR17" s="27">
        <f t="shared" si="12"/>
        <v>0</v>
      </c>
      <c r="BS17" s="27">
        <f t="shared" si="12"/>
        <v>0</v>
      </c>
      <c r="BT17" s="27">
        <f t="shared" si="12"/>
        <v>0</v>
      </c>
      <c r="BU17" s="27">
        <f t="shared" si="12"/>
        <v>0</v>
      </c>
      <c r="BV17" s="27">
        <f t="shared" si="12"/>
        <v>0</v>
      </c>
      <c r="BW17" s="27">
        <f t="shared" si="12"/>
        <v>0</v>
      </c>
      <c r="BX17" s="27">
        <f t="shared" si="12"/>
        <v>0</v>
      </c>
      <c r="BY17" s="27">
        <f t="shared" si="12"/>
        <v>0</v>
      </c>
      <c r="BZ17" s="27">
        <f t="shared" si="12"/>
        <v>0</v>
      </c>
      <c r="CA17" s="27">
        <f t="shared" si="12"/>
        <v>0</v>
      </c>
      <c r="CB17" s="27">
        <f t="shared" si="12"/>
        <v>0</v>
      </c>
      <c r="CC17" s="27">
        <f t="shared" si="12"/>
        <v>0</v>
      </c>
      <c r="CD17" s="27" t="e">
        <f t="shared" si="12"/>
        <v>#DIV/0!</v>
      </c>
      <c r="CE17" s="27">
        <f t="shared" si="12"/>
        <v>0</v>
      </c>
      <c r="CF17" s="27">
        <f t="shared" si="12"/>
        <v>0</v>
      </c>
      <c r="CG17" s="27" t="e">
        <f t="shared" si="12"/>
        <v>#DIV/0!</v>
      </c>
      <c r="CH17" s="27" t="e">
        <f t="shared" si="12"/>
        <v>#DIV/0!</v>
      </c>
      <c r="CI17" s="27" t="e">
        <f t="shared" si="12"/>
        <v>#DIV/0!</v>
      </c>
      <c r="CJ17" s="27" t="e">
        <f t="shared" si="12"/>
        <v>#DIV/0!</v>
      </c>
    </row>
    <row r="18" spans="1:89" s="57" customFormat="1" x14ac:dyDescent="0.25">
      <c r="A18" s="57" t="s">
        <v>398</v>
      </c>
      <c r="B18" s="57">
        <f>B17/B4*100</f>
        <v>9.2985382064647375</v>
      </c>
      <c r="C18" s="57">
        <f t="shared" ref="C18:D18" si="13">C17/C4*100</f>
        <v>9.3624854864895575</v>
      </c>
      <c r="D18" s="57">
        <f t="shared" si="13"/>
        <v>12.430669669039004</v>
      </c>
      <c r="E18" s="57">
        <f>E17/E4</f>
        <v>9.1839924187747821E-2</v>
      </c>
      <c r="F18" s="57">
        <f t="shared" ref="F18:BQ18" si="14">F17/F4</f>
        <v>0.10198726215455479</v>
      </c>
      <c r="G18" s="57">
        <f t="shared" si="14"/>
        <v>8.5408616195458337E-2</v>
      </c>
      <c r="H18" s="57">
        <f t="shared" si="14"/>
        <v>0.11685575307532445</v>
      </c>
      <c r="I18" s="57">
        <f t="shared" si="14"/>
        <v>9.7874142032542411E-2</v>
      </c>
      <c r="J18" s="57">
        <f t="shared" si="14"/>
        <v>0.11699087825471757</v>
      </c>
      <c r="K18" s="57">
        <f t="shared" si="14"/>
        <v>0.10835723921267153</v>
      </c>
      <c r="L18" s="57">
        <f t="shared" si="14"/>
        <v>0.13714749799550383</v>
      </c>
      <c r="M18" s="57">
        <f t="shared" si="14"/>
        <v>0.12529404017861698</v>
      </c>
      <c r="N18" s="57">
        <f t="shared" si="14"/>
        <v>0.14339961858257558</v>
      </c>
      <c r="O18" s="57">
        <f t="shared" si="14"/>
        <v>0.13198581000901491</v>
      </c>
      <c r="P18" s="57">
        <f t="shared" si="14"/>
        <v>0.1613771872693385</v>
      </c>
      <c r="Q18" s="57">
        <f t="shared" si="14"/>
        <v>0.13144936856659847</v>
      </c>
      <c r="R18" s="57">
        <f t="shared" si="14"/>
        <v>0.1330407511532499</v>
      </c>
      <c r="S18" s="57">
        <f t="shared" si="14"/>
        <v>0.12510406755094908</v>
      </c>
      <c r="T18" s="57">
        <f t="shared" si="14"/>
        <v>0.13772771870656758</v>
      </c>
      <c r="U18" s="57">
        <f t="shared" si="14"/>
        <v>0.12248608103009449</v>
      </c>
      <c r="V18" s="57">
        <f t="shared" si="14"/>
        <v>0.12723263933044221</v>
      </c>
      <c r="W18" s="57">
        <f t="shared" si="14"/>
        <v>0.11536895554411358</v>
      </c>
      <c r="X18" s="57">
        <f t="shared" si="14"/>
        <v>0.12922918268544933</v>
      </c>
      <c r="Y18" s="57">
        <f t="shared" si="14"/>
        <v>0.13301566544362509</v>
      </c>
      <c r="Z18" s="57">
        <f t="shared" si="14"/>
        <v>0.12946559742132863</v>
      </c>
      <c r="AA18" s="57">
        <f t="shared" si="14"/>
        <v>0.11889402393089528</v>
      </c>
      <c r="AB18" s="57">
        <f t="shared" si="14"/>
        <v>0.16718301572050889</v>
      </c>
      <c r="AC18" s="57">
        <f t="shared" si="14"/>
        <v>0.14755504611567871</v>
      </c>
      <c r="AD18" s="57">
        <f t="shared" si="14"/>
        <v>0.16231644559881361</v>
      </c>
      <c r="AE18" s="57">
        <f t="shared" si="14"/>
        <v>0.15554285290338402</v>
      </c>
      <c r="AF18" s="57">
        <f t="shared" si="14"/>
        <v>0.14498365024572912</v>
      </c>
      <c r="AG18" s="57">
        <f t="shared" si="14"/>
        <v>0.10820871195617027</v>
      </c>
      <c r="AH18" s="57">
        <f t="shared" si="14"/>
        <v>0.11845087227720011</v>
      </c>
      <c r="AI18" s="57">
        <f t="shared" si="14"/>
        <v>0.11345543423491834</v>
      </c>
      <c r="AJ18" s="57">
        <f t="shared" si="14"/>
        <v>0.13466235725969253</v>
      </c>
      <c r="AK18" s="57">
        <f t="shared" si="14"/>
        <v>0.12634108959964122</v>
      </c>
      <c r="AL18" s="57">
        <f t="shared" si="14"/>
        <v>0.1395872868010741</v>
      </c>
      <c r="AM18" s="57">
        <f t="shared" si="14"/>
        <v>0.12489893222849595</v>
      </c>
      <c r="AN18" s="57">
        <f t="shared" si="14"/>
        <v>0.13235153009967404</v>
      </c>
      <c r="AO18" s="57">
        <f t="shared" si="14"/>
        <v>0.12355713493101644</v>
      </c>
      <c r="AP18" s="57">
        <f t="shared" si="14"/>
        <v>0.13398295001557772</v>
      </c>
      <c r="AQ18" s="57">
        <f t="shared" si="14"/>
        <v>0.11518746961755513</v>
      </c>
      <c r="AR18" s="57">
        <f t="shared" si="14"/>
        <v>9.2051116117673276E-2</v>
      </c>
      <c r="AS18" s="57" t="e">
        <f t="shared" si="14"/>
        <v>#DIV/0!</v>
      </c>
      <c r="AT18" s="57" t="e">
        <f t="shared" si="14"/>
        <v>#DIV/0!</v>
      </c>
      <c r="AU18" s="57" t="e">
        <f t="shared" si="14"/>
        <v>#DIV/0!</v>
      </c>
      <c r="AV18" s="57" t="e">
        <f t="shared" si="14"/>
        <v>#DIV/0!</v>
      </c>
      <c r="AW18" s="57" t="e">
        <f t="shared" si="14"/>
        <v>#DIV/0!</v>
      </c>
      <c r="AX18" s="57" t="e">
        <f t="shared" si="14"/>
        <v>#DIV/0!</v>
      </c>
      <c r="AY18" s="57" t="e">
        <f t="shared" si="14"/>
        <v>#DIV/0!</v>
      </c>
      <c r="AZ18" s="57" t="e">
        <f t="shared" si="14"/>
        <v>#DIV/0!</v>
      </c>
      <c r="BA18" s="57" t="e">
        <f t="shared" si="14"/>
        <v>#DIV/0!</v>
      </c>
      <c r="BB18" s="57" t="e">
        <f t="shared" si="14"/>
        <v>#DIV/0!</v>
      </c>
      <c r="BC18" s="57" t="e">
        <f t="shared" si="14"/>
        <v>#DIV/0!</v>
      </c>
      <c r="BD18" s="57" t="e">
        <f t="shared" si="14"/>
        <v>#DIV/0!</v>
      </c>
      <c r="BE18" s="57" t="e">
        <f t="shared" si="14"/>
        <v>#DIV/0!</v>
      </c>
      <c r="BF18" s="57" t="e">
        <f t="shared" si="14"/>
        <v>#DIV/0!</v>
      </c>
      <c r="BG18" s="57" t="e">
        <f t="shared" si="14"/>
        <v>#DIV/0!</v>
      </c>
      <c r="BH18" s="57" t="e">
        <f t="shared" si="14"/>
        <v>#DIV/0!</v>
      </c>
      <c r="BI18" s="57" t="e">
        <f t="shared" si="14"/>
        <v>#DIV/0!</v>
      </c>
      <c r="BJ18" s="57" t="e">
        <f t="shared" si="14"/>
        <v>#DIV/0!</v>
      </c>
      <c r="BK18" s="57" t="e">
        <f t="shared" si="14"/>
        <v>#DIV/0!</v>
      </c>
      <c r="BL18" s="57" t="e">
        <f t="shared" si="14"/>
        <v>#DIV/0!</v>
      </c>
      <c r="BM18" s="57" t="e">
        <f t="shared" si="14"/>
        <v>#DIV/0!</v>
      </c>
      <c r="BN18" s="57" t="e">
        <f t="shared" si="14"/>
        <v>#DIV/0!</v>
      </c>
      <c r="BO18" s="57" t="e">
        <f t="shared" si="14"/>
        <v>#DIV/0!</v>
      </c>
      <c r="BP18" s="57" t="e">
        <f t="shared" si="14"/>
        <v>#DIV/0!</v>
      </c>
      <c r="BQ18" s="57" t="e">
        <f t="shared" si="14"/>
        <v>#DIV/0!</v>
      </c>
      <c r="BR18" s="57" t="e">
        <f t="shared" ref="BR18:CK18" si="15">BR17/BR4</f>
        <v>#DIV/0!</v>
      </c>
      <c r="BS18" s="57" t="e">
        <f t="shared" si="15"/>
        <v>#DIV/0!</v>
      </c>
      <c r="BT18" s="57" t="e">
        <f t="shared" si="15"/>
        <v>#DIV/0!</v>
      </c>
      <c r="BU18" s="57" t="e">
        <f t="shared" si="15"/>
        <v>#DIV/0!</v>
      </c>
      <c r="BV18" s="57" t="e">
        <f t="shared" si="15"/>
        <v>#DIV/0!</v>
      </c>
      <c r="BW18" s="57" t="e">
        <f t="shared" si="15"/>
        <v>#DIV/0!</v>
      </c>
      <c r="BX18" s="57" t="e">
        <f t="shared" si="15"/>
        <v>#DIV/0!</v>
      </c>
      <c r="BY18" s="57" t="e">
        <f t="shared" si="15"/>
        <v>#DIV/0!</v>
      </c>
      <c r="BZ18" s="57" t="e">
        <f t="shared" si="15"/>
        <v>#DIV/0!</v>
      </c>
      <c r="CA18" s="57" t="e">
        <f t="shared" si="15"/>
        <v>#DIV/0!</v>
      </c>
      <c r="CB18" s="57" t="e">
        <f t="shared" si="15"/>
        <v>#DIV/0!</v>
      </c>
      <c r="CC18" s="57" t="e">
        <f t="shared" si="15"/>
        <v>#DIV/0!</v>
      </c>
      <c r="CD18" s="57" t="e">
        <f t="shared" si="15"/>
        <v>#DIV/0!</v>
      </c>
      <c r="CE18" s="57" t="e">
        <f t="shared" si="15"/>
        <v>#DIV/0!</v>
      </c>
      <c r="CF18" s="57" t="e">
        <f t="shared" si="15"/>
        <v>#DIV/0!</v>
      </c>
      <c r="CG18" s="57" t="e">
        <f t="shared" si="15"/>
        <v>#DIV/0!</v>
      </c>
      <c r="CH18" s="57" t="e">
        <f t="shared" si="15"/>
        <v>#DIV/0!</v>
      </c>
      <c r="CI18" s="57" t="e">
        <f t="shared" si="15"/>
        <v>#DIV/0!</v>
      </c>
      <c r="CJ18" s="57" t="e">
        <f t="shared" si="15"/>
        <v>#DIV/0!</v>
      </c>
      <c r="CK18" s="57" t="e">
        <f t="shared" si="15"/>
        <v>#DIV/0!</v>
      </c>
    </row>
    <row r="19" spans="1:89" s="16" customFormat="1" x14ac:dyDescent="0.25">
      <c r="A19" s="18" t="s">
        <v>86</v>
      </c>
      <c r="B19" s="30"/>
      <c r="C19" s="30"/>
      <c r="D19" s="30"/>
      <c r="E19" s="30"/>
      <c r="F19" s="30"/>
      <c r="G19" s="30"/>
      <c r="H19" s="30"/>
      <c r="I19" s="30"/>
      <c r="J19" s="30"/>
      <c r="K19" s="30"/>
    </row>
    <row r="20" spans="1:89" x14ac:dyDescent="0.25">
      <c r="A20" s="17" t="s">
        <v>399</v>
      </c>
      <c r="B20" s="190">
        <v>0</v>
      </c>
      <c r="C20" s="190">
        <v>0</v>
      </c>
      <c r="D20" s="190">
        <v>0</v>
      </c>
      <c r="E20" s="190">
        <v>0</v>
      </c>
      <c r="F20" s="190">
        <v>0</v>
      </c>
      <c r="G20" s="190">
        <v>0</v>
      </c>
      <c r="H20" s="190">
        <v>0</v>
      </c>
      <c r="I20" s="190">
        <v>0</v>
      </c>
      <c r="J20" s="190">
        <v>0</v>
      </c>
      <c r="K20" s="190">
        <v>0</v>
      </c>
      <c r="L20" s="190">
        <v>0</v>
      </c>
      <c r="M20" s="190">
        <v>0</v>
      </c>
      <c r="N20" s="190">
        <v>0</v>
      </c>
      <c r="O20" s="190">
        <v>0</v>
      </c>
      <c r="P20" s="190">
        <v>0</v>
      </c>
      <c r="Q20" s="190">
        <v>0</v>
      </c>
      <c r="R20" s="190">
        <v>0</v>
      </c>
      <c r="S20" s="190">
        <v>0</v>
      </c>
      <c r="T20" s="190">
        <v>0</v>
      </c>
      <c r="U20" s="190">
        <v>0</v>
      </c>
      <c r="V20" s="190">
        <v>0</v>
      </c>
      <c r="W20" s="190">
        <v>0</v>
      </c>
      <c r="X20" s="190">
        <v>0</v>
      </c>
      <c r="Y20" s="190">
        <v>0</v>
      </c>
      <c r="Z20" s="190">
        <v>0</v>
      </c>
      <c r="AA20" s="190">
        <v>0</v>
      </c>
      <c r="AB20" s="190">
        <v>0</v>
      </c>
      <c r="AC20" s="190">
        <v>0</v>
      </c>
      <c r="AD20" s="190">
        <v>0</v>
      </c>
      <c r="AE20" s="190">
        <v>0</v>
      </c>
      <c r="AF20" s="190">
        <v>0</v>
      </c>
      <c r="AG20" s="190">
        <v>0</v>
      </c>
      <c r="AH20" s="190">
        <v>0</v>
      </c>
      <c r="AI20" s="190">
        <v>0</v>
      </c>
      <c r="AJ20" s="190">
        <v>0</v>
      </c>
      <c r="AK20" s="190">
        <v>0</v>
      </c>
      <c r="AL20" s="190">
        <v>0</v>
      </c>
      <c r="AM20" s="190">
        <v>0</v>
      </c>
      <c r="AN20" s="190">
        <v>0</v>
      </c>
      <c r="AO20" s="190">
        <v>0</v>
      </c>
      <c r="AP20" s="190">
        <v>0</v>
      </c>
      <c r="AQ20" s="190">
        <v>0</v>
      </c>
      <c r="AR20" s="190">
        <v>0</v>
      </c>
      <c r="AS20" s="190">
        <v>0</v>
      </c>
      <c r="AT20" s="190"/>
      <c r="AU20" s="190"/>
      <c r="AV20" s="190"/>
      <c r="AW20" s="190"/>
      <c r="AX20" s="190"/>
      <c r="AY20" s="190"/>
      <c r="AZ20" s="190"/>
      <c r="BA20" s="190"/>
      <c r="BB20" s="190"/>
      <c r="BC20" s="190"/>
      <c r="BD20" s="190"/>
      <c r="BE20" s="190"/>
      <c r="BF20" s="190"/>
      <c r="BG20" s="190"/>
      <c r="BH20" s="190"/>
      <c r="BI20" s="190"/>
      <c r="BJ20" s="190"/>
      <c r="BK20" s="190"/>
      <c r="BL20" s="190"/>
      <c r="BM20" s="190"/>
      <c r="BN20" s="190"/>
      <c r="BO20" s="190"/>
      <c r="BP20" s="190"/>
      <c r="BQ20" s="190"/>
      <c r="BR20" s="190"/>
      <c r="BS20" s="190"/>
      <c r="BT20" s="190"/>
      <c r="BU20" s="190"/>
      <c r="BV20" s="190"/>
      <c r="BW20" s="190"/>
      <c r="BX20" s="190"/>
      <c r="BY20" s="190"/>
      <c r="BZ20" s="190"/>
      <c r="CA20" s="190"/>
      <c r="CB20" s="190"/>
      <c r="CC20" s="190"/>
      <c r="CD20" s="190"/>
      <c r="CE20" s="190"/>
      <c r="CF20" s="190"/>
      <c r="CG20" s="190"/>
      <c r="CH20" s="190"/>
      <c r="CI20" s="190"/>
      <c r="CJ20" s="190"/>
      <c r="CK20" s="190"/>
    </row>
    <row r="21" spans="1:89" s="16" customFormat="1" x14ac:dyDescent="0.25">
      <c r="A21" s="18" t="s">
        <v>87</v>
      </c>
      <c r="B21" s="30"/>
      <c r="C21" s="30"/>
      <c r="D21" s="30"/>
      <c r="E21" s="30"/>
      <c r="F21" s="30"/>
      <c r="G21" s="30"/>
      <c r="H21" s="30"/>
      <c r="I21" s="30"/>
      <c r="J21" s="30"/>
      <c r="K21" s="30"/>
    </row>
    <row r="22" spans="1:89" x14ac:dyDescent="0.25">
      <c r="A22" s="17" t="s">
        <v>400</v>
      </c>
      <c r="B22" s="190">
        <v>0</v>
      </c>
      <c r="C22" s="190">
        <v>0</v>
      </c>
      <c r="D22" s="190">
        <v>0</v>
      </c>
      <c r="E22" s="190">
        <v>0</v>
      </c>
      <c r="F22" s="190">
        <v>0</v>
      </c>
      <c r="G22" s="190">
        <v>0</v>
      </c>
      <c r="H22" s="190">
        <v>0</v>
      </c>
      <c r="I22" s="190">
        <v>0</v>
      </c>
      <c r="J22" s="190">
        <v>0</v>
      </c>
      <c r="K22" s="190">
        <v>0</v>
      </c>
      <c r="L22" s="190">
        <v>0</v>
      </c>
      <c r="M22" s="190">
        <v>0</v>
      </c>
      <c r="N22" s="190">
        <v>0</v>
      </c>
      <c r="O22" s="190">
        <v>0</v>
      </c>
      <c r="P22" s="190">
        <v>0</v>
      </c>
      <c r="Q22" s="190">
        <v>0</v>
      </c>
      <c r="R22" s="190">
        <v>0</v>
      </c>
      <c r="S22" s="190">
        <v>0</v>
      </c>
      <c r="T22" s="190">
        <v>0</v>
      </c>
      <c r="U22" s="190">
        <v>0</v>
      </c>
      <c r="V22" s="190">
        <v>0</v>
      </c>
      <c r="W22" s="190">
        <v>0</v>
      </c>
      <c r="X22" s="190">
        <v>0</v>
      </c>
      <c r="Y22" s="190">
        <v>0</v>
      </c>
      <c r="Z22" s="190">
        <v>0</v>
      </c>
      <c r="AA22" s="190">
        <v>0</v>
      </c>
      <c r="AB22" s="190">
        <v>0</v>
      </c>
      <c r="AC22" s="190">
        <v>0</v>
      </c>
      <c r="AD22" s="190">
        <v>0</v>
      </c>
      <c r="AE22" s="190">
        <v>0</v>
      </c>
      <c r="AF22" s="190">
        <v>0</v>
      </c>
      <c r="AG22" s="190">
        <v>0</v>
      </c>
      <c r="AH22" s="190">
        <v>0</v>
      </c>
      <c r="AI22" s="190">
        <v>0</v>
      </c>
      <c r="AJ22" s="190">
        <v>0</v>
      </c>
      <c r="AK22" s="190">
        <v>0</v>
      </c>
      <c r="AL22" s="190">
        <v>0</v>
      </c>
      <c r="AM22" s="190">
        <v>0</v>
      </c>
      <c r="AN22" s="190">
        <v>0</v>
      </c>
      <c r="AO22" s="190">
        <v>0</v>
      </c>
      <c r="AP22" s="190">
        <v>0</v>
      </c>
      <c r="AQ22" s="190">
        <v>0</v>
      </c>
      <c r="AR22" s="190">
        <v>0</v>
      </c>
      <c r="AS22" s="190">
        <v>0</v>
      </c>
      <c r="AT22" s="190"/>
      <c r="AU22" s="190"/>
      <c r="AV22" s="190"/>
      <c r="AW22" s="190"/>
      <c r="AX22" s="190"/>
      <c r="AY22" s="190"/>
      <c r="AZ22" s="190"/>
      <c r="BA22" s="190"/>
      <c r="BB22" s="190"/>
      <c r="BC22" s="190"/>
      <c r="BD22" s="190"/>
      <c r="BE22" s="190"/>
      <c r="BF22" s="190"/>
      <c r="BG22" s="190"/>
      <c r="BH22" s="190"/>
      <c r="BI22" s="190"/>
      <c r="BJ22" s="190"/>
      <c r="BK22" s="190"/>
      <c r="BL22" s="190"/>
      <c r="BM22" s="190"/>
      <c r="BN22" s="190"/>
      <c r="BO22" s="190"/>
      <c r="BP22" s="190"/>
      <c r="BQ22" s="190"/>
      <c r="BR22" s="190"/>
      <c r="BS22" s="190"/>
      <c r="BT22" s="190"/>
      <c r="BU22" s="190"/>
      <c r="BV22" s="190"/>
      <c r="BW22" s="190"/>
      <c r="BX22" s="190"/>
      <c r="BY22" s="190"/>
      <c r="BZ22" s="190"/>
      <c r="CA22" s="190"/>
      <c r="CB22" s="190"/>
      <c r="CC22" s="190"/>
      <c r="CD22" s="190"/>
      <c r="CE22" s="190"/>
      <c r="CF22" s="190"/>
      <c r="CG22" s="190"/>
      <c r="CH22" s="190"/>
      <c r="CI22" s="190"/>
      <c r="CJ22" s="190"/>
      <c r="CK22" s="190"/>
    </row>
    <row r="23" spans="1:89" s="7" customFormat="1" x14ac:dyDescent="0.25">
      <c r="A23" s="21" t="s">
        <v>401</v>
      </c>
      <c r="B23" s="29">
        <f>-B52</f>
        <v>25636</v>
      </c>
      <c r="C23" s="29">
        <f t="shared" ref="C23:BN23" si="16">-C52</f>
        <v>27718</v>
      </c>
      <c r="D23" s="29">
        <f t="shared" si="16"/>
        <v>35317</v>
      </c>
      <c r="E23" s="29">
        <f t="shared" si="16"/>
        <v>10783199.210000001</v>
      </c>
      <c r="F23" s="29">
        <f t="shared" si="16"/>
        <v>34414</v>
      </c>
      <c r="G23" s="29">
        <f t="shared" si="16"/>
        <v>23309</v>
      </c>
      <c r="H23" s="29">
        <f t="shared" si="16"/>
        <v>16814</v>
      </c>
      <c r="I23" s="29">
        <f t="shared" si="16"/>
        <v>11108095.51</v>
      </c>
      <c r="J23" s="29">
        <f t="shared" si="16"/>
        <v>0</v>
      </c>
      <c r="K23" s="29">
        <f t="shared" si="16"/>
        <v>0</v>
      </c>
      <c r="L23" s="29">
        <f t="shared" si="16"/>
        <v>0</v>
      </c>
      <c r="M23" s="29">
        <f t="shared" si="16"/>
        <v>16376067.49</v>
      </c>
      <c r="N23" s="29">
        <f t="shared" si="16"/>
        <v>0</v>
      </c>
      <c r="O23" s="29">
        <f t="shared" si="16"/>
        <v>0</v>
      </c>
      <c r="P23" s="29">
        <f t="shared" si="16"/>
        <v>0</v>
      </c>
      <c r="Q23" s="29">
        <f t="shared" si="16"/>
        <v>22965161.149999999</v>
      </c>
      <c r="R23" s="29">
        <f t="shared" si="16"/>
        <v>0</v>
      </c>
      <c r="S23" s="29">
        <f t="shared" si="16"/>
        <v>0</v>
      </c>
      <c r="T23" s="29">
        <f t="shared" si="16"/>
        <v>0</v>
      </c>
      <c r="U23" s="29">
        <f t="shared" si="16"/>
        <v>21250799.57</v>
      </c>
      <c r="V23" s="29">
        <f t="shared" si="16"/>
        <v>0</v>
      </c>
      <c r="W23" s="29">
        <f t="shared" si="16"/>
        <v>0</v>
      </c>
      <c r="X23" s="29">
        <f t="shared" si="16"/>
        <v>0</v>
      </c>
      <c r="Y23" s="29">
        <f t="shared" si="16"/>
        <v>21648438.039999999</v>
      </c>
      <c r="Z23" s="29">
        <f t="shared" si="16"/>
        <v>0</v>
      </c>
      <c r="AA23" s="29">
        <f t="shared" si="16"/>
        <v>0</v>
      </c>
      <c r="AB23" s="29">
        <f t="shared" si="16"/>
        <v>0</v>
      </c>
      <c r="AC23" s="29">
        <f t="shared" si="16"/>
        <v>26564136.870000001</v>
      </c>
      <c r="AD23" s="29">
        <f t="shared" si="16"/>
        <v>0</v>
      </c>
      <c r="AE23" s="29">
        <f t="shared" si="16"/>
        <v>0</v>
      </c>
      <c r="AF23" s="29">
        <f t="shared" si="16"/>
        <v>0</v>
      </c>
      <c r="AG23" s="29">
        <f t="shared" si="16"/>
        <v>19776413.390000001</v>
      </c>
      <c r="AH23" s="29">
        <f t="shared" si="16"/>
        <v>0</v>
      </c>
      <c r="AI23" s="29">
        <f t="shared" si="16"/>
        <v>0</v>
      </c>
      <c r="AJ23" s="29">
        <f t="shared" si="16"/>
        <v>0</v>
      </c>
      <c r="AK23" s="29">
        <f t="shared" si="16"/>
        <v>1569307.04</v>
      </c>
      <c r="AL23" s="29">
        <f t="shared" si="16"/>
        <v>0</v>
      </c>
      <c r="AM23" s="29">
        <f t="shared" si="16"/>
        <v>0</v>
      </c>
      <c r="AN23" s="29">
        <f t="shared" si="16"/>
        <v>0</v>
      </c>
      <c r="AO23" s="29">
        <f t="shared" si="16"/>
        <v>327403.59999999998</v>
      </c>
      <c r="AP23" s="29">
        <f t="shared" si="16"/>
        <v>0</v>
      </c>
      <c r="AQ23" s="29">
        <f t="shared" si="16"/>
        <v>0</v>
      </c>
      <c r="AR23" s="29">
        <f t="shared" si="16"/>
        <v>0</v>
      </c>
      <c r="AS23" s="29">
        <f t="shared" si="16"/>
        <v>0</v>
      </c>
      <c r="AT23" s="29">
        <f t="shared" si="16"/>
        <v>0</v>
      </c>
      <c r="AU23" s="29">
        <f t="shared" si="16"/>
        <v>0</v>
      </c>
      <c r="AV23" s="29">
        <f t="shared" si="16"/>
        <v>0</v>
      </c>
      <c r="AW23" s="29">
        <f t="shared" si="16"/>
        <v>0</v>
      </c>
      <c r="AX23" s="29">
        <f t="shared" si="16"/>
        <v>0</v>
      </c>
      <c r="AY23" s="29">
        <f t="shared" si="16"/>
        <v>0</v>
      </c>
      <c r="AZ23" s="29">
        <f t="shared" si="16"/>
        <v>0</v>
      </c>
      <c r="BA23" s="29">
        <f t="shared" si="16"/>
        <v>0</v>
      </c>
      <c r="BB23" s="29">
        <f t="shared" si="16"/>
        <v>0</v>
      </c>
      <c r="BC23" s="29">
        <f t="shared" si="16"/>
        <v>0</v>
      </c>
      <c r="BD23" s="29">
        <f t="shared" si="16"/>
        <v>0</v>
      </c>
      <c r="BE23" s="29">
        <f t="shared" si="16"/>
        <v>0</v>
      </c>
      <c r="BF23" s="29">
        <f t="shared" si="16"/>
        <v>0</v>
      </c>
      <c r="BG23" s="29">
        <f t="shared" si="16"/>
        <v>0</v>
      </c>
      <c r="BH23" s="29">
        <f t="shared" si="16"/>
        <v>0</v>
      </c>
      <c r="BI23" s="29">
        <f t="shared" si="16"/>
        <v>0</v>
      </c>
      <c r="BJ23" s="29">
        <f t="shared" si="16"/>
        <v>0</v>
      </c>
      <c r="BK23" s="29">
        <f t="shared" si="16"/>
        <v>0</v>
      </c>
      <c r="BL23" s="29">
        <f t="shared" si="16"/>
        <v>0</v>
      </c>
      <c r="BM23" s="29">
        <f t="shared" si="16"/>
        <v>0</v>
      </c>
      <c r="BN23" s="29">
        <f t="shared" si="16"/>
        <v>0</v>
      </c>
      <c r="BO23" s="29">
        <f t="shared" ref="BO23:CK23" si="17">-BO52</f>
        <v>0</v>
      </c>
      <c r="BP23" s="29">
        <f t="shared" si="17"/>
        <v>0</v>
      </c>
      <c r="BQ23" s="29">
        <f t="shared" si="17"/>
        <v>0</v>
      </c>
      <c r="BR23" s="29">
        <f t="shared" si="17"/>
        <v>0</v>
      </c>
      <c r="BS23" s="29">
        <f t="shared" si="17"/>
        <v>0</v>
      </c>
      <c r="BT23" s="29">
        <f t="shared" si="17"/>
        <v>0</v>
      </c>
      <c r="BU23" s="29">
        <f t="shared" si="17"/>
        <v>0</v>
      </c>
      <c r="BV23" s="29">
        <f t="shared" si="17"/>
        <v>0</v>
      </c>
      <c r="BW23" s="29">
        <f t="shared" si="17"/>
        <v>0</v>
      </c>
      <c r="BX23" s="29">
        <f t="shared" si="17"/>
        <v>0</v>
      </c>
      <c r="BY23" s="29">
        <f t="shared" si="17"/>
        <v>0</v>
      </c>
      <c r="BZ23" s="29">
        <f t="shared" si="17"/>
        <v>0</v>
      </c>
      <c r="CA23" s="29">
        <f t="shared" si="17"/>
        <v>0</v>
      </c>
      <c r="CB23" s="29">
        <f t="shared" si="17"/>
        <v>0</v>
      </c>
      <c r="CC23" s="29">
        <f t="shared" si="17"/>
        <v>0</v>
      </c>
      <c r="CD23" s="29">
        <f t="shared" si="17"/>
        <v>0</v>
      </c>
      <c r="CE23" s="29">
        <f t="shared" si="17"/>
        <v>0</v>
      </c>
      <c r="CF23" s="29">
        <f t="shared" si="17"/>
        <v>0</v>
      </c>
      <c r="CG23" s="29">
        <f t="shared" si="17"/>
        <v>0</v>
      </c>
      <c r="CH23" s="29">
        <f t="shared" si="17"/>
        <v>0</v>
      </c>
      <c r="CI23" s="29">
        <f t="shared" si="17"/>
        <v>0</v>
      </c>
      <c r="CJ23" s="29">
        <f t="shared" si="17"/>
        <v>0</v>
      </c>
      <c r="CK23" s="29">
        <f t="shared" si="17"/>
        <v>0</v>
      </c>
    </row>
    <row r="24" spans="1:89" x14ac:dyDescent="0.25">
      <c r="A24" s="17" t="s">
        <v>402</v>
      </c>
      <c r="B24" s="26">
        <f>B67</f>
        <v>95242273.629999995</v>
      </c>
      <c r="C24" s="26">
        <f t="shared" ref="C24:BN24" si="18">C67</f>
        <v>28971556.489999998</v>
      </c>
      <c r="D24" s="26">
        <f t="shared" si="18"/>
        <v>10478204.369999999</v>
      </c>
      <c r="E24" s="26">
        <f>E67</f>
        <v>46344509.020000003</v>
      </c>
      <c r="F24" s="26">
        <f t="shared" si="18"/>
        <v>27243457.18</v>
      </c>
      <c r="G24" s="26">
        <f t="shared" si="18"/>
        <v>27737580.16</v>
      </c>
      <c r="H24" s="26">
        <f t="shared" si="18"/>
        <v>775003.99</v>
      </c>
      <c r="I24" s="26">
        <f t="shared" si="18"/>
        <v>30518868.780000001</v>
      </c>
      <c r="J24" s="26">
        <f t="shared" si="18"/>
        <v>20610189.93</v>
      </c>
      <c r="K24" s="26">
        <f t="shared" si="18"/>
        <v>14837689.359999999</v>
      </c>
      <c r="L24" s="26">
        <f t="shared" si="18"/>
        <v>10351456.130000001</v>
      </c>
      <c r="M24" s="26">
        <f t="shared" si="18"/>
        <v>54802146.340000004</v>
      </c>
      <c r="N24" s="26">
        <f t="shared" si="18"/>
        <v>32745457.399999999</v>
      </c>
      <c r="O24" s="26">
        <f t="shared" si="18"/>
        <v>18458085.66</v>
      </c>
      <c r="P24" s="26">
        <f t="shared" si="18"/>
        <v>1034260.27</v>
      </c>
      <c r="Q24" s="26">
        <f t="shared" si="18"/>
        <v>17154949.390000001</v>
      </c>
      <c r="R24" s="26">
        <f t="shared" si="18"/>
        <v>12541798.699999999</v>
      </c>
      <c r="S24" s="26">
        <f t="shared" si="18"/>
        <v>8266763.2999999998</v>
      </c>
      <c r="T24" s="26">
        <f t="shared" si="18"/>
        <v>1817612.22</v>
      </c>
      <c r="U24" s="26">
        <f t="shared" si="18"/>
        <v>5457633.1399999997</v>
      </c>
      <c r="V24" s="26">
        <f t="shared" si="18"/>
        <v>4203934.51</v>
      </c>
      <c r="W24" s="26">
        <f t="shared" si="18"/>
        <v>3280088.85</v>
      </c>
      <c r="X24" s="26">
        <f t="shared" si="18"/>
        <v>1638355.54</v>
      </c>
      <c r="Y24" s="26">
        <f t="shared" si="18"/>
        <v>929555.19</v>
      </c>
      <c r="Z24" s="26">
        <f t="shared" si="18"/>
        <v>0</v>
      </c>
      <c r="AA24" s="26">
        <f t="shared" si="18"/>
        <v>0</v>
      </c>
      <c r="AB24" s="26">
        <f t="shared" si="18"/>
        <v>0</v>
      </c>
      <c r="AC24" s="26">
        <f t="shared" si="18"/>
        <v>0</v>
      </c>
      <c r="AD24" s="26">
        <f t="shared" si="18"/>
        <v>0</v>
      </c>
      <c r="AE24" s="26">
        <f t="shared" si="18"/>
        <v>0</v>
      </c>
      <c r="AF24" s="26">
        <f t="shared" si="18"/>
        <v>0</v>
      </c>
      <c r="AG24" s="26">
        <f t="shared" si="18"/>
        <v>0</v>
      </c>
      <c r="AH24" s="26">
        <f t="shared" si="18"/>
        <v>0</v>
      </c>
      <c r="AI24" s="26">
        <f t="shared" si="18"/>
        <v>0</v>
      </c>
      <c r="AJ24" s="26">
        <f t="shared" si="18"/>
        <v>0</v>
      </c>
      <c r="AK24" s="26">
        <f t="shared" si="18"/>
        <v>0</v>
      </c>
      <c r="AL24" s="26">
        <f t="shared" si="18"/>
        <v>0</v>
      </c>
      <c r="AM24" s="26">
        <f t="shared" si="18"/>
        <v>0</v>
      </c>
      <c r="AN24" s="26">
        <f t="shared" si="18"/>
        <v>0</v>
      </c>
      <c r="AO24" s="26">
        <f t="shared" si="18"/>
        <v>3020.54</v>
      </c>
      <c r="AP24" s="26">
        <f t="shared" si="18"/>
        <v>3020.54</v>
      </c>
      <c r="AQ24" s="26">
        <f t="shared" si="18"/>
        <v>10356.16</v>
      </c>
      <c r="AR24" s="26">
        <f t="shared" si="18"/>
        <v>0</v>
      </c>
      <c r="AS24" s="26">
        <f t="shared" si="18"/>
        <v>0</v>
      </c>
      <c r="AT24" s="26">
        <f t="shared" si="18"/>
        <v>556604.28</v>
      </c>
      <c r="AU24" s="26">
        <f t="shared" si="18"/>
        <v>47918.79</v>
      </c>
      <c r="AV24" s="26">
        <f t="shared" si="18"/>
        <v>665864.48</v>
      </c>
      <c r="AW24" s="26">
        <f t="shared" si="18"/>
        <v>5051692.58</v>
      </c>
      <c r="AX24" s="26">
        <f t="shared" si="18"/>
        <v>2496157.7200000002</v>
      </c>
      <c r="AY24" s="26">
        <f t="shared" si="18"/>
        <v>1832311.81</v>
      </c>
      <c r="AZ24" s="26">
        <f t="shared" si="18"/>
        <v>100000</v>
      </c>
      <c r="BA24" s="26">
        <f t="shared" si="18"/>
        <v>-3923017.4</v>
      </c>
      <c r="BB24" s="26">
        <f t="shared" si="18"/>
        <v>-497364.9</v>
      </c>
      <c r="BC24" s="26">
        <f t="shared" si="18"/>
        <v>-499893.8</v>
      </c>
      <c r="BD24" s="26">
        <f t="shared" si="18"/>
        <v>0</v>
      </c>
      <c r="BE24" s="26">
        <f t="shared" si="18"/>
        <v>-126753.75</v>
      </c>
      <c r="BF24" s="26">
        <f t="shared" si="18"/>
        <v>344265.81</v>
      </c>
      <c r="BG24" s="26">
        <f t="shared" si="18"/>
        <v>344265.81</v>
      </c>
      <c r="BH24" s="26">
        <f t="shared" si="18"/>
        <v>1026367.48</v>
      </c>
      <c r="BI24" s="26">
        <f t="shared" si="18"/>
        <v>-554425.18000000005</v>
      </c>
      <c r="BJ24" s="26">
        <f t="shared" si="18"/>
        <v>287254.11</v>
      </c>
      <c r="BK24" s="26">
        <f t="shared" si="18"/>
        <v>52424.27</v>
      </c>
      <c r="BL24" s="26">
        <f t="shared" si="18"/>
        <v>265460.88</v>
      </c>
      <c r="BM24" s="26">
        <f t="shared" si="18"/>
        <v>178932.4</v>
      </c>
      <c r="BN24" s="26">
        <f t="shared" si="18"/>
        <v>1871129.6000000001</v>
      </c>
      <c r="BO24" s="26">
        <f t="shared" ref="BO24:CJ24" si="19">BO67</f>
        <v>1511721.55</v>
      </c>
      <c r="BP24" s="26">
        <f t="shared" si="19"/>
        <v>-174029.22</v>
      </c>
      <c r="BQ24" s="26">
        <f t="shared" si="19"/>
        <v>12349967.949999999</v>
      </c>
      <c r="BR24" s="26">
        <f t="shared" si="19"/>
        <v>12720000</v>
      </c>
      <c r="BS24" s="26">
        <f t="shared" si="19"/>
        <v>9766309.1799999997</v>
      </c>
      <c r="BT24" s="26">
        <f t="shared" si="19"/>
        <v>5348519.25</v>
      </c>
      <c r="BU24" s="26">
        <f t="shared" si="19"/>
        <v>2373601.7000000002</v>
      </c>
      <c r="BV24" s="26">
        <f t="shared" si="19"/>
        <v>0</v>
      </c>
      <c r="BW24" s="26">
        <f t="shared" si="19"/>
        <v>0</v>
      </c>
      <c r="BX24" s="26">
        <f t="shared" si="19"/>
        <v>0</v>
      </c>
      <c r="BY24" s="26">
        <f t="shared" si="19"/>
        <v>0</v>
      </c>
      <c r="BZ24" s="26">
        <f t="shared" si="19"/>
        <v>0</v>
      </c>
      <c r="CA24" s="26">
        <f t="shared" si="19"/>
        <v>0</v>
      </c>
      <c r="CB24" s="26">
        <f t="shared" si="19"/>
        <v>0</v>
      </c>
      <c r="CC24" s="26">
        <f t="shared" si="19"/>
        <v>0</v>
      </c>
      <c r="CD24" s="26">
        <f t="shared" si="19"/>
        <v>0</v>
      </c>
      <c r="CE24" s="26">
        <f t="shared" si="19"/>
        <v>7729000</v>
      </c>
      <c r="CF24" s="26">
        <f t="shared" si="19"/>
        <v>2092581.44</v>
      </c>
      <c r="CG24" s="26">
        <f t="shared" si="19"/>
        <v>0</v>
      </c>
      <c r="CH24" s="26">
        <f t="shared" si="19"/>
        <v>0</v>
      </c>
      <c r="CI24" s="26">
        <f t="shared" si="19"/>
        <v>0</v>
      </c>
      <c r="CJ24" s="26">
        <f t="shared" si="19"/>
        <v>0</v>
      </c>
    </row>
    <row r="25" spans="1:89" s="7" customFormat="1" x14ac:dyDescent="0.25">
      <c r="A25" s="21" t="s">
        <v>403</v>
      </c>
      <c r="B25" s="29">
        <f>-B54</f>
        <v>-3104</v>
      </c>
      <c r="C25" s="29">
        <f t="shared" ref="C25:BN25" si="20">-C54</f>
        <v>1424</v>
      </c>
      <c r="D25" s="29">
        <f t="shared" si="20"/>
        <v>340</v>
      </c>
      <c r="E25" s="29">
        <f t="shared" si="20"/>
        <v>-14912847.689999999</v>
      </c>
      <c r="F25" s="29">
        <f t="shared" si="20"/>
        <v>-2684</v>
      </c>
      <c r="G25" s="29">
        <f t="shared" si="20"/>
        <v>377</v>
      </c>
      <c r="H25" s="29">
        <f t="shared" si="20"/>
        <v>-1008</v>
      </c>
      <c r="I25" s="29">
        <f t="shared" si="20"/>
        <v>6928081.4500000002</v>
      </c>
      <c r="J25" s="29">
        <f t="shared" si="20"/>
        <v>0</v>
      </c>
      <c r="K25" s="29">
        <f t="shared" si="20"/>
        <v>0</v>
      </c>
      <c r="L25" s="29">
        <f t="shared" si="20"/>
        <v>0</v>
      </c>
      <c r="M25" s="29">
        <f t="shared" si="20"/>
        <v>705508.99</v>
      </c>
      <c r="N25" s="29">
        <f t="shared" si="20"/>
        <v>0</v>
      </c>
      <c r="O25" s="29">
        <f t="shared" si="20"/>
        <v>0</v>
      </c>
      <c r="P25" s="29">
        <f t="shared" si="20"/>
        <v>0</v>
      </c>
      <c r="Q25" s="29">
        <f t="shared" si="20"/>
        <v>-353917</v>
      </c>
      <c r="R25" s="29">
        <f t="shared" si="20"/>
        <v>0</v>
      </c>
      <c r="S25" s="29">
        <f t="shared" si="20"/>
        <v>0</v>
      </c>
      <c r="T25" s="29">
        <f t="shared" si="20"/>
        <v>0</v>
      </c>
      <c r="U25" s="29">
        <f t="shared" si="20"/>
        <v>138552.34</v>
      </c>
      <c r="V25" s="29">
        <f t="shared" si="20"/>
        <v>0</v>
      </c>
      <c r="W25" s="29">
        <f t="shared" si="20"/>
        <v>0</v>
      </c>
      <c r="X25" s="29">
        <f t="shared" si="20"/>
        <v>0</v>
      </c>
      <c r="Y25" s="29">
        <f t="shared" si="20"/>
        <v>73738.2</v>
      </c>
      <c r="Z25" s="29">
        <f t="shared" si="20"/>
        <v>0</v>
      </c>
      <c r="AA25" s="29">
        <f t="shared" si="20"/>
        <v>0</v>
      </c>
      <c r="AB25" s="29">
        <f t="shared" si="20"/>
        <v>0</v>
      </c>
      <c r="AC25" s="29">
        <f t="shared" si="20"/>
        <v>-200426.02</v>
      </c>
      <c r="AD25" s="29">
        <f t="shared" si="20"/>
        <v>0</v>
      </c>
      <c r="AE25" s="29">
        <f t="shared" si="20"/>
        <v>0</v>
      </c>
      <c r="AF25" s="29">
        <f t="shared" si="20"/>
        <v>0</v>
      </c>
      <c r="AG25" s="29">
        <f t="shared" si="20"/>
        <v>8912.43</v>
      </c>
      <c r="AH25" s="29">
        <f t="shared" si="20"/>
        <v>0</v>
      </c>
      <c r="AI25" s="29">
        <f t="shared" si="20"/>
        <v>0</v>
      </c>
      <c r="AJ25" s="29">
        <f t="shared" si="20"/>
        <v>0</v>
      </c>
      <c r="AK25" s="29">
        <f t="shared" si="20"/>
        <v>-6300.9</v>
      </c>
      <c r="AL25" s="29">
        <f t="shared" si="20"/>
        <v>0</v>
      </c>
      <c r="AM25" s="29">
        <f t="shared" si="20"/>
        <v>0</v>
      </c>
      <c r="AN25" s="29">
        <f t="shared" si="20"/>
        <v>0</v>
      </c>
      <c r="AO25" s="29">
        <f t="shared" si="20"/>
        <v>-240775.06</v>
      </c>
      <c r="AP25" s="29">
        <f t="shared" si="20"/>
        <v>0</v>
      </c>
      <c r="AQ25" s="29">
        <f t="shared" si="20"/>
        <v>0</v>
      </c>
      <c r="AR25" s="29">
        <f t="shared" si="20"/>
        <v>0</v>
      </c>
      <c r="AS25" s="29">
        <f t="shared" si="20"/>
        <v>0</v>
      </c>
      <c r="AT25" s="29">
        <f t="shared" si="20"/>
        <v>0</v>
      </c>
      <c r="AU25" s="29">
        <f t="shared" si="20"/>
        <v>0</v>
      </c>
      <c r="AV25" s="29">
        <f t="shared" si="20"/>
        <v>0</v>
      </c>
      <c r="AW25" s="29">
        <f t="shared" si="20"/>
        <v>0</v>
      </c>
      <c r="AX25" s="29">
        <f t="shared" si="20"/>
        <v>0</v>
      </c>
      <c r="AY25" s="29">
        <f t="shared" si="20"/>
        <v>0</v>
      </c>
      <c r="AZ25" s="29">
        <f t="shared" si="20"/>
        <v>0</v>
      </c>
      <c r="BA25" s="29">
        <f t="shared" si="20"/>
        <v>0</v>
      </c>
      <c r="BB25" s="29">
        <f t="shared" si="20"/>
        <v>0</v>
      </c>
      <c r="BC25" s="29">
        <f t="shared" si="20"/>
        <v>0</v>
      </c>
      <c r="BD25" s="29">
        <f t="shared" si="20"/>
        <v>0</v>
      </c>
      <c r="BE25" s="29">
        <f t="shared" si="20"/>
        <v>0</v>
      </c>
      <c r="BF25" s="29">
        <f t="shared" si="20"/>
        <v>0</v>
      </c>
      <c r="BG25" s="29">
        <f t="shared" si="20"/>
        <v>0</v>
      </c>
      <c r="BH25" s="29">
        <f t="shared" si="20"/>
        <v>0</v>
      </c>
      <c r="BI25" s="29">
        <f t="shared" si="20"/>
        <v>0</v>
      </c>
      <c r="BJ25" s="29">
        <f t="shared" si="20"/>
        <v>0</v>
      </c>
      <c r="BK25" s="29">
        <f t="shared" si="20"/>
        <v>0</v>
      </c>
      <c r="BL25" s="29">
        <f t="shared" si="20"/>
        <v>0</v>
      </c>
      <c r="BM25" s="29">
        <f t="shared" si="20"/>
        <v>0</v>
      </c>
      <c r="BN25" s="29">
        <f t="shared" si="20"/>
        <v>0</v>
      </c>
      <c r="BO25" s="29">
        <f t="shared" ref="BO25:CK25" si="21">-BO54</f>
        <v>0</v>
      </c>
      <c r="BP25" s="29">
        <f t="shared" si="21"/>
        <v>0</v>
      </c>
      <c r="BQ25" s="29">
        <f t="shared" si="21"/>
        <v>0</v>
      </c>
      <c r="BR25" s="29">
        <f t="shared" si="21"/>
        <v>0</v>
      </c>
      <c r="BS25" s="29">
        <f t="shared" si="21"/>
        <v>0</v>
      </c>
      <c r="BT25" s="29">
        <f t="shared" si="21"/>
        <v>0</v>
      </c>
      <c r="BU25" s="29">
        <f t="shared" si="21"/>
        <v>0</v>
      </c>
      <c r="BV25" s="29">
        <f t="shared" si="21"/>
        <v>0</v>
      </c>
      <c r="BW25" s="29">
        <f t="shared" si="21"/>
        <v>0</v>
      </c>
      <c r="BX25" s="29">
        <f t="shared" si="21"/>
        <v>0</v>
      </c>
      <c r="BY25" s="29">
        <f t="shared" si="21"/>
        <v>0</v>
      </c>
      <c r="BZ25" s="29">
        <f t="shared" si="21"/>
        <v>0</v>
      </c>
      <c r="CA25" s="29">
        <f t="shared" si="21"/>
        <v>0</v>
      </c>
      <c r="CB25" s="29">
        <f t="shared" si="21"/>
        <v>0</v>
      </c>
      <c r="CC25" s="29">
        <f t="shared" si="21"/>
        <v>0</v>
      </c>
      <c r="CD25" s="29">
        <f t="shared" si="21"/>
        <v>0</v>
      </c>
      <c r="CE25" s="29">
        <f t="shared" si="21"/>
        <v>0</v>
      </c>
      <c r="CF25" s="29">
        <f t="shared" si="21"/>
        <v>0</v>
      </c>
      <c r="CG25" s="29">
        <f t="shared" si="21"/>
        <v>0</v>
      </c>
      <c r="CH25" s="29">
        <f t="shared" si="21"/>
        <v>0</v>
      </c>
      <c r="CI25" s="29">
        <f t="shared" si="21"/>
        <v>0</v>
      </c>
      <c r="CJ25" s="29">
        <f t="shared" si="21"/>
        <v>0</v>
      </c>
      <c r="CK25" s="29">
        <f t="shared" si="21"/>
        <v>0</v>
      </c>
    </row>
    <row r="26" spans="1:89" x14ac:dyDescent="0.25">
      <c r="A26" s="17" t="s">
        <v>404</v>
      </c>
      <c r="B26" s="190">
        <v>26264477.800000001</v>
      </c>
      <c r="C26" s="190">
        <v>8768413.6099999994</v>
      </c>
      <c r="D26" s="190">
        <v>-23530364.309999999</v>
      </c>
      <c r="E26" s="190">
        <v>-27005854.120000001</v>
      </c>
      <c r="F26" s="190">
        <v>-20996537.109999999</v>
      </c>
      <c r="G26" s="190">
        <v>-9716983.2799999993</v>
      </c>
      <c r="H26" s="190">
        <v>267164.26</v>
      </c>
      <c r="I26" s="190">
        <v>2746174.97</v>
      </c>
      <c r="J26" s="190">
        <v>1318275.21</v>
      </c>
      <c r="K26" s="190">
        <v>1015033.46</v>
      </c>
      <c r="L26" s="190">
        <v>-3847.23</v>
      </c>
      <c r="M26" s="190">
        <v>1747637.99</v>
      </c>
      <c r="N26" s="190">
        <v>1367525.67</v>
      </c>
      <c r="O26" s="190">
        <v>-19837.18</v>
      </c>
      <c r="P26" s="190">
        <v>121474.14</v>
      </c>
      <c r="Q26" s="190">
        <v>60762.7</v>
      </c>
      <c r="R26" s="190">
        <v>192631.38</v>
      </c>
      <c r="S26" s="190">
        <v>239185.79</v>
      </c>
      <c r="T26" s="190">
        <v>218363.8</v>
      </c>
      <c r="U26" s="190">
        <v>-691715.42</v>
      </c>
      <c r="V26" s="190">
        <v>-464829.47</v>
      </c>
      <c r="W26" s="190">
        <v>-363372.38</v>
      </c>
      <c r="X26" s="190">
        <v>-81160.31</v>
      </c>
      <c r="Y26" s="190">
        <v>3357.7</v>
      </c>
      <c r="Z26" s="190">
        <v>147195.29</v>
      </c>
      <c r="AA26" s="190">
        <v>92296.55</v>
      </c>
      <c r="AB26" s="190">
        <v>-2400</v>
      </c>
      <c r="AC26" s="190">
        <v>-706542.83</v>
      </c>
      <c r="AD26" s="190">
        <v>-597629.93000000005</v>
      </c>
      <c r="AE26" s="190">
        <v>-307502.71000000002</v>
      </c>
      <c r="AF26" s="190">
        <v>0</v>
      </c>
      <c r="AG26" s="190">
        <v>-375189.5</v>
      </c>
      <c r="AH26" s="190">
        <v>-211123.94</v>
      </c>
      <c r="AI26" s="190">
        <v>-96363.82</v>
      </c>
      <c r="AJ26" s="190">
        <v>0</v>
      </c>
      <c r="AK26" s="190">
        <v>-13205.78</v>
      </c>
      <c r="AL26" s="190">
        <v>0</v>
      </c>
      <c r="AM26" s="190">
        <v>0</v>
      </c>
      <c r="AN26" s="190">
        <v>0</v>
      </c>
      <c r="AO26" s="190">
        <v>0</v>
      </c>
      <c r="AP26" s="190">
        <v>0</v>
      </c>
      <c r="AQ26" s="190">
        <v>0</v>
      </c>
      <c r="AR26" s="190">
        <v>0</v>
      </c>
      <c r="AS26" s="190">
        <v>0</v>
      </c>
      <c r="AT26" s="190"/>
      <c r="AU26" s="190"/>
      <c r="AV26" s="190"/>
      <c r="AW26" s="190"/>
      <c r="AX26" s="190"/>
      <c r="AY26" s="190"/>
      <c r="AZ26" s="190"/>
      <c r="BA26" s="190"/>
      <c r="BB26" s="190"/>
      <c r="BC26" s="190"/>
      <c r="BD26" s="190"/>
      <c r="BE26" s="190"/>
      <c r="BF26" s="190"/>
      <c r="BG26" s="190"/>
      <c r="BH26" s="190"/>
      <c r="BI26" s="190"/>
      <c r="BJ26" s="190"/>
      <c r="BK26" s="190"/>
      <c r="BL26" s="190"/>
      <c r="BM26" s="190"/>
      <c r="BN26" s="190"/>
      <c r="BO26" s="190"/>
      <c r="BP26" s="190"/>
      <c r="BQ26" s="190"/>
      <c r="BR26" s="190"/>
      <c r="BS26" s="190"/>
      <c r="BT26" s="190"/>
      <c r="BU26" s="190"/>
      <c r="BV26" s="190"/>
      <c r="BW26" s="190"/>
      <c r="BX26" s="190"/>
      <c r="BY26" s="190"/>
      <c r="BZ26" s="190"/>
      <c r="CA26" s="190"/>
      <c r="CB26" s="190"/>
      <c r="CC26" s="190"/>
      <c r="CD26" s="190"/>
      <c r="CE26" s="190"/>
      <c r="CF26" s="190"/>
      <c r="CG26" s="190"/>
      <c r="CH26" s="190"/>
      <c r="CI26" s="190"/>
      <c r="CJ26" s="190"/>
      <c r="CK26" s="190"/>
    </row>
    <row r="27" spans="1:89" x14ac:dyDescent="0.25">
      <c r="A27" s="17" t="s">
        <v>405</v>
      </c>
      <c r="B27" s="26">
        <f>SUM(B22:B26)</f>
        <v>121529283.42999999</v>
      </c>
      <c r="C27" s="26">
        <f t="shared" ref="C27:BN27" si="22">SUM(C22:C26)</f>
        <v>37769112.099999994</v>
      </c>
      <c r="D27" s="26">
        <f t="shared" si="22"/>
        <v>-13016502.939999999</v>
      </c>
      <c r="E27" s="26">
        <f t="shared" si="22"/>
        <v>15209006.420000006</v>
      </c>
      <c r="F27" s="26">
        <f t="shared" si="22"/>
        <v>6278650.0700000003</v>
      </c>
      <c r="G27" s="26">
        <f t="shared" si="22"/>
        <v>18044282.880000003</v>
      </c>
      <c r="H27" s="26">
        <f t="shared" si="22"/>
        <v>1057974.25</v>
      </c>
      <c r="I27" s="26">
        <f t="shared" si="22"/>
        <v>51301220.710000001</v>
      </c>
      <c r="J27" s="26">
        <f t="shared" si="22"/>
        <v>21928465.140000001</v>
      </c>
      <c r="K27" s="26">
        <f t="shared" si="22"/>
        <v>15852722.82</v>
      </c>
      <c r="L27" s="26">
        <f t="shared" si="22"/>
        <v>10347608.9</v>
      </c>
      <c r="M27" s="26">
        <f t="shared" si="22"/>
        <v>73631360.809999987</v>
      </c>
      <c r="N27" s="26">
        <f t="shared" si="22"/>
        <v>34112983.07</v>
      </c>
      <c r="O27" s="26">
        <f t="shared" si="22"/>
        <v>18438248.48</v>
      </c>
      <c r="P27" s="26">
        <f t="shared" si="22"/>
        <v>1155734.4099999999</v>
      </c>
      <c r="Q27" s="26">
        <f t="shared" si="22"/>
        <v>39826956.240000002</v>
      </c>
      <c r="R27" s="26">
        <f t="shared" si="22"/>
        <v>12734430.08</v>
      </c>
      <c r="S27" s="26">
        <f t="shared" si="22"/>
        <v>8505949.0899999999</v>
      </c>
      <c r="T27" s="26">
        <f t="shared" si="22"/>
        <v>2035976.02</v>
      </c>
      <c r="U27" s="26">
        <f t="shared" si="22"/>
        <v>26155269.629999999</v>
      </c>
      <c r="V27" s="26">
        <f t="shared" si="22"/>
        <v>3739105.04</v>
      </c>
      <c r="W27" s="26">
        <f t="shared" si="22"/>
        <v>2916716.47</v>
      </c>
      <c r="X27" s="26">
        <f t="shared" si="22"/>
        <v>1557195.23</v>
      </c>
      <c r="Y27" s="26">
        <f t="shared" si="22"/>
        <v>22655089.129999999</v>
      </c>
      <c r="Z27" s="26">
        <f t="shared" si="22"/>
        <v>147195.29</v>
      </c>
      <c r="AA27" s="26">
        <f t="shared" si="22"/>
        <v>92296.55</v>
      </c>
      <c r="AB27" s="26">
        <f t="shared" si="22"/>
        <v>-2400</v>
      </c>
      <c r="AC27" s="26">
        <f t="shared" si="22"/>
        <v>25657168.020000003</v>
      </c>
      <c r="AD27" s="26">
        <f t="shared" si="22"/>
        <v>-597629.93000000005</v>
      </c>
      <c r="AE27" s="26">
        <f t="shared" si="22"/>
        <v>-307502.71000000002</v>
      </c>
      <c r="AF27" s="26">
        <f t="shared" si="22"/>
        <v>0</v>
      </c>
      <c r="AG27" s="26">
        <f t="shared" si="22"/>
        <v>19410136.32</v>
      </c>
      <c r="AH27" s="26">
        <f t="shared" si="22"/>
        <v>-211123.94</v>
      </c>
      <c r="AI27" s="26">
        <f t="shared" si="22"/>
        <v>-96363.82</v>
      </c>
      <c r="AJ27" s="26">
        <f t="shared" si="22"/>
        <v>0</v>
      </c>
      <c r="AK27" s="26">
        <f t="shared" si="22"/>
        <v>1549800.36</v>
      </c>
      <c r="AL27" s="26">
        <f t="shared" si="22"/>
        <v>0</v>
      </c>
      <c r="AM27" s="26">
        <f t="shared" si="22"/>
        <v>0</v>
      </c>
      <c r="AN27" s="26">
        <f t="shared" si="22"/>
        <v>0</v>
      </c>
      <c r="AO27" s="26">
        <f t="shared" si="22"/>
        <v>89649.079999999958</v>
      </c>
      <c r="AP27" s="26">
        <f t="shared" si="22"/>
        <v>3020.54</v>
      </c>
      <c r="AQ27" s="26">
        <f t="shared" si="22"/>
        <v>10356.16</v>
      </c>
      <c r="AR27" s="26">
        <f t="shared" si="22"/>
        <v>0</v>
      </c>
      <c r="AS27" s="26">
        <f t="shared" si="22"/>
        <v>0</v>
      </c>
      <c r="AT27" s="26">
        <f t="shared" si="22"/>
        <v>556604.28</v>
      </c>
      <c r="AU27" s="26">
        <f t="shared" si="22"/>
        <v>47918.79</v>
      </c>
      <c r="AV27" s="26">
        <f t="shared" si="22"/>
        <v>665864.48</v>
      </c>
      <c r="AW27" s="26">
        <f t="shared" si="22"/>
        <v>5051692.58</v>
      </c>
      <c r="AX27" s="26">
        <f t="shared" si="22"/>
        <v>2496157.7200000002</v>
      </c>
      <c r="AY27" s="26">
        <f t="shared" si="22"/>
        <v>1832311.81</v>
      </c>
      <c r="AZ27" s="26">
        <f t="shared" si="22"/>
        <v>100000</v>
      </c>
      <c r="BA27" s="26">
        <f t="shared" si="22"/>
        <v>-3923017.4</v>
      </c>
      <c r="BB27" s="26">
        <f t="shared" si="22"/>
        <v>-497364.9</v>
      </c>
      <c r="BC27" s="26">
        <f t="shared" si="22"/>
        <v>-499893.8</v>
      </c>
      <c r="BD27" s="26">
        <f t="shared" si="22"/>
        <v>0</v>
      </c>
      <c r="BE27" s="26">
        <f t="shared" si="22"/>
        <v>-126753.75</v>
      </c>
      <c r="BF27" s="26">
        <f t="shared" si="22"/>
        <v>344265.81</v>
      </c>
      <c r="BG27" s="26">
        <f t="shared" si="22"/>
        <v>344265.81</v>
      </c>
      <c r="BH27" s="26">
        <f t="shared" si="22"/>
        <v>1026367.48</v>
      </c>
      <c r="BI27" s="26">
        <f t="shared" si="22"/>
        <v>-554425.18000000005</v>
      </c>
      <c r="BJ27" s="26">
        <f t="shared" si="22"/>
        <v>287254.11</v>
      </c>
      <c r="BK27" s="26">
        <f t="shared" si="22"/>
        <v>52424.27</v>
      </c>
      <c r="BL27" s="26">
        <f t="shared" si="22"/>
        <v>265460.88</v>
      </c>
      <c r="BM27" s="26">
        <f t="shared" si="22"/>
        <v>178932.4</v>
      </c>
      <c r="BN27" s="26">
        <f t="shared" si="22"/>
        <v>1871129.6000000001</v>
      </c>
      <c r="BO27" s="26">
        <f t="shared" ref="BO27:CJ27" si="23">SUM(BO22:BO26)</f>
        <v>1511721.55</v>
      </c>
      <c r="BP27" s="26">
        <f t="shared" si="23"/>
        <v>-174029.22</v>
      </c>
      <c r="BQ27" s="26">
        <f t="shared" si="23"/>
        <v>12349967.949999999</v>
      </c>
      <c r="BR27" s="26">
        <f t="shared" si="23"/>
        <v>12720000</v>
      </c>
      <c r="BS27" s="26">
        <f t="shared" si="23"/>
        <v>9766309.1799999997</v>
      </c>
      <c r="BT27" s="26">
        <f t="shared" si="23"/>
        <v>5348519.25</v>
      </c>
      <c r="BU27" s="26">
        <f t="shared" si="23"/>
        <v>2373601.7000000002</v>
      </c>
      <c r="BV27" s="26">
        <f t="shared" si="23"/>
        <v>0</v>
      </c>
      <c r="BW27" s="26">
        <f t="shared" si="23"/>
        <v>0</v>
      </c>
      <c r="BX27" s="26">
        <f t="shared" si="23"/>
        <v>0</v>
      </c>
      <c r="BY27" s="26">
        <f t="shared" si="23"/>
        <v>0</v>
      </c>
      <c r="BZ27" s="26">
        <f t="shared" si="23"/>
        <v>0</v>
      </c>
      <c r="CA27" s="26">
        <f t="shared" si="23"/>
        <v>0</v>
      </c>
      <c r="CB27" s="26">
        <f t="shared" si="23"/>
        <v>0</v>
      </c>
      <c r="CC27" s="26">
        <f t="shared" si="23"/>
        <v>0</v>
      </c>
      <c r="CD27" s="26">
        <f t="shared" si="23"/>
        <v>0</v>
      </c>
      <c r="CE27" s="26">
        <f t="shared" si="23"/>
        <v>7729000</v>
      </c>
      <c r="CF27" s="26">
        <f t="shared" si="23"/>
        <v>2092581.44</v>
      </c>
      <c r="CG27" s="26">
        <f t="shared" si="23"/>
        <v>0</v>
      </c>
      <c r="CH27" s="26">
        <f t="shared" si="23"/>
        <v>0</v>
      </c>
      <c r="CI27" s="26">
        <f t="shared" si="23"/>
        <v>0</v>
      </c>
      <c r="CJ27" s="26">
        <f t="shared" si="23"/>
        <v>0</v>
      </c>
    </row>
    <row r="28" spans="1:89" x14ac:dyDescent="0.25">
      <c r="A28" s="17" t="s">
        <v>406</v>
      </c>
      <c r="B28" s="26">
        <f>SUM(B22:B25)*B41</f>
        <v>16847429.880214676</v>
      </c>
      <c r="C28" s="26">
        <f t="shared" ref="C28:BN28" si="24">SUM(C22:C25)*C41</f>
        <v>5761662.9556727009</v>
      </c>
      <c r="D28" s="26">
        <f t="shared" si="24"/>
        <v>2543618.3946418948</v>
      </c>
      <c r="E28" s="26">
        <f t="shared" si="24"/>
        <v>7668246.4035728993</v>
      </c>
      <c r="F28" s="26">
        <f t="shared" si="24"/>
        <v>6149655.5846617203</v>
      </c>
      <c r="G28" s="26">
        <f t="shared" si="24"/>
        <v>5863386.7914812453</v>
      </c>
      <c r="H28" s="26">
        <f t="shared" si="24"/>
        <v>117981.79293980174</v>
      </c>
      <c r="I28" s="26">
        <f t="shared" si="24"/>
        <v>9161722.5892785266</v>
      </c>
      <c r="J28" s="26">
        <f t="shared" si="24"/>
        <v>3901338.0043268641</v>
      </c>
      <c r="K28" s="26">
        <f t="shared" si="24"/>
        <v>3210449.3473368753</v>
      </c>
      <c r="L28" s="26">
        <f t="shared" si="24"/>
        <v>1748110.313934925</v>
      </c>
      <c r="M28" s="26">
        <f t="shared" si="24"/>
        <v>12415248.889057485</v>
      </c>
      <c r="N28" s="26">
        <f t="shared" si="24"/>
        <v>4200051.3289055135</v>
      </c>
      <c r="O28" s="26">
        <f t="shared" si="24"/>
        <v>2553903.0988112884</v>
      </c>
      <c r="P28" s="26">
        <f t="shared" si="24"/>
        <v>156929.02084545183</v>
      </c>
      <c r="Q28" s="26">
        <f t="shared" si="24"/>
        <v>4734352.0591161838</v>
      </c>
      <c r="R28" s="26">
        <f t="shared" si="24"/>
        <v>1594032.0103518011</v>
      </c>
      <c r="S28" s="26">
        <f t="shared" si="24"/>
        <v>1144800.9863141736</v>
      </c>
      <c r="T28" s="26">
        <f t="shared" si="24"/>
        <v>275789.49454740225</v>
      </c>
      <c r="U28" s="26">
        <f t="shared" si="24"/>
        <v>4116238.9547601882</v>
      </c>
      <c r="V28" s="26">
        <f t="shared" si="24"/>
        <v>580658.65260654246</v>
      </c>
      <c r="W28" s="26">
        <f t="shared" si="24"/>
        <v>511324.02480735083</v>
      </c>
      <c r="X28" s="26">
        <f t="shared" si="24"/>
        <v>303983.2145100598</v>
      </c>
      <c r="Y28" s="26">
        <f t="shared" si="24"/>
        <v>3167477.8725058967</v>
      </c>
      <c r="Z28" s="26">
        <f t="shared" si="24"/>
        <v>0</v>
      </c>
      <c r="AA28" s="26">
        <f t="shared" si="24"/>
        <v>0</v>
      </c>
      <c r="AB28" s="26">
        <f t="shared" si="24"/>
        <v>0</v>
      </c>
      <c r="AC28" s="26">
        <f t="shared" si="24"/>
        <v>4202000.6144402996</v>
      </c>
      <c r="AD28" s="26">
        <f t="shared" si="24"/>
        <v>0</v>
      </c>
      <c r="AE28" s="26">
        <f t="shared" si="24"/>
        <v>0</v>
      </c>
      <c r="AF28" s="26">
        <f t="shared" si="24"/>
        <v>0</v>
      </c>
      <c r="AG28" s="26">
        <f t="shared" si="24"/>
        <v>5005181.3667588215</v>
      </c>
      <c r="AH28" s="26">
        <f t="shared" si="24"/>
        <v>0</v>
      </c>
      <c r="AI28" s="26">
        <f t="shared" si="24"/>
        <v>0</v>
      </c>
      <c r="AJ28" s="26">
        <f t="shared" si="24"/>
        <v>0</v>
      </c>
      <c r="AK28" s="26">
        <f t="shared" si="24"/>
        <v>405354.31767437374</v>
      </c>
      <c r="AL28" s="26">
        <f t="shared" si="24"/>
        <v>0</v>
      </c>
      <c r="AM28" s="26">
        <f t="shared" si="24"/>
        <v>0</v>
      </c>
      <c r="AN28" s="26">
        <f t="shared" si="24"/>
        <v>0</v>
      </c>
      <c r="AO28" s="26">
        <f t="shared" si="24"/>
        <v>17195.652386370293</v>
      </c>
      <c r="AP28" s="26">
        <f t="shared" si="24"/>
        <v>599.41758097796776</v>
      </c>
      <c r="AQ28" s="26">
        <f t="shared" si="24"/>
        <v>2424.4836931860436</v>
      </c>
      <c r="AR28" s="26">
        <f t="shared" si="24"/>
        <v>0</v>
      </c>
      <c r="AS28" s="26" t="e">
        <f t="shared" si="24"/>
        <v>#DIV/0!</v>
      </c>
      <c r="AT28" s="26">
        <f t="shared" si="24"/>
        <v>8678777.9360173382</v>
      </c>
      <c r="AU28" s="26">
        <f t="shared" si="24"/>
        <v>736819.25322403584</v>
      </c>
      <c r="AV28" s="26">
        <f t="shared" si="24"/>
        <v>61688651.607207946</v>
      </c>
      <c r="AW28" s="26">
        <f t="shared" si="24"/>
        <v>55145390.309275553</v>
      </c>
      <c r="AX28" s="26">
        <f t="shared" si="24"/>
        <v>45508373.624261901</v>
      </c>
      <c r="AY28" s="26">
        <f t="shared" si="24"/>
        <v>29356178.013127491</v>
      </c>
      <c r="AZ28" s="26">
        <f t="shared" si="24"/>
        <v>9309832.2439196259</v>
      </c>
      <c r="BA28" s="26">
        <f t="shared" si="24"/>
        <v>-73090948.756924793</v>
      </c>
      <c r="BB28" s="26">
        <f t="shared" si="24"/>
        <v>-27506429.935167491</v>
      </c>
      <c r="BC28" s="26">
        <f t="shared" si="24"/>
        <v>-33631480.269690327</v>
      </c>
      <c r="BD28" s="26">
        <f t="shared" si="24"/>
        <v>0</v>
      </c>
      <c r="BE28" s="26">
        <f t="shared" si="24"/>
        <v>-2124937.575135876</v>
      </c>
      <c r="BF28" s="26">
        <f t="shared" si="24"/>
        <v>9312072.4452624731</v>
      </c>
      <c r="BG28" s="26">
        <f t="shared" si="24"/>
        <v>8366746.116974527</v>
      </c>
      <c r="BH28" s="26">
        <f t="shared" si="24"/>
        <v>71846492.365195543</v>
      </c>
      <c r="BI28" s="26">
        <f t="shared" si="24"/>
        <v>-7646059.4073319184</v>
      </c>
      <c r="BJ28" s="26">
        <f t="shared" si="24"/>
        <v>4501387.5492030783</v>
      </c>
      <c r="BK28" s="26">
        <f t="shared" si="24"/>
        <v>1076294.9055382719</v>
      </c>
      <c r="BL28" s="26">
        <f t="shared" si="24"/>
        <v>20306783.817003667</v>
      </c>
      <c r="BM28" s="26">
        <f t="shared" si="24"/>
        <v>1665197.8649603666</v>
      </c>
      <c r="BN28" s="26">
        <f t="shared" si="24"/>
        <v>15118739.805168763</v>
      </c>
      <c r="BO28" s="26">
        <f t="shared" ref="BO28:CJ28" si="25">SUM(BO22:BO25)*BO41</f>
        <v>14558067.407516127</v>
      </c>
      <c r="BP28" s="26">
        <f t="shared" si="25"/>
        <v>-2873431.4174922286</v>
      </c>
      <c r="BQ28" s="26">
        <f t="shared" si="25"/>
        <v>38182185.896003723</v>
      </c>
      <c r="BR28" s="26">
        <f t="shared" si="25"/>
        <v>160590000</v>
      </c>
      <c r="BS28" s="26">
        <f t="shared" si="25"/>
        <v>66687842.606971629</v>
      </c>
      <c r="BT28" s="26">
        <f t="shared" si="25"/>
        <v>68744923.211102709</v>
      </c>
      <c r="BU28" s="26">
        <f t="shared" si="25"/>
        <v>33907235.859668337</v>
      </c>
      <c r="BV28" s="26">
        <f t="shared" si="25"/>
        <v>0</v>
      </c>
      <c r="BW28" s="26">
        <f t="shared" si="25"/>
        <v>0</v>
      </c>
      <c r="BX28" s="26">
        <f t="shared" si="25"/>
        <v>0</v>
      </c>
      <c r="BY28" s="26">
        <f t="shared" si="25"/>
        <v>0</v>
      </c>
      <c r="BZ28" s="26">
        <f t="shared" si="25"/>
        <v>0</v>
      </c>
      <c r="CA28" s="26">
        <f t="shared" si="25"/>
        <v>0</v>
      </c>
      <c r="CB28" s="26">
        <f t="shared" si="25"/>
        <v>0</v>
      </c>
      <c r="CC28" s="26">
        <f t="shared" si="25"/>
        <v>0</v>
      </c>
      <c r="CD28" s="26" t="e">
        <f t="shared" si="25"/>
        <v>#DIV/0!</v>
      </c>
      <c r="CE28" s="26">
        <f t="shared" si="25"/>
        <v>27810000</v>
      </c>
      <c r="CF28" s="26">
        <f t="shared" si="25"/>
        <v>16447145.279999999</v>
      </c>
      <c r="CG28" s="26" t="e">
        <f t="shared" si="25"/>
        <v>#DIV/0!</v>
      </c>
      <c r="CH28" s="26" t="e">
        <f t="shared" si="25"/>
        <v>#DIV/0!</v>
      </c>
      <c r="CI28" s="26" t="e">
        <f t="shared" si="25"/>
        <v>#DIV/0!</v>
      </c>
      <c r="CJ28" s="26" t="e">
        <f t="shared" si="25"/>
        <v>#DIV/0!</v>
      </c>
    </row>
    <row r="29" spans="1:89" s="2" customFormat="1" x14ac:dyDescent="0.25">
      <c r="A29" s="20" t="s">
        <v>407</v>
      </c>
      <c r="B29" s="28">
        <f>B27-B28</f>
        <v>104681853.54978532</v>
      </c>
      <c r="C29" s="28">
        <f t="shared" ref="C29:BN29" si="26">C27-C28</f>
        <v>32007449.144327294</v>
      </c>
      <c r="D29" s="28">
        <f t="shared" si="26"/>
        <v>-15560121.334641894</v>
      </c>
      <c r="E29" s="28">
        <f t="shared" si="26"/>
        <v>7540760.0164271062</v>
      </c>
      <c r="F29" s="28">
        <f t="shared" si="26"/>
        <v>128994.48533827998</v>
      </c>
      <c r="G29" s="28">
        <f t="shared" si="26"/>
        <v>12180896.088518757</v>
      </c>
      <c r="H29" s="28">
        <f t="shared" si="26"/>
        <v>939992.4570601983</v>
      </c>
      <c r="I29" s="28">
        <f t="shared" si="26"/>
        <v>42139498.120721474</v>
      </c>
      <c r="J29" s="28">
        <f t="shared" si="26"/>
        <v>18027127.135673136</v>
      </c>
      <c r="K29" s="28">
        <f t="shared" si="26"/>
        <v>12642273.472663125</v>
      </c>
      <c r="L29" s="28">
        <f t="shared" si="26"/>
        <v>8599498.5860650763</v>
      </c>
      <c r="M29" s="28">
        <f t="shared" si="26"/>
        <v>61216111.9209425</v>
      </c>
      <c r="N29" s="28">
        <f t="shared" si="26"/>
        <v>29912931.741094485</v>
      </c>
      <c r="O29" s="28">
        <f t="shared" si="26"/>
        <v>15884345.381188713</v>
      </c>
      <c r="P29" s="28">
        <f t="shared" si="26"/>
        <v>998805.38915454806</v>
      </c>
      <c r="Q29" s="28">
        <f t="shared" si="26"/>
        <v>35092604.180883817</v>
      </c>
      <c r="R29" s="28">
        <f t="shared" si="26"/>
        <v>11140398.069648199</v>
      </c>
      <c r="S29" s="28">
        <f t="shared" si="26"/>
        <v>7361148.1036858261</v>
      </c>
      <c r="T29" s="28">
        <f t="shared" si="26"/>
        <v>1760186.5254525978</v>
      </c>
      <c r="U29" s="28">
        <f t="shared" si="26"/>
        <v>22039030.675239809</v>
      </c>
      <c r="V29" s="28">
        <f t="shared" si="26"/>
        <v>3158446.3873934578</v>
      </c>
      <c r="W29" s="28">
        <f t="shared" si="26"/>
        <v>2405392.4451926495</v>
      </c>
      <c r="X29" s="28">
        <f t="shared" si="26"/>
        <v>1253212.0154899401</v>
      </c>
      <c r="Y29" s="28">
        <f t="shared" si="26"/>
        <v>19487611.257494103</v>
      </c>
      <c r="Z29" s="28">
        <f t="shared" si="26"/>
        <v>147195.29</v>
      </c>
      <c r="AA29" s="28">
        <f t="shared" si="26"/>
        <v>92296.55</v>
      </c>
      <c r="AB29" s="28">
        <f t="shared" si="26"/>
        <v>-2400</v>
      </c>
      <c r="AC29" s="28">
        <f t="shared" si="26"/>
        <v>21455167.405559704</v>
      </c>
      <c r="AD29" s="28">
        <f t="shared" si="26"/>
        <v>-597629.93000000005</v>
      </c>
      <c r="AE29" s="28">
        <f t="shared" si="26"/>
        <v>-307502.71000000002</v>
      </c>
      <c r="AF29" s="28">
        <f t="shared" si="26"/>
        <v>0</v>
      </c>
      <c r="AG29" s="28">
        <f t="shared" si="26"/>
        <v>14404954.953241179</v>
      </c>
      <c r="AH29" s="28">
        <f t="shared" si="26"/>
        <v>-211123.94</v>
      </c>
      <c r="AI29" s="28">
        <f t="shared" si="26"/>
        <v>-96363.82</v>
      </c>
      <c r="AJ29" s="28">
        <f t="shared" si="26"/>
        <v>0</v>
      </c>
      <c r="AK29" s="28">
        <f t="shared" si="26"/>
        <v>1144446.0423256264</v>
      </c>
      <c r="AL29" s="28">
        <f t="shared" si="26"/>
        <v>0</v>
      </c>
      <c r="AM29" s="28">
        <f t="shared" si="26"/>
        <v>0</v>
      </c>
      <c r="AN29" s="28">
        <f t="shared" si="26"/>
        <v>0</v>
      </c>
      <c r="AO29" s="28">
        <f t="shared" si="26"/>
        <v>72453.427613629668</v>
      </c>
      <c r="AP29" s="28">
        <f t="shared" si="26"/>
        <v>2421.1224190220323</v>
      </c>
      <c r="AQ29" s="28">
        <f t="shared" si="26"/>
        <v>7931.6763068139562</v>
      </c>
      <c r="AR29" s="28">
        <f t="shared" si="26"/>
        <v>0</v>
      </c>
      <c r="AS29" s="28" t="e">
        <f t="shared" si="26"/>
        <v>#DIV/0!</v>
      </c>
      <c r="AT29" s="28">
        <f t="shared" si="26"/>
        <v>-8122173.6560173379</v>
      </c>
      <c r="AU29" s="28">
        <f t="shared" si="26"/>
        <v>-688900.4632240358</v>
      </c>
      <c r="AV29" s="28">
        <f t="shared" si="26"/>
        <v>-61022787.12720795</v>
      </c>
      <c r="AW29" s="28">
        <f t="shared" si="26"/>
        <v>-50093697.729275554</v>
      </c>
      <c r="AX29" s="28">
        <f t="shared" si="26"/>
        <v>-43012215.904261902</v>
      </c>
      <c r="AY29" s="28">
        <f t="shared" si="26"/>
        <v>-27523866.203127492</v>
      </c>
      <c r="AZ29" s="28">
        <f t="shared" si="26"/>
        <v>-9209832.2439196259</v>
      </c>
      <c r="BA29" s="28">
        <f t="shared" si="26"/>
        <v>69167931.356924787</v>
      </c>
      <c r="BB29" s="28">
        <f t="shared" si="26"/>
        <v>27009065.035167493</v>
      </c>
      <c r="BC29" s="28">
        <f t="shared" si="26"/>
        <v>33131586.469690327</v>
      </c>
      <c r="BD29" s="28">
        <f t="shared" si="26"/>
        <v>0</v>
      </c>
      <c r="BE29" s="28">
        <f t="shared" si="26"/>
        <v>1998183.825135876</v>
      </c>
      <c r="BF29" s="28">
        <f t="shared" si="26"/>
        <v>-8967806.6352624726</v>
      </c>
      <c r="BG29" s="28">
        <f t="shared" si="26"/>
        <v>-8022480.3069745274</v>
      </c>
      <c r="BH29" s="28">
        <f t="shared" si="26"/>
        <v>-70820124.885195538</v>
      </c>
      <c r="BI29" s="28">
        <f t="shared" si="26"/>
        <v>7091634.2273319187</v>
      </c>
      <c r="BJ29" s="28">
        <f t="shared" si="26"/>
        <v>-4214133.4392030779</v>
      </c>
      <c r="BK29" s="28">
        <f t="shared" si="26"/>
        <v>-1023870.6355382719</v>
      </c>
      <c r="BL29" s="28">
        <f t="shared" si="26"/>
        <v>-20041322.937003668</v>
      </c>
      <c r="BM29" s="28">
        <f t="shared" si="26"/>
        <v>-1486265.4649603667</v>
      </c>
      <c r="BN29" s="28">
        <f t="shared" si="26"/>
        <v>-13247610.205168763</v>
      </c>
      <c r="BO29" s="28">
        <f t="shared" ref="BO29:CK29" si="27">BO27-BO28</f>
        <v>-13046345.857516127</v>
      </c>
      <c r="BP29" s="28">
        <f t="shared" si="27"/>
        <v>2699402.1974922284</v>
      </c>
      <c r="BQ29" s="28">
        <f t="shared" si="27"/>
        <v>-25832217.946003724</v>
      </c>
      <c r="BR29" s="28">
        <f t="shared" si="27"/>
        <v>-147870000</v>
      </c>
      <c r="BS29" s="28">
        <f t="shared" si="27"/>
        <v>-56921533.426971629</v>
      </c>
      <c r="BT29" s="28">
        <f t="shared" si="27"/>
        <v>-63396403.961102709</v>
      </c>
      <c r="BU29" s="28">
        <f t="shared" si="27"/>
        <v>-31533634.159668338</v>
      </c>
      <c r="BV29" s="28">
        <f t="shared" si="27"/>
        <v>0</v>
      </c>
      <c r="BW29" s="28">
        <f t="shared" si="27"/>
        <v>0</v>
      </c>
      <c r="BX29" s="28">
        <f t="shared" si="27"/>
        <v>0</v>
      </c>
      <c r="BY29" s="28">
        <f t="shared" si="27"/>
        <v>0</v>
      </c>
      <c r="BZ29" s="28">
        <f t="shared" si="27"/>
        <v>0</v>
      </c>
      <c r="CA29" s="28">
        <f t="shared" si="27"/>
        <v>0</v>
      </c>
      <c r="CB29" s="28">
        <f t="shared" si="27"/>
        <v>0</v>
      </c>
      <c r="CC29" s="28">
        <f t="shared" si="27"/>
        <v>0</v>
      </c>
      <c r="CD29" s="28" t="e">
        <f t="shared" si="27"/>
        <v>#DIV/0!</v>
      </c>
      <c r="CE29" s="28">
        <f t="shared" si="27"/>
        <v>-20081000</v>
      </c>
      <c r="CF29" s="28">
        <f t="shared" si="27"/>
        <v>-14354563.84</v>
      </c>
      <c r="CG29" s="28" t="e">
        <f t="shared" si="27"/>
        <v>#DIV/0!</v>
      </c>
      <c r="CH29" s="28" t="e">
        <f t="shared" si="27"/>
        <v>#DIV/0!</v>
      </c>
      <c r="CI29" s="28" t="e">
        <f t="shared" si="27"/>
        <v>#DIV/0!</v>
      </c>
      <c r="CJ29" s="28" t="e">
        <f t="shared" si="27"/>
        <v>#DIV/0!</v>
      </c>
      <c r="CK29" s="28">
        <f t="shared" si="27"/>
        <v>0</v>
      </c>
    </row>
    <row r="30" spans="1:89" s="16" customFormat="1" x14ac:dyDescent="0.25">
      <c r="A30" s="18" t="s">
        <v>88</v>
      </c>
      <c r="B30" s="30"/>
      <c r="C30" s="30"/>
      <c r="D30" s="30"/>
      <c r="E30" s="30"/>
      <c r="F30" s="30"/>
      <c r="G30" s="30"/>
      <c r="H30" s="30"/>
      <c r="I30" s="30"/>
      <c r="J30" s="30"/>
      <c r="K30" s="30"/>
    </row>
    <row r="31" spans="1:89" x14ac:dyDescent="0.25">
      <c r="A31" s="17" t="s">
        <v>408</v>
      </c>
      <c r="B31" s="26">
        <f>B15+B20+B27</f>
        <v>511440361.10000026</v>
      </c>
      <c r="C31" s="26">
        <f t="shared" ref="C31:BN31" si="28">C15+C20+C27</f>
        <v>294449745.95999992</v>
      </c>
      <c r="D31" s="26">
        <f t="shared" si="28"/>
        <v>179084993.25999981</v>
      </c>
      <c r="E31" s="26">
        <f t="shared" si="28"/>
        <v>538387354.63</v>
      </c>
      <c r="F31" s="26">
        <f t="shared" si="28"/>
        <v>425359328.74000007</v>
      </c>
      <c r="G31" s="26">
        <f t="shared" si="28"/>
        <v>232589541.70999974</v>
      </c>
      <c r="H31" s="26">
        <f t="shared" si="28"/>
        <v>146338760.84999999</v>
      </c>
      <c r="I31" s="26">
        <f t="shared" si="28"/>
        <v>431574444.92999971</v>
      </c>
      <c r="J31" s="26">
        <f t="shared" si="28"/>
        <v>332948179.57000005</v>
      </c>
      <c r="K31" s="26">
        <f t="shared" si="28"/>
        <v>201569235.89000016</v>
      </c>
      <c r="L31" s="26">
        <f t="shared" si="28"/>
        <v>136228262.09</v>
      </c>
      <c r="M31" s="26">
        <f t="shared" si="28"/>
        <v>515209098.85999995</v>
      </c>
      <c r="N31" s="26">
        <f t="shared" si="28"/>
        <v>370693162.94</v>
      </c>
      <c r="O31" s="26">
        <f t="shared" si="28"/>
        <v>209909798.76999992</v>
      </c>
      <c r="P31" s="26">
        <f t="shared" si="28"/>
        <v>135352090.14999995</v>
      </c>
      <c r="Q31" s="26">
        <f t="shared" si="28"/>
        <v>451866568.5200001</v>
      </c>
      <c r="R31" s="26">
        <f t="shared" si="28"/>
        <v>299267942.67000008</v>
      </c>
      <c r="S31" s="26">
        <f t="shared" si="28"/>
        <v>170024098.80000001</v>
      </c>
      <c r="T31" s="26">
        <f t="shared" si="28"/>
        <v>108758833.57000002</v>
      </c>
      <c r="U31" s="26">
        <f t="shared" si="28"/>
        <v>391324311.58000004</v>
      </c>
      <c r="V31" s="26">
        <f t="shared" si="28"/>
        <v>258040861.87000003</v>
      </c>
      <c r="W31" s="26">
        <f t="shared" si="28"/>
        <v>150262191.10999995</v>
      </c>
      <c r="X31" s="26">
        <f t="shared" si="28"/>
        <v>99194270.459999919</v>
      </c>
      <c r="Y31" s="26">
        <f t="shared" si="28"/>
        <v>444040577.99000007</v>
      </c>
      <c r="Z31" s="26">
        <f t="shared" si="28"/>
        <v>279242278.99000013</v>
      </c>
      <c r="AA31" s="26">
        <f t="shared" si="28"/>
        <v>146425961.03000003</v>
      </c>
      <c r="AB31" s="26">
        <f t="shared" si="28"/>
        <v>124904015.53999996</v>
      </c>
      <c r="AC31" s="26">
        <f t="shared" si="28"/>
        <v>443851705.62000006</v>
      </c>
      <c r="AD31" s="26">
        <f t="shared" si="28"/>
        <v>310084658.5399999</v>
      </c>
      <c r="AE31" s="26">
        <f t="shared" si="28"/>
        <v>180074060.04000005</v>
      </c>
      <c r="AF31" s="26">
        <f t="shared" si="28"/>
        <v>112630629.38000003</v>
      </c>
      <c r="AG31" s="26">
        <f t="shared" si="28"/>
        <v>282870442.33000022</v>
      </c>
      <c r="AH31" s="26">
        <f t="shared" si="28"/>
        <v>201180008.63000011</v>
      </c>
      <c r="AI31" s="26">
        <f t="shared" si="28"/>
        <v>109916018.11999997</v>
      </c>
      <c r="AJ31" s="26">
        <f t="shared" si="28"/>
        <v>67077628.009999976</v>
      </c>
      <c r="AK31" s="26">
        <f t="shared" si="28"/>
        <v>196915880.47999987</v>
      </c>
      <c r="AL31" s="26">
        <f t="shared" si="28"/>
        <v>133034906.21999998</v>
      </c>
      <c r="AM31" s="26">
        <f t="shared" si="28"/>
        <v>67100112.639999993</v>
      </c>
      <c r="AN31" s="26">
        <f t="shared" si="28"/>
        <v>44924420.930000037</v>
      </c>
      <c r="AO31" s="26">
        <f t="shared" si="28"/>
        <v>138093372.69999996</v>
      </c>
      <c r="AP31" s="26">
        <f t="shared" si="28"/>
        <v>105790831.61000009</v>
      </c>
      <c r="AQ31" s="26">
        <f t="shared" si="28"/>
        <v>113614586.10999995</v>
      </c>
      <c r="AR31" s="26">
        <f t="shared" si="28"/>
        <v>55021222.969999909</v>
      </c>
      <c r="AS31" s="26">
        <f t="shared" si="28"/>
        <v>0</v>
      </c>
      <c r="AT31" s="26">
        <f t="shared" si="28"/>
        <v>556604.28</v>
      </c>
      <c r="AU31" s="26">
        <f t="shared" si="28"/>
        <v>47918.79</v>
      </c>
      <c r="AV31" s="26">
        <f t="shared" si="28"/>
        <v>665864.48</v>
      </c>
      <c r="AW31" s="26">
        <f t="shared" si="28"/>
        <v>5051692.58</v>
      </c>
      <c r="AX31" s="26">
        <f t="shared" si="28"/>
        <v>2496157.7200000002</v>
      </c>
      <c r="AY31" s="26">
        <f t="shared" si="28"/>
        <v>1832311.81</v>
      </c>
      <c r="AZ31" s="26">
        <f t="shared" si="28"/>
        <v>100000</v>
      </c>
      <c r="BA31" s="26">
        <f t="shared" si="28"/>
        <v>-3923017.4</v>
      </c>
      <c r="BB31" s="26">
        <f t="shared" si="28"/>
        <v>-497364.9</v>
      </c>
      <c r="BC31" s="26">
        <f t="shared" si="28"/>
        <v>-499893.8</v>
      </c>
      <c r="BD31" s="26">
        <f t="shared" si="28"/>
        <v>0</v>
      </c>
      <c r="BE31" s="26">
        <f t="shared" si="28"/>
        <v>-126753.75</v>
      </c>
      <c r="BF31" s="26">
        <f t="shared" si="28"/>
        <v>344265.81</v>
      </c>
      <c r="BG31" s="26">
        <f t="shared" si="28"/>
        <v>344265.81</v>
      </c>
      <c r="BH31" s="26">
        <f t="shared" si="28"/>
        <v>1026367.48</v>
      </c>
      <c r="BI31" s="26">
        <f t="shared" si="28"/>
        <v>-554425.18000000005</v>
      </c>
      <c r="BJ31" s="26">
        <f t="shared" si="28"/>
        <v>287254.11</v>
      </c>
      <c r="BK31" s="26">
        <f t="shared" si="28"/>
        <v>52424.27</v>
      </c>
      <c r="BL31" s="26">
        <f t="shared" si="28"/>
        <v>265460.88</v>
      </c>
      <c r="BM31" s="26">
        <f t="shared" si="28"/>
        <v>178932.4</v>
      </c>
      <c r="BN31" s="26">
        <f t="shared" si="28"/>
        <v>1871129.6000000001</v>
      </c>
      <c r="BO31" s="26">
        <f t="shared" ref="BO31:CJ31" si="29">BO15+BO20+BO27</f>
        <v>1511721.55</v>
      </c>
      <c r="BP31" s="26">
        <f t="shared" si="29"/>
        <v>-174029.22</v>
      </c>
      <c r="BQ31" s="26">
        <f t="shared" si="29"/>
        <v>12349967.949999999</v>
      </c>
      <c r="BR31" s="26">
        <f t="shared" si="29"/>
        <v>12720000</v>
      </c>
      <c r="BS31" s="26">
        <f t="shared" si="29"/>
        <v>9766309.1799999997</v>
      </c>
      <c r="BT31" s="26">
        <f t="shared" si="29"/>
        <v>5348519.25</v>
      </c>
      <c r="BU31" s="26">
        <f t="shared" si="29"/>
        <v>2373601.7000000002</v>
      </c>
      <c r="BV31" s="26">
        <f t="shared" si="29"/>
        <v>0</v>
      </c>
      <c r="BW31" s="26">
        <f t="shared" si="29"/>
        <v>0</v>
      </c>
      <c r="BX31" s="26">
        <f t="shared" si="29"/>
        <v>0</v>
      </c>
      <c r="BY31" s="26">
        <f t="shared" si="29"/>
        <v>0</v>
      </c>
      <c r="BZ31" s="26">
        <f t="shared" si="29"/>
        <v>0</v>
      </c>
      <c r="CA31" s="26">
        <f t="shared" si="29"/>
        <v>0</v>
      </c>
      <c r="CB31" s="26">
        <f t="shared" si="29"/>
        <v>0</v>
      </c>
      <c r="CC31" s="26">
        <f t="shared" si="29"/>
        <v>0</v>
      </c>
      <c r="CD31" s="26">
        <f t="shared" si="29"/>
        <v>0</v>
      </c>
      <c r="CE31" s="26">
        <f t="shared" si="29"/>
        <v>7729000</v>
      </c>
      <c r="CF31" s="26">
        <f t="shared" si="29"/>
        <v>2092581.44</v>
      </c>
      <c r="CG31" s="26">
        <f t="shared" si="29"/>
        <v>0</v>
      </c>
      <c r="CH31" s="26">
        <f t="shared" si="29"/>
        <v>0</v>
      </c>
      <c r="CI31" s="26">
        <f t="shared" si="29"/>
        <v>0</v>
      </c>
      <c r="CJ31" s="26">
        <f t="shared" si="29"/>
        <v>0</v>
      </c>
    </row>
    <row r="32" spans="1:89" s="57" customFormat="1" x14ac:dyDescent="0.25">
      <c r="A32" s="57" t="s">
        <v>409</v>
      </c>
      <c r="B32" s="57">
        <f>B31/B4*100</f>
        <v>14.817136616039072</v>
      </c>
      <c r="C32" s="57">
        <f t="shared" ref="C32:D32" si="30">C31/C4*100</f>
        <v>13.402925280424704</v>
      </c>
      <c r="D32" s="57">
        <f t="shared" si="30"/>
        <v>15.286697032450386</v>
      </c>
      <c r="E32" s="57">
        <f>E31/E4</f>
        <v>0.11548789743858551</v>
      </c>
      <c r="F32" s="57">
        <f t="shared" ref="F32:BQ32" si="31">F31/F4</f>
        <v>0.13364858043541908</v>
      </c>
      <c r="G32" s="57">
        <f t="shared" si="31"/>
        <v>0.11738433870662425</v>
      </c>
      <c r="H32" s="57">
        <f t="shared" si="31"/>
        <v>0.13834684275621684</v>
      </c>
      <c r="I32" s="57">
        <f t="shared" si="31"/>
        <v>0.13691142497678241</v>
      </c>
      <c r="J32" s="57">
        <f t="shared" si="31"/>
        <v>0.15448136965877582</v>
      </c>
      <c r="K32" s="57">
        <f t="shared" si="31"/>
        <v>0.15007947332205959</v>
      </c>
      <c r="L32" s="57">
        <f t="shared" si="31"/>
        <v>0.17857891644584431</v>
      </c>
      <c r="M32" s="57">
        <f t="shared" si="31"/>
        <v>0.1767056900652649</v>
      </c>
      <c r="N32" s="57">
        <f t="shared" si="31"/>
        <v>0.18117107853799705</v>
      </c>
      <c r="O32" s="57">
        <f t="shared" si="31"/>
        <v>0.16793105081825721</v>
      </c>
      <c r="P32" s="57">
        <f t="shared" si="31"/>
        <v>0.19188129004541116</v>
      </c>
      <c r="Q32" s="57">
        <f t="shared" si="31"/>
        <v>0.16363673306029453</v>
      </c>
      <c r="R32" s="57">
        <f t="shared" si="31"/>
        <v>0.15918559130160692</v>
      </c>
      <c r="S32" s="57">
        <f t="shared" si="31"/>
        <v>0.15286090009843167</v>
      </c>
      <c r="T32" s="57">
        <f t="shared" si="31"/>
        <v>0.16546084627031665</v>
      </c>
      <c r="U32" s="57">
        <f t="shared" si="31"/>
        <v>0.15502846516518526</v>
      </c>
      <c r="V32" s="57">
        <f t="shared" si="31"/>
        <v>0.14979323540928197</v>
      </c>
      <c r="W32" s="57">
        <f t="shared" si="31"/>
        <v>0.13938030647624852</v>
      </c>
      <c r="X32" s="57">
        <f t="shared" si="31"/>
        <v>0.16119944850569162</v>
      </c>
      <c r="Y32" s="57">
        <f t="shared" si="31"/>
        <v>0.16295342989507589</v>
      </c>
      <c r="Z32" s="57">
        <f t="shared" si="31"/>
        <v>0.1511278812940986</v>
      </c>
      <c r="AA32" s="57">
        <f t="shared" si="31"/>
        <v>0.14127096750997389</v>
      </c>
      <c r="AB32" s="57">
        <f t="shared" si="31"/>
        <v>0.20332066927257439</v>
      </c>
      <c r="AC32" s="57">
        <f t="shared" si="31"/>
        <v>0.18630172282834179</v>
      </c>
      <c r="AD32" s="57">
        <f t="shared" si="31"/>
        <v>0.18978228061172001</v>
      </c>
      <c r="AE32" s="57">
        <f t="shared" si="31"/>
        <v>0.17949140438024375</v>
      </c>
      <c r="AF32" s="57">
        <f t="shared" si="31"/>
        <v>0.19314182921075071</v>
      </c>
      <c r="AG32" s="57">
        <f t="shared" si="31"/>
        <v>0.15552461432722967</v>
      </c>
      <c r="AH32" s="57">
        <f t="shared" si="31"/>
        <v>0.17560042709521137</v>
      </c>
      <c r="AI32" s="57">
        <f t="shared" si="31"/>
        <v>0.16607909636416637</v>
      </c>
      <c r="AJ32" s="57">
        <f t="shared" si="31"/>
        <v>0.18667113345001354</v>
      </c>
      <c r="AK32" s="57">
        <f t="shared" si="31"/>
        <v>0.17193287337498189</v>
      </c>
      <c r="AL32" s="57">
        <f t="shared" si="31"/>
        <v>0.18377155640166704</v>
      </c>
      <c r="AM32" s="57">
        <f t="shared" si="31"/>
        <v>0.16463435499440751</v>
      </c>
      <c r="AN32" s="57">
        <f t="shared" si="31"/>
        <v>0.17604163531376499</v>
      </c>
      <c r="AO32" s="57">
        <f t="shared" si="31"/>
        <v>0.15298074179507948</v>
      </c>
      <c r="AP32" s="57">
        <f t="shared" si="31"/>
        <v>0.16715900526545061</v>
      </c>
      <c r="AQ32" s="57">
        <f t="shared" si="31"/>
        <v>0.15041065267181283</v>
      </c>
      <c r="AR32" s="57">
        <f t="shared" si="31"/>
        <v>9.9588160369455947E-2</v>
      </c>
      <c r="AS32" s="57" t="e">
        <f t="shared" si="31"/>
        <v>#DIV/0!</v>
      </c>
      <c r="AT32" s="57" t="e">
        <f t="shared" si="31"/>
        <v>#DIV/0!</v>
      </c>
      <c r="AU32" s="57" t="e">
        <f t="shared" si="31"/>
        <v>#DIV/0!</v>
      </c>
      <c r="AV32" s="57" t="e">
        <f t="shared" si="31"/>
        <v>#DIV/0!</v>
      </c>
      <c r="AW32" s="57" t="e">
        <f t="shared" si="31"/>
        <v>#DIV/0!</v>
      </c>
      <c r="AX32" s="57" t="e">
        <f t="shared" si="31"/>
        <v>#DIV/0!</v>
      </c>
      <c r="AY32" s="57" t="e">
        <f t="shared" si="31"/>
        <v>#DIV/0!</v>
      </c>
      <c r="AZ32" s="57" t="e">
        <f t="shared" si="31"/>
        <v>#DIV/0!</v>
      </c>
      <c r="BA32" s="57" t="e">
        <f t="shared" si="31"/>
        <v>#DIV/0!</v>
      </c>
      <c r="BB32" s="57" t="e">
        <f t="shared" si="31"/>
        <v>#DIV/0!</v>
      </c>
      <c r="BC32" s="57" t="e">
        <f t="shared" si="31"/>
        <v>#DIV/0!</v>
      </c>
      <c r="BD32" s="57" t="e">
        <f t="shared" si="31"/>
        <v>#DIV/0!</v>
      </c>
      <c r="BE32" s="57" t="e">
        <f t="shared" si="31"/>
        <v>#DIV/0!</v>
      </c>
      <c r="BF32" s="57" t="e">
        <f t="shared" si="31"/>
        <v>#DIV/0!</v>
      </c>
      <c r="BG32" s="57" t="e">
        <f t="shared" si="31"/>
        <v>#DIV/0!</v>
      </c>
      <c r="BH32" s="57" t="e">
        <f t="shared" si="31"/>
        <v>#DIV/0!</v>
      </c>
      <c r="BI32" s="57" t="e">
        <f t="shared" si="31"/>
        <v>#DIV/0!</v>
      </c>
      <c r="BJ32" s="57" t="e">
        <f t="shared" si="31"/>
        <v>#DIV/0!</v>
      </c>
      <c r="BK32" s="57" t="e">
        <f t="shared" si="31"/>
        <v>#DIV/0!</v>
      </c>
      <c r="BL32" s="57" t="e">
        <f t="shared" si="31"/>
        <v>#DIV/0!</v>
      </c>
      <c r="BM32" s="57" t="e">
        <f t="shared" si="31"/>
        <v>#DIV/0!</v>
      </c>
      <c r="BN32" s="57" t="e">
        <f t="shared" si="31"/>
        <v>#DIV/0!</v>
      </c>
      <c r="BO32" s="57" t="e">
        <f t="shared" si="31"/>
        <v>#DIV/0!</v>
      </c>
      <c r="BP32" s="57" t="e">
        <f t="shared" si="31"/>
        <v>#DIV/0!</v>
      </c>
      <c r="BQ32" s="57" t="e">
        <f t="shared" si="31"/>
        <v>#DIV/0!</v>
      </c>
      <c r="BR32" s="57" t="e">
        <f t="shared" ref="BR32:CK32" si="32">BR31/BR4</f>
        <v>#DIV/0!</v>
      </c>
      <c r="BS32" s="57" t="e">
        <f t="shared" si="32"/>
        <v>#DIV/0!</v>
      </c>
      <c r="BT32" s="57" t="e">
        <f t="shared" si="32"/>
        <v>#DIV/0!</v>
      </c>
      <c r="BU32" s="57" t="e">
        <f t="shared" si="32"/>
        <v>#DIV/0!</v>
      </c>
      <c r="BV32" s="57" t="e">
        <f t="shared" si="32"/>
        <v>#DIV/0!</v>
      </c>
      <c r="BW32" s="57" t="e">
        <f t="shared" si="32"/>
        <v>#DIV/0!</v>
      </c>
      <c r="BX32" s="57" t="e">
        <f t="shared" si="32"/>
        <v>#DIV/0!</v>
      </c>
      <c r="BY32" s="57" t="e">
        <f t="shared" si="32"/>
        <v>#DIV/0!</v>
      </c>
      <c r="BZ32" s="57" t="e">
        <f t="shared" si="32"/>
        <v>#DIV/0!</v>
      </c>
      <c r="CA32" s="57" t="e">
        <f t="shared" si="32"/>
        <v>#DIV/0!</v>
      </c>
      <c r="CB32" s="57" t="e">
        <f t="shared" si="32"/>
        <v>#DIV/0!</v>
      </c>
      <c r="CC32" s="57" t="e">
        <f t="shared" si="32"/>
        <v>#DIV/0!</v>
      </c>
      <c r="CD32" s="57" t="e">
        <f t="shared" si="32"/>
        <v>#DIV/0!</v>
      </c>
      <c r="CE32" s="57" t="e">
        <f t="shared" si="32"/>
        <v>#DIV/0!</v>
      </c>
      <c r="CF32" s="57" t="e">
        <f t="shared" si="32"/>
        <v>#DIV/0!</v>
      </c>
      <c r="CG32" s="57" t="e">
        <f t="shared" si="32"/>
        <v>#DIV/0!</v>
      </c>
      <c r="CH32" s="57" t="e">
        <f t="shared" si="32"/>
        <v>#DIV/0!</v>
      </c>
      <c r="CI32" s="57" t="e">
        <f t="shared" si="32"/>
        <v>#DIV/0!</v>
      </c>
      <c r="CJ32" s="57" t="e">
        <f t="shared" si="32"/>
        <v>#DIV/0!</v>
      </c>
      <c r="CK32" s="57" t="e">
        <f t="shared" si="32"/>
        <v>#DIV/0!</v>
      </c>
    </row>
    <row r="33" spans="1:89" x14ac:dyDescent="0.25">
      <c r="A33" s="17" t="s">
        <v>410</v>
      </c>
      <c r="B33" s="26">
        <f>B17+B20+B29</f>
        <v>425637775.14590794</v>
      </c>
      <c r="C33" s="26">
        <f t="shared" ref="C33:BN33" si="33">C17+C20+C29</f>
        <v>237692507.84396669</v>
      </c>
      <c r="D33" s="26">
        <f t="shared" si="33"/>
        <v>130066261.47202338</v>
      </c>
      <c r="E33" s="26">
        <f t="shared" si="33"/>
        <v>435684790.0794521</v>
      </c>
      <c r="F33" s="26">
        <f t="shared" si="33"/>
        <v>324720795.0772965</v>
      </c>
      <c r="G33" s="26">
        <f t="shared" si="33"/>
        <v>181412593.5863885</v>
      </c>
      <c r="H33" s="26">
        <f t="shared" si="33"/>
        <v>124546182.25186212</v>
      </c>
      <c r="I33" s="26">
        <f t="shared" si="33"/>
        <v>350659977.89702606</v>
      </c>
      <c r="J33" s="26">
        <f t="shared" si="33"/>
        <v>270173389.34995908</v>
      </c>
      <c r="K33" s="26">
        <f t="shared" si="33"/>
        <v>158175073.04731202</v>
      </c>
      <c r="L33" s="26">
        <f t="shared" si="33"/>
        <v>113221957.23775673</v>
      </c>
      <c r="M33" s="26">
        <f t="shared" si="33"/>
        <v>426527661.92882204</v>
      </c>
      <c r="N33" s="26">
        <f t="shared" si="33"/>
        <v>323322114.96023536</v>
      </c>
      <c r="O33" s="26">
        <f t="shared" si="33"/>
        <v>180863452.4878996</v>
      </c>
      <c r="P33" s="26">
        <f t="shared" si="33"/>
        <v>114833455.93931276</v>
      </c>
      <c r="Q33" s="26">
        <f t="shared" si="33"/>
        <v>398076965.92821622</v>
      </c>
      <c r="R33" s="26">
        <f t="shared" si="33"/>
        <v>261256200.40673211</v>
      </c>
      <c r="S33" s="26">
        <f t="shared" si="33"/>
        <v>146511881.40348715</v>
      </c>
      <c r="T33" s="26">
        <f t="shared" si="33"/>
        <v>92289797.454141438</v>
      </c>
      <c r="U33" s="26">
        <f t="shared" si="33"/>
        <v>331219549.78933775</v>
      </c>
      <c r="V33" s="26">
        <f t="shared" si="33"/>
        <v>222335365.96668559</v>
      </c>
      <c r="W33" s="26">
        <f t="shared" si="33"/>
        <v>126781586.50302966</v>
      </c>
      <c r="X33" s="26">
        <f t="shared" si="33"/>
        <v>80774541.75609754</v>
      </c>
      <c r="Y33" s="26">
        <f t="shared" si="33"/>
        <v>381949162.40951782</v>
      </c>
      <c r="Z33" s="26">
        <f t="shared" si="33"/>
        <v>239363600.39780724</v>
      </c>
      <c r="AA33" s="26">
        <f t="shared" si="33"/>
        <v>123324776.80873437</v>
      </c>
      <c r="AB33" s="26">
        <f t="shared" si="33"/>
        <v>102701521.19152451</v>
      </c>
      <c r="AC33" s="26">
        <f t="shared" si="33"/>
        <v>372995442.4873234</v>
      </c>
      <c r="AD33" s="26">
        <f t="shared" si="33"/>
        <v>264610689.02739346</v>
      </c>
      <c r="AE33" s="26">
        <f t="shared" si="33"/>
        <v>155740265.31113976</v>
      </c>
      <c r="AF33" s="26">
        <f t="shared" si="33"/>
        <v>84547194.378944635</v>
      </c>
      <c r="AG33" s="26">
        <f t="shared" si="33"/>
        <v>211216542.28564167</v>
      </c>
      <c r="AH33" s="26">
        <f t="shared" si="33"/>
        <v>135494397.40270978</v>
      </c>
      <c r="AI33" s="26">
        <f t="shared" si="33"/>
        <v>74991770.919324309</v>
      </c>
      <c r="AJ33" s="26">
        <f t="shared" si="33"/>
        <v>48389010.878503993</v>
      </c>
      <c r="AK33" s="26">
        <f t="shared" si="33"/>
        <v>145843748.80484205</v>
      </c>
      <c r="AL33" s="26">
        <f t="shared" si="33"/>
        <v>101049269.93433616</v>
      </c>
      <c r="AM33" s="26">
        <f t="shared" si="33"/>
        <v>50905125.005242623</v>
      </c>
      <c r="AN33" s="26">
        <f t="shared" si="33"/>
        <v>33775054.624605685</v>
      </c>
      <c r="AO33" s="26">
        <f t="shared" si="33"/>
        <v>111605586.83749385</v>
      </c>
      <c r="AP33" s="26">
        <f t="shared" si="33"/>
        <v>84796941.652140319</v>
      </c>
      <c r="AQ33" s="26">
        <f t="shared" si="33"/>
        <v>87016241.614378363</v>
      </c>
      <c r="AR33" s="26">
        <f t="shared" si="33"/>
        <v>50857099.536314316</v>
      </c>
      <c r="AS33" s="26" t="e">
        <f t="shared" si="33"/>
        <v>#DIV/0!</v>
      </c>
      <c r="AT33" s="26">
        <f t="shared" si="33"/>
        <v>-8122173.6560173379</v>
      </c>
      <c r="AU33" s="26">
        <f t="shared" si="33"/>
        <v>-688900.4632240358</v>
      </c>
      <c r="AV33" s="26">
        <f t="shared" si="33"/>
        <v>-61022787.12720795</v>
      </c>
      <c r="AW33" s="26">
        <f t="shared" si="33"/>
        <v>-50093697.729275554</v>
      </c>
      <c r="AX33" s="26">
        <f t="shared" si="33"/>
        <v>-43012215.904261902</v>
      </c>
      <c r="AY33" s="26">
        <f t="shared" si="33"/>
        <v>-27523866.203127492</v>
      </c>
      <c r="AZ33" s="26">
        <f t="shared" si="33"/>
        <v>-9209832.2439196259</v>
      </c>
      <c r="BA33" s="26">
        <f t="shared" si="33"/>
        <v>69167931.356924787</v>
      </c>
      <c r="BB33" s="26">
        <f t="shared" si="33"/>
        <v>27009065.035167493</v>
      </c>
      <c r="BC33" s="26">
        <f t="shared" si="33"/>
        <v>33131586.469690327</v>
      </c>
      <c r="BD33" s="26">
        <f t="shared" si="33"/>
        <v>0</v>
      </c>
      <c r="BE33" s="26">
        <f t="shared" si="33"/>
        <v>1998183.825135876</v>
      </c>
      <c r="BF33" s="26">
        <f t="shared" si="33"/>
        <v>-8967806.6352624726</v>
      </c>
      <c r="BG33" s="26">
        <f t="shared" si="33"/>
        <v>-8022480.3069745274</v>
      </c>
      <c r="BH33" s="26">
        <f t="shared" si="33"/>
        <v>-70820124.885195538</v>
      </c>
      <c r="BI33" s="26">
        <f t="shared" si="33"/>
        <v>7091634.2273319187</v>
      </c>
      <c r="BJ33" s="26">
        <f t="shared" si="33"/>
        <v>-4214133.4392030779</v>
      </c>
      <c r="BK33" s="26">
        <f t="shared" si="33"/>
        <v>-1023870.6355382719</v>
      </c>
      <c r="BL33" s="26">
        <f t="shared" si="33"/>
        <v>-20041322.937003668</v>
      </c>
      <c r="BM33" s="26">
        <f t="shared" si="33"/>
        <v>-1486265.4649603667</v>
      </c>
      <c r="BN33" s="26">
        <f t="shared" si="33"/>
        <v>-13247610.205168763</v>
      </c>
      <c r="BO33" s="26">
        <f t="shared" ref="BO33:CJ33" si="34">BO17+BO20+BO29</f>
        <v>-13046345.857516127</v>
      </c>
      <c r="BP33" s="26">
        <f t="shared" si="34"/>
        <v>2699402.1974922284</v>
      </c>
      <c r="BQ33" s="26">
        <f t="shared" si="34"/>
        <v>-25832217.946003724</v>
      </c>
      <c r="BR33" s="26">
        <f t="shared" si="34"/>
        <v>-147870000</v>
      </c>
      <c r="BS33" s="26">
        <f t="shared" si="34"/>
        <v>-56921533.426971629</v>
      </c>
      <c r="BT33" s="26">
        <f t="shared" si="34"/>
        <v>-63396403.961102709</v>
      </c>
      <c r="BU33" s="26">
        <f t="shared" si="34"/>
        <v>-31533634.159668338</v>
      </c>
      <c r="BV33" s="26">
        <f t="shared" si="34"/>
        <v>0</v>
      </c>
      <c r="BW33" s="26">
        <f t="shared" si="34"/>
        <v>0</v>
      </c>
      <c r="BX33" s="26">
        <f t="shared" si="34"/>
        <v>0</v>
      </c>
      <c r="BY33" s="26">
        <f t="shared" si="34"/>
        <v>0</v>
      </c>
      <c r="BZ33" s="26">
        <f t="shared" si="34"/>
        <v>0</v>
      </c>
      <c r="CA33" s="26">
        <f t="shared" si="34"/>
        <v>0</v>
      </c>
      <c r="CB33" s="26">
        <f t="shared" si="34"/>
        <v>0</v>
      </c>
      <c r="CC33" s="26">
        <f t="shared" si="34"/>
        <v>0</v>
      </c>
      <c r="CD33" s="26" t="e">
        <f t="shared" si="34"/>
        <v>#DIV/0!</v>
      </c>
      <c r="CE33" s="26">
        <f t="shared" si="34"/>
        <v>-20081000</v>
      </c>
      <c r="CF33" s="26">
        <f t="shared" si="34"/>
        <v>-14354563.84</v>
      </c>
      <c r="CG33" s="26" t="e">
        <f t="shared" si="34"/>
        <v>#DIV/0!</v>
      </c>
      <c r="CH33" s="26" t="e">
        <f t="shared" si="34"/>
        <v>#DIV/0!</v>
      </c>
      <c r="CI33" s="26" t="e">
        <f t="shared" si="34"/>
        <v>#DIV/0!</v>
      </c>
      <c r="CJ33" s="26" t="e">
        <f t="shared" si="34"/>
        <v>#DIV/0!</v>
      </c>
    </row>
    <row r="34" spans="1:89" s="57" customFormat="1" x14ac:dyDescent="0.25">
      <c r="A34" s="57" t="s">
        <v>411</v>
      </c>
      <c r="B34" s="57">
        <f>B33/B4*100</f>
        <v>12.331316694911184</v>
      </c>
      <c r="C34" s="57">
        <f t="shared" ref="C34:D34" si="35">C33/C4*100</f>
        <v>10.819418138612443</v>
      </c>
      <c r="D34" s="57">
        <f t="shared" si="35"/>
        <v>11.102457537464677</v>
      </c>
      <c r="E34" s="57">
        <f>E33/E4</f>
        <v>9.3457470573072216E-2</v>
      </c>
      <c r="F34" s="57">
        <f t="shared" ref="F34:BQ34" si="36">F33/F4</f>
        <v>0.10202779242786637</v>
      </c>
      <c r="G34" s="57">
        <f t="shared" si="36"/>
        <v>9.1556125759700305E-2</v>
      </c>
      <c r="H34" s="57">
        <f t="shared" si="36"/>
        <v>0.11774441024239063</v>
      </c>
      <c r="I34" s="57">
        <f t="shared" si="36"/>
        <v>0.11124235417598893</v>
      </c>
      <c r="J34" s="57">
        <f t="shared" si="36"/>
        <v>0.12535510867198038</v>
      </c>
      <c r="K34" s="57">
        <f t="shared" si="36"/>
        <v>0.11777011283891349</v>
      </c>
      <c r="L34" s="57">
        <f t="shared" si="36"/>
        <v>0.14842040947449273</v>
      </c>
      <c r="M34" s="57">
        <f t="shared" si="36"/>
        <v>0.14628985590477139</v>
      </c>
      <c r="N34" s="57">
        <f t="shared" si="36"/>
        <v>0.15801914396790012</v>
      </c>
      <c r="O34" s="57">
        <f t="shared" si="36"/>
        <v>0.144693529358248</v>
      </c>
      <c r="P34" s="57">
        <f t="shared" si="36"/>
        <v>0.16279313929758493</v>
      </c>
      <c r="Q34" s="57">
        <f t="shared" si="36"/>
        <v>0.14415763136538459</v>
      </c>
      <c r="R34" s="57">
        <f t="shared" si="36"/>
        <v>0.13896651399383497</v>
      </c>
      <c r="S34" s="57">
        <f t="shared" si="36"/>
        <v>0.13172213953503231</v>
      </c>
      <c r="T34" s="57">
        <f t="shared" si="36"/>
        <v>0.14040558810379264</v>
      </c>
      <c r="U34" s="57">
        <f t="shared" si="36"/>
        <v>0.13121714372721083</v>
      </c>
      <c r="V34" s="57">
        <f t="shared" si="36"/>
        <v>0.12906612376312393</v>
      </c>
      <c r="W34" s="57">
        <f t="shared" si="36"/>
        <v>0.11760015112119107</v>
      </c>
      <c r="X34" s="57">
        <f t="shared" si="36"/>
        <v>0.13126576287118846</v>
      </c>
      <c r="Y34" s="57">
        <f t="shared" si="36"/>
        <v>0.14016720350630651</v>
      </c>
      <c r="Z34" s="57">
        <f t="shared" si="36"/>
        <v>0.12954526054538931</v>
      </c>
      <c r="AA34" s="57">
        <f t="shared" si="36"/>
        <v>0.11898307113826624</v>
      </c>
      <c r="AB34" s="57">
        <f t="shared" si="36"/>
        <v>0.16717910896375535</v>
      </c>
      <c r="AC34" s="57">
        <f t="shared" si="36"/>
        <v>0.15656060946175804</v>
      </c>
      <c r="AD34" s="57">
        <f t="shared" si="36"/>
        <v>0.16195067590349477</v>
      </c>
      <c r="AE34" s="57">
        <f t="shared" si="36"/>
        <v>0.15523634516286675</v>
      </c>
      <c r="AF34" s="57">
        <f t="shared" si="36"/>
        <v>0.14498365024572912</v>
      </c>
      <c r="AG34" s="57">
        <f t="shared" si="36"/>
        <v>0.11612868070599941</v>
      </c>
      <c r="AH34" s="57">
        <f t="shared" si="36"/>
        <v>0.1182665922670416</v>
      </c>
      <c r="AI34" s="57">
        <f t="shared" si="36"/>
        <v>0.11330983201586484</v>
      </c>
      <c r="AJ34" s="57">
        <f t="shared" si="36"/>
        <v>0.13466235725969253</v>
      </c>
      <c r="AK34" s="57">
        <f t="shared" si="36"/>
        <v>0.12734033809092607</v>
      </c>
      <c r="AL34" s="57">
        <f t="shared" si="36"/>
        <v>0.1395872868010741</v>
      </c>
      <c r="AM34" s="57">
        <f t="shared" si="36"/>
        <v>0.12489893222849595</v>
      </c>
      <c r="AN34" s="57">
        <f t="shared" si="36"/>
        <v>0.13235153009967404</v>
      </c>
      <c r="AO34" s="57">
        <f t="shared" si="36"/>
        <v>0.12363739931217547</v>
      </c>
      <c r="AP34" s="57">
        <f t="shared" si="36"/>
        <v>0.13398677560621758</v>
      </c>
      <c r="AQ34" s="57">
        <f t="shared" si="36"/>
        <v>0.11519797010566089</v>
      </c>
      <c r="AR34" s="57">
        <f t="shared" si="36"/>
        <v>9.2051116117673276E-2</v>
      </c>
      <c r="AS34" s="57" t="e">
        <f t="shared" si="36"/>
        <v>#DIV/0!</v>
      </c>
      <c r="AT34" s="57" t="e">
        <f t="shared" si="36"/>
        <v>#DIV/0!</v>
      </c>
      <c r="AU34" s="57" t="e">
        <f t="shared" si="36"/>
        <v>#DIV/0!</v>
      </c>
      <c r="AV34" s="57" t="e">
        <f t="shared" si="36"/>
        <v>#DIV/0!</v>
      </c>
      <c r="AW34" s="57" t="e">
        <f t="shared" si="36"/>
        <v>#DIV/0!</v>
      </c>
      <c r="AX34" s="57" t="e">
        <f t="shared" si="36"/>
        <v>#DIV/0!</v>
      </c>
      <c r="AY34" s="57" t="e">
        <f t="shared" si="36"/>
        <v>#DIV/0!</v>
      </c>
      <c r="AZ34" s="57" t="e">
        <f t="shared" si="36"/>
        <v>#DIV/0!</v>
      </c>
      <c r="BA34" s="57" t="e">
        <f t="shared" si="36"/>
        <v>#DIV/0!</v>
      </c>
      <c r="BB34" s="57" t="e">
        <f t="shared" si="36"/>
        <v>#DIV/0!</v>
      </c>
      <c r="BC34" s="57" t="e">
        <f t="shared" si="36"/>
        <v>#DIV/0!</v>
      </c>
      <c r="BD34" s="57" t="e">
        <f t="shared" si="36"/>
        <v>#DIV/0!</v>
      </c>
      <c r="BE34" s="57" t="e">
        <f t="shared" si="36"/>
        <v>#DIV/0!</v>
      </c>
      <c r="BF34" s="57" t="e">
        <f t="shared" si="36"/>
        <v>#DIV/0!</v>
      </c>
      <c r="BG34" s="57" t="e">
        <f t="shared" si="36"/>
        <v>#DIV/0!</v>
      </c>
      <c r="BH34" s="57" t="e">
        <f t="shared" si="36"/>
        <v>#DIV/0!</v>
      </c>
      <c r="BI34" s="57" t="e">
        <f t="shared" si="36"/>
        <v>#DIV/0!</v>
      </c>
      <c r="BJ34" s="57" t="e">
        <f t="shared" si="36"/>
        <v>#DIV/0!</v>
      </c>
      <c r="BK34" s="57" t="e">
        <f t="shared" si="36"/>
        <v>#DIV/0!</v>
      </c>
      <c r="BL34" s="57" t="e">
        <f t="shared" si="36"/>
        <v>#DIV/0!</v>
      </c>
      <c r="BM34" s="57" t="e">
        <f t="shared" si="36"/>
        <v>#DIV/0!</v>
      </c>
      <c r="BN34" s="57" t="e">
        <f t="shared" si="36"/>
        <v>#DIV/0!</v>
      </c>
      <c r="BO34" s="57" t="e">
        <f t="shared" si="36"/>
        <v>#DIV/0!</v>
      </c>
      <c r="BP34" s="57" t="e">
        <f t="shared" si="36"/>
        <v>#DIV/0!</v>
      </c>
      <c r="BQ34" s="57" t="e">
        <f t="shared" si="36"/>
        <v>#DIV/0!</v>
      </c>
      <c r="BR34" s="57" t="e">
        <f t="shared" ref="BR34:CK34" si="37">BR33/BR4</f>
        <v>#DIV/0!</v>
      </c>
      <c r="BS34" s="57" t="e">
        <f t="shared" si="37"/>
        <v>#DIV/0!</v>
      </c>
      <c r="BT34" s="57" t="e">
        <f t="shared" si="37"/>
        <v>#DIV/0!</v>
      </c>
      <c r="BU34" s="57" t="e">
        <f t="shared" si="37"/>
        <v>#DIV/0!</v>
      </c>
      <c r="BV34" s="57" t="e">
        <f t="shared" si="37"/>
        <v>#DIV/0!</v>
      </c>
      <c r="BW34" s="57" t="e">
        <f t="shared" si="37"/>
        <v>#DIV/0!</v>
      </c>
      <c r="BX34" s="57" t="e">
        <f t="shared" si="37"/>
        <v>#DIV/0!</v>
      </c>
      <c r="BY34" s="57" t="e">
        <f t="shared" si="37"/>
        <v>#DIV/0!</v>
      </c>
      <c r="BZ34" s="57" t="e">
        <f t="shared" si="37"/>
        <v>#DIV/0!</v>
      </c>
      <c r="CA34" s="57" t="e">
        <f t="shared" si="37"/>
        <v>#DIV/0!</v>
      </c>
      <c r="CB34" s="57" t="e">
        <f t="shared" si="37"/>
        <v>#DIV/0!</v>
      </c>
      <c r="CC34" s="57" t="e">
        <f t="shared" si="37"/>
        <v>#DIV/0!</v>
      </c>
      <c r="CD34" s="57" t="e">
        <f t="shared" si="37"/>
        <v>#DIV/0!</v>
      </c>
      <c r="CE34" s="57" t="e">
        <f t="shared" si="37"/>
        <v>#DIV/0!</v>
      </c>
      <c r="CF34" s="57" t="e">
        <f t="shared" si="37"/>
        <v>#DIV/0!</v>
      </c>
      <c r="CG34" s="57" t="e">
        <f t="shared" si="37"/>
        <v>#DIV/0!</v>
      </c>
      <c r="CH34" s="57" t="e">
        <f t="shared" si="37"/>
        <v>#DIV/0!</v>
      </c>
      <c r="CI34" s="57" t="e">
        <f t="shared" si="37"/>
        <v>#DIV/0!</v>
      </c>
      <c r="CJ34" s="57" t="e">
        <f t="shared" si="37"/>
        <v>#DIV/0!</v>
      </c>
      <c r="CK34" s="57" t="e">
        <f t="shared" si="37"/>
        <v>#DIV/0!</v>
      </c>
    </row>
    <row r="35" spans="1:89" x14ac:dyDescent="0.25">
      <c r="A35" s="17" t="s">
        <v>412</v>
      </c>
      <c r="B35" s="26">
        <f>B23+B68</f>
        <v>-2333585.61</v>
      </c>
      <c r="C35" s="26">
        <f t="shared" ref="C35:BN35" si="38">C23+C68</f>
        <v>1335276.08</v>
      </c>
      <c r="D35" s="26">
        <f t="shared" si="38"/>
        <v>295364.71999999997</v>
      </c>
      <c r="E35" s="26">
        <f t="shared" si="38"/>
        <v>38459520.969999999</v>
      </c>
      <c r="F35" s="26">
        <f t="shared" si="38"/>
        <v>23930406.73</v>
      </c>
      <c r="G35" s="26">
        <f t="shared" si="38"/>
        <v>22691479.600000001</v>
      </c>
      <c r="H35" s="26">
        <f t="shared" si="38"/>
        <v>-1026697.73</v>
      </c>
      <c r="I35" s="26">
        <f t="shared" si="38"/>
        <v>3831490.5999999996</v>
      </c>
      <c r="J35" s="26">
        <f t="shared" si="38"/>
        <v>-1871592.45</v>
      </c>
      <c r="K35" s="26">
        <f t="shared" si="38"/>
        <v>-2154259.86</v>
      </c>
      <c r="L35" s="26">
        <f t="shared" si="38"/>
        <v>-731727.52</v>
      </c>
      <c r="M35" s="26">
        <f t="shared" si="38"/>
        <v>2149836.8200000003</v>
      </c>
      <c r="N35" s="26">
        <f t="shared" si="38"/>
        <v>-10314957.32</v>
      </c>
      <c r="O35" s="26">
        <f t="shared" si="38"/>
        <v>-7357660</v>
      </c>
      <c r="P35" s="26">
        <f t="shared" si="38"/>
        <v>-4232774.92</v>
      </c>
      <c r="Q35" s="26">
        <f t="shared" si="38"/>
        <v>1383561.9499999993</v>
      </c>
      <c r="R35" s="26">
        <f t="shared" si="38"/>
        <v>-17942236.75</v>
      </c>
      <c r="S35" s="26">
        <f t="shared" si="38"/>
        <v>-12917148.289999999</v>
      </c>
      <c r="T35" s="26">
        <f t="shared" si="38"/>
        <v>-7911472.3899999997</v>
      </c>
      <c r="U35" s="26">
        <f t="shared" si="38"/>
        <v>895705.92000000179</v>
      </c>
      <c r="V35" s="26">
        <f t="shared" si="38"/>
        <v>-16614304.869999999</v>
      </c>
      <c r="W35" s="26">
        <f t="shared" si="38"/>
        <v>-11733376.039999999</v>
      </c>
      <c r="X35" s="26">
        <f t="shared" si="38"/>
        <v>-5998847.0300000003</v>
      </c>
      <c r="Y35" s="26">
        <f t="shared" si="38"/>
        <v>1011426.1499999985</v>
      </c>
      <c r="Z35" s="26">
        <f t="shared" si="38"/>
        <v>-16272157.35</v>
      </c>
      <c r="AA35" s="26">
        <f t="shared" si="38"/>
        <v>-12430552.390000001</v>
      </c>
      <c r="AB35" s="26">
        <f t="shared" si="38"/>
        <v>-4426213.4400000004</v>
      </c>
      <c r="AC35" s="26">
        <f t="shared" si="38"/>
        <v>1226834.620000001</v>
      </c>
      <c r="AD35" s="26">
        <f t="shared" si="38"/>
        <v>-17411511.800000001</v>
      </c>
      <c r="AE35" s="26">
        <f t="shared" si="38"/>
        <v>-7335849.6200000001</v>
      </c>
      <c r="AF35" s="26">
        <f t="shared" si="38"/>
        <v>-5493875.6900000004</v>
      </c>
      <c r="AG35" s="26">
        <f t="shared" si="38"/>
        <v>763604.58000000194</v>
      </c>
      <c r="AH35" s="26">
        <f t="shared" si="38"/>
        <v>-12888786.66</v>
      </c>
      <c r="AI35" s="26">
        <f t="shared" si="38"/>
        <v>-3392337.25</v>
      </c>
      <c r="AJ35" s="26">
        <f t="shared" si="38"/>
        <v>-2462071.08</v>
      </c>
      <c r="AK35" s="26">
        <f t="shared" si="38"/>
        <v>549034.74</v>
      </c>
      <c r="AL35" s="26">
        <f t="shared" si="38"/>
        <v>-806903.54</v>
      </c>
      <c r="AM35" s="26">
        <f t="shared" si="38"/>
        <v>-193051.15</v>
      </c>
      <c r="AN35" s="26">
        <f t="shared" si="38"/>
        <v>-3513.59</v>
      </c>
      <c r="AO35" s="26">
        <f t="shared" si="38"/>
        <v>1702315.9300000002</v>
      </c>
      <c r="AP35" s="26">
        <f t="shared" si="38"/>
        <v>869291.8</v>
      </c>
      <c r="AQ35" s="26">
        <f t="shared" si="38"/>
        <v>2451980.81</v>
      </c>
      <c r="AR35" s="26">
        <f t="shared" si="38"/>
        <v>1449589.11</v>
      </c>
      <c r="AS35" s="26">
        <f t="shared" si="38"/>
        <v>0</v>
      </c>
      <c r="AT35" s="26">
        <f t="shared" si="38"/>
        <v>-41018279.990000002</v>
      </c>
      <c r="AU35" s="26">
        <f t="shared" si="38"/>
        <v>-36487207.520000003</v>
      </c>
      <c r="AV35" s="26">
        <f t="shared" si="38"/>
        <v>-3376979.14</v>
      </c>
      <c r="AW35" s="26">
        <f t="shared" si="38"/>
        <v>-50497352.530000001</v>
      </c>
      <c r="AX35" s="26">
        <f t="shared" si="38"/>
        <v>-26367719.059999999</v>
      </c>
      <c r="AY35" s="26">
        <f t="shared" si="38"/>
        <v>-24396518</v>
      </c>
      <c r="AZ35" s="26">
        <f t="shared" si="38"/>
        <v>-2917708.8</v>
      </c>
      <c r="BA35" s="26">
        <f t="shared" si="38"/>
        <v>-25225980.809999999</v>
      </c>
      <c r="BB35" s="26">
        <f t="shared" si="38"/>
        <v>-7438048.8600000003</v>
      </c>
      <c r="BC35" s="26">
        <f t="shared" si="38"/>
        <v>-5495968.9100000001</v>
      </c>
      <c r="BD35" s="26">
        <f t="shared" si="38"/>
        <v>-6057952.7199999997</v>
      </c>
      <c r="BE35" s="26">
        <f t="shared" si="38"/>
        <v>-26456599.109999999</v>
      </c>
      <c r="BF35" s="26">
        <f t="shared" si="38"/>
        <v>-12780406.130000001</v>
      </c>
      <c r="BG35" s="26">
        <f t="shared" si="38"/>
        <v>-11107770.039999999</v>
      </c>
      <c r="BH35" s="26">
        <f t="shared" si="38"/>
        <v>-1735818.19</v>
      </c>
      <c r="BI35" s="26">
        <f t="shared" si="38"/>
        <v>-28358707.260000002</v>
      </c>
      <c r="BJ35" s="26">
        <f t="shared" si="38"/>
        <v>-19582453.850000001</v>
      </c>
      <c r="BK35" s="26">
        <f t="shared" si="38"/>
        <v>-12127010.279999999</v>
      </c>
      <c r="BL35" s="26">
        <f t="shared" si="38"/>
        <v>-2445731.69</v>
      </c>
      <c r="BM35" s="26">
        <f t="shared" si="38"/>
        <v>-26693808.859999999</v>
      </c>
      <c r="BN35" s="26">
        <f t="shared" si="38"/>
        <v>-21740886.899999999</v>
      </c>
      <c r="BO35" s="26">
        <f t="shared" ref="BO35:CJ35" si="39">BO23+BO68</f>
        <v>-11645839.699999999</v>
      </c>
      <c r="BP35" s="26">
        <f t="shared" si="39"/>
        <v>-7526726.1299999999</v>
      </c>
      <c r="BQ35" s="26">
        <f t="shared" si="39"/>
        <v>-25420934.84</v>
      </c>
      <c r="BR35" s="26">
        <f t="shared" si="39"/>
        <v>0</v>
      </c>
      <c r="BS35" s="26">
        <f t="shared" si="39"/>
        <v>-16481097.720000001</v>
      </c>
      <c r="BT35" s="26">
        <f t="shared" si="39"/>
        <v>-5451391.75</v>
      </c>
      <c r="BU35" s="26">
        <f t="shared" si="39"/>
        <v>-14348624.140000001</v>
      </c>
      <c r="BV35" s="26">
        <f t="shared" si="39"/>
        <v>-7438579.8600000003</v>
      </c>
      <c r="BW35" s="26">
        <f t="shared" si="39"/>
        <v>-15086567.960000001</v>
      </c>
      <c r="BX35" s="26">
        <f t="shared" si="39"/>
        <v>-9593131.2100000009</v>
      </c>
      <c r="BY35" s="26">
        <f t="shared" si="39"/>
        <v>-42791521.079999998</v>
      </c>
      <c r="BZ35" s="26">
        <f t="shared" si="39"/>
        <v>-3834295.55</v>
      </c>
      <c r="CA35" s="26">
        <f t="shared" si="39"/>
        <v>11835075.34</v>
      </c>
      <c r="CB35" s="26">
        <f t="shared" si="39"/>
        <v>16252757.800000001</v>
      </c>
      <c r="CC35" s="26">
        <f t="shared" si="39"/>
        <v>12407743.33</v>
      </c>
      <c r="CD35" s="26">
        <f t="shared" si="39"/>
        <v>0</v>
      </c>
      <c r="CE35" s="26">
        <f t="shared" si="39"/>
        <v>0</v>
      </c>
      <c r="CF35" s="26">
        <f t="shared" si="39"/>
        <v>0</v>
      </c>
      <c r="CG35" s="26">
        <f t="shared" si="39"/>
        <v>0</v>
      </c>
      <c r="CH35" s="26">
        <f t="shared" si="39"/>
        <v>0</v>
      </c>
      <c r="CI35" s="26">
        <f t="shared" si="39"/>
        <v>0</v>
      </c>
      <c r="CJ35" s="26">
        <f t="shared" si="39"/>
        <v>0</v>
      </c>
    </row>
    <row r="36" spans="1:89" s="23" customFormat="1" x14ac:dyDescent="0.25">
      <c r="A36" s="17" t="s">
        <v>413</v>
      </c>
      <c r="B36" s="26">
        <f>B35*B41</f>
        <v>-412690.91637733066</v>
      </c>
      <c r="C36" s="26">
        <f t="shared" ref="C36:BN36" si="40">C35*C41</f>
        <v>265283.63544018415</v>
      </c>
      <c r="D36" s="26">
        <f t="shared" si="40"/>
        <v>71457.584276694033</v>
      </c>
      <c r="E36" s="26">
        <f t="shared" si="40"/>
        <v>6986096.3553792881</v>
      </c>
      <c r="F36" s="26">
        <f t="shared" si="40"/>
        <v>5395517.853614632</v>
      </c>
      <c r="G36" s="26">
        <f t="shared" si="40"/>
        <v>4792609.9983692579</v>
      </c>
      <c r="H36" s="26">
        <f t="shared" si="40"/>
        <v>-153174.13857230669</v>
      </c>
      <c r="I36" s="26">
        <f t="shared" si="40"/>
        <v>722953.78257074067</v>
      </c>
      <c r="J36" s="26">
        <f t="shared" si="40"/>
        <v>-354276.92702471989</v>
      </c>
      <c r="K36" s="26">
        <f t="shared" si="40"/>
        <v>-466119.89196753397</v>
      </c>
      <c r="L36" s="26">
        <f t="shared" si="40"/>
        <v>-123571.0617557362</v>
      </c>
      <c r="M36" s="26">
        <f t="shared" si="40"/>
        <v>371304.63120273722</v>
      </c>
      <c r="N36" s="26">
        <f t="shared" si="40"/>
        <v>-1323033.8996415928</v>
      </c>
      <c r="O36" s="26">
        <f t="shared" si="40"/>
        <v>-1018022.7256567983</v>
      </c>
      <c r="P36" s="26">
        <f t="shared" si="40"/>
        <v>-642241.84465171979</v>
      </c>
      <c r="Q36" s="26">
        <f t="shared" si="40"/>
        <v>164719.54652407244</v>
      </c>
      <c r="R36" s="26">
        <f t="shared" si="40"/>
        <v>-2280414.5083918837</v>
      </c>
      <c r="S36" s="26">
        <f t="shared" si="40"/>
        <v>-1788797.3280616901</v>
      </c>
      <c r="T36" s="26">
        <f t="shared" si="40"/>
        <v>-1200421.6012389201</v>
      </c>
      <c r="U36" s="26">
        <f t="shared" si="40"/>
        <v>137331.60699597141</v>
      </c>
      <c r="V36" s="26">
        <f t="shared" si="40"/>
        <v>-2294812.123466813</v>
      </c>
      <c r="W36" s="26">
        <f t="shared" si="40"/>
        <v>-1829083.7034341113</v>
      </c>
      <c r="X36" s="26">
        <f t="shared" si="40"/>
        <v>-1113036.0651348762</v>
      </c>
      <c r="Y36" s="26">
        <f t="shared" si="40"/>
        <v>141431.57046069679</v>
      </c>
      <c r="Z36" s="26">
        <f t="shared" si="40"/>
        <v>-2325057.5551511897</v>
      </c>
      <c r="AA36" s="26">
        <f t="shared" si="40"/>
        <v>-1962367.8649333036</v>
      </c>
      <c r="AB36" s="26">
        <f t="shared" si="40"/>
        <v>-786772.86880652851</v>
      </c>
      <c r="AC36" s="26">
        <f t="shared" si="40"/>
        <v>195539.99269631025</v>
      </c>
      <c r="AD36" s="26">
        <f t="shared" si="40"/>
        <v>-2548489.5217579887</v>
      </c>
      <c r="AE36" s="26">
        <f t="shared" si="40"/>
        <v>-989619.20549647615</v>
      </c>
      <c r="AF36" s="26">
        <f t="shared" si="40"/>
        <v>-1369848.5189446188</v>
      </c>
      <c r="AG36" s="26">
        <f t="shared" si="40"/>
        <v>193172.42739183284</v>
      </c>
      <c r="AH36" s="26">
        <f t="shared" si="40"/>
        <v>-4203798.9405813552</v>
      </c>
      <c r="AI36" s="26">
        <f t="shared" si="40"/>
        <v>-1076922.6392323333</v>
      </c>
      <c r="AJ36" s="26">
        <f t="shared" si="40"/>
        <v>-685961.99850402004</v>
      </c>
      <c r="AK36" s="26">
        <f t="shared" si="40"/>
        <v>142388.18179705113</v>
      </c>
      <c r="AL36" s="26">
        <f t="shared" si="40"/>
        <v>-194004.14433617654</v>
      </c>
      <c r="AM36" s="26">
        <f t="shared" si="40"/>
        <v>-46593.975242627712</v>
      </c>
      <c r="AN36" s="26">
        <f t="shared" si="40"/>
        <v>-872.00460564668901</v>
      </c>
      <c r="AO36" s="26">
        <f t="shared" si="40"/>
        <v>326522.40250609018</v>
      </c>
      <c r="AP36" s="26">
        <f t="shared" si="40"/>
        <v>172508.48785978116</v>
      </c>
      <c r="AQ36" s="26">
        <f t="shared" si="40"/>
        <v>574033.95562159212</v>
      </c>
      <c r="AR36" s="26">
        <f t="shared" si="40"/>
        <v>109707.99368559466</v>
      </c>
      <c r="AS36" s="26" t="e">
        <f t="shared" si="40"/>
        <v>#DIV/0!</v>
      </c>
      <c r="AT36" s="26">
        <f t="shared" si="40"/>
        <v>-639572055.30398273</v>
      </c>
      <c r="AU36" s="26">
        <f t="shared" si="40"/>
        <v>-561042484.52677596</v>
      </c>
      <c r="AV36" s="26">
        <f t="shared" si="40"/>
        <v>-312858390.72279203</v>
      </c>
      <c r="AW36" s="26">
        <f t="shared" si="40"/>
        <v>-551240236.96072447</v>
      </c>
      <c r="AX36" s="26">
        <f t="shared" si="40"/>
        <v>-480719628.0057382</v>
      </c>
      <c r="AY36" s="26">
        <f t="shared" si="40"/>
        <v>-390866074.9768725</v>
      </c>
      <c r="AZ36" s="26">
        <f t="shared" si="40"/>
        <v>-271633794.64608037</v>
      </c>
      <c r="BA36" s="26">
        <f t="shared" si="40"/>
        <v>-469993039.21692479</v>
      </c>
      <c r="BB36" s="26">
        <f t="shared" si="40"/>
        <v>-411356269.45516753</v>
      </c>
      <c r="BC36" s="26">
        <f t="shared" si="40"/>
        <v>-369753675.59969026</v>
      </c>
      <c r="BD36" s="26">
        <f t="shared" si="40"/>
        <v>-238518321.50999999</v>
      </c>
      <c r="BE36" s="26">
        <f t="shared" si="40"/>
        <v>-443526298.50513589</v>
      </c>
      <c r="BF36" s="26">
        <f t="shared" si="40"/>
        <v>-345698191.0647375</v>
      </c>
      <c r="BG36" s="26">
        <f t="shared" si="40"/>
        <v>-269953882.00302547</v>
      </c>
      <c r="BH36" s="26">
        <f t="shared" si="40"/>
        <v>-121508573.45480447</v>
      </c>
      <c r="BI36" s="26">
        <f t="shared" si="40"/>
        <v>-391093998.33733195</v>
      </c>
      <c r="BJ36" s="26">
        <f t="shared" si="40"/>
        <v>-306864935.5207969</v>
      </c>
      <c r="BK36" s="26">
        <f t="shared" si="40"/>
        <v>-248973221.44446173</v>
      </c>
      <c r="BL36" s="26">
        <f t="shared" si="40"/>
        <v>-187089505.25299633</v>
      </c>
      <c r="BM36" s="26">
        <f t="shared" si="40"/>
        <v>-248420484.61503965</v>
      </c>
      <c r="BN36" s="26">
        <f t="shared" si="40"/>
        <v>-175666512.98483121</v>
      </c>
      <c r="BO36" s="26">
        <f t="shared" ref="BO36:CJ36" si="41">BO35*BO41</f>
        <v>-112150891.39248388</v>
      </c>
      <c r="BP36" s="26">
        <f t="shared" si="41"/>
        <v>-124275287.40749222</v>
      </c>
      <c r="BQ36" s="26">
        <f t="shared" si="41"/>
        <v>-78593471.953996271</v>
      </c>
      <c r="BR36" s="26">
        <f t="shared" si="41"/>
        <v>0</v>
      </c>
      <c r="BS36" s="26">
        <f t="shared" si="41"/>
        <v>-112538813.84302837</v>
      </c>
      <c r="BT36" s="26">
        <f t="shared" si="41"/>
        <v>-70067151.248897314</v>
      </c>
      <c r="BU36" s="26">
        <f t="shared" si="41"/>
        <v>-204972124.42033166</v>
      </c>
      <c r="BV36" s="26">
        <f t="shared" si="41"/>
        <v>-295349924.56</v>
      </c>
      <c r="BW36" s="26">
        <f t="shared" si="41"/>
        <v>-303429006.82999998</v>
      </c>
      <c r="BX36" s="26">
        <f t="shared" si="41"/>
        <v>-66653678.540000007</v>
      </c>
      <c r="BY36" s="26">
        <f t="shared" si="41"/>
        <v>-260578360.56999999</v>
      </c>
      <c r="BZ36" s="26">
        <f t="shared" si="41"/>
        <v>-44632836.509999998</v>
      </c>
      <c r="CA36" s="26">
        <f t="shared" si="41"/>
        <v>-168102185.13</v>
      </c>
      <c r="CB36" s="26">
        <f t="shared" si="41"/>
        <v>-128029818.47</v>
      </c>
      <c r="CC36" s="26">
        <f t="shared" si="41"/>
        <v>-106844876.92</v>
      </c>
      <c r="CD36" s="26" t="e">
        <f t="shared" si="41"/>
        <v>#DIV/0!</v>
      </c>
      <c r="CE36" s="26">
        <f t="shared" si="41"/>
        <v>0</v>
      </c>
      <c r="CF36" s="26">
        <f t="shared" si="41"/>
        <v>0</v>
      </c>
      <c r="CG36" s="26" t="e">
        <f t="shared" si="41"/>
        <v>#DIV/0!</v>
      </c>
      <c r="CH36" s="26" t="e">
        <f t="shared" si="41"/>
        <v>#DIV/0!</v>
      </c>
      <c r="CI36" s="26" t="e">
        <f t="shared" si="41"/>
        <v>#DIV/0!</v>
      </c>
      <c r="CJ36" s="26" t="e">
        <f t="shared" si="41"/>
        <v>#DIV/0!</v>
      </c>
    </row>
    <row r="37" spans="1:89" s="23" customFormat="1" x14ac:dyDescent="0.25">
      <c r="A37" s="17" t="s">
        <v>414</v>
      </c>
      <c r="B37" s="26">
        <f>B35-B36</f>
        <v>-1920894.6936226692</v>
      </c>
      <c r="C37" s="26">
        <f t="shared" ref="C37:BN37" si="42">C35-C36</f>
        <v>1069992.4445598158</v>
      </c>
      <c r="D37" s="26">
        <f t="shared" si="42"/>
        <v>223907.13572330592</v>
      </c>
      <c r="E37" s="26">
        <f t="shared" si="42"/>
        <v>31473424.614620712</v>
      </c>
      <c r="F37" s="26">
        <f t="shared" si="42"/>
        <v>18534888.876385368</v>
      </c>
      <c r="G37" s="26">
        <f t="shared" si="42"/>
        <v>17898869.601630744</v>
      </c>
      <c r="H37" s="26">
        <f t="shared" si="42"/>
        <v>-873523.59142769326</v>
      </c>
      <c r="I37" s="26">
        <f t="shared" si="42"/>
        <v>3108536.817429259</v>
      </c>
      <c r="J37" s="26">
        <f t="shared" si="42"/>
        <v>-1517315.5229752799</v>
      </c>
      <c r="K37" s="26">
        <f t="shared" si="42"/>
        <v>-1688139.9680324658</v>
      </c>
      <c r="L37" s="26">
        <f t="shared" si="42"/>
        <v>-608156.45824426378</v>
      </c>
      <c r="M37" s="26">
        <f t="shared" si="42"/>
        <v>1778532.188797263</v>
      </c>
      <c r="N37" s="26">
        <f t="shared" si="42"/>
        <v>-8991923.4203584082</v>
      </c>
      <c r="O37" s="26">
        <f t="shared" si="42"/>
        <v>-6339637.2743432019</v>
      </c>
      <c r="P37" s="26">
        <f t="shared" si="42"/>
        <v>-3590533.0753482804</v>
      </c>
      <c r="Q37" s="26">
        <f t="shared" si="42"/>
        <v>1218842.4034759267</v>
      </c>
      <c r="R37" s="26">
        <f t="shared" si="42"/>
        <v>-15661822.241608117</v>
      </c>
      <c r="S37" s="26">
        <f t="shared" si="42"/>
        <v>-11128350.961938309</v>
      </c>
      <c r="T37" s="26">
        <f t="shared" si="42"/>
        <v>-6711050.7887610793</v>
      </c>
      <c r="U37" s="26">
        <f t="shared" si="42"/>
        <v>758374.31300403038</v>
      </c>
      <c r="V37" s="26">
        <f t="shared" si="42"/>
        <v>-14319492.746533185</v>
      </c>
      <c r="W37" s="26">
        <f t="shared" si="42"/>
        <v>-9904292.3365658876</v>
      </c>
      <c r="X37" s="26">
        <f t="shared" si="42"/>
        <v>-4885810.9648651239</v>
      </c>
      <c r="Y37" s="26">
        <f t="shared" si="42"/>
        <v>869994.57953930169</v>
      </c>
      <c r="Z37" s="26">
        <f t="shared" si="42"/>
        <v>-13947099.794848811</v>
      </c>
      <c r="AA37" s="26">
        <f t="shared" si="42"/>
        <v>-10468184.525066696</v>
      </c>
      <c r="AB37" s="26">
        <f t="shared" si="42"/>
        <v>-3639440.571193472</v>
      </c>
      <c r="AC37" s="26">
        <f t="shared" si="42"/>
        <v>1031294.6273036908</v>
      </c>
      <c r="AD37" s="26">
        <f t="shared" si="42"/>
        <v>-14863022.278242012</v>
      </c>
      <c r="AE37" s="26">
        <f t="shared" si="42"/>
        <v>-6346230.4145035241</v>
      </c>
      <c r="AF37" s="26">
        <f t="shared" si="42"/>
        <v>-4124027.1710553817</v>
      </c>
      <c r="AG37" s="26">
        <f t="shared" si="42"/>
        <v>570432.15260816913</v>
      </c>
      <c r="AH37" s="26">
        <f t="shared" si="42"/>
        <v>-8684987.7194186449</v>
      </c>
      <c r="AI37" s="26">
        <f t="shared" si="42"/>
        <v>-2315414.6107676667</v>
      </c>
      <c r="AJ37" s="26">
        <f t="shared" si="42"/>
        <v>-1776109.08149598</v>
      </c>
      <c r="AK37" s="26">
        <f t="shared" si="42"/>
        <v>406646.55820294889</v>
      </c>
      <c r="AL37" s="26">
        <f t="shared" si="42"/>
        <v>-612899.39566382347</v>
      </c>
      <c r="AM37" s="26">
        <f t="shared" si="42"/>
        <v>-146457.1747573723</v>
      </c>
      <c r="AN37" s="26">
        <f t="shared" si="42"/>
        <v>-2641.5853943533111</v>
      </c>
      <c r="AO37" s="26">
        <f t="shared" si="42"/>
        <v>1375793.5274939099</v>
      </c>
      <c r="AP37" s="26">
        <f t="shared" si="42"/>
        <v>696783.31214021891</v>
      </c>
      <c r="AQ37" s="26">
        <f t="shared" si="42"/>
        <v>1877946.8543784078</v>
      </c>
      <c r="AR37" s="26">
        <f t="shared" si="42"/>
        <v>1339881.1163144053</v>
      </c>
      <c r="AS37" s="26" t="e">
        <f t="shared" si="42"/>
        <v>#DIV/0!</v>
      </c>
      <c r="AT37" s="26">
        <f t="shared" si="42"/>
        <v>598553775.31398273</v>
      </c>
      <c r="AU37" s="26">
        <f t="shared" si="42"/>
        <v>524555277.00677598</v>
      </c>
      <c r="AV37" s="26">
        <f t="shared" si="42"/>
        <v>309481411.58279204</v>
      </c>
      <c r="AW37" s="26">
        <f t="shared" si="42"/>
        <v>500742884.4307245</v>
      </c>
      <c r="AX37" s="26">
        <f t="shared" si="42"/>
        <v>454351908.9457382</v>
      </c>
      <c r="AY37" s="26">
        <f t="shared" si="42"/>
        <v>366469556.9768725</v>
      </c>
      <c r="AZ37" s="26">
        <f t="shared" si="42"/>
        <v>268716085.84608036</v>
      </c>
      <c r="BA37" s="26">
        <f t="shared" si="42"/>
        <v>444767058.40692478</v>
      </c>
      <c r="BB37" s="26">
        <f t="shared" si="42"/>
        <v>403918220.59516752</v>
      </c>
      <c r="BC37" s="26">
        <f t="shared" si="42"/>
        <v>364257706.68969023</v>
      </c>
      <c r="BD37" s="26">
        <f t="shared" si="42"/>
        <v>232460368.78999999</v>
      </c>
      <c r="BE37" s="26">
        <f t="shared" si="42"/>
        <v>417069699.39513588</v>
      </c>
      <c r="BF37" s="26">
        <f t="shared" si="42"/>
        <v>332917784.9347375</v>
      </c>
      <c r="BG37" s="26">
        <f t="shared" si="42"/>
        <v>258846111.96302548</v>
      </c>
      <c r="BH37" s="26">
        <f t="shared" si="42"/>
        <v>119772755.26480447</v>
      </c>
      <c r="BI37" s="26">
        <f t="shared" si="42"/>
        <v>362735291.07733196</v>
      </c>
      <c r="BJ37" s="26">
        <f t="shared" si="42"/>
        <v>287282481.67079687</v>
      </c>
      <c r="BK37" s="26">
        <f t="shared" si="42"/>
        <v>236846211.16446173</v>
      </c>
      <c r="BL37" s="26">
        <f t="shared" si="42"/>
        <v>184643773.56299633</v>
      </c>
      <c r="BM37" s="26">
        <f t="shared" si="42"/>
        <v>221726675.75503963</v>
      </c>
      <c r="BN37" s="26">
        <f t="shared" si="42"/>
        <v>153925626.08483121</v>
      </c>
      <c r="BO37" s="26">
        <f t="shared" ref="BO37:CJ37" si="43">BO35-BO36</f>
        <v>100505051.69248387</v>
      </c>
      <c r="BP37" s="26">
        <f t="shared" si="43"/>
        <v>116748561.27749223</v>
      </c>
      <c r="BQ37" s="26">
        <f t="shared" si="43"/>
        <v>53172537.113996267</v>
      </c>
      <c r="BR37" s="26">
        <f t="shared" si="43"/>
        <v>0</v>
      </c>
      <c r="BS37" s="26">
        <f t="shared" si="43"/>
        <v>96057716.123028368</v>
      </c>
      <c r="BT37" s="26">
        <f t="shared" si="43"/>
        <v>64615759.498897314</v>
      </c>
      <c r="BU37" s="26">
        <f t="shared" si="43"/>
        <v>190623500.28033167</v>
      </c>
      <c r="BV37" s="26">
        <f t="shared" si="43"/>
        <v>287911344.69999999</v>
      </c>
      <c r="BW37" s="26">
        <f t="shared" si="43"/>
        <v>288342438.87</v>
      </c>
      <c r="BX37" s="26">
        <f t="shared" si="43"/>
        <v>57060547.330000006</v>
      </c>
      <c r="BY37" s="26">
        <f t="shared" si="43"/>
        <v>217786839.49000001</v>
      </c>
      <c r="BZ37" s="26">
        <f t="shared" si="43"/>
        <v>40798540.960000001</v>
      </c>
      <c r="CA37" s="26">
        <f t="shared" si="43"/>
        <v>179937260.47</v>
      </c>
      <c r="CB37" s="26">
        <f t="shared" si="43"/>
        <v>144282576.27000001</v>
      </c>
      <c r="CC37" s="26">
        <f t="shared" si="43"/>
        <v>119252620.25</v>
      </c>
      <c r="CD37" s="26" t="e">
        <f t="shared" si="43"/>
        <v>#DIV/0!</v>
      </c>
      <c r="CE37" s="26">
        <f t="shared" si="43"/>
        <v>0</v>
      </c>
      <c r="CF37" s="26">
        <f t="shared" si="43"/>
        <v>0</v>
      </c>
      <c r="CG37" s="26" t="e">
        <f t="shared" si="43"/>
        <v>#DIV/0!</v>
      </c>
      <c r="CH37" s="26" t="e">
        <f t="shared" si="43"/>
        <v>#DIV/0!</v>
      </c>
      <c r="CI37" s="26" t="e">
        <f t="shared" si="43"/>
        <v>#DIV/0!</v>
      </c>
      <c r="CJ37" s="26" t="e">
        <f t="shared" si="43"/>
        <v>#DIV/0!</v>
      </c>
    </row>
    <row r="38" spans="1:89" s="2" customFormat="1" x14ac:dyDescent="0.25">
      <c r="A38" s="20" t="s">
        <v>415</v>
      </c>
      <c r="B38" s="28">
        <f>B31-B35</f>
        <v>513773946.71000028</v>
      </c>
      <c r="C38" s="28">
        <f t="shared" ref="C38:BN38" si="44">C31-C35</f>
        <v>293114469.87999994</v>
      </c>
      <c r="D38" s="28">
        <f t="shared" si="44"/>
        <v>178789628.53999981</v>
      </c>
      <c r="E38" s="28">
        <f t="shared" si="44"/>
        <v>499927833.65999997</v>
      </c>
      <c r="F38" s="28">
        <f t="shared" si="44"/>
        <v>401428922.01000005</v>
      </c>
      <c r="G38" s="28">
        <f t="shared" si="44"/>
        <v>209898062.10999975</v>
      </c>
      <c r="H38" s="28">
        <f t="shared" si="44"/>
        <v>147365458.57999998</v>
      </c>
      <c r="I38" s="28">
        <f t="shared" si="44"/>
        <v>427742954.32999969</v>
      </c>
      <c r="J38" s="28">
        <f t="shared" si="44"/>
        <v>334819772.02000004</v>
      </c>
      <c r="K38" s="28">
        <f t="shared" si="44"/>
        <v>203723495.75000018</v>
      </c>
      <c r="L38" s="28">
        <f t="shared" si="44"/>
        <v>136959989.61000001</v>
      </c>
      <c r="M38" s="28">
        <f t="shared" si="44"/>
        <v>513059262.03999996</v>
      </c>
      <c r="N38" s="28">
        <f t="shared" si="44"/>
        <v>381008120.25999999</v>
      </c>
      <c r="O38" s="28">
        <f t="shared" si="44"/>
        <v>217267458.76999992</v>
      </c>
      <c r="P38" s="28">
        <f t="shared" si="44"/>
        <v>139584865.06999993</v>
      </c>
      <c r="Q38" s="28">
        <f t="shared" si="44"/>
        <v>450483006.57000011</v>
      </c>
      <c r="R38" s="28">
        <f t="shared" si="44"/>
        <v>317210179.42000008</v>
      </c>
      <c r="S38" s="28">
        <f t="shared" si="44"/>
        <v>182941247.09</v>
      </c>
      <c r="T38" s="28">
        <f t="shared" si="44"/>
        <v>116670305.96000002</v>
      </c>
      <c r="U38" s="28">
        <f t="shared" si="44"/>
        <v>390428605.66000003</v>
      </c>
      <c r="V38" s="28">
        <f t="shared" si="44"/>
        <v>274655166.74000001</v>
      </c>
      <c r="W38" s="28">
        <f t="shared" si="44"/>
        <v>161995567.14999995</v>
      </c>
      <c r="X38" s="28">
        <f t="shared" si="44"/>
        <v>105193117.48999992</v>
      </c>
      <c r="Y38" s="28">
        <f t="shared" si="44"/>
        <v>443029151.84000009</v>
      </c>
      <c r="Z38" s="28">
        <f t="shared" si="44"/>
        <v>295514436.34000015</v>
      </c>
      <c r="AA38" s="28">
        <f t="shared" si="44"/>
        <v>158856513.42000002</v>
      </c>
      <c r="AB38" s="28">
        <f t="shared" si="44"/>
        <v>129330228.97999996</v>
      </c>
      <c r="AC38" s="28">
        <f t="shared" si="44"/>
        <v>442624871.00000006</v>
      </c>
      <c r="AD38" s="28">
        <f t="shared" si="44"/>
        <v>327496170.33999991</v>
      </c>
      <c r="AE38" s="28">
        <f t="shared" si="44"/>
        <v>187409909.66000006</v>
      </c>
      <c r="AF38" s="28">
        <f t="shared" si="44"/>
        <v>118124505.07000002</v>
      </c>
      <c r="AG38" s="28">
        <f t="shared" si="44"/>
        <v>282106837.75000024</v>
      </c>
      <c r="AH38" s="28">
        <f t="shared" si="44"/>
        <v>214068795.29000011</v>
      </c>
      <c r="AI38" s="28">
        <f t="shared" si="44"/>
        <v>113308355.36999997</v>
      </c>
      <c r="AJ38" s="28">
        <f t="shared" si="44"/>
        <v>69539699.089999974</v>
      </c>
      <c r="AK38" s="28">
        <f t="shared" si="44"/>
        <v>196366845.73999986</v>
      </c>
      <c r="AL38" s="28">
        <f t="shared" si="44"/>
        <v>133841809.75999999</v>
      </c>
      <c r="AM38" s="28">
        <f t="shared" si="44"/>
        <v>67293163.789999992</v>
      </c>
      <c r="AN38" s="28">
        <f t="shared" si="44"/>
        <v>44927934.520000041</v>
      </c>
      <c r="AO38" s="28">
        <f t="shared" si="44"/>
        <v>136391056.76999995</v>
      </c>
      <c r="AP38" s="28">
        <f t="shared" si="44"/>
        <v>104921539.81000009</v>
      </c>
      <c r="AQ38" s="28">
        <f t="shared" si="44"/>
        <v>111162605.29999995</v>
      </c>
      <c r="AR38" s="28">
        <f t="shared" si="44"/>
        <v>53571633.85999991</v>
      </c>
      <c r="AS38" s="28">
        <f t="shared" si="44"/>
        <v>0</v>
      </c>
      <c r="AT38" s="28">
        <f t="shared" si="44"/>
        <v>41574884.270000003</v>
      </c>
      <c r="AU38" s="28">
        <f t="shared" si="44"/>
        <v>36535126.310000002</v>
      </c>
      <c r="AV38" s="28">
        <f t="shared" si="44"/>
        <v>4042843.62</v>
      </c>
      <c r="AW38" s="28">
        <f t="shared" si="44"/>
        <v>55549045.109999999</v>
      </c>
      <c r="AX38" s="28">
        <f t="shared" si="44"/>
        <v>28863876.779999997</v>
      </c>
      <c r="AY38" s="28">
        <f t="shared" si="44"/>
        <v>26228829.809999999</v>
      </c>
      <c r="AZ38" s="28">
        <f t="shared" si="44"/>
        <v>3017708.8</v>
      </c>
      <c r="BA38" s="28">
        <f t="shared" si="44"/>
        <v>21302963.41</v>
      </c>
      <c r="BB38" s="28">
        <f t="shared" si="44"/>
        <v>6940683.96</v>
      </c>
      <c r="BC38" s="28">
        <f t="shared" si="44"/>
        <v>4996075.1100000003</v>
      </c>
      <c r="BD38" s="28">
        <f t="shared" si="44"/>
        <v>6057952.7199999997</v>
      </c>
      <c r="BE38" s="28">
        <f t="shared" si="44"/>
        <v>26329845.359999999</v>
      </c>
      <c r="BF38" s="28">
        <f t="shared" si="44"/>
        <v>13124671.940000001</v>
      </c>
      <c r="BG38" s="28">
        <f t="shared" si="44"/>
        <v>11452035.85</v>
      </c>
      <c r="BH38" s="28">
        <f t="shared" si="44"/>
        <v>2762185.67</v>
      </c>
      <c r="BI38" s="28">
        <f t="shared" si="44"/>
        <v>27804282.080000002</v>
      </c>
      <c r="BJ38" s="28">
        <f t="shared" si="44"/>
        <v>19869707.960000001</v>
      </c>
      <c r="BK38" s="28">
        <f t="shared" si="44"/>
        <v>12179434.549999999</v>
      </c>
      <c r="BL38" s="28">
        <f t="shared" si="44"/>
        <v>2711192.57</v>
      </c>
      <c r="BM38" s="28">
        <f t="shared" si="44"/>
        <v>26872741.259999998</v>
      </c>
      <c r="BN38" s="28">
        <f t="shared" si="44"/>
        <v>23612016.5</v>
      </c>
      <c r="BO38" s="28">
        <f t="shared" ref="BO38:CJ38" si="45">BO31-BO35</f>
        <v>13157561.25</v>
      </c>
      <c r="BP38" s="28">
        <f t="shared" si="45"/>
        <v>7352696.9100000001</v>
      </c>
      <c r="BQ38" s="28">
        <f t="shared" si="45"/>
        <v>37770902.789999999</v>
      </c>
      <c r="BR38" s="28">
        <f t="shared" si="45"/>
        <v>12720000</v>
      </c>
      <c r="BS38" s="28">
        <f t="shared" si="45"/>
        <v>26247406.899999999</v>
      </c>
      <c r="BT38" s="28">
        <f t="shared" si="45"/>
        <v>10799911</v>
      </c>
      <c r="BU38" s="28">
        <f t="shared" si="45"/>
        <v>16722225.84</v>
      </c>
      <c r="BV38" s="28">
        <f t="shared" si="45"/>
        <v>7438579.8600000003</v>
      </c>
      <c r="BW38" s="28">
        <f t="shared" si="45"/>
        <v>15086567.960000001</v>
      </c>
      <c r="BX38" s="28">
        <f t="shared" si="45"/>
        <v>9593131.2100000009</v>
      </c>
      <c r="BY38" s="28">
        <f t="shared" si="45"/>
        <v>42791521.079999998</v>
      </c>
      <c r="BZ38" s="28">
        <f t="shared" si="45"/>
        <v>3834295.55</v>
      </c>
      <c r="CA38" s="28">
        <f t="shared" si="45"/>
        <v>-11835075.34</v>
      </c>
      <c r="CB38" s="28">
        <f t="shared" si="45"/>
        <v>-16252757.800000001</v>
      </c>
      <c r="CC38" s="28">
        <f t="shared" si="45"/>
        <v>-12407743.33</v>
      </c>
      <c r="CD38" s="28">
        <f t="shared" si="45"/>
        <v>0</v>
      </c>
      <c r="CE38" s="28">
        <f t="shared" si="45"/>
        <v>7729000</v>
      </c>
      <c r="CF38" s="28">
        <f t="shared" si="45"/>
        <v>2092581.44</v>
      </c>
      <c r="CG38" s="28">
        <f t="shared" si="45"/>
        <v>0</v>
      </c>
      <c r="CH38" s="28">
        <f t="shared" si="45"/>
        <v>0</v>
      </c>
      <c r="CI38" s="28">
        <f t="shared" si="45"/>
        <v>0</v>
      </c>
      <c r="CJ38" s="28">
        <f t="shared" si="45"/>
        <v>0</v>
      </c>
    </row>
    <row r="39" spans="1:89" s="57" customFormat="1" x14ac:dyDescent="0.25">
      <c r="A39" s="57" t="s">
        <v>416</v>
      </c>
      <c r="B39" s="57">
        <f>B38/B4*100</f>
        <v>14.88474382778557</v>
      </c>
      <c r="C39" s="57">
        <f t="shared" ref="C39:D39" si="46">C38/C4*100</f>
        <v>13.342145450336451</v>
      </c>
      <c r="D39" s="57">
        <f t="shared" si="46"/>
        <v>15.261484696639762</v>
      </c>
      <c r="E39" s="57">
        <f>E38/E4</f>
        <v>0.10723805803369657</v>
      </c>
      <c r="F39" s="57">
        <f t="shared" ref="F39:BQ39" si="47">F38/F4</f>
        <v>0.12612960842137955</v>
      </c>
      <c r="G39" s="57">
        <f t="shared" si="47"/>
        <v>0.10593230046131935</v>
      </c>
      <c r="H39" s="57">
        <f t="shared" si="47"/>
        <v>0.13931747000893813</v>
      </c>
      <c r="I39" s="57">
        <f t="shared" si="47"/>
        <v>0.13569593401341865</v>
      </c>
      <c r="J39" s="57">
        <f t="shared" si="47"/>
        <v>0.15534975153577668</v>
      </c>
      <c r="K39" s="57">
        <f t="shared" si="47"/>
        <v>0.15168343924354621</v>
      </c>
      <c r="L39" s="57">
        <f t="shared" si="47"/>
        <v>0.17953812348299258</v>
      </c>
      <c r="M39" s="57">
        <f t="shared" si="47"/>
        <v>0.17596834206491632</v>
      </c>
      <c r="N39" s="57">
        <f t="shared" si="47"/>
        <v>0.18621236909732761</v>
      </c>
      <c r="O39" s="57">
        <f t="shared" si="47"/>
        <v>0.17381729139684637</v>
      </c>
      <c r="P39" s="57">
        <f t="shared" si="47"/>
        <v>0.19788186462997334</v>
      </c>
      <c r="Q39" s="57">
        <f t="shared" si="47"/>
        <v>0.16313569675166459</v>
      </c>
      <c r="R39" s="57">
        <f t="shared" si="47"/>
        <v>0.16872936515469755</v>
      </c>
      <c r="S39" s="57">
        <f t="shared" si="47"/>
        <v>0.16447411803783074</v>
      </c>
      <c r="T39" s="57">
        <f t="shared" si="47"/>
        <v>0.17749700805988858</v>
      </c>
      <c r="U39" s="57">
        <f t="shared" si="47"/>
        <v>0.15467361904418575</v>
      </c>
      <c r="V39" s="57">
        <f t="shared" si="47"/>
        <v>0.1594378725513145</v>
      </c>
      <c r="W39" s="57">
        <f t="shared" si="47"/>
        <v>0.15026395948553462</v>
      </c>
      <c r="X39" s="57">
        <f t="shared" si="47"/>
        <v>0.17094810463695431</v>
      </c>
      <c r="Y39" s="57">
        <f t="shared" si="47"/>
        <v>0.16258225805088514</v>
      </c>
      <c r="Z39" s="57">
        <f t="shared" si="47"/>
        <v>0.15993448706054758</v>
      </c>
      <c r="AA39" s="57">
        <f t="shared" si="47"/>
        <v>0.15326389656753991</v>
      </c>
      <c r="AB39" s="57">
        <f t="shared" si="47"/>
        <v>0.21052572729311386</v>
      </c>
      <c r="AC39" s="57">
        <f t="shared" si="47"/>
        <v>0.18578677290151391</v>
      </c>
      <c r="AD39" s="57">
        <f t="shared" si="47"/>
        <v>0.20043871370924979</v>
      </c>
      <c r="AE39" s="57">
        <f t="shared" si="47"/>
        <v>0.18680351779804305</v>
      </c>
      <c r="AF39" s="57">
        <f t="shared" si="47"/>
        <v>0.20256286508761756</v>
      </c>
      <c r="AG39" s="57">
        <f t="shared" si="47"/>
        <v>0.15510477792854202</v>
      </c>
      <c r="AH39" s="57">
        <f t="shared" si="47"/>
        <v>0.18685043378149979</v>
      </c>
      <c r="AI39" s="57">
        <f t="shared" si="47"/>
        <v>0.1712047942804375</v>
      </c>
      <c r="AJ39" s="57">
        <f t="shared" si="47"/>
        <v>0.19352286051271739</v>
      </c>
      <c r="AK39" s="57">
        <f t="shared" si="47"/>
        <v>0.17145349547919822</v>
      </c>
      <c r="AL39" s="57">
        <f t="shared" si="47"/>
        <v>0.184886195586413</v>
      </c>
      <c r="AM39" s="57">
        <f t="shared" si="47"/>
        <v>0.16510801815696727</v>
      </c>
      <c r="AN39" s="57">
        <f t="shared" si="47"/>
        <v>0.17605540373006548</v>
      </c>
      <c r="AO39" s="57">
        <f t="shared" si="47"/>
        <v>0.15109490506990417</v>
      </c>
      <c r="AP39" s="57">
        <f t="shared" si="47"/>
        <v>0.16578544623049471</v>
      </c>
      <c r="AQ39" s="57">
        <f t="shared" si="47"/>
        <v>0.14716455508348214</v>
      </c>
      <c r="AR39" s="57">
        <f t="shared" si="47"/>
        <v>9.6964410751327501E-2</v>
      </c>
      <c r="AS39" s="57" t="e">
        <f t="shared" si="47"/>
        <v>#DIV/0!</v>
      </c>
      <c r="AT39" s="57" t="e">
        <f t="shared" si="47"/>
        <v>#DIV/0!</v>
      </c>
      <c r="AU39" s="57" t="e">
        <f t="shared" si="47"/>
        <v>#DIV/0!</v>
      </c>
      <c r="AV39" s="57" t="e">
        <f t="shared" si="47"/>
        <v>#DIV/0!</v>
      </c>
      <c r="AW39" s="57" t="e">
        <f t="shared" si="47"/>
        <v>#DIV/0!</v>
      </c>
      <c r="AX39" s="57" t="e">
        <f t="shared" si="47"/>
        <v>#DIV/0!</v>
      </c>
      <c r="AY39" s="57" t="e">
        <f t="shared" si="47"/>
        <v>#DIV/0!</v>
      </c>
      <c r="AZ39" s="57" t="e">
        <f t="shared" si="47"/>
        <v>#DIV/0!</v>
      </c>
      <c r="BA39" s="57" t="e">
        <f t="shared" si="47"/>
        <v>#DIV/0!</v>
      </c>
      <c r="BB39" s="57" t="e">
        <f t="shared" si="47"/>
        <v>#DIV/0!</v>
      </c>
      <c r="BC39" s="57" t="e">
        <f t="shared" si="47"/>
        <v>#DIV/0!</v>
      </c>
      <c r="BD39" s="57" t="e">
        <f t="shared" si="47"/>
        <v>#DIV/0!</v>
      </c>
      <c r="BE39" s="57" t="e">
        <f t="shared" si="47"/>
        <v>#DIV/0!</v>
      </c>
      <c r="BF39" s="57" t="e">
        <f t="shared" si="47"/>
        <v>#DIV/0!</v>
      </c>
      <c r="BG39" s="57" t="e">
        <f t="shared" si="47"/>
        <v>#DIV/0!</v>
      </c>
      <c r="BH39" s="57" t="e">
        <f t="shared" si="47"/>
        <v>#DIV/0!</v>
      </c>
      <c r="BI39" s="57" t="e">
        <f t="shared" si="47"/>
        <v>#DIV/0!</v>
      </c>
      <c r="BJ39" s="57" t="e">
        <f t="shared" si="47"/>
        <v>#DIV/0!</v>
      </c>
      <c r="BK39" s="57" t="e">
        <f t="shared" si="47"/>
        <v>#DIV/0!</v>
      </c>
      <c r="BL39" s="57" t="e">
        <f t="shared" si="47"/>
        <v>#DIV/0!</v>
      </c>
      <c r="BM39" s="57" t="e">
        <f t="shared" si="47"/>
        <v>#DIV/0!</v>
      </c>
      <c r="BN39" s="57" t="e">
        <f t="shared" si="47"/>
        <v>#DIV/0!</v>
      </c>
      <c r="BO39" s="57" t="e">
        <f t="shared" si="47"/>
        <v>#DIV/0!</v>
      </c>
      <c r="BP39" s="57" t="e">
        <f t="shared" si="47"/>
        <v>#DIV/0!</v>
      </c>
      <c r="BQ39" s="57" t="e">
        <f t="shared" si="47"/>
        <v>#DIV/0!</v>
      </c>
      <c r="BR39" s="57" t="e">
        <f t="shared" ref="BR39:CK39" si="48">BR38/BR4</f>
        <v>#DIV/0!</v>
      </c>
      <c r="BS39" s="57" t="e">
        <f t="shared" si="48"/>
        <v>#DIV/0!</v>
      </c>
      <c r="BT39" s="57" t="e">
        <f t="shared" si="48"/>
        <v>#DIV/0!</v>
      </c>
      <c r="BU39" s="57" t="e">
        <f t="shared" si="48"/>
        <v>#DIV/0!</v>
      </c>
      <c r="BV39" s="57" t="e">
        <f t="shared" si="48"/>
        <v>#DIV/0!</v>
      </c>
      <c r="BW39" s="57" t="e">
        <f t="shared" si="48"/>
        <v>#DIV/0!</v>
      </c>
      <c r="BX39" s="57" t="e">
        <f t="shared" si="48"/>
        <v>#DIV/0!</v>
      </c>
      <c r="BY39" s="57" t="e">
        <f t="shared" si="48"/>
        <v>#DIV/0!</v>
      </c>
      <c r="BZ39" s="57" t="e">
        <f t="shared" si="48"/>
        <v>#DIV/0!</v>
      </c>
      <c r="CA39" s="57" t="e">
        <f t="shared" si="48"/>
        <v>#DIV/0!</v>
      </c>
      <c r="CB39" s="57" t="e">
        <f t="shared" si="48"/>
        <v>#DIV/0!</v>
      </c>
      <c r="CC39" s="57" t="e">
        <f t="shared" si="48"/>
        <v>#DIV/0!</v>
      </c>
      <c r="CD39" s="57" t="e">
        <f t="shared" si="48"/>
        <v>#DIV/0!</v>
      </c>
      <c r="CE39" s="57" t="e">
        <f t="shared" si="48"/>
        <v>#DIV/0!</v>
      </c>
      <c r="CF39" s="57" t="e">
        <f t="shared" si="48"/>
        <v>#DIV/0!</v>
      </c>
      <c r="CG39" s="57" t="e">
        <f t="shared" si="48"/>
        <v>#DIV/0!</v>
      </c>
      <c r="CH39" s="57" t="e">
        <f t="shared" si="48"/>
        <v>#DIV/0!</v>
      </c>
      <c r="CI39" s="57" t="e">
        <f t="shared" si="48"/>
        <v>#DIV/0!</v>
      </c>
      <c r="CJ39" s="57" t="e">
        <f t="shared" si="48"/>
        <v>#DIV/0!</v>
      </c>
      <c r="CK39" s="57" t="e">
        <f t="shared" si="48"/>
        <v>#DIV/0!</v>
      </c>
    </row>
    <row r="40" spans="1:89" x14ac:dyDescent="0.25">
      <c r="A40" s="17" t="s">
        <v>417</v>
      </c>
      <c r="B40" s="26">
        <f>B60</f>
        <v>90860108.140000001</v>
      </c>
      <c r="C40" s="26">
        <f t="shared" ref="C40:BN40" si="49">C60</f>
        <v>58234003.689999998</v>
      </c>
      <c r="D40" s="26">
        <f t="shared" si="49"/>
        <v>43254573.359999999</v>
      </c>
      <c r="E40" s="26">
        <f t="shared" si="49"/>
        <v>90810907.900000006</v>
      </c>
      <c r="F40" s="26">
        <f t="shared" si="49"/>
        <v>90508988.840000004</v>
      </c>
      <c r="G40" s="26">
        <f t="shared" si="49"/>
        <v>44332038.670000002</v>
      </c>
      <c r="H40" s="26">
        <f t="shared" si="49"/>
        <v>21985611.260000002</v>
      </c>
      <c r="I40" s="26">
        <f t="shared" si="49"/>
        <v>80709681.709999993</v>
      </c>
      <c r="J40" s="26">
        <f t="shared" si="49"/>
        <v>63378605.710000001</v>
      </c>
      <c r="K40" s="26">
        <f t="shared" si="49"/>
        <v>44079906.789999999</v>
      </c>
      <c r="L40" s="26">
        <f t="shared" si="49"/>
        <v>23129226.210000001</v>
      </c>
      <c r="M40" s="26">
        <f t="shared" si="49"/>
        <v>88611971.989999995</v>
      </c>
      <c r="N40" s="26">
        <f t="shared" si="49"/>
        <v>48869485.689999998</v>
      </c>
      <c r="O40" s="26">
        <f t="shared" si="49"/>
        <v>30061624.289999999</v>
      </c>
      <c r="P40" s="26">
        <f t="shared" si="49"/>
        <v>21179307.41</v>
      </c>
      <c r="Q40" s="26">
        <f t="shared" si="49"/>
        <v>53632117.130000003</v>
      </c>
      <c r="R40" s="26">
        <f t="shared" si="49"/>
        <v>40316639.75</v>
      </c>
      <c r="S40" s="26">
        <f t="shared" si="49"/>
        <v>25334137.739999998</v>
      </c>
      <c r="T40" s="26">
        <f t="shared" si="49"/>
        <v>17702590.440000001</v>
      </c>
      <c r="U40" s="26">
        <f t="shared" si="49"/>
        <v>59861374.850000001</v>
      </c>
      <c r="V40" s="26">
        <f t="shared" si="49"/>
        <v>37936104.539999999</v>
      </c>
      <c r="W40" s="26">
        <f t="shared" si="49"/>
        <v>25253043.190000001</v>
      </c>
      <c r="X40" s="26">
        <f t="shared" si="49"/>
        <v>19517706.149999999</v>
      </c>
      <c r="Y40" s="26">
        <f t="shared" si="49"/>
        <v>61950453.530000001</v>
      </c>
      <c r="Z40" s="26">
        <f t="shared" si="49"/>
        <v>42224768.240000002</v>
      </c>
      <c r="AA40" s="26">
        <f t="shared" si="49"/>
        <v>25078122.620000001</v>
      </c>
      <c r="AB40" s="26">
        <f t="shared" si="49"/>
        <v>22988840.609999999</v>
      </c>
      <c r="AC40" s="26">
        <f t="shared" si="49"/>
        <v>70548110.260000005</v>
      </c>
      <c r="AD40" s="26">
        <f t="shared" si="49"/>
        <v>47934985.090000004</v>
      </c>
      <c r="AE40" s="26">
        <f t="shared" si="49"/>
        <v>25281931.27</v>
      </c>
      <c r="AF40" s="26">
        <f t="shared" si="49"/>
        <v>29453283.52</v>
      </c>
      <c r="AG40" s="26">
        <f t="shared" si="49"/>
        <v>71365814.269999996</v>
      </c>
      <c r="AH40" s="26">
        <f t="shared" si="49"/>
        <v>69820550.109999999</v>
      </c>
      <c r="AI40" s="26">
        <f t="shared" si="49"/>
        <v>35970578.43</v>
      </c>
      <c r="AJ40" s="26">
        <f t="shared" si="49"/>
        <v>19374579.129999999</v>
      </c>
      <c r="AK40" s="26">
        <f t="shared" si="49"/>
        <v>50926318.670000002</v>
      </c>
      <c r="AL40" s="26">
        <f t="shared" si="49"/>
        <v>32179640.43</v>
      </c>
      <c r="AM40" s="26">
        <f t="shared" si="49"/>
        <v>16241581.609999999</v>
      </c>
      <c r="AN40" s="26">
        <f t="shared" si="49"/>
        <v>11150238.310000001</v>
      </c>
      <c r="AO40" s="26">
        <f t="shared" si="49"/>
        <v>26161263.460000001</v>
      </c>
      <c r="AP40" s="26">
        <f t="shared" si="49"/>
        <v>20821381.469999999</v>
      </c>
      <c r="AQ40" s="26">
        <f t="shared" si="49"/>
        <v>26024310.539999999</v>
      </c>
      <c r="AR40" s="26">
        <f t="shared" si="49"/>
        <v>4054415.44</v>
      </c>
      <c r="AS40" s="26">
        <f t="shared" si="49"/>
        <v>0</v>
      </c>
      <c r="AT40" s="26">
        <f t="shared" si="49"/>
        <v>648250833.24000001</v>
      </c>
      <c r="AU40" s="26">
        <f t="shared" si="49"/>
        <v>561779303.77999997</v>
      </c>
      <c r="AV40" s="26">
        <f t="shared" si="49"/>
        <v>374547042.32999998</v>
      </c>
      <c r="AW40" s="26">
        <f t="shared" si="49"/>
        <v>606385627.26999998</v>
      </c>
      <c r="AX40" s="26">
        <f t="shared" si="49"/>
        <v>526228001.63</v>
      </c>
      <c r="AY40" s="26">
        <f t="shared" si="49"/>
        <v>420222252.99000001</v>
      </c>
      <c r="AZ40" s="26">
        <f t="shared" si="49"/>
        <v>280943626.88999999</v>
      </c>
      <c r="BA40" s="26">
        <f t="shared" si="49"/>
        <v>396902090.45999998</v>
      </c>
      <c r="BB40" s="26">
        <f t="shared" si="49"/>
        <v>383849839.51999998</v>
      </c>
      <c r="BC40" s="26">
        <f t="shared" si="49"/>
        <v>336122195.32999998</v>
      </c>
      <c r="BD40" s="26">
        <f t="shared" si="49"/>
        <v>238518321.50999999</v>
      </c>
      <c r="BE40" s="26">
        <f t="shared" si="49"/>
        <v>441401360.93000001</v>
      </c>
      <c r="BF40" s="26">
        <f t="shared" si="49"/>
        <v>355010263.50999999</v>
      </c>
      <c r="BG40" s="26">
        <f t="shared" si="49"/>
        <v>278320628.12</v>
      </c>
      <c r="BH40" s="26">
        <f t="shared" si="49"/>
        <v>193355065.81999999</v>
      </c>
      <c r="BI40" s="26">
        <f t="shared" si="49"/>
        <v>383447938.93000001</v>
      </c>
      <c r="BJ40" s="26">
        <f t="shared" si="49"/>
        <v>311366323.06999999</v>
      </c>
      <c r="BK40" s="26">
        <f t="shared" si="49"/>
        <v>250049516.34999999</v>
      </c>
      <c r="BL40" s="26">
        <f t="shared" si="49"/>
        <v>207396289.06999999</v>
      </c>
      <c r="BM40" s="26">
        <f t="shared" si="49"/>
        <v>250085682.47999999</v>
      </c>
      <c r="BN40" s="26">
        <f t="shared" si="49"/>
        <v>190785252.78999999</v>
      </c>
      <c r="BO40" s="26">
        <f t="shared" ref="BO40:CJ40" si="50">BO60</f>
        <v>126708958.8</v>
      </c>
      <c r="BP40" s="26">
        <f t="shared" si="50"/>
        <v>121401855.98999999</v>
      </c>
      <c r="BQ40" s="26">
        <f t="shared" si="50"/>
        <v>116775657.84999999</v>
      </c>
      <c r="BR40" s="26">
        <f t="shared" si="50"/>
        <v>160590000</v>
      </c>
      <c r="BS40" s="26">
        <f t="shared" si="50"/>
        <v>179226656.44999999</v>
      </c>
      <c r="BT40" s="26">
        <f t="shared" si="50"/>
        <v>138812074.46000001</v>
      </c>
      <c r="BU40" s="26">
        <f t="shared" si="50"/>
        <v>238879360.28</v>
      </c>
      <c r="BV40" s="26">
        <f t="shared" si="50"/>
        <v>295349924.56</v>
      </c>
      <c r="BW40" s="26">
        <f t="shared" si="50"/>
        <v>303429006.82999998</v>
      </c>
      <c r="BX40" s="26">
        <f t="shared" si="50"/>
        <v>66653678.539999999</v>
      </c>
      <c r="BY40" s="26">
        <f t="shared" si="50"/>
        <v>260578360.56999999</v>
      </c>
      <c r="BZ40" s="26">
        <f t="shared" si="50"/>
        <v>44632836.509999998</v>
      </c>
      <c r="CA40" s="26">
        <f t="shared" si="50"/>
        <v>168102185.13</v>
      </c>
      <c r="CB40" s="26">
        <f t="shared" si="50"/>
        <v>128029818.47</v>
      </c>
      <c r="CC40" s="26">
        <f t="shared" si="50"/>
        <v>106844876.92</v>
      </c>
      <c r="CD40" s="26">
        <f t="shared" si="50"/>
        <v>0</v>
      </c>
      <c r="CE40" s="26">
        <f t="shared" si="50"/>
        <v>27810000</v>
      </c>
      <c r="CF40" s="26">
        <f t="shared" si="50"/>
        <v>16447145.279999999</v>
      </c>
      <c r="CG40" s="26">
        <f t="shared" si="50"/>
        <v>4330000</v>
      </c>
      <c r="CH40" s="26">
        <f t="shared" si="50"/>
        <v>4220000</v>
      </c>
      <c r="CI40" s="26">
        <f t="shared" si="50"/>
        <v>12510000</v>
      </c>
      <c r="CJ40" s="26">
        <f t="shared" si="50"/>
        <v>3630000</v>
      </c>
    </row>
    <row r="41" spans="1:89" s="57" customFormat="1" x14ac:dyDescent="0.25">
      <c r="A41" s="57" t="s">
        <v>609</v>
      </c>
      <c r="B41" s="57">
        <f>B40/B38</f>
        <v>0.1768484149922962</v>
      </c>
      <c r="C41" s="57">
        <f t="shared" ref="C41:BN41" si="51">C40/C38</f>
        <v>0.19867324773778927</v>
      </c>
      <c r="D41" s="57">
        <f t="shared" si="51"/>
        <v>0.24192999176304483</v>
      </c>
      <c r="E41" s="57">
        <f t="shared" si="51"/>
        <v>0.18164803354749867</v>
      </c>
      <c r="F41" s="57">
        <f t="shared" si="51"/>
        <v>0.22546703507762034</v>
      </c>
      <c r="G41" s="57">
        <f t="shared" si="51"/>
        <v>0.21120747006595628</v>
      </c>
      <c r="H41" s="57">
        <f t="shared" si="51"/>
        <v>0.14919107551967287</v>
      </c>
      <c r="I41" s="57">
        <f t="shared" si="51"/>
        <v>0.18868734339860857</v>
      </c>
      <c r="J41" s="57">
        <f t="shared" si="51"/>
        <v>0.18929170558724998</v>
      </c>
      <c r="K41" s="57">
        <f t="shared" si="51"/>
        <v>0.21637124685948239</v>
      </c>
      <c r="L41" s="57">
        <f t="shared" si="51"/>
        <v>0.16887578829307417</v>
      </c>
      <c r="M41" s="57">
        <f t="shared" si="51"/>
        <v>0.17271293697664791</v>
      </c>
      <c r="N41" s="57">
        <f t="shared" si="51"/>
        <v>0.12826363295525423</v>
      </c>
      <c r="O41" s="57">
        <f t="shared" si="51"/>
        <v>0.13836229530269112</v>
      </c>
      <c r="P41" s="57">
        <f t="shared" si="51"/>
        <v>0.1517306865567328</v>
      </c>
      <c r="Q41" s="57">
        <f t="shared" si="51"/>
        <v>0.11905469539985003</v>
      </c>
      <c r="R41" s="57">
        <f t="shared" si="51"/>
        <v>0.12709755980629805</v>
      </c>
      <c r="S41" s="57">
        <f t="shared" si="51"/>
        <v>0.13848237148802525</v>
      </c>
      <c r="T41" s="57">
        <f t="shared" si="51"/>
        <v>0.15173175637397632</v>
      </c>
      <c r="U41" s="57">
        <f t="shared" si="51"/>
        <v>0.15332220534611532</v>
      </c>
      <c r="V41" s="57">
        <f t="shared" si="51"/>
        <v>0.13812266847290694</v>
      </c>
      <c r="W41" s="57">
        <f t="shared" si="51"/>
        <v>0.15588724823943437</v>
      </c>
      <c r="X41" s="57">
        <f t="shared" si="51"/>
        <v>0.18554166485136664</v>
      </c>
      <c r="Y41" s="57">
        <f t="shared" si="51"/>
        <v>0.13983380839095075</v>
      </c>
      <c r="Z41" s="57">
        <f t="shared" si="51"/>
        <v>0.14288563619077771</v>
      </c>
      <c r="AA41" s="57">
        <f t="shared" si="51"/>
        <v>0.15786650531411367</v>
      </c>
      <c r="AB41" s="57">
        <f t="shared" si="51"/>
        <v>0.17775303416152666</v>
      </c>
      <c r="AC41" s="57">
        <f t="shared" si="51"/>
        <v>0.15938577988311911</v>
      </c>
      <c r="AD41" s="57">
        <f t="shared" si="51"/>
        <v>0.14636807825946443</v>
      </c>
      <c r="AE41" s="57">
        <f t="shared" si="51"/>
        <v>0.13490178462743299</v>
      </c>
      <c r="AF41" s="57">
        <f t="shared" si="51"/>
        <v>0.24934101101669059</v>
      </c>
      <c r="AG41" s="57">
        <f t="shared" si="51"/>
        <v>0.25297442216995653</v>
      </c>
      <c r="AH41" s="57">
        <f t="shared" si="51"/>
        <v>0.32615940130561177</v>
      </c>
      <c r="AI41" s="57">
        <f t="shared" si="51"/>
        <v>0.31745742238108354</v>
      </c>
      <c r="AJ41" s="57">
        <f t="shared" si="51"/>
        <v>0.27861177692076217</v>
      </c>
      <c r="AK41" s="57">
        <f t="shared" si="51"/>
        <v>0.25934275451686561</v>
      </c>
      <c r="AL41" s="57">
        <f t="shared" si="51"/>
        <v>0.24043040427877729</v>
      </c>
      <c r="AM41" s="57">
        <f t="shared" si="51"/>
        <v>0.24135559535712536</v>
      </c>
      <c r="AN41" s="57">
        <f t="shared" si="51"/>
        <v>0.24818052352343017</v>
      </c>
      <c r="AO41" s="57">
        <f t="shared" si="51"/>
        <v>0.19181069550708496</v>
      </c>
      <c r="AP41" s="57">
        <f t="shared" si="51"/>
        <v>0.19844715877888316</v>
      </c>
      <c r="AQ41" s="57">
        <f t="shared" si="51"/>
        <v>0.23411029698131777</v>
      </c>
      <c r="AR41" s="57">
        <f t="shared" si="51"/>
        <v>7.5682131528702401E-2</v>
      </c>
      <c r="AS41" s="57" t="e">
        <f t="shared" si="51"/>
        <v>#DIV/0!</v>
      </c>
      <c r="AT41" s="57">
        <f t="shared" si="51"/>
        <v>15.592366512196667</v>
      </c>
      <c r="AU41" s="57">
        <f t="shared" si="51"/>
        <v>15.376416082794156</v>
      </c>
      <c r="AV41" s="57">
        <f t="shared" si="51"/>
        <v>92.644454630179325</v>
      </c>
      <c r="AW41" s="57">
        <f t="shared" si="51"/>
        <v>10.916220541131098</v>
      </c>
      <c r="AX41" s="57">
        <f t="shared" si="51"/>
        <v>18.231369460204579</v>
      </c>
      <c r="AY41" s="57">
        <f t="shared" si="51"/>
        <v>16.021387764306059</v>
      </c>
      <c r="AZ41" s="57">
        <f t="shared" si="51"/>
        <v>93.098322439196252</v>
      </c>
      <c r="BA41" s="57">
        <f t="shared" si="51"/>
        <v>18.631308838172576</v>
      </c>
      <c r="BB41" s="57">
        <f t="shared" si="51"/>
        <v>55.304324722487436</v>
      </c>
      <c r="BC41" s="57">
        <f t="shared" si="51"/>
        <v>67.277250227328935</v>
      </c>
      <c r="BD41" s="57">
        <f t="shared" si="51"/>
        <v>39.372760490940244</v>
      </c>
      <c r="BE41" s="57">
        <f t="shared" si="51"/>
        <v>16.764297507062913</v>
      </c>
      <c r="BF41" s="57">
        <f t="shared" si="51"/>
        <v>27.049077122304052</v>
      </c>
      <c r="BG41" s="57">
        <f t="shared" si="51"/>
        <v>24.303157252166653</v>
      </c>
      <c r="BH41" s="57">
        <f t="shared" si="51"/>
        <v>70.000749015543192</v>
      </c>
      <c r="BI41" s="57">
        <f t="shared" si="51"/>
        <v>13.790967082937895</v>
      </c>
      <c r="BJ41" s="57">
        <f t="shared" si="51"/>
        <v>15.67040258955069</v>
      </c>
      <c r="BK41" s="57">
        <f t="shared" si="51"/>
        <v>20.530470057823827</v>
      </c>
      <c r="BL41" s="57">
        <f t="shared" si="51"/>
        <v>76.496332781702776</v>
      </c>
      <c r="BM41" s="57">
        <f t="shared" si="51"/>
        <v>9.3062959249435355</v>
      </c>
      <c r="BN41" s="57">
        <f t="shared" si="51"/>
        <v>8.0800067537645504</v>
      </c>
      <c r="BO41" s="57">
        <f t="shared" ref="BO41:CJ41" si="52">BO40/BO38</f>
        <v>9.6301249443167141</v>
      </c>
      <c r="BP41" s="57">
        <f t="shared" si="52"/>
        <v>16.511200920697274</v>
      </c>
      <c r="BQ41" s="57">
        <f t="shared" si="52"/>
        <v>3.0916829946917983</v>
      </c>
      <c r="BR41" s="57">
        <f t="shared" si="52"/>
        <v>12.625</v>
      </c>
      <c r="BS41" s="57">
        <f t="shared" si="52"/>
        <v>6.8283566880658215</v>
      </c>
      <c r="BT41" s="57">
        <f t="shared" si="52"/>
        <v>12.853075776272602</v>
      </c>
      <c r="BU41" s="57">
        <f t="shared" si="52"/>
        <v>14.285141378045161</v>
      </c>
      <c r="BV41" s="57">
        <f t="shared" si="52"/>
        <v>39.705149385866775</v>
      </c>
      <c r="BW41" s="57">
        <f t="shared" si="52"/>
        <v>20.112527092609866</v>
      </c>
      <c r="BX41" s="57">
        <f t="shared" si="52"/>
        <v>6.948062846312304</v>
      </c>
      <c r="BY41" s="57">
        <f t="shared" si="52"/>
        <v>6.0894858138564683</v>
      </c>
      <c r="BZ41" s="57">
        <f t="shared" si="52"/>
        <v>11.640426755835241</v>
      </c>
      <c r="CA41" s="57">
        <f t="shared" si="52"/>
        <v>-14.20372750495731</v>
      </c>
      <c r="CB41" s="57">
        <f t="shared" si="52"/>
        <v>-7.8774211764848916</v>
      </c>
      <c r="CC41" s="57">
        <f t="shared" si="52"/>
        <v>-8.6111449985966146</v>
      </c>
      <c r="CD41" s="57" t="e">
        <f t="shared" si="52"/>
        <v>#DIV/0!</v>
      </c>
      <c r="CE41" s="57">
        <f t="shared" si="52"/>
        <v>3.5981368870487773</v>
      </c>
      <c r="CF41" s="57">
        <f t="shared" si="52"/>
        <v>7.859739633359264</v>
      </c>
      <c r="CG41" s="57" t="e">
        <f t="shared" si="52"/>
        <v>#DIV/0!</v>
      </c>
      <c r="CH41" s="57" t="e">
        <f t="shared" si="52"/>
        <v>#DIV/0!</v>
      </c>
      <c r="CI41" s="57" t="e">
        <f t="shared" si="52"/>
        <v>#DIV/0!</v>
      </c>
      <c r="CJ41" s="57" t="e">
        <f t="shared" si="52"/>
        <v>#DIV/0!</v>
      </c>
    </row>
    <row r="42" spans="1:89" s="2" customFormat="1" x14ac:dyDescent="0.25">
      <c r="A42" s="20" t="s">
        <v>419</v>
      </c>
      <c r="B42" s="28">
        <f>B38-B40</f>
        <v>422913838.57000029</v>
      </c>
      <c r="C42" s="28">
        <f t="shared" ref="C42:BN42" si="53">C38-C40</f>
        <v>234880466.18999994</v>
      </c>
      <c r="D42" s="28">
        <f t="shared" si="53"/>
        <v>135535055.17999983</v>
      </c>
      <c r="E42" s="28">
        <f t="shared" si="53"/>
        <v>409116925.75999999</v>
      </c>
      <c r="F42" s="28">
        <f t="shared" si="53"/>
        <v>310919933.17000008</v>
      </c>
      <c r="G42" s="28">
        <f t="shared" si="53"/>
        <v>165566023.43999976</v>
      </c>
      <c r="H42" s="28">
        <f t="shared" si="53"/>
        <v>125379847.31999998</v>
      </c>
      <c r="I42" s="28">
        <f t="shared" si="53"/>
        <v>347033272.61999971</v>
      </c>
      <c r="J42" s="28">
        <f t="shared" si="53"/>
        <v>271441166.31000006</v>
      </c>
      <c r="K42" s="28">
        <f t="shared" si="53"/>
        <v>159643588.96000019</v>
      </c>
      <c r="L42" s="28">
        <f t="shared" si="53"/>
        <v>113830763.40000001</v>
      </c>
      <c r="M42" s="28">
        <f t="shared" si="53"/>
        <v>424447290.04999995</v>
      </c>
      <c r="N42" s="28">
        <f t="shared" si="53"/>
        <v>332138634.56999999</v>
      </c>
      <c r="O42" s="28">
        <f t="shared" si="53"/>
        <v>187205834.47999993</v>
      </c>
      <c r="P42" s="28">
        <f t="shared" si="53"/>
        <v>118405557.65999994</v>
      </c>
      <c r="Q42" s="28">
        <f t="shared" si="53"/>
        <v>396850889.44000012</v>
      </c>
      <c r="R42" s="28">
        <f t="shared" si="53"/>
        <v>276893539.67000008</v>
      </c>
      <c r="S42" s="28">
        <f t="shared" si="53"/>
        <v>157607109.34999999</v>
      </c>
      <c r="T42" s="28">
        <f t="shared" si="53"/>
        <v>98967715.520000026</v>
      </c>
      <c r="U42" s="28">
        <f t="shared" si="53"/>
        <v>330567230.81</v>
      </c>
      <c r="V42" s="28">
        <f t="shared" si="53"/>
        <v>236719062.20000002</v>
      </c>
      <c r="W42" s="28">
        <f t="shared" si="53"/>
        <v>136742523.95999995</v>
      </c>
      <c r="X42" s="28">
        <f t="shared" si="53"/>
        <v>85675411.339999914</v>
      </c>
      <c r="Y42" s="28">
        <f t="shared" si="53"/>
        <v>381078698.31000006</v>
      </c>
      <c r="Z42" s="28">
        <f t="shared" si="53"/>
        <v>253289668.10000014</v>
      </c>
      <c r="AA42" s="28">
        <f t="shared" si="53"/>
        <v>133778390.80000001</v>
      </c>
      <c r="AB42" s="28">
        <f t="shared" si="53"/>
        <v>106341388.36999996</v>
      </c>
      <c r="AC42" s="28">
        <f t="shared" si="53"/>
        <v>372076760.74000007</v>
      </c>
      <c r="AD42" s="28">
        <f t="shared" si="53"/>
        <v>279561185.24999988</v>
      </c>
      <c r="AE42" s="28">
        <f t="shared" si="53"/>
        <v>162127978.39000005</v>
      </c>
      <c r="AF42" s="28">
        <f t="shared" si="53"/>
        <v>88671221.550000027</v>
      </c>
      <c r="AG42" s="28">
        <f t="shared" si="53"/>
        <v>210741023.48000026</v>
      </c>
      <c r="AH42" s="28">
        <f t="shared" si="53"/>
        <v>144248245.18000013</v>
      </c>
      <c r="AI42" s="28">
        <f t="shared" si="53"/>
        <v>77337776.939999968</v>
      </c>
      <c r="AJ42" s="28">
        <f t="shared" si="53"/>
        <v>50165119.959999979</v>
      </c>
      <c r="AK42" s="28">
        <f t="shared" si="53"/>
        <v>145440527.06999987</v>
      </c>
      <c r="AL42" s="28">
        <f t="shared" si="53"/>
        <v>101662169.32999998</v>
      </c>
      <c r="AM42" s="28">
        <f t="shared" si="53"/>
        <v>51051582.179999992</v>
      </c>
      <c r="AN42" s="28">
        <f t="shared" si="53"/>
        <v>33777696.210000038</v>
      </c>
      <c r="AO42" s="28">
        <f t="shared" si="53"/>
        <v>110229793.30999994</v>
      </c>
      <c r="AP42" s="28">
        <f t="shared" si="53"/>
        <v>84100158.340000093</v>
      </c>
      <c r="AQ42" s="28">
        <f t="shared" si="53"/>
        <v>85138294.759999961</v>
      </c>
      <c r="AR42" s="28">
        <f t="shared" si="53"/>
        <v>49517218.419999912</v>
      </c>
      <c r="AS42" s="28">
        <f t="shared" si="53"/>
        <v>0</v>
      </c>
      <c r="AT42" s="28">
        <f t="shared" si="53"/>
        <v>-606675948.97000003</v>
      </c>
      <c r="AU42" s="28">
        <f t="shared" si="53"/>
        <v>-525244177.46999997</v>
      </c>
      <c r="AV42" s="28">
        <f t="shared" si="53"/>
        <v>-370504198.70999998</v>
      </c>
      <c r="AW42" s="28">
        <f t="shared" si="53"/>
        <v>-550836582.15999997</v>
      </c>
      <c r="AX42" s="28">
        <f t="shared" si="53"/>
        <v>-497364124.85000002</v>
      </c>
      <c r="AY42" s="28">
        <f t="shared" si="53"/>
        <v>-393993423.18000001</v>
      </c>
      <c r="AZ42" s="28">
        <f t="shared" si="53"/>
        <v>-277925918.08999997</v>
      </c>
      <c r="BA42" s="28">
        <f t="shared" si="53"/>
        <v>-375599127.04999995</v>
      </c>
      <c r="BB42" s="28">
        <f t="shared" si="53"/>
        <v>-376909155.56</v>
      </c>
      <c r="BC42" s="28">
        <f t="shared" si="53"/>
        <v>-331126120.21999997</v>
      </c>
      <c r="BD42" s="28">
        <f t="shared" si="53"/>
        <v>-232460368.78999999</v>
      </c>
      <c r="BE42" s="28">
        <f t="shared" si="53"/>
        <v>-415071515.56999999</v>
      </c>
      <c r="BF42" s="28">
        <f t="shared" si="53"/>
        <v>-341885591.56999999</v>
      </c>
      <c r="BG42" s="28">
        <f t="shared" si="53"/>
        <v>-266868592.27000001</v>
      </c>
      <c r="BH42" s="28">
        <f t="shared" si="53"/>
        <v>-190592880.15000001</v>
      </c>
      <c r="BI42" s="28">
        <f t="shared" si="53"/>
        <v>-355643656.85000002</v>
      </c>
      <c r="BJ42" s="28">
        <f t="shared" si="53"/>
        <v>-291496615.11000001</v>
      </c>
      <c r="BK42" s="28">
        <f t="shared" si="53"/>
        <v>-237870081.79999998</v>
      </c>
      <c r="BL42" s="28">
        <f t="shared" si="53"/>
        <v>-204685096.5</v>
      </c>
      <c r="BM42" s="28">
        <f t="shared" si="53"/>
        <v>-223212941.22</v>
      </c>
      <c r="BN42" s="28">
        <f t="shared" si="53"/>
        <v>-167173236.28999999</v>
      </c>
      <c r="BO42" s="28">
        <f t="shared" ref="BO42:CK42" si="54">BO38-BO40</f>
        <v>-113551397.55</v>
      </c>
      <c r="BP42" s="28">
        <f t="shared" si="54"/>
        <v>-114049159.08</v>
      </c>
      <c r="BQ42" s="28">
        <f t="shared" si="54"/>
        <v>-79004755.060000002</v>
      </c>
      <c r="BR42" s="28">
        <f t="shared" si="54"/>
        <v>-147870000</v>
      </c>
      <c r="BS42" s="28">
        <f t="shared" si="54"/>
        <v>-152979249.54999998</v>
      </c>
      <c r="BT42" s="28">
        <f t="shared" si="54"/>
        <v>-128012163.46000001</v>
      </c>
      <c r="BU42" s="28">
        <f t="shared" si="54"/>
        <v>-222157134.44</v>
      </c>
      <c r="BV42" s="28">
        <f t="shared" si="54"/>
        <v>-287911344.69999999</v>
      </c>
      <c r="BW42" s="28">
        <f t="shared" si="54"/>
        <v>-288342438.87</v>
      </c>
      <c r="BX42" s="28">
        <f t="shared" si="54"/>
        <v>-57060547.329999998</v>
      </c>
      <c r="BY42" s="28">
        <f t="shared" si="54"/>
        <v>-217786839.49000001</v>
      </c>
      <c r="BZ42" s="28">
        <f t="shared" si="54"/>
        <v>-40798540.960000001</v>
      </c>
      <c r="CA42" s="28">
        <f t="shared" si="54"/>
        <v>-179937260.47</v>
      </c>
      <c r="CB42" s="28">
        <f t="shared" si="54"/>
        <v>-144282576.27000001</v>
      </c>
      <c r="CC42" s="28">
        <f t="shared" si="54"/>
        <v>-119252620.25</v>
      </c>
      <c r="CD42" s="28">
        <f t="shared" si="54"/>
        <v>0</v>
      </c>
      <c r="CE42" s="28">
        <f t="shared" si="54"/>
        <v>-20081000</v>
      </c>
      <c r="CF42" s="28">
        <f t="shared" si="54"/>
        <v>-14354563.84</v>
      </c>
      <c r="CG42" s="28">
        <f t="shared" si="54"/>
        <v>-4330000</v>
      </c>
      <c r="CH42" s="28">
        <f t="shared" si="54"/>
        <v>-4220000</v>
      </c>
      <c r="CI42" s="28">
        <f t="shared" si="54"/>
        <v>-12510000</v>
      </c>
      <c r="CJ42" s="28">
        <f t="shared" si="54"/>
        <v>-3630000</v>
      </c>
      <c r="CK42" s="28">
        <f t="shared" si="54"/>
        <v>0</v>
      </c>
    </row>
    <row r="43" spans="1:89" s="57" customFormat="1" x14ac:dyDescent="0.25">
      <c r="A43" s="57" t="s">
        <v>418</v>
      </c>
      <c r="B43" s="57">
        <f>B42/B4*100</f>
        <v>12.25240047427533</v>
      </c>
      <c r="C43" s="57">
        <f t="shared" ref="C43:D43" si="55">C42/C4*100</f>
        <v>10.691418081928141</v>
      </c>
      <c r="D43" s="57">
        <f t="shared" si="55"/>
        <v>11.56927382968987</v>
      </c>
      <c r="E43" s="57">
        <f>E42/E4</f>
        <v>8.7758475670423053E-2</v>
      </c>
      <c r="F43" s="57">
        <f t="shared" ref="F43:BQ43" si="56">F42/F4</f>
        <v>9.769153957510987E-2</v>
      </c>
      <c r="G43" s="57">
        <f t="shared" si="56"/>
        <v>8.3558607282617367E-2</v>
      </c>
      <c r="H43" s="57">
        <f t="shared" si="56"/>
        <v>0.11853254681962487</v>
      </c>
      <c r="I43" s="57">
        <f t="shared" si="56"/>
        <v>0.11009182871443379</v>
      </c>
      <c r="J43" s="57">
        <f t="shared" si="56"/>
        <v>0.12594333210501402</v>
      </c>
      <c r="K43" s="57">
        <f t="shared" si="56"/>
        <v>0.11886350436648557</v>
      </c>
      <c r="L43" s="57">
        <f t="shared" si="56"/>
        <v>0.14921848135114291</v>
      </c>
      <c r="M43" s="57">
        <f t="shared" si="56"/>
        <v>0.14557633289197322</v>
      </c>
      <c r="N43" s="57">
        <f t="shared" si="56"/>
        <v>0.16232809413569965</v>
      </c>
      <c r="O43" s="57">
        <f t="shared" si="56"/>
        <v>0.149767531995882</v>
      </c>
      <c r="P43" s="57">
        <f t="shared" si="56"/>
        <v>0.16785711345254103</v>
      </c>
      <c r="Q43" s="57">
        <f t="shared" si="56"/>
        <v>0.14371362606605287</v>
      </c>
      <c r="R43" s="57">
        <f t="shared" si="56"/>
        <v>0.14728427457586968</v>
      </c>
      <c r="S43" s="57">
        <f t="shared" si="56"/>
        <v>0.14169735212355053</v>
      </c>
      <c r="T43" s="57">
        <f t="shared" si="56"/>
        <v>0.15056507527583585</v>
      </c>
      <c r="U43" s="57">
        <f t="shared" si="56"/>
        <v>0.13095871866346628</v>
      </c>
      <c r="V43" s="57">
        <f t="shared" si="56"/>
        <v>0.1374158881388837</v>
      </c>
      <c r="W43" s="57">
        <f t="shared" si="56"/>
        <v>0.12683972433177276</v>
      </c>
      <c r="X43" s="57">
        <f t="shared" si="56"/>
        <v>0.13923010869942817</v>
      </c>
      <c r="Y43" s="57">
        <f t="shared" si="56"/>
        <v>0.13984776173082955</v>
      </c>
      <c r="Z43" s="57">
        <f t="shared" si="56"/>
        <v>0.13708214612805555</v>
      </c>
      <c r="AA43" s="57">
        <f t="shared" si="56"/>
        <v>0.12906866082559859</v>
      </c>
      <c r="AB43" s="57">
        <f t="shared" si="56"/>
        <v>0.17310414049770076</v>
      </c>
      <c r="AC43" s="57">
        <f t="shared" si="56"/>
        <v>0.15617500321063818</v>
      </c>
      <c r="AD43" s="57">
        <f t="shared" si="56"/>
        <v>0.1711008843748279</v>
      </c>
      <c r="AE43" s="57">
        <f t="shared" si="56"/>
        <v>0.16160338987240458</v>
      </c>
      <c r="AF43" s="57">
        <f t="shared" si="56"/>
        <v>0.1520556355122335</v>
      </c>
      <c r="AG43" s="57">
        <f t="shared" si="56"/>
        <v>0.11586723635626968</v>
      </c>
      <c r="AH43" s="57">
        <f t="shared" si="56"/>
        <v>0.12590740816563198</v>
      </c>
      <c r="AI43" s="57">
        <f t="shared" si="56"/>
        <v>0.11685456158888612</v>
      </c>
      <c r="AJ43" s="57">
        <f t="shared" si="56"/>
        <v>0.13960511247048041</v>
      </c>
      <c r="AK43" s="57">
        <f t="shared" si="56"/>
        <v>0.12698827369007801</v>
      </c>
      <c r="AL43" s="57">
        <f t="shared" si="56"/>
        <v>0.14043393283600661</v>
      </c>
      <c r="AM43" s="57">
        <f t="shared" si="56"/>
        <v>0.12525827413645735</v>
      </c>
      <c r="AN43" s="57">
        <f t="shared" si="56"/>
        <v>0.13236188146320896</v>
      </c>
      <c r="AO43" s="57">
        <f t="shared" si="56"/>
        <v>0.12211328624086885</v>
      </c>
      <c r="AP43" s="57">
        <f t="shared" si="56"/>
        <v>0.13288579545916374</v>
      </c>
      <c r="AQ43" s="57">
        <f t="shared" si="56"/>
        <v>0.11271181738776465</v>
      </c>
      <c r="AR43" s="57">
        <f t="shared" si="56"/>
        <v>8.9625937463242419E-2</v>
      </c>
      <c r="AS43" s="57" t="e">
        <f t="shared" si="56"/>
        <v>#DIV/0!</v>
      </c>
      <c r="AT43" s="57" t="e">
        <f t="shared" si="56"/>
        <v>#DIV/0!</v>
      </c>
      <c r="AU43" s="57" t="e">
        <f t="shared" si="56"/>
        <v>#DIV/0!</v>
      </c>
      <c r="AV43" s="57" t="e">
        <f t="shared" si="56"/>
        <v>#DIV/0!</v>
      </c>
      <c r="AW43" s="57" t="e">
        <f t="shared" si="56"/>
        <v>#DIV/0!</v>
      </c>
      <c r="AX43" s="57" t="e">
        <f t="shared" si="56"/>
        <v>#DIV/0!</v>
      </c>
      <c r="AY43" s="57" t="e">
        <f t="shared" si="56"/>
        <v>#DIV/0!</v>
      </c>
      <c r="AZ43" s="57" t="e">
        <f t="shared" si="56"/>
        <v>#DIV/0!</v>
      </c>
      <c r="BA43" s="57" t="e">
        <f t="shared" si="56"/>
        <v>#DIV/0!</v>
      </c>
      <c r="BB43" s="57" t="e">
        <f t="shared" si="56"/>
        <v>#DIV/0!</v>
      </c>
      <c r="BC43" s="57" t="e">
        <f t="shared" si="56"/>
        <v>#DIV/0!</v>
      </c>
      <c r="BD43" s="57" t="e">
        <f t="shared" si="56"/>
        <v>#DIV/0!</v>
      </c>
      <c r="BE43" s="57" t="e">
        <f t="shared" si="56"/>
        <v>#DIV/0!</v>
      </c>
      <c r="BF43" s="57" t="e">
        <f t="shared" si="56"/>
        <v>#DIV/0!</v>
      </c>
      <c r="BG43" s="57" t="e">
        <f t="shared" si="56"/>
        <v>#DIV/0!</v>
      </c>
      <c r="BH43" s="57" t="e">
        <f t="shared" si="56"/>
        <v>#DIV/0!</v>
      </c>
      <c r="BI43" s="57" t="e">
        <f t="shared" si="56"/>
        <v>#DIV/0!</v>
      </c>
      <c r="BJ43" s="57" t="e">
        <f t="shared" si="56"/>
        <v>#DIV/0!</v>
      </c>
      <c r="BK43" s="57" t="e">
        <f t="shared" si="56"/>
        <v>#DIV/0!</v>
      </c>
      <c r="BL43" s="57" t="e">
        <f t="shared" si="56"/>
        <v>#DIV/0!</v>
      </c>
      <c r="BM43" s="57" t="e">
        <f t="shared" si="56"/>
        <v>#DIV/0!</v>
      </c>
      <c r="BN43" s="57" t="e">
        <f t="shared" si="56"/>
        <v>#DIV/0!</v>
      </c>
      <c r="BO43" s="57" t="e">
        <f t="shared" si="56"/>
        <v>#DIV/0!</v>
      </c>
      <c r="BP43" s="57" t="e">
        <f t="shared" si="56"/>
        <v>#DIV/0!</v>
      </c>
      <c r="BQ43" s="57" t="e">
        <f t="shared" si="56"/>
        <v>#DIV/0!</v>
      </c>
      <c r="BR43" s="57" t="e">
        <f t="shared" ref="BR43:CK43" si="57">BR42/BR4</f>
        <v>#DIV/0!</v>
      </c>
      <c r="BS43" s="57" t="e">
        <f t="shared" si="57"/>
        <v>#DIV/0!</v>
      </c>
      <c r="BT43" s="57" t="e">
        <f t="shared" si="57"/>
        <v>#DIV/0!</v>
      </c>
      <c r="BU43" s="57" t="e">
        <f t="shared" si="57"/>
        <v>#DIV/0!</v>
      </c>
      <c r="BV43" s="57" t="e">
        <f t="shared" si="57"/>
        <v>#DIV/0!</v>
      </c>
      <c r="BW43" s="57" t="e">
        <f t="shared" si="57"/>
        <v>#DIV/0!</v>
      </c>
      <c r="BX43" s="57" t="e">
        <f t="shared" si="57"/>
        <v>#DIV/0!</v>
      </c>
      <c r="BY43" s="57" t="e">
        <f t="shared" si="57"/>
        <v>#DIV/0!</v>
      </c>
      <c r="BZ43" s="57" t="e">
        <f t="shared" si="57"/>
        <v>#DIV/0!</v>
      </c>
      <c r="CA43" s="57" t="e">
        <f t="shared" si="57"/>
        <v>#DIV/0!</v>
      </c>
      <c r="CB43" s="57" t="e">
        <f t="shared" si="57"/>
        <v>#DIV/0!</v>
      </c>
      <c r="CC43" s="57" t="e">
        <f t="shared" si="57"/>
        <v>#DIV/0!</v>
      </c>
      <c r="CD43" s="57" t="e">
        <f t="shared" si="57"/>
        <v>#DIV/0!</v>
      </c>
      <c r="CE43" s="57" t="e">
        <f t="shared" si="57"/>
        <v>#DIV/0!</v>
      </c>
      <c r="CF43" s="57" t="e">
        <f t="shared" si="57"/>
        <v>#DIV/0!</v>
      </c>
      <c r="CG43" s="57" t="e">
        <f t="shared" si="57"/>
        <v>#DIV/0!</v>
      </c>
      <c r="CH43" s="57" t="e">
        <f t="shared" si="57"/>
        <v>#DIV/0!</v>
      </c>
      <c r="CI43" s="57" t="e">
        <f t="shared" si="57"/>
        <v>#DIV/0!</v>
      </c>
      <c r="CJ43" s="57" t="e">
        <f t="shared" si="57"/>
        <v>#DIV/0!</v>
      </c>
      <c r="CK43" s="57" t="e">
        <f t="shared" si="57"/>
        <v>#DIV/0!</v>
      </c>
    </row>
    <row r="44" spans="1:89" s="16" customFormat="1" x14ac:dyDescent="0.25">
      <c r="A44" s="18" t="s">
        <v>89</v>
      </c>
      <c r="B44" s="30"/>
      <c r="C44" s="30"/>
      <c r="D44" s="30"/>
      <c r="E44" s="30"/>
      <c r="F44" s="30"/>
      <c r="G44" s="30"/>
      <c r="H44" s="30"/>
      <c r="I44" s="30"/>
      <c r="J44" s="30"/>
      <c r="K44" s="30"/>
    </row>
    <row r="45" spans="1:89" x14ac:dyDescent="0.25">
      <c r="A45" s="17" t="s">
        <v>420</v>
      </c>
      <c r="B45" s="26">
        <f>B70*B69</f>
        <v>297183889.26719999</v>
      </c>
      <c r="C45" s="26">
        <f t="shared" ref="C45:BN45" si="58">C70*C69</f>
        <v>286453626.56959999</v>
      </c>
      <c r="D45" s="26">
        <f t="shared" si="58"/>
        <v>297735546.97119999</v>
      </c>
      <c r="E45" s="26">
        <f t="shared" si="58"/>
        <v>252218020.5704</v>
      </c>
      <c r="F45" s="26">
        <f t="shared" si="58"/>
        <v>243483993.0264</v>
      </c>
      <c r="G45" s="26">
        <f t="shared" si="58"/>
        <v>232395400.48800001</v>
      </c>
      <c r="H45" s="26">
        <f t="shared" si="58"/>
        <v>240483421.0688</v>
      </c>
      <c r="I45" s="26">
        <f t="shared" si="58"/>
        <v>230420653.73280001</v>
      </c>
      <c r="J45" s="26">
        <f t="shared" si="58"/>
        <v>224803192.20880002</v>
      </c>
      <c r="K45" s="26">
        <f t="shared" si="58"/>
        <v>214099386.0192</v>
      </c>
      <c r="L45" s="26">
        <f t="shared" si="58"/>
        <v>221663407.97599998</v>
      </c>
      <c r="M45" s="26">
        <f t="shared" si="58"/>
        <v>212436769.07119998</v>
      </c>
      <c r="N45" s="26">
        <f t="shared" si="58"/>
        <v>203712111.09040001</v>
      </c>
      <c r="O45" s="26">
        <f t="shared" si="58"/>
        <v>191916631.08160001</v>
      </c>
      <c r="P45" s="26">
        <f t="shared" si="58"/>
        <v>208458704.93599999</v>
      </c>
      <c r="Q45" s="26">
        <f t="shared" si="58"/>
        <v>198986260.32319999</v>
      </c>
      <c r="R45" s="26">
        <f t="shared" si="58"/>
        <v>184325499.1304</v>
      </c>
      <c r="S45" s="26">
        <f t="shared" si="58"/>
        <v>174782584.70480001</v>
      </c>
      <c r="T45" s="26">
        <f t="shared" si="58"/>
        <v>177951766.79840001</v>
      </c>
      <c r="U45" s="26">
        <f t="shared" si="58"/>
        <v>170034349.55680001</v>
      </c>
      <c r="V45" s="26">
        <f t="shared" si="58"/>
        <v>162454839.59440002</v>
      </c>
      <c r="W45" s="26">
        <f t="shared" si="58"/>
        <v>154456716.5352</v>
      </c>
      <c r="X45" s="26">
        <f t="shared" si="58"/>
        <v>158231681.12560001</v>
      </c>
      <c r="Y45" s="26">
        <f t="shared" si="58"/>
        <v>151377648.2184</v>
      </c>
      <c r="Z45" s="26">
        <f t="shared" si="58"/>
        <v>141073611.7096</v>
      </c>
      <c r="AA45" s="26">
        <f t="shared" si="58"/>
        <v>131512709.5256</v>
      </c>
      <c r="AB45" s="26">
        <f t="shared" si="58"/>
        <v>140546797.3312</v>
      </c>
      <c r="AC45" s="26">
        <f t="shared" si="58"/>
        <v>132039486.2616</v>
      </c>
      <c r="AD45" s="26">
        <f t="shared" si="58"/>
        <v>124540093.45280001</v>
      </c>
      <c r="AE45" s="26">
        <f t="shared" si="58"/>
        <v>115145436.904</v>
      </c>
      <c r="AF45" s="26">
        <f t="shared" si="58"/>
        <v>122710139.38959999</v>
      </c>
      <c r="AG45" s="26">
        <f t="shared" si="58"/>
        <v>118120446.79280001</v>
      </c>
      <c r="AH45" s="26">
        <f t="shared" si="58"/>
        <v>110259406.6648</v>
      </c>
      <c r="AI45" s="26">
        <f t="shared" si="58"/>
        <v>104906569.20559999</v>
      </c>
      <c r="AJ45" s="26">
        <f t="shared" si="58"/>
        <v>110591994.3696</v>
      </c>
      <c r="AK45" s="26">
        <f t="shared" si="58"/>
        <v>106579880.65040001</v>
      </c>
      <c r="AL45" s="26">
        <f t="shared" si="58"/>
        <v>103100165.28639999</v>
      </c>
      <c r="AM45" s="26">
        <f t="shared" si="58"/>
        <v>26480678.314400002</v>
      </c>
      <c r="AN45" s="26">
        <f t="shared" si="58"/>
        <v>24107028.118400004</v>
      </c>
      <c r="AO45" s="26">
        <f t="shared" si="58"/>
        <v>18662967.136800002</v>
      </c>
      <c r="AP45" s="26">
        <f t="shared" si="58"/>
        <v>10216629.880800001</v>
      </c>
      <c r="AQ45" s="26">
        <f t="shared" si="58"/>
        <v>0</v>
      </c>
      <c r="AR45" s="26">
        <f t="shared" si="58"/>
        <v>0</v>
      </c>
      <c r="AS45" s="26">
        <f t="shared" si="58"/>
        <v>0</v>
      </c>
      <c r="AT45" s="26">
        <f t="shared" si="58"/>
        <v>758847052.19920003</v>
      </c>
      <c r="AU45" s="26">
        <f t="shared" si="58"/>
        <v>744321212.02559996</v>
      </c>
      <c r="AV45" s="26">
        <f t="shared" si="58"/>
        <v>724131951.10160005</v>
      </c>
      <c r="AW45" s="26">
        <f t="shared" si="58"/>
        <v>663613481.17120004</v>
      </c>
      <c r="AX45" s="26">
        <f t="shared" si="58"/>
        <v>651174814.63680005</v>
      </c>
      <c r="AY45" s="26">
        <f t="shared" si="58"/>
        <v>635100029.13199997</v>
      </c>
      <c r="AZ45" s="26">
        <f t="shared" si="58"/>
        <v>634782760.68000007</v>
      </c>
      <c r="BA45" s="26">
        <f t="shared" si="58"/>
        <v>590877518.28320003</v>
      </c>
      <c r="BB45" s="26">
        <f t="shared" si="58"/>
        <v>588857292.12720001</v>
      </c>
      <c r="BC45" s="26">
        <f t="shared" si="58"/>
        <v>574354077.25199997</v>
      </c>
      <c r="BD45" s="26">
        <f t="shared" si="58"/>
        <v>560277247.14960003</v>
      </c>
      <c r="BE45" s="26">
        <f t="shared" si="58"/>
        <v>526956952.14160007</v>
      </c>
      <c r="BF45" s="26">
        <f t="shared" si="58"/>
        <v>514713302.49440002</v>
      </c>
      <c r="BG45" s="26">
        <f t="shared" si="58"/>
        <v>503417189.33279997</v>
      </c>
      <c r="BH45" s="26">
        <f t="shared" si="58"/>
        <v>512742944.7888</v>
      </c>
      <c r="BI45" s="26">
        <f t="shared" si="58"/>
        <v>482071414.93279999</v>
      </c>
      <c r="BJ45" s="26">
        <f t="shared" si="58"/>
        <v>469632412.06720001</v>
      </c>
      <c r="BK45" s="26">
        <f t="shared" si="58"/>
        <v>456940370.73199999</v>
      </c>
      <c r="BL45" s="26">
        <f t="shared" si="58"/>
        <v>448928939.28560001</v>
      </c>
      <c r="BM45" s="26">
        <f t="shared" si="58"/>
        <v>425767996.45679998</v>
      </c>
      <c r="BN45" s="26">
        <f t="shared" si="58"/>
        <v>417143450.60160005</v>
      </c>
      <c r="BO45" s="26">
        <f t="shared" ref="BO45:CJ45" si="59">BO70*BO69</f>
        <v>406028968.08720005</v>
      </c>
      <c r="BP45" s="26">
        <f t="shared" si="59"/>
        <v>396398453.56480002</v>
      </c>
      <c r="BQ45" s="26">
        <f t="shared" si="59"/>
        <v>376179450.62400001</v>
      </c>
      <c r="BR45" s="26">
        <f t="shared" si="59"/>
        <v>0</v>
      </c>
      <c r="BS45" s="26">
        <f t="shared" si="59"/>
        <v>350852465.73120004</v>
      </c>
      <c r="BT45" s="26">
        <f t="shared" si="59"/>
        <v>339089855.31999999</v>
      </c>
      <c r="BU45" s="26">
        <f t="shared" si="59"/>
        <v>255297295.91599998</v>
      </c>
      <c r="BV45" s="26">
        <f t="shared" si="59"/>
        <v>228024973.352</v>
      </c>
      <c r="BW45" s="26">
        <f t="shared" si="59"/>
        <v>193639949.31599998</v>
      </c>
      <c r="BX45" s="26">
        <f t="shared" si="59"/>
        <v>167175876.21600002</v>
      </c>
      <c r="BY45" s="26">
        <f t="shared" si="59"/>
        <v>141199217.4136</v>
      </c>
      <c r="BZ45" s="26">
        <f t="shared" si="59"/>
        <v>149169482.35680002</v>
      </c>
      <c r="CA45" s="26">
        <f t="shared" si="59"/>
        <v>31390782.2744</v>
      </c>
      <c r="CB45" s="26">
        <f t="shared" si="59"/>
        <v>21196670.336800002</v>
      </c>
      <c r="CC45" s="26">
        <f t="shared" si="59"/>
        <v>18077398.395999998</v>
      </c>
      <c r="CD45" s="26">
        <f t="shared" si="59"/>
        <v>0</v>
      </c>
      <c r="CE45" s="26">
        <f t="shared" si="59"/>
        <v>86379040</v>
      </c>
      <c r="CF45" s="26">
        <f t="shared" si="59"/>
        <v>80338268.220799997</v>
      </c>
      <c r="CG45" s="26">
        <f t="shared" si="59"/>
        <v>39415192.029600002</v>
      </c>
      <c r="CH45" s="26">
        <f t="shared" si="59"/>
        <v>0</v>
      </c>
      <c r="CI45" s="26">
        <f t="shared" si="59"/>
        <v>0</v>
      </c>
      <c r="CJ45" s="26">
        <f t="shared" si="59"/>
        <v>0</v>
      </c>
    </row>
    <row r="46" spans="1:89" s="63" customFormat="1" x14ac:dyDescent="0.25">
      <c r="A46" s="63" t="s">
        <v>421</v>
      </c>
      <c r="B46" s="63">
        <f>B69</f>
        <v>0.08</v>
      </c>
      <c r="C46" s="63">
        <f t="shared" ref="C46:BN46" si="60">C69</f>
        <v>0.08</v>
      </c>
      <c r="D46" s="63">
        <f t="shared" si="60"/>
        <v>0.08</v>
      </c>
      <c r="E46" s="63">
        <f t="shared" si="60"/>
        <v>0.08</v>
      </c>
      <c r="F46" s="63">
        <f t="shared" si="60"/>
        <v>0.08</v>
      </c>
      <c r="G46" s="63">
        <f t="shared" si="60"/>
        <v>0.08</v>
      </c>
      <c r="H46" s="63">
        <f t="shared" si="60"/>
        <v>0.08</v>
      </c>
      <c r="I46" s="63">
        <f t="shared" si="60"/>
        <v>0.08</v>
      </c>
      <c r="J46" s="63">
        <f t="shared" si="60"/>
        <v>0.08</v>
      </c>
      <c r="K46" s="63">
        <f t="shared" si="60"/>
        <v>0.08</v>
      </c>
      <c r="L46" s="63">
        <f t="shared" si="60"/>
        <v>0.08</v>
      </c>
      <c r="M46" s="63">
        <f t="shared" si="60"/>
        <v>0.08</v>
      </c>
      <c r="N46" s="63">
        <f t="shared" si="60"/>
        <v>0.08</v>
      </c>
      <c r="O46" s="63">
        <f t="shared" si="60"/>
        <v>0.08</v>
      </c>
      <c r="P46" s="63">
        <f t="shared" si="60"/>
        <v>0.08</v>
      </c>
      <c r="Q46" s="63">
        <f t="shared" si="60"/>
        <v>0.08</v>
      </c>
      <c r="R46" s="63">
        <f t="shared" si="60"/>
        <v>0.08</v>
      </c>
      <c r="S46" s="63">
        <f t="shared" si="60"/>
        <v>0.08</v>
      </c>
      <c r="T46" s="63">
        <f t="shared" si="60"/>
        <v>0.08</v>
      </c>
      <c r="U46" s="63">
        <f t="shared" si="60"/>
        <v>0.08</v>
      </c>
      <c r="V46" s="63">
        <f t="shared" si="60"/>
        <v>0.08</v>
      </c>
      <c r="W46" s="63">
        <f t="shared" si="60"/>
        <v>0.08</v>
      </c>
      <c r="X46" s="63">
        <f t="shared" si="60"/>
        <v>0.08</v>
      </c>
      <c r="Y46" s="63">
        <f t="shared" si="60"/>
        <v>0.08</v>
      </c>
      <c r="Z46" s="63">
        <f t="shared" si="60"/>
        <v>0.08</v>
      </c>
      <c r="AA46" s="63">
        <f t="shared" si="60"/>
        <v>0.08</v>
      </c>
      <c r="AB46" s="63">
        <f t="shared" si="60"/>
        <v>0.08</v>
      </c>
      <c r="AC46" s="63">
        <f t="shared" si="60"/>
        <v>0.08</v>
      </c>
      <c r="AD46" s="63">
        <f t="shared" si="60"/>
        <v>0.08</v>
      </c>
      <c r="AE46" s="63">
        <f t="shared" si="60"/>
        <v>0.08</v>
      </c>
      <c r="AF46" s="63">
        <f t="shared" si="60"/>
        <v>0.08</v>
      </c>
      <c r="AG46" s="63">
        <f t="shared" si="60"/>
        <v>0.08</v>
      </c>
      <c r="AH46" s="63">
        <f t="shared" si="60"/>
        <v>0.08</v>
      </c>
      <c r="AI46" s="63">
        <f t="shared" si="60"/>
        <v>0.08</v>
      </c>
      <c r="AJ46" s="63">
        <f t="shared" si="60"/>
        <v>0.08</v>
      </c>
      <c r="AK46" s="63">
        <f t="shared" si="60"/>
        <v>0.08</v>
      </c>
      <c r="AL46" s="63">
        <f t="shared" si="60"/>
        <v>0.08</v>
      </c>
      <c r="AM46" s="63">
        <f t="shared" si="60"/>
        <v>0.08</v>
      </c>
      <c r="AN46" s="63">
        <f t="shared" si="60"/>
        <v>0.08</v>
      </c>
      <c r="AO46" s="63">
        <f t="shared" si="60"/>
        <v>0.08</v>
      </c>
      <c r="AP46" s="63">
        <f t="shared" si="60"/>
        <v>0.08</v>
      </c>
      <c r="AQ46" s="63">
        <f t="shared" si="60"/>
        <v>0.08</v>
      </c>
      <c r="AR46" s="63">
        <f t="shared" si="60"/>
        <v>0.08</v>
      </c>
      <c r="AS46" s="63">
        <f t="shared" si="60"/>
        <v>0.08</v>
      </c>
      <c r="AT46" s="63">
        <f t="shared" si="60"/>
        <v>0.08</v>
      </c>
      <c r="AU46" s="63">
        <f t="shared" si="60"/>
        <v>0.08</v>
      </c>
      <c r="AV46" s="63">
        <f t="shared" si="60"/>
        <v>0.08</v>
      </c>
      <c r="AW46" s="63">
        <f t="shared" si="60"/>
        <v>0.08</v>
      </c>
      <c r="AX46" s="63">
        <f t="shared" si="60"/>
        <v>0.08</v>
      </c>
      <c r="AY46" s="63">
        <f t="shared" si="60"/>
        <v>0.08</v>
      </c>
      <c r="AZ46" s="63">
        <f t="shared" si="60"/>
        <v>0.08</v>
      </c>
      <c r="BA46" s="63">
        <f t="shared" si="60"/>
        <v>0.08</v>
      </c>
      <c r="BB46" s="63">
        <f t="shared" si="60"/>
        <v>0.08</v>
      </c>
      <c r="BC46" s="63">
        <f t="shared" si="60"/>
        <v>0.08</v>
      </c>
      <c r="BD46" s="63">
        <f t="shared" si="60"/>
        <v>0.08</v>
      </c>
      <c r="BE46" s="63">
        <f t="shared" si="60"/>
        <v>0.08</v>
      </c>
      <c r="BF46" s="63">
        <f t="shared" si="60"/>
        <v>0.08</v>
      </c>
      <c r="BG46" s="63">
        <f t="shared" si="60"/>
        <v>0.08</v>
      </c>
      <c r="BH46" s="63">
        <f t="shared" si="60"/>
        <v>0.08</v>
      </c>
      <c r="BI46" s="63">
        <f t="shared" si="60"/>
        <v>0.08</v>
      </c>
      <c r="BJ46" s="63">
        <f t="shared" si="60"/>
        <v>0.08</v>
      </c>
      <c r="BK46" s="63">
        <f t="shared" si="60"/>
        <v>0.08</v>
      </c>
      <c r="BL46" s="63">
        <f t="shared" si="60"/>
        <v>0.08</v>
      </c>
      <c r="BM46" s="63">
        <f t="shared" si="60"/>
        <v>0.08</v>
      </c>
      <c r="BN46" s="63">
        <f t="shared" si="60"/>
        <v>0.08</v>
      </c>
      <c r="BO46" s="63">
        <f t="shared" ref="BO46:CJ46" si="61">BO69</f>
        <v>0.08</v>
      </c>
      <c r="BP46" s="63">
        <f t="shared" si="61"/>
        <v>0.08</v>
      </c>
      <c r="BQ46" s="63">
        <f t="shared" si="61"/>
        <v>0.08</v>
      </c>
      <c r="BR46" s="63">
        <f t="shared" si="61"/>
        <v>0.08</v>
      </c>
      <c r="BS46" s="63">
        <f t="shared" si="61"/>
        <v>0.08</v>
      </c>
      <c r="BT46" s="63">
        <f t="shared" si="61"/>
        <v>0.08</v>
      </c>
      <c r="BU46" s="63">
        <f t="shared" si="61"/>
        <v>0.08</v>
      </c>
      <c r="BV46" s="63">
        <f t="shared" si="61"/>
        <v>0.08</v>
      </c>
      <c r="BW46" s="63">
        <f t="shared" si="61"/>
        <v>0.08</v>
      </c>
      <c r="BX46" s="63">
        <f t="shared" si="61"/>
        <v>0.08</v>
      </c>
      <c r="BY46" s="63">
        <f t="shared" si="61"/>
        <v>0.08</v>
      </c>
      <c r="BZ46" s="63">
        <f t="shared" si="61"/>
        <v>0.08</v>
      </c>
      <c r="CA46" s="63">
        <f t="shared" si="61"/>
        <v>0.08</v>
      </c>
      <c r="CB46" s="63">
        <f t="shared" si="61"/>
        <v>0.08</v>
      </c>
      <c r="CC46" s="63">
        <f t="shared" si="61"/>
        <v>0.08</v>
      </c>
      <c r="CD46" s="63">
        <f t="shared" si="61"/>
        <v>0.08</v>
      </c>
      <c r="CE46" s="63">
        <f t="shared" si="61"/>
        <v>0.08</v>
      </c>
      <c r="CF46" s="63">
        <f t="shared" si="61"/>
        <v>0.08</v>
      </c>
      <c r="CG46" s="63">
        <f t="shared" si="61"/>
        <v>0.08</v>
      </c>
      <c r="CH46" s="63">
        <f t="shared" si="61"/>
        <v>0.08</v>
      </c>
      <c r="CI46" s="63">
        <f t="shared" si="61"/>
        <v>0.08</v>
      </c>
      <c r="CJ46" s="63">
        <f t="shared" si="61"/>
        <v>0.08</v>
      </c>
    </row>
    <row r="47" spans="1:89" s="2" customFormat="1" x14ac:dyDescent="0.25">
      <c r="A47" s="20" t="s">
        <v>422</v>
      </c>
      <c r="B47" s="28">
        <f>B42-B45</f>
        <v>125729949.3028003</v>
      </c>
      <c r="C47" s="28">
        <f t="shared" ref="C47:BN47" si="62">C42-C45</f>
        <v>-51573160.379600048</v>
      </c>
      <c r="D47" s="28">
        <f t="shared" si="62"/>
        <v>-162200491.79120016</v>
      </c>
      <c r="E47" s="28">
        <f t="shared" si="62"/>
        <v>156898905.18959999</v>
      </c>
      <c r="F47" s="28">
        <f t="shared" si="62"/>
        <v>67435940.143600076</v>
      </c>
      <c r="G47" s="28">
        <f t="shared" si="62"/>
        <v>-66829377.048000246</v>
      </c>
      <c r="H47" s="28">
        <f t="shared" si="62"/>
        <v>-115103573.74880002</v>
      </c>
      <c r="I47" s="28">
        <f t="shared" si="62"/>
        <v>116612618.8871997</v>
      </c>
      <c r="J47" s="28">
        <f t="shared" si="62"/>
        <v>46637974.101200044</v>
      </c>
      <c r="K47" s="28">
        <f t="shared" si="62"/>
        <v>-54455797.05919981</v>
      </c>
      <c r="L47" s="28">
        <f t="shared" si="62"/>
        <v>-107832644.57599998</v>
      </c>
      <c r="M47" s="28">
        <f t="shared" si="62"/>
        <v>212010520.97879997</v>
      </c>
      <c r="N47" s="28">
        <f t="shared" si="62"/>
        <v>128426523.47959998</v>
      </c>
      <c r="O47" s="28">
        <f t="shared" si="62"/>
        <v>-4710796.6016000807</v>
      </c>
      <c r="P47" s="28">
        <f t="shared" si="62"/>
        <v>-90053147.276000053</v>
      </c>
      <c r="Q47" s="28">
        <f t="shared" si="62"/>
        <v>197864629.11680013</v>
      </c>
      <c r="R47" s="28">
        <f t="shared" si="62"/>
        <v>92568040.539600074</v>
      </c>
      <c r="S47" s="28">
        <f t="shared" si="62"/>
        <v>-17175475.354800016</v>
      </c>
      <c r="T47" s="28">
        <f t="shared" si="62"/>
        <v>-78984051.278399989</v>
      </c>
      <c r="U47" s="28">
        <f t="shared" si="62"/>
        <v>160532881.25319999</v>
      </c>
      <c r="V47" s="28">
        <f t="shared" si="62"/>
        <v>74264222.605599999</v>
      </c>
      <c r="W47" s="28">
        <f t="shared" si="62"/>
        <v>-17714192.575200051</v>
      </c>
      <c r="X47" s="28">
        <f t="shared" si="62"/>
        <v>-72556269.785600096</v>
      </c>
      <c r="Y47" s="28">
        <f t="shared" si="62"/>
        <v>229701050.09160006</v>
      </c>
      <c r="Z47" s="28">
        <f t="shared" si="62"/>
        <v>112216056.39040014</v>
      </c>
      <c r="AA47" s="28">
        <f t="shared" si="62"/>
        <v>2265681.2744000107</v>
      </c>
      <c r="AB47" s="28">
        <f t="shared" si="62"/>
        <v>-34205408.961200044</v>
      </c>
      <c r="AC47" s="28">
        <f t="shared" si="62"/>
        <v>240037274.47840005</v>
      </c>
      <c r="AD47" s="28">
        <f t="shared" si="62"/>
        <v>155021091.79719988</v>
      </c>
      <c r="AE47" s="28">
        <f t="shared" si="62"/>
        <v>46982541.486000046</v>
      </c>
      <c r="AF47" s="28">
        <f t="shared" si="62"/>
        <v>-34038917.839599967</v>
      </c>
      <c r="AG47" s="28">
        <f t="shared" si="62"/>
        <v>92620576.687200248</v>
      </c>
      <c r="AH47" s="28">
        <f t="shared" si="62"/>
        <v>33988838.515200123</v>
      </c>
      <c r="AI47" s="28">
        <f t="shared" si="62"/>
        <v>-27568792.265600026</v>
      </c>
      <c r="AJ47" s="28">
        <f t="shared" si="62"/>
        <v>-60426874.409600019</v>
      </c>
      <c r="AK47" s="28">
        <f t="shared" si="62"/>
        <v>38860646.419599861</v>
      </c>
      <c r="AL47" s="28">
        <f t="shared" si="62"/>
        <v>-1437995.956400007</v>
      </c>
      <c r="AM47" s="28">
        <f t="shared" si="62"/>
        <v>24570903.86559999</v>
      </c>
      <c r="AN47" s="28">
        <f t="shared" si="62"/>
        <v>9670668.0916000344</v>
      </c>
      <c r="AO47" s="28">
        <f t="shared" si="62"/>
        <v>91566826.173199937</v>
      </c>
      <c r="AP47" s="28">
        <f t="shared" si="62"/>
        <v>73883528.459200084</v>
      </c>
      <c r="AQ47" s="28">
        <f t="shared" si="62"/>
        <v>85138294.759999961</v>
      </c>
      <c r="AR47" s="28">
        <f t="shared" si="62"/>
        <v>49517218.419999912</v>
      </c>
      <c r="AS47" s="28">
        <f t="shared" si="62"/>
        <v>0</v>
      </c>
      <c r="AT47" s="28">
        <f t="shared" si="62"/>
        <v>-1365523001.1691999</v>
      </c>
      <c r="AU47" s="28">
        <f t="shared" si="62"/>
        <v>-1269565389.4956</v>
      </c>
      <c r="AV47" s="28">
        <f t="shared" si="62"/>
        <v>-1094636149.8116</v>
      </c>
      <c r="AW47" s="28">
        <f t="shared" si="62"/>
        <v>-1214450063.3312001</v>
      </c>
      <c r="AX47" s="28">
        <f t="shared" si="62"/>
        <v>-1148538939.4868002</v>
      </c>
      <c r="AY47" s="28">
        <f t="shared" si="62"/>
        <v>-1029093452.312</v>
      </c>
      <c r="AZ47" s="28">
        <f t="shared" si="62"/>
        <v>-912708678.76999998</v>
      </c>
      <c r="BA47" s="28">
        <f t="shared" si="62"/>
        <v>-966476645.33319998</v>
      </c>
      <c r="BB47" s="28">
        <f t="shared" si="62"/>
        <v>-965766447.68720007</v>
      </c>
      <c r="BC47" s="28">
        <f t="shared" si="62"/>
        <v>-905480197.47199988</v>
      </c>
      <c r="BD47" s="28">
        <f t="shared" si="62"/>
        <v>-792737615.93959999</v>
      </c>
      <c r="BE47" s="28">
        <f t="shared" si="62"/>
        <v>-942028467.71160007</v>
      </c>
      <c r="BF47" s="28">
        <f t="shared" si="62"/>
        <v>-856598894.06439996</v>
      </c>
      <c r="BG47" s="28">
        <f t="shared" si="62"/>
        <v>-770285781.60280001</v>
      </c>
      <c r="BH47" s="28">
        <f t="shared" si="62"/>
        <v>-703335824.93879998</v>
      </c>
      <c r="BI47" s="28">
        <f t="shared" si="62"/>
        <v>-837715071.78279996</v>
      </c>
      <c r="BJ47" s="28">
        <f t="shared" si="62"/>
        <v>-761129027.17720008</v>
      </c>
      <c r="BK47" s="28">
        <f t="shared" si="62"/>
        <v>-694810452.53199995</v>
      </c>
      <c r="BL47" s="28">
        <f t="shared" si="62"/>
        <v>-653614035.78559995</v>
      </c>
      <c r="BM47" s="28">
        <f t="shared" si="62"/>
        <v>-648980937.67680001</v>
      </c>
      <c r="BN47" s="28">
        <f t="shared" si="62"/>
        <v>-584316686.89160001</v>
      </c>
      <c r="BO47" s="28">
        <f t="shared" ref="BO47:CJ47" si="63">BO42-BO45</f>
        <v>-519580365.63720006</v>
      </c>
      <c r="BP47" s="28">
        <f t="shared" si="63"/>
        <v>-510447612.64480001</v>
      </c>
      <c r="BQ47" s="28">
        <f t="shared" si="63"/>
        <v>-455184205.68400002</v>
      </c>
      <c r="BR47" s="28">
        <f t="shared" si="63"/>
        <v>-147870000</v>
      </c>
      <c r="BS47" s="28">
        <f t="shared" si="63"/>
        <v>-503831715.28120005</v>
      </c>
      <c r="BT47" s="28">
        <f t="shared" si="63"/>
        <v>-467102018.77999997</v>
      </c>
      <c r="BU47" s="28">
        <f t="shared" si="63"/>
        <v>-477454430.35599995</v>
      </c>
      <c r="BV47" s="28">
        <f t="shared" si="63"/>
        <v>-515936318.05199999</v>
      </c>
      <c r="BW47" s="28">
        <f t="shared" si="63"/>
        <v>-481982388.18599999</v>
      </c>
      <c r="BX47" s="28">
        <f t="shared" si="63"/>
        <v>-224236423.546</v>
      </c>
      <c r="BY47" s="28">
        <f t="shared" si="63"/>
        <v>-358986056.90359998</v>
      </c>
      <c r="BZ47" s="28">
        <f t="shared" si="63"/>
        <v>-189968023.31680003</v>
      </c>
      <c r="CA47" s="28">
        <f t="shared" si="63"/>
        <v>-211328042.74439999</v>
      </c>
      <c r="CB47" s="28">
        <f t="shared" si="63"/>
        <v>-165479246.60680002</v>
      </c>
      <c r="CC47" s="28">
        <f t="shared" si="63"/>
        <v>-137330018.646</v>
      </c>
      <c r="CD47" s="28">
        <f t="shared" si="63"/>
        <v>0</v>
      </c>
      <c r="CE47" s="28">
        <f t="shared" si="63"/>
        <v>-106460040</v>
      </c>
      <c r="CF47" s="28">
        <f t="shared" si="63"/>
        <v>-94692832.060800001</v>
      </c>
      <c r="CG47" s="28">
        <f t="shared" si="63"/>
        <v>-43745192.029600002</v>
      </c>
      <c r="CH47" s="28">
        <f t="shared" si="63"/>
        <v>-4220000</v>
      </c>
      <c r="CI47" s="28">
        <f t="shared" si="63"/>
        <v>-12510000</v>
      </c>
      <c r="CJ47" s="28">
        <f t="shared" si="63"/>
        <v>-3630000</v>
      </c>
    </row>
    <row r="49" spans="1:89" ht="14.25" customHeight="1" x14ac:dyDescent="0.25"/>
    <row r="50" spans="1:89" s="2" customFormat="1" ht="15" thickBot="1" x14ac:dyDescent="0.3">
      <c r="A50" s="17"/>
      <c r="B50" s="1"/>
      <c r="C50" s="1"/>
      <c r="D50" s="1"/>
      <c r="E50" s="1"/>
      <c r="F50" s="1"/>
      <c r="G50" s="1"/>
      <c r="H50" s="1"/>
      <c r="I50" s="1"/>
      <c r="J50" s="1"/>
      <c r="K50"/>
    </row>
    <row r="51" spans="1:89" s="56" customFormat="1" x14ac:dyDescent="0.25">
      <c r="A51" s="55" t="s">
        <v>104</v>
      </c>
      <c r="B51" s="190">
        <v>20180930</v>
      </c>
      <c r="C51" s="190">
        <v>20180630</v>
      </c>
      <c r="D51" s="190">
        <v>20180331</v>
      </c>
      <c r="E51" s="190">
        <v>20171231</v>
      </c>
      <c r="F51" s="190">
        <v>20170930</v>
      </c>
      <c r="G51" s="190">
        <v>20170630</v>
      </c>
      <c r="H51" s="190">
        <v>20170331</v>
      </c>
      <c r="I51" s="190">
        <v>20161231</v>
      </c>
      <c r="J51" s="190">
        <v>20160930</v>
      </c>
      <c r="K51" s="190">
        <v>20160630</v>
      </c>
      <c r="L51" s="190">
        <v>20160331</v>
      </c>
      <c r="M51" s="190">
        <v>20151231</v>
      </c>
      <c r="N51" s="190">
        <v>20150930</v>
      </c>
      <c r="O51" s="190">
        <v>20150630</v>
      </c>
      <c r="P51" s="190">
        <v>20150331</v>
      </c>
      <c r="Q51" s="190">
        <v>20141231</v>
      </c>
      <c r="R51" s="190">
        <v>20140930</v>
      </c>
      <c r="S51" s="190">
        <v>20140630</v>
      </c>
      <c r="T51" s="190">
        <v>20140331</v>
      </c>
      <c r="U51" s="190">
        <v>20131231</v>
      </c>
      <c r="V51" s="190">
        <v>20130930</v>
      </c>
      <c r="W51" s="190">
        <v>20130630</v>
      </c>
      <c r="X51" s="190">
        <v>20130331</v>
      </c>
      <c r="Y51" s="190">
        <v>20121231</v>
      </c>
      <c r="Z51" s="190">
        <v>20120930</v>
      </c>
      <c r="AA51" s="190">
        <v>20120630</v>
      </c>
      <c r="AB51" s="190">
        <v>20120331</v>
      </c>
      <c r="AC51" s="190">
        <v>20111231</v>
      </c>
      <c r="AD51" s="190">
        <v>20110930</v>
      </c>
      <c r="AE51" s="190">
        <v>20110630</v>
      </c>
      <c r="AF51" s="190">
        <v>20110331</v>
      </c>
      <c r="AG51" s="190">
        <v>20101231</v>
      </c>
      <c r="AH51" s="190">
        <v>20100930</v>
      </c>
      <c r="AI51" s="190">
        <v>20100630</v>
      </c>
      <c r="AJ51" s="190">
        <v>20100331</v>
      </c>
      <c r="AK51" s="190">
        <v>20091231</v>
      </c>
      <c r="AL51" s="190">
        <v>20090930</v>
      </c>
      <c r="AM51" s="190">
        <v>20090630</v>
      </c>
      <c r="AN51" s="190">
        <v>20090331</v>
      </c>
      <c r="AO51" s="190">
        <v>20081231</v>
      </c>
      <c r="AP51" s="190">
        <v>20080930</v>
      </c>
      <c r="AQ51" s="190">
        <v>20071231</v>
      </c>
      <c r="AR51" s="190">
        <v>20061231</v>
      </c>
      <c r="AS51" s="190">
        <v>19700101</v>
      </c>
      <c r="AT51" s="190">
        <v>20070930</v>
      </c>
      <c r="AU51" s="190">
        <v>20070630</v>
      </c>
      <c r="AV51" s="190">
        <v>20070331</v>
      </c>
      <c r="AW51" s="190">
        <v>20061231</v>
      </c>
      <c r="AX51" s="190">
        <v>20060930</v>
      </c>
      <c r="AY51" s="190">
        <v>20060630</v>
      </c>
      <c r="AZ51" s="190">
        <v>20060331</v>
      </c>
      <c r="BA51" s="190">
        <v>20051231</v>
      </c>
      <c r="BB51" s="190">
        <v>20050930</v>
      </c>
      <c r="BC51" s="190">
        <v>20050630</v>
      </c>
      <c r="BD51" s="190">
        <v>20050331</v>
      </c>
      <c r="BE51" s="190">
        <v>20041231</v>
      </c>
      <c r="BF51" s="190">
        <v>20040930</v>
      </c>
      <c r="BG51" s="190">
        <v>20040630</v>
      </c>
      <c r="BH51" s="190">
        <v>20040331</v>
      </c>
      <c r="BI51" s="190">
        <v>20031231</v>
      </c>
      <c r="BJ51" s="190">
        <v>20030930</v>
      </c>
      <c r="BK51" s="190">
        <v>20030630</v>
      </c>
      <c r="BL51" s="190">
        <v>20030331</v>
      </c>
      <c r="BM51" s="190">
        <v>20021231</v>
      </c>
      <c r="BN51" s="190">
        <v>20020930</v>
      </c>
      <c r="BO51" s="190">
        <v>20020630</v>
      </c>
      <c r="BP51" s="190">
        <v>20020331</v>
      </c>
      <c r="BQ51" s="190">
        <v>20011231</v>
      </c>
      <c r="BR51" s="190">
        <v>20010930</v>
      </c>
      <c r="BS51" s="190">
        <v>20010630</v>
      </c>
      <c r="BT51" s="190">
        <v>20010331</v>
      </c>
      <c r="BU51" s="190">
        <v>20001231</v>
      </c>
      <c r="BV51" s="190">
        <v>20000630</v>
      </c>
      <c r="BW51" s="190">
        <v>19991231</v>
      </c>
      <c r="BX51" s="190">
        <v>19990630</v>
      </c>
      <c r="BY51" s="190">
        <v>19981231</v>
      </c>
      <c r="BZ51" s="190">
        <v>19980630</v>
      </c>
      <c r="CA51" s="190">
        <v>19971231</v>
      </c>
      <c r="CB51" s="190">
        <v>19961231</v>
      </c>
      <c r="CC51" s="190">
        <v>19951231</v>
      </c>
      <c r="CD51" s="190">
        <v>19700101</v>
      </c>
      <c r="CE51" s="190">
        <v>19941231</v>
      </c>
      <c r="CF51" s="190">
        <v>19940630</v>
      </c>
      <c r="CG51" s="190">
        <v>19930630</v>
      </c>
      <c r="CH51" s="190">
        <v>19921231</v>
      </c>
      <c r="CI51" s="190">
        <v>19911231</v>
      </c>
      <c r="CJ51" s="190">
        <v>19901231</v>
      </c>
      <c r="CK51" s="190">
        <v>19700101</v>
      </c>
    </row>
    <row r="52" spans="1:89" s="43" customFormat="1" x14ac:dyDescent="0.25">
      <c r="A52" s="131" t="s">
        <v>571</v>
      </c>
      <c r="B52" s="42">
        <v>-25636</v>
      </c>
      <c r="C52" s="42">
        <v>-27718</v>
      </c>
      <c r="D52" s="42">
        <v>-35317</v>
      </c>
      <c r="E52" s="42">
        <v>-10783199.210000001</v>
      </c>
      <c r="F52" s="42">
        <v>-34414</v>
      </c>
      <c r="G52" s="42">
        <v>-23309</v>
      </c>
      <c r="H52" s="42">
        <v>-16814</v>
      </c>
      <c r="I52" s="42">
        <v>-11108095.51</v>
      </c>
      <c r="J52" s="42"/>
      <c r="K52" s="42"/>
      <c r="M52" s="43">
        <v>-16376067.49</v>
      </c>
      <c r="Q52" s="43">
        <v>-22965161.149999999</v>
      </c>
      <c r="U52" s="43">
        <v>-21250799.57</v>
      </c>
      <c r="Y52" s="43">
        <v>-21648438.039999999</v>
      </c>
      <c r="AC52" s="43">
        <v>-26564136.870000001</v>
      </c>
      <c r="AG52" s="43">
        <v>-19776413.390000001</v>
      </c>
      <c r="AK52" s="43">
        <v>-1569307.04</v>
      </c>
      <c r="AO52" s="43">
        <v>-327403.59999999998</v>
      </c>
    </row>
    <row r="53" spans="1:89" s="43" customFormat="1" x14ac:dyDescent="0.25">
      <c r="A53" s="132" t="s">
        <v>90</v>
      </c>
      <c r="B53" s="42">
        <v>217</v>
      </c>
      <c r="C53" s="42">
        <v>189</v>
      </c>
      <c r="D53" s="42"/>
      <c r="E53" s="42">
        <v>21110212.079999998</v>
      </c>
      <c r="F53" s="42"/>
      <c r="G53" s="42"/>
      <c r="H53" s="42"/>
      <c r="I53" s="42">
        <v>9305327.8499999996</v>
      </c>
      <c r="J53" s="42"/>
      <c r="K53" s="42"/>
      <c r="M53" s="43">
        <v>1760420.36</v>
      </c>
      <c r="AD53" s="42"/>
      <c r="AE53" s="42"/>
      <c r="AF53" s="42"/>
      <c r="AG53" s="42">
        <v>54135</v>
      </c>
      <c r="AH53" s="42"/>
      <c r="AI53" s="42"/>
      <c r="AJ53" s="42"/>
      <c r="AK53" s="42"/>
      <c r="AL53" s="42"/>
      <c r="AM53" s="42"/>
      <c r="AN53" s="42"/>
      <c r="AO53" s="42">
        <v>1186365.49</v>
      </c>
      <c r="AP53" s="42"/>
      <c r="AQ53" s="42"/>
      <c r="AR53" s="42"/>
      <c r="AS53" s="42"/>
      <c r="AT53" s="42"/>
      <c r="AU53" s="42"/>
      <c r="AV53" s="42"/>
      <c r="AW53" s="42"/>
      <c r="AX53" s="42"/>
      <c r="AY53" s="42"/>
      <c r="AZ53" s="42"/>
      <c r="BA53" s="42"/>
      <c r="BB53" s="42"/>
      <c r="BC53" s="42"/>
      <c r="BD53" s="42"/>
      <c r="BE53" s="42"/>
      <c r="BF53" s="42"/>
      <c r="BG53" s="42"/>
      <c r="BH53" s="42"/>
      <c r="BI53" s="42"/>
      <c r="BJ53" s="42"/>
      <c r="BK53" s="42"/>
      <c r="BL53" s="42"/>
      <c r="BM53" s="42"/>
      <c r="BN53" s="42">
        <v>0</v>
      </c>
      <c r="BO53" s="42">
        <v>0</v>
      </c>
      <c r="BP53" s="42">
        <v>0</v>
      </c>
      <c r="BQ53" s="42">
        <v>0</v>
      </c>
      <c r="BR53" s="42">
        <v>0</v>
      </c>
      <c r="BS53" s="42">
        <v>0</v>
      </c>
      <c r="BT53" s="42">
        <v>0</v>
      </c>
      <c r="BU53" s="42">
        <v>0</v>
      </c>
      <c r="BV53" s="42">
        <v>0</v>
      </c>
      <c r="BW53" s="42">
        <v>0</v>
      </c>
      <c r="BX53" s="42">
        <v>0</v>
      </c>
      <c r="BY53" s="42">
        <v>0</v>
      </c>
      <c r="BZ53" s="42">
        <v>0</v>
      </c>
      <c r="CA53" s="42">
        <v>0</v>
      </c>
      <c r="CB53" s="42">
        <v>0</v>
      </c>
      <c r="CC53" s="42">
        <v>0</v>
      </c>
      <c r="CD53" s="42">
        <v>0</v>
      </c>
      <c r="CE53" s="42">
        <v>0</v>
      </c>
      <c r="CF53" s="42">
        <v>0</v>
      </c>
      <c r="CG53" s="42">
        <v>0</v>
      </c>
    </row>
    <row r="54" spans="1:89" s="43" customFormat="1" x14ac:dyDescent="0.25">
      <c r="A54" s="132" t="s">
        <v>91</v>
      </c>
      <c r="B54" s="42">
        <v>3104</v>
      </c>
      <c r="C54" s="42">
        <v>-1424</v>
      </c>
      <c r="D54" s="42">
        <v>-340</v>
      </c>
      <c r="E54" s="42">
        <v>14912847.689999999</v>
      </c>
      <c r="F54" s="42">
        <v>2684</v>
      </c>
      <c r="G54" s="42">
        <v>-377</v>
      </c>
      <c r="H54" s="42">
        <v>1008</v>
      </c>
      <c r="I54" s="42">
        <v>-6928081.4500000002</v>
      </c>
      <c r="J54" s="42"/>
      <c r="K54" s="42"/>
      <c r="M54" s="43">
        <v>-705508.99</v>
      </c>
      <c r="Q54" s="43">
        <v>353917</v>
      </c>
      <c r="U54" s="43">
        <v>-138552.34</v>
      </c>
      <c r="Y54" s="43">
        <v>-73738.2</v>
      </c>
      <c r="AC54" s="43">
        <v>200426.02</v>
      </c>
      <c r="AG54" s="43">
        <v>-8912.43</v>
      </c>
      <c r="AK54" s="43">
        <v>6300.9</v>
      </c>
      <c r="AO54" s="43">
        <v>240775.06</v>
      </c>
    </row>
    <row r="55" spans="1:89" s="43" customFormat="1" x14ac:dyDescent="0.25">
      <c r="A55" s="132" t="s">
        <v>92</v>
      </c>
      <c r="B55" s="42">
        <v>463</v>
      </c>
      <c r="C55" s="42">
        <v>603</v>
      </c>
      <c r="D55" s="42">
        <v>653</v>
      </c>
      <c r="E55" s="42">
        <v>2436461.2000000002</v>
      </c>
      <c r="F55" s="42">
        <v>1204</v>
      </c>
      <c r="G55" s="42">
        <v>868</v>
      </c>
      <c r="H55" s="42">
        <v>644</v>
      </c>
      <c r="I55" s="42">
        <v>1454244.2</v>
      </c>
      <c r="J55" s="42"/>
      <c r="K55" s="42"/>
      <c r="M55" s="43">
        <v>1094925.45</v>
      </c>
      <c r="Q55" s="43">
        <v>1029644.95</v>
      </c>
      <c r="U55" s="43">
        <v>1034258.26</v>
      </c>
      <c r="Y55" s="43">
        <v>1085164.3500000001</v>
      </c>
      <c r="AC55" s="43">
        <v>1026408.6</v>
      </c>
      <c r="AG55" s="43">
        <v>718382.01</v>
      </c>
      <c r="AK55" s="43">
        <v>542733.84</v>
      </c>
      <c r="AO55" s="43">
        <v>561409.23</v>
      </c>
    </row>
    <row r="56" spans="1:89" s="26" customFormat="1" x14ac:dyDescent="0.25">
      <c r="A56" s="133" t="s">
        <v>93</v>
      </c>
      <c r="B56" s="44">
        <f>SUM(B52:B55)</f>
        <v>-21852</v>
      </c>
      <c r="C56" s="44">
        <f t="shared" ref="C56:D56" si="64">SUM(C52:C55)</f>
        <v>-28350</v>
      </c>
      <c r="D56" s="44">
        <f t="shared" si="64"/>
        <v>-35004</v>
      </c>
      <c r="E56" s="44">
        <f>SUM(E52:E55)</f>
        <v>27676321.759999994</v>
      </c>
      <c r="F56" s="44">
        <f t="shared" ref="F56:BQ56" si="65">SUM(F52:F55)</f>
        <v>-30526</v>
      </c>
      <c r="G56" s="44">
        <f t="shared" si="65"/>
        <v>-22818</v>
      </c>
      <c r="H56" s="44">
        <f t="shared" si="65"/>
        <v>-15162</v>
      </c>
      <c r="I56" s="44">
        <f t="shared" si="65"/>
        <v>-7276604.9099999992</v>
      </c>
      <c r="J56" s="44">
        <f t="shared" si="65"/>
        <v>0</v>
      </c>
      <c r="K56" s="44">
        <f t="shared" si="65"/>
        <v>0</v>
      </c>
      <c r="L56" s="44">
        <f t="shared" si="65"/>
        <v>0</v>
      </c>
      <c r="M56" s="44">
        <f t="shared" si="65"/>
        <v>-14226230.670000002</v>
      </c>
      <c r="N56" s="44">
        <f t="shared" si="65"/>
        <v>0</v>
      </c>
      <c r="O56" s="44">
        <f t="shared" si="65"/>
        <v>0</v>
      </c>
      <c r="P56" s="44">
        <f t="shared" si="65"/>
        <v>0</v>
      </c>
      <c r="Q56" s="44">
        <f t="shared" si="65"/>
        <v>-21581599.199999999</v>
      </c>
      <c r="R56" s="44">
        <f t="shared" si="65"/>
        <v>0</v>
      </c>
      <c r="S56" s="44">
        <f t="shared" si="65"/>
        <v>0</v>
      </c>
      <c r="T56" s="44">
        <f t="shared" si="65"/>
        <v>0</v>
      </c>
      <c r="U56" s="44">
        <f t="shared" si="65"/>
        <v>-20355093.649999999</v>
      </c>
      <c r="V56" s="44">
        <f t="shared" si="65"/>
        <v>0</v>
      </c>
      <c r="W56" s="44">
        <f t="shared" si="65"/>
        <v>0</v>
      </c>
      <c r="X56" s="44">
        <f t="shared" si="65"/>
        <v>0</v>
      </c>
      <c r="Y56" s="44">
        <f t="shared" si="65"/>
        <v>-20637011.889999997</v>
      </c>
      <c r="Z56" s="44">
        <f t="shared" si="65"/>
        <v>0</v>
      </c>
      <c r="AA56" s="44">
        <f t="shared" si="65"/>
        <v>0</v>
      </c>
      <c r="AB56" s="44">
        <f t="shared" si="65"/>
        <v>0</v>
      </c>
      <c r="AC56" s="44">
        <f t="shared" si="65"/>
        <v>-25337302.25</v>
      </c>
      <c r="AD56" s="44">
        <f t="shared" si="65"/>
        <v>0</v>
      </c>
      <c r="AE56" s="44">
        <f t="shared" si="65"/>
        <v>0</v>
      </c>
      <c r="AF56" s="44">
        <f t="shared" si="65"/>
        <v>0</v>
      </c>
      <c r="AG56" s="44">
        <f t="shared" si="65"/>
        <v>-19012808.809999999</v>
      </c>
      <c r="AH56" s="44">
        <f t="shared" si="65"/>
        <v>0</v>
      </c>
      <c r="AI56" s="44">
        <f t="shared" si="65"/>
        <v>0</v>
      </c>
      <c r="AJ56" s="44">
        <f t="shared" si="65"/>
        <v>0</v>
      </c>
      <c r="AK56" s="44">
        <f t="shared" si="65"/>
        <v>-1020272.3000000002</v>
      </c>
      <c r="AL56" s="44">
        <f t="shared" si="65"/>
        <v>0</v>
      </c>
      <c r="AM56" s="44">
        <f t="shared" si="65"/>
        <v>0</v>
      </c>
      <c r="AN56" s="44">
        <f t="shared" si="65"/>
        <v>0</v>
      </c>
      <c r="AO56" s="44">
        <f t="shared" si="65"/>
        <v>1661146.18</v>
      </c>
      <c r="AP56" s="44">
        <f t="shared" si="65"/>
        <v>0</v>
      </c>
      <c r="AQ56" s="44">
        <f t="shared" si="65"/>
        <v>0</v>
      </c>
      <c r="AR56" s="44">
        <f t="shared" si="65"/>
        <v>0</v>
      </c>
      <c r="AS56" s="44">
        <f t="shared" si="65"/>
        <v>0</v>
      </c>
      <c r="AT56" s="44">
        <f t="shared" si="65"/>
        <v>0</v>
      </c>
      <c r="AU56" s="44">
        <f t="shared" si="65"/>
        <v>0</v>
      </c>
      <c r="AV56" s="44">
        <f t="shared" si="65"/>
        <v>0</v>
      </c>
      <c r="AW56" s="44">
        <f t="shared" si="65"/>
        <v>0</v>
      </c>
      <c r="AX56" s="44">
        <f t="shared" si="65"/>
        <v>0</v>
      </c>
      <c r="AY56" s="44">
        <f t="shared" si="65"/>
        <v>0</v>
      </c>
      <c r="AZ56" s="44">
        <f t="shared" si="65"/>
        <v>0</v>
      </c>
      <c r="BA56" s="44">
        <f t="shared" si="65"/>
        <v>0</v>
      </c>
      <c r="BB56" s="44">
        <f t="shared" si="65"/>
        <v>0</v>
      </c>
      <c r="BC56" s="44">
        <f t="shared" si="65"/>
        <v>0</v>
      </c>
      <c r="BD56" s="44">
        <f t="shared" si="65"/>
        <v>0</v>
      </c>
      <c r="BE56" s="44">
        <f t="shared" si="65"/>
        <v>0</v>
      </c>
      <c r="BF56" s="44">
        <f t="shared" si="65"/>
        <v>0</v>
      </c>
      <c r="BG56" s="44">
        <f t="shared" si="65"/>
        <v>0</v>
      </c>
      <c r="BH56" s="44">
        <f t="shared" si="65"/>
        <v>0</v>
      </c>
      <c r="BI56" s="44">
        <f t="shared" si="65"/>
        <v>0</v>
      </c>
      <c r="BJ56" s="44">
        <f t="shared" si="65"/>
        <v>0</v>
      </c>
      <c r="BK56" s="44">
        <f t="shared" si="65"/>
        <v>0</v>
      </c>
      <c r="BL56" s="44">
        <f t="shared" si="65"/>
        <v>0</v>
      </c>
      <c r="BM56" s="44">
        <f t="shared" si="65"/>
        <v>0</v>
      </c>
      <c r="BN56" s="44">
        <f t="shared" si="65"/>
        <v>0</v>
      </c>
      <c r="BO56" s="44">
        <f t="shared" si="65"/>
        <v>0</v>
      </c>
      <c r="BP56" s="44">
        <f t="shared" si="65"/>
        <v>0</v>
      </c>
      <c r="BQ56" s="44">
        <f t="shared" si="65"/>
        <v>0</v>
      </c>
      <c r="BR56" s="44">
        <f t="shared" ref="BR56:CK56" si="66">SUM(BR52:BR55)</f>
        <v>0</v>
      </c>
      <c r="BS56" s="44">
        <f t="shared" si="66"/>
        <v>0</v>
      </c>
      <c r="BT56" s="44">
        <f t="shared" si="66"/>
        <v>0</v>
      </c>
      <c r="BU56" s="44">
        <f t="shared" si="66"/>
        <v>0</v>
      </c>
      <c r="BV56" s="44">
        <f t="shared" si="66"/>
        <v>0</v>
      </c>
      <c r="BW56" s="44">
        <f t="shared" si="66"/>
        <v>0</v>
      </c>
      <c r="BX56" s="44">
        <f t="shared" si="66"/>
        <v>0</v>
      </c>
      <c r="BY56" s="44">
        <f t="shared" si="66"/>
        <v>0</v>
      </c>
      <c r="BZ56" s="44">
        <f t="shared" si="66"/>
        <v>0</v>
      </c>
      <c r="CA56" s="44">
        <f t="shared" si="66"/>
        <v>0</v>
      </c>
      <c r="CB56" s="44">
        <f t="shared" si="66"/>
        <v>0</v>
      </c>
      <c r="CC56" s="44">
        <f t="shared" si="66"/>
        <v>0</v>
      </c>
      <c r="CD56" s="44">
        <f t="shared" si="66"/>
        <v>0</v>
      </c>
      <c r="CE56" s="44">
        <f t="shared" si="66"/>
        <v>0</v>
      </c>
      <c r="CF56" s="44">
        <f t="shared" si="66"/>
        <v>0</v>
      </c>
      <c r="CG56" s="44">
        <f t="shared" si="66"/>
        <v>0</v>
      </c>
      <c r="CH56" s="44">
        <f t="shared" si="66"/>
        <v>0</v>
      </c>
      <c r="CI56" s="44">
        <f t="shared" si="66"/>
        <v>0</v>
      </c>
      <c r="CJ56" s="44">
        <f t="shared" si="66"/>
        <v>0</v>
      </c>
      <c r="CK56" s="44">
        <f t="shared" si="66"/>
        <v>0</v>
      </c>
    </row>
    <row r="57" spans="1:89" ht="12" customHeight="1" x14ac:dyDescent="0.25"/>
    <row r="58" spans="1:89" ht="28.8" x14ac:dyDescent="0.25">
      <c r="A58" s="134" t="s">
        <v>97</v>
      </c>
    </row>
    <row r="59" spans="1:89" x14ac:dyDescent="0.25">
      <c r="A59" s="22" t="s">
        <v>96</v>
      </c>
      <c r="B59" s="190">
        <v>385824671.55000001</v>
      </c>
      <c r="C59" s="190">
        <v>225583386.21000001</v>
      </c>
      <c r="D59" s="190">
        <v>159065732.49000001</v>
      </c>
      <c r="E59" s="190">
        <v>453071628.50999999</v>
      </c>
      <c r="F59" s="190">
        <v>331920358.27999997</v>
      </c>
      <c r="G59" s="190">
        <v>175283497.72</v>
      </c>
      <c r="H59" s="190">
        <v>125114335.06</v>
      </c>
      <c r="I59" s="190">
        <v>338813260.39999998</v>
      </c>
      <c r="J59" s="190">
        <v>270122891.10000002</v>
      </c>
      <c r="K59" s="190">
        <v>158628555.5</v>
      </c>
      <c r="L59" s="190">
        <v>113834610.63</v>
      </c>
      <c r="M59" s="190">
        <v>423089068.51999998</v>
      </c>
      <c r="N59" s="190">
        <v>330771108.89999998</v>
      </c>
      <c r="O59" s="190">
        <v>187225671.66</v>
      </c>
      <c r="P59" s="190">
        <v>118284083.52</v>
      </c>
      <c r="Q59" s="190">
        <v>398173688.69</v>
      </c>
      <c r="R59" s="190">
        <v>276700908.29000002</v>
      </c>
      <c r="S59" s="190">
        <v>157367923.56</v>
      </c>
      <c r="T59" s="190">
        <v>98749351.719999999</v>
      </c>
      <c r="U59" s="190">
        <v>332154652.14999998</v>
      </c>
      <c r="V59" s="190">
        <v>237183891.66999999</v>
      </c>
      <c r="W59" s="190">
        <v>137105896.34</v>
      </c>
      <c r="X59" s="190">
        <v>85756571.650000006</v>
      </c>
      <c r="Y59" s="190">
        <v>382086766.75999999</v>
      </c>
      <c r="Z59" s="190">
        <v>253142472.81</v>
      </c>
      <c r="AA59" s="190">
        <v>133686094.25</v>
      </c>
      <c r="AB59" s="190">
        <v>106343788.37</v>
      </c>
      <c r="AC59" s="190">
        <v>374010138.19</v>
      </c>
      <c r="AD59" s="190">
        <v>280158815.18000001</v>
      </c>
      <c r="AE59" s="190">
        <v>162435481.09999999</v>
      </c>
      <c r="AF59" s="190">
        <v>88671221.549999997</v>
      </c>
      <c r="AG59" s="190">
        <v>211825682.56</v>
      </c>
      <c r="AH59" s="190">
        <v>144459369.12</v>
      </c>
      <c r="AI59" s="190">
        <v>77434140.760000005</v>
      </c>
      <c r="AJ59" s="190">
        <v>50165119.960000001</v>
      </c>
      <c r="AK59" s="190">
        <v>146002767.59</v>
      </c>
      <c r="AL59" s="190">
        <v>101662169.33</v>
      </c>
      <c r="AM59" s="190">
        <v>51051582.18</v>
      </c>
      <c r="AN59" s="190">
        <v>33777696.210000001</v>
      </c>
      <c r="AO59" s="190">
        <v>111031977.59999999</v>
      </c>
      <c r="AP59" s="190">
        <v>84100158.340000004</v>
      </c>
      <c r="AQ59" s="190">
        <v>85138294.760000005</v>
      </c>
      <c r="AR59" s="190">
        <v>49517218.420000002</v>
      </c>
      <c r="AS59" s="190">
        <v>0</v>
      </c>
      <c r="AT59" s="190">
        <v>1326845730.0799999</v>
      </c>
      <c r="AU59" s="190">
        <v>1145272727.9100001</v>
      </c>
      <c r="AV59" s="190">
        <v>745206726.03999996</v>
      </c>
      <c r="AW59" s="190">
        <v>1179340016.0999999</v>
      </c>
      <c r="AX59" s="190">
        <v>1023357815.7</v>
      </c>
      <c r="AY59" s="190">
        <v>822921865.61000001</v>
      </c>
      <c r="AZ59" s="190">
        <v>548815529.96000004</v>
      </c>
      <c r="BA59" s="190">
        <v>799007076.76999998</v>
      </c>
      <c r="BB59" s="190">
        <v>773754249.82000005</v>
      </c>
      <c r="BC59" s="190">
        <v>592464063.88</v>
      </c>
      <c r="BD59" s="190">
        <v>416503687.60000002</v>
      </c>
      <c r="BE59" s="190">
        <v>829759695.11000001</v>
      </c>
      <c r="BF59" s="190">
        <v>679164074.51999998</v>
      </c>
      <c r="BG59" s="190">
        <v>537962660</v>
      </c>
      <c r="BH59" s="190">
        <v>383394123.19999999</v>
      </c>
      <c r="BI59" s="190">
        <v>703792730.94000006</v>
      </c>
      <c r="BJ59" s="190">
        <v>548305195.13</v>
      </c>
      <c r="BK59" s="190">
        <v>389654678.44</v>
      </c>
      <c r="BL59" s="190">
        <v>289511785.36000001</v>
      </c>
      <c r="BM59" s="190">
        <v>618984667.90999997</v>
      </c>
      <c r="BN59" s="190">
        <v>511693618.56</v>
      </c>
      <c r="BO59" s="190">
        <v>373562587.13</v>
      </c>
      <c r="BP59" s="190">
        <v>253237536.75999999</v>
      </c>
      <c r="BQ59" s="190">
        <v>816316516.73000002</v>
      </c>
      <c r="BR59" s="190">
        <v>650310000</v>
      </c>
      <c r="BS59" s="190">
        <v>478983205.56999999</v>
      </c>
      <c r="BT59" s="190">
        <v>281830575.43000001</v>
      </c>
      <c r="BU59" s="190">
        <v>768216832.5</v>
      </c>
      <c r="BV59" s="190">
        <v>429812800.44999999</v>
      </c>
      <c r="BW59" s="190">
        <v>649021962.89999998</v>
      </c>
      <c r="BX59" s="190">
        <v>317076251.63999999</v>
      </c>
      <c r="BY59" s="190">
        <v>553291095.09000003</v>
      </c>
      <c r="BZ59" s="190">
        <v>252919406.88</v>
      </c>
      <c r="CA59" s="190">
        <v>341298375.86000001</v>
      </c>
      <c r="CB59" s="190">
        <v>259939328.41</v>
      </c>
      <c r="CC59" s="190">
        <v>216927477.38</v>
      </c>
      <c r="CD59" s="190">
        <v>0</v>
      </c>
      <c r="CE59" s="190">
        <v>162135000</v>
      </c>
      <c r="CF59" s="190">
        <v>90056788.769999996</v>
      </c>
      <c r="CG59" s="190">
        <v>54430000</v>
      </c>
      <c r="CH59" s="190">
        <v>80440000</v>
      </c>
      <c r="CI59" s="190">
        <v>58950000</v>
      </c>
      <c r="CJ59" s="190">
        <v>67670000</v>
      </c>
      <c r="CK59" s="190">
        <v>0</v>
      </c>
    </row>
    <row r="60" spans="1:89" x14ac:dyDescent="0.25">
      <c r="A60" s="22" t="s">
        <v>95</v>
      </c>
      <c r="B60" s="190">
        <v>90860108.140000001</v>
      </c>
      <c r="C60" s="190">
        <v>58234003.689999998</v>
      </c>
      <c r="D60" s="190">
        <v>43254573.359999999</v>
      </c>
      <c r="E60" s="190">
        <v>90810907.900000006</v>
      </c>
      <c r="F60" s="190">
        <v>90508988.840000004</v>
      </c>
      <c r="G60" s="190">
        <v>44332038.670000002</v>
      </c>
      <c r="H60" s="190">
        <v>21985611.260000002</v>
      </c>
      <c r="I60" s="190">
        <v>80709681.709999993</v>
      </c>
      <c r="J60" s="190">
        <v>63378605.710000001</v>
      </c>
      <c r="K60" s="190">
        <v>44079906.789999999</v>
      </c>
      <c r="L60" s="190">
        <v>23129226.210000001</v>
      </c>
      <c r="M60" s="190">
        <v>88611971.989999995</v>
      </c>
      <c r="N60" s="190">
        <v>48869485.689999998</v>
      </c>
      <c r="O60" s="190">
        <v>30061624.289999999</v>
      </c>
      <c r="P60" s="190">
        <v>21179307.41</v>
      </c>
      <c r="Q60" s="190">
        <v>53632117.130000003</v>
      </c>
      <c r="R60" s="190">
        <v>40316639.75</v>
      </c>
      <c r="S60" s="190">
        <v>25334137.739999998</v>
      </c>
      <c r="T60" s="190">
        <v>17702590.440000001</v>
      </c>
      <c r="U60" s="190">
        <v>59861374.850000001</v>
      </c>
      <c r="V60" s="190">
        <v>37936104.539999999</v>
      </c>
      <c r="W60" s="190">
        <v>25253043.190000001</v>
      </c>
      <c r="X60" s="190">
        <v>19517706.149999999</v>
      </c>
      <c r="Y60" s="190">
        <v>61950453.530000001</v>
      </c>
      <c r="Z60" s="190">
        <v>42224768.240000002</v>
      </c>
      <c r="AA60" s="190">
        <v>25078122.620000001</v>
      </c>
      <c r="AB60" s="190">
        <v>22988840.609999999</v>
      </c>
      <c r="AC60" s="190">
        <v>70548110.260000005</v>
      </c>
      <c r="AD60" s="190">
        <v>47934985.090000004</v>
      </c>
      <c r="AE60" s="190">
        <v>25281931.27</v>
      </c>
      <c r="AF60" s="190">
        <v>29453283.52</v>
      </c>
      <c r="AG60" s="190">
        <v>71365814.269999996</v>
      </c>
      <c r="AH60" s="190">
        <v>69820550.109999999</v>
      </c>
      <c r="AI60" s="190">
        <v>35970578.43</v>
      </c>
      <c r="AJ60" s="190">
        <v>19374579.129999999</v>
      </c>
      <c r="AK60" s="190">
        <v>50926318.670000002</v>
      </c>
      <c r="AL60" s="190">
        <v>32179640.43</v>
      </c>
      <c r="AM60" s="190">
        <v>16241581.609999999</v>
      </c>
      <c r="AN60" s="190">
        <v>11150238.310000001</v>
      </c>
      <c r="AO60" s="190">
        <v>26161263.460000001</v>
      </c>
      <c r="AP60" s="190">
        <v>20821381.469999999</v>
      </c>
      <c r="AQ60" s="190">
        <v>26024310.539999999</v>
      </c>
      <c r="AR60" s="190">
        <v>4054415.44</v>
      </c>
      <c r="AS60" s="190">
        <v>0</v>
      </c>
      <c r="AT60" s="190">
        <v>648250833.24000001</v>
      </c>
      <c r="AU60" s="190">
        <v>561779303.77999997</v>
      </c>
      <c r="AV60" s="190">
        <v>374547042.32999998</v>
      </c>
      <c r="AW60" s="190">
        <v>606385627.26999998</v>
      </c>
      <c r="AX60" s="190">
        <v>526228001.63</v>
      </c>
      <c r="AY60" s="190">
        <v>420222252.99000001</v>
      </c>
      <c r="AZ60" s="190">
        <v>280943626.88999999</v>
      </c>
      <c r="BA60" s="190">
        <v>396902090.45999998</v>
      </c>
      <c r="BB60" s="190">
        <v>383849839.51999998</v>
      </c>
      <c r="BC60" s="190">
        <v>336122195.32999998</v>
      </c>
      <c r="BD60" s="190">
        <v>238518321.50999999</v>
      </c>
      <c r="BE60" s="190">
        <v>441401360.93000001</v>
      </c>
      <c r="BF60" s="190">
        <v>355010263.50999999</v>
      </c>
      <c r="BG60" s="190">
        <v>278320628.12</v>
      </c>
      <c r="BH60" s="190">
        <v>193355065.81999999</v>
      </c>
      <c r="BI60" s="190">
        <v>383447938.93000001</v>
      </c>
      <c r="BJ60" s="190">
        <v>311366323.06999999</v>
      </c>
      <c r="BK60" s="190">
        <v>250049516.34999999</v>
      </c>
      <c r="BL60" s="190">
        <v>207396289.06999999</v>
      </c>
      <c r="BM60" s="190">
        <v>250085682.47999999</v>
      </c>
      <c r="BN60" s="190">
        <v>190785252.78999999</v>
      </c>
      <c r="BO60" s="190">
        <v>126708958.8</v>
      </c>
      <c r="BP60" s="190">
        <v>121401855.98999999</v>
      </c>
      <c r="BQ60" s="190">
        <v>116775657.84999999</v>
      </c>
      <c r="BR60" s="190">
        <v>160590000</v>
      </c>
      <c r="BS60" s="190">
        <v>179226656.44999999</v>
      </c>
      <c r="BT60" s="190">
        <v>138812074.46000001</v>
      </c>
      <c r="BU60" s="190">
        <v>238879360.28</v>
      </c>
      <c r="BV60" s="190">
        <v>295349924.56</v>
      </c>
      <c r="BW60" s="190">
        <v>303429006.82999998</v>
      </c>
      <c r="BX60" s="190">
        <v>66653678.539999999</v>
      </c>
      <c r="BY60" s="190">
        <v>260578360.56999999</v>
      </c>
      <c r="BZ60" s="190">
        <v>44632836.509999998</v>
      </c>
      <c r="CA60" s="190">
        <v>168102185.13</v>
      </c>
      <c r="CB60" s="190">
        <v>128029818.47</v>
      </c>
      <c r="CC60" s="190">
        <v>106844876.92</v>
      </c>
      <c r="CD60" s="190">
        <v>0</v>
      </c>
      <c r="CE60" s="190">
        <v>27810000</v>
      </c>
      <c r="CF60" s="190">
        <v>16447145.279999999</v>
      </c>
      <c r="CG60" s="190">
        <v>4330000</v>
      </c>
      <c r="CH60" s="190">
        <v>4220000</v>
      </c>
      <c r="CI60" s="190">
        <v>12510000</v>
      </c>
      <c r="CJ60" s="190">
        <v>3630000</v>
      </c>
      <c r="CK60" s="190">
        <v>0</v>
      </c>
    </row>
    <row r="61" spans="1:89" x14ac:dyDescent="0.25">
      <c r="A61" s="22" t="s">
        <v>94</v>
      </c>
      <c r="B61" s="190">
        <v>476684779.69</v>
      </c>
      <c r="C61" s="190">
        <v>283817389.89999998</v>
      </c>
      <c r="D61" s="190">
        <v>202320305.84999999</v>
      </c>
      <c r="E61" s="190">
        <v>543882536.40999997</v>
      </c>
      <c r="F61" s="190">
        <v>422429347.12</v>
      </c>
      <c r="G61" s="190">
        <v>219615536.38999999</v>
      </c>
      <c r="H61" s="190">
        <v>147099946.31999999</v>
      </c>
      <c r="I61" s="190">
        <v>419522942.11000001</v>
      </c>
      <c r="J61" s="190">
        <v>333501496.81</v>
      </c>
      <c r="K61" s="190">
        <v>202708462.28999999</v>
      </c>
      <c r="L61" s="190">
        <v>136963836.84</v>
      </c>
      <c r="M61" s="190">
        <v>511701040.50999999</v>
      </c>
      <c r="N61" s="190">
        <v>379640594.58999997</v>
      </c>
      <c r="O61" s="190">
        <v>217287295.94999999</v>
      </c>
      <c r="P61" s="190">
        <v>139463390.93000001</v>
      </c>
      <c r="Q61" s="190">
        <v>451805805.81999999</v>
      </c>
      <c r="R61" s="190">
        <v>317017548.04000002</v>
      </c>
      <c r="S61" s="190">
        <v>182702061.30000001</v>
      </c>
      <c r="T61" s="190">
        <v>116451942.16</v>
      </c>
      <c r="U61" s="190">
        <v>392016027</v>
      </c>
      <c r="V61" s="190">
        <v>275119996.20999998</v>
      </c>
      <c r="W61" s="190">
        <v>162358939.53</v>
      </c>
      <c r="X61" s="190">
        <v>105274277.8</v>
      </c>
      <c r="Y61" s="190">
        <v>444037220.29000002</v>
      </c>
      <c r="Z61" s="190">
        <v>295367241.05000001</v>
      </c>
      <c r="AA61" s="190">
        <v>158764216.87</v>
      </c>
      <c r="AB61" s="190">
        <v>129332628.98</v>
      </c>
      <c r="AC61" s="190">
        <v>444558248.44999999</v>
      </c>
      <c r="AD61" s="190">
        <v>328093800.26999998</v>
      </c>
      <c r="AE61" s="190">
        <v>187717412.37</v>
      </c>
      <c r="AF61" s="190">
        <v>118124505.06999999</v>
      </c>
      <c r="AG61" s="190">
        <v>283191496.82999998</v>
      </c>
      <c r="AH61" s="190">
        <v>214279919.22999999</v>
      </c>
      <c r="AI61" s="190">
        <v>113404719.19</v>
      </c>
      <c r="AJ61" s="190">
        <v>69539699.090000004</v>
      </c>
      <c r="AK61" s="190">
        <v>196929086.25999999</v>
      </c>
      <c r="AL61" s="190">
        <v>133841809.76000001</v>
      </c>
      <c r="AM61" s="190">
        <v>67293163.790000007</v>
      </c>
      <c r="AN61" s="190">
        <v>44927934.520000003</v>
      </c>
      <c r="AO61" s="190">
        <v>137193241.06</v>
      </c>
      <c r="AP61" s="190">
        <v>104921539.81</v>
      </c>
      <c r="AQ61" s="190">
        <v>111162605.3</v>
      </c>
      <c r="AR61" s="190">
        <v>53571633.859999999</v>
      </c>
      <c r="AS61" s="190">
        <v>0</v>
      </c>
      <c r="AT61" s="190">
        <v>1975096563.3199999</v>
      </c>
      <c r="AU61" s="190">
        <v>1707052031.6900001</v>
      </c>
      <c r="AV61" s="190">
        <v>1119753768.3699999</v>
      </c>
      <c r="AW61" s="190">
        <v>1785725643.3699999</v>
      </c>
      <c r="AX61" s="190">
        <v>1549585817.3299999</v>
      </c>
      <c r="AY61" s="190">
        <v>1243144118.5999999</v>
      </c>
      <c r="AZ61" s="190">
        <v>829759156.85000002</v>
      </c>
      <c r="BA61" s="190">
        <v>1195909167.23</v>
      </c>
      <c r="BB61" s="190">
        <v>1157604089.3399999</v>
      </c>
      <c r="BC61" s="190">
        <v>928586259.21000004</v>
      </c>
      <c r="BD61" s="190">
        <v>655022009.11000001</v>
      </c>
      <c r="BE61" s="190">
        <v>1271161056.04</v>
      </c>
      <c r="BF61" s="190">
        <v>1034174338.03</v>
      </c>
      <c r="BG61" s="190">
        <v>816283288.12</v>
      </c>
      <c r="BH61" s="190">
        <v>576749189.01999998</v>
      </c>
      <c r="BI61" s="190">
        <v>1087240669.8699999</v>
      </c>
      <c r="BJ61" s="190">
        <v>859671518.20000005</v>
      </c>
      <c r="BK61" s="190">
        <v>639704194.78999996</v>
      </c>
      <c r="BL61" s="190">
        <v>496908074.43000001</v>
      </c>
      <c r="BM61" s="190">
        <v>869070350.38999999</v>
      </c>
      <c r="BN61" s="190">
        <v>702478871.35000002</v>
      </c>
      <c r="BO61" s="190">
        <v>500271545.93000001</v>
      </c>
      <c r="BP61" s="190">
        <v>374639392.75</v>
      </c>
      <c r="BQ61" s="190">
        <v>933092174.58000004</v>
      </c>
      <c r="BR61" s="190">
        <v>814730000</v>
      </c>
      <c r="BS61" s="190">
        <v>658209862.01999998</v>
      </c>
      <c r="BT61" s="190">
        <v>420642649.88999999</v>
      </c>
      <c r="BU61" s="190">
        <v>1007096192.78</v>
      </c>
      <c r="BV61" s="190">
        <v>725162725.00999999</v>
      </c>
      <c r="BW61" s="190">
        <v>786944238.74000001</v>
      </c>
      <c r="BX61" s="190">
        <v>383729930.18000001</v>
      </c>
      <c r="BY61" s="190">
        <v>813869455.65999997</v>
      </c>
      <c r="BZ61" s="190">
        <v>297552243.38999999</v>
      </c>
      <c r="CA61" s="190">
        <v>509400560.99000001</v>
      </c>
      <c r="CB61" s="190">
        <v>387969146.88</v>
      </c>
      <c r="CC61" s="190">
        <v>323772354.30000001</v>
      </c>
      <c r="CD61" s="190">
        <v>0</v>
      </c>
      <c r="CE61" s="190">
        <v>189945000</v>
      </c>
      <c r="CF61" s="190">
        <v>106503934.05</v>
      </c>
      <c r="CG61" s="190">
        <v>58750000</v>
      </c>
      <c r="CH61" s="190">
        <v>84660000</v>
      </c>
      <c r="CI61" s="190">
        <v>71460000</v>
      </c>
      <c r="CJ61" s="190">
        <v>71300000</v>
      </c>
      <c r="CK61" s="190">
        <v>0</v>
      </c>
    </row>
    <row r="62" spans="1:89" x14ac:dyDescent="0.25">
      <c r="A62" s="22"/>
      <c r="B62" s="4"/>
      <c r="C62" s="4"/>
      <c r="D62" s="4"/>
      <c r="E62" s="157"/>
      <c r="F62" s="157"/>
      <c r="G62" s="157"/>
      <c r="H62" s="157"/>
      <c r="I62" s="157"/>
      <c r="J62" s="157"/>
      <c r="K62" s="157"/>
      <c r="L62" s="157"/>
      <c r="M62" s="157"/>
      <c r="N62" s="157"/>
      <c r="O62" s="157"/>
      <c r="P62" s="157"/>
      <c r="Q62" s="157"/>
      <c r="R62" s="157"/>
      <c r="S62" s="157"/>
      <c r="T62" s="157"/>
      <c r="U62" s="157"/>
      <c r="V62" s="157"/>
      <c r="W62" s="157"/>
      <c r="X62" s="157"/>
      <c r="Y62" s="157"/>
      <c r="Z62" s="157"/>
      <c r="AA62" s="157"/>
      <c r="AB62" s="157"/>
      <c r="AC62" s="157"/>
      <c r="AD62" s="157"/>
      <c r="AE62" s="157"/>
      <c r="AF62" s="157"/>
      <c r="AG62" s="157"/>
      <c r="AH62" s="157"/>
      <c r="AI62" s="157"/>
      <c r="AJ62" s="157"/>
      <c r="AK62" s="157"/>
      <c r="AL62" s="157"/>
      <c r="AM62" s="157"/>
      <c r="AN62" s="157"/>
      <c r="AO62" s="157"/>
      <c r="AP62" s="157"/>
      <c r="AQ62" s="157"/>
      <c r="AR62" s="157"/>
      <c r="AS62" s="157"/>
      <c r="AT62" s="157"/>
      <c r="AU62" s="157"/>
      <c r="AV62" s="157"/>
      <c r="AW62" s="157"/>
      <c r="AX62" s="157"/>
      <c r="AY62" s="157"/>
      <c r="AZ62" s="157"/>
      <c r="BA62" s="157"/>
      <c r="BB62" s="157"/>
      <c r="BC62" s="157"/>
      <c r="BD62" s="157"/>
      <c r="BE62" s="157"/>
      <c r="BF62" s="157"/>
      <c r="BG62" s="157"/>
      <c r="BH62" s="157"/>
      <c r="BI62" s="157"/>
      <c r="BJ62" s="157"/>
      <c r="BK62" s="157"/>
      <c r="BL62" s="157"/>
      <c r="BM62" s="157"/>
      <c r="BN62" s="157"/>
      <c r="BO62" s="157"/>
      <c r="BP62" s="157"/>
      <c r="BQ62" s="157"/>
      <c r="BR62" s="157"/>
      <c r="BS62" s="157"/>
      <c r="BT62" s="157"/>
      <c r="BU62" s="157"/>
      <c r="BV62" s="157"/>
      <c r="BW62" s="157"/>
      <c r="BX62" s="157"/>
      <c r="BY62" s="157"/>
      <c r="BZ62" s="157"/>
      <c r="CA62" s="157"/>
      <c r="CB62" s="157"/>
      <c r="CC62" s="157"/>
      <c r="CD62" s="157"/>
      <c r="CE62" s="157"/>
      <c r="CF62" s="157"/>
      <c r="CG62" s="157"/>
      <c r="CH62" s="157"/>
      <c r="CI62" s="157"/>
      <c r="CJ62" s="157"/>
      <c r="CK62" s="157"/>
    </row>
    <row r="65" spans="1:89" x14ac:dyDescent="0.25">
      <c r="A65" s="22" t="s">
        <v>98</v>
      </c>
      <c r="B65" s="190">
        <v>95242273.629999995</v>
      </c>
      <c r="C65" s="190">
        <v>28971556.489999998</v>
      </c>
      <c r="D65" s="190">
        <v>10478204.369999999</v>
      </c>
      <c r="E65" s="190">
        <v>46344509.020000003</v>
      </c>
      <c r="F65" s="190">
        <v>27243457.18</v>
      </c>
      <c r="G65" s="190">
        <v>27737580.16</v>
      </c>
      <c r="H65" s="190">
        <v>775003.99</v>
      </c>
      <c r="I65" s="190">
        <v>30518868.780000001</v>
      </c>
      <c r="J65" s="190">
        <v>20610189.93</v>
      </c>
      <c r="K65" s="190">
        <v>14837689.359999999</v>
      </c>
      <c r="L65" s="190">
        <v>10351456.130000001</v>
      </c>
      <c r="M65" s="190">
        <v>54802146.340000004</v>
      </c>
      <c r="N65" s="190">
        <v>32745457.399999999</v>
      </c>
      <c r="O65" s="190">
        <v>18458085.66</v>
      </c>
      <c r="P65" s="190">
        <v>1034260.27</v>
      </c>
      <c r="Q65" s="190">
        <v>17154949.390000001</v>
      </c>
      <c r="R65" s="190">
        <v>12541798.699999999</v>
      </c>
      <c r="S65" s="190">
        <v>8266763.2999999998</v>
      </c>
      <c r="T65" s="190">
        <v>1817612.22</v>
      </c>
      <c r="U65" s="190">
        <v>5457633.1399999997</v>
      </c>
      <c r="V65" s="190">
        <v>4203934.51</v>
      </c>
      <c r="W65" s="190">
        <v>3280088.85</v>
      </c>
      <c r="X65" s="190">
        <v>1638355.54</v>
      </c>
      <c r="Y65" s="190">
        <v>929555.19</v>
      </c>
      <c r="Z65" s="190">
        <v>0</v>
      </c>
      <c r="AA65" s="190">
        <v>0</v>
      </c>
      <c r="AB65" s="190">
        <v>0</v>
      </c>
      <c r="AC65" s="190">
        <v>0</v>
      </c>
      <c r="AD65" s="190">
        <v>0</v>
      </c>
      <c r="AE65" s="190">
        <v>0</v>
      </c>
      <c r="AF65" s="190">
        <v>0</v>
      </c>
      <c r="AG65" s="190">
        <v>0</v>
      </c>
      <c r="AH65" s="190">
        <v>0</v>
      </c>
      <c r="AI65" s="190">
        <v>0</v>
      </c>
      <c r="AJ65" s="190">
        <v>0</v>
      </c>
      <c r="AK65" s="190">
        <v>0</v>
      </c>
      <c r="AL65" s="190">
        <v>0</v>
      </c>
      <c r="AM65" s="190">
        <v>0</v>
      </c>
      <c r="AN65" s="190">
        <v>0</v>
      </c>
      <c r="AO65" s="190">
        <v>3020.54</v>
      </c>
      <c r="AP65" s="190">
        <v>3020.54</v>
      </c>
      <c r="AQ65" s="190">
        <v>10356.16</v>
      </c>
      <c r="AR65" s="190">
        <v>0</v>
      </c>
      <c r="AS65" s="190">
        <v>0</v>
      </c>
      <c r="AT65" s="190">
        <v>556604.28</v>
      </c>
      <c r="AU65" s="190">
        <v>47918.79</v>
      </c>
      <c r="AV65" s="190">
        <v>665864.48</v>
      </c>
      <c r="AW65" s="190">
        <v>5051692.58</v>
      </c>
      <c r="AX65" s="190">
        <v>2496157.7200000002</v>
      </c>
      <c r="AY65" s="190">
        <v>1832311.81</v>
      </c>
      <c r="AZ65" s="190">
        <v>100000</v>
      </c>
      <c r="BA65" s="190">
        <v>-3923017.4</v>
      </c>
      <c r="BB65" s="190">
        <v>-497364.9</v>
      </c>
      <c r="BC65" s="190">
        <v>-499893.8</v>
      </c>
      <c r="BD65" s="190">
        <v>0</v>
      </c>
      <c r="BE65" s="190">
        <v>-126753.75</v>
      </c>
      <c r="BF65" s="190">
        <v>344265.81</v>
      </c>
      <c r="BG65" s="190">
        <v>344265.81</v>
      </c>
      <c r="BH65" s="190">
        <v>1026367.48</v>
      </c>
      <c r="BI65" s="190">
        <v>-554425.18000000005</v>
      </c>
      <c r="BJ65" s="190">
        <v>287254.11</v>
      </c>
      <c r="BK65" s="190">
        <v>52424.27</v>
      </c>
      <c r="BL65" s="190">
        <v>265460.88</v>
      </c>
      <c r="BM65" s="190">
        <v>178932.4</v>
      </c>
      <c r="BN65" s="190">
        <v>1871129.6000000001</v>
      </c>
      <c r="BO65" s="190">
        <v>1511721.55</v>
      </c>
      <c r="BP65" s="190">
        <v>-174029.22</v>
      </c>
      <c r="BQ65" s="190">
        <v>12349967.949999999</v>
      </c>
      <c r="BR65" s="190">
        <v>12720000</v>
      </c>
      <c r="BS65" s="190">
        <v>9766309.1799999997</v>
      </c>
      <c r="BT65" s="190">
        <v>5348519.25</v>
      </c>
      <c r="BU65" s="190">
        <v>2373601.7000000002</v>
      </c>
      <c r="BV65" s="190">
        <v>0</v>
      </c>
      <c r="BW65" s="190">
        <v>0</v>
      </c>
      <c r="BX65" s="190">
        <v>0</v>
      </c>
      <c r="BY65" s="190">
        <v>0</v>
      </c>
      <c r="BZ65" s="190">
        <v>0</v>
      </c>
      <c r="CA65" s="190">
        <v>0</v>
      </c>
      <c r="CB65" s="190">
        <v>0</v>
      </c>
      <c r="CC65" s="190">
        <v>0</v>
      </c>
      <c r="CD65" s="190">
        <v>0</v>
      </c>
      <c r="CE65" s="190">
        <v>7729000</v>
      </c>
      <c r="CF65" s="190">
        <v>2092581.44</v>
      </c>
      <c r="CG65" s="190">
        <v>0</v>
      </c>
      <c r="CH65" s="190">
        <v>0</v>
      </c>
      <c r="CI65" s="190">
        <v>0</v>
      </c>
      <c r="CJ65" s="190">
        <v>0</v>
      </c>
      <c r="CK65" s="190">
        <v>0</v>
      </c>
    </row>
    <row r="66" spans="1:89" x14ac:dyDescent="0.25">
      <c r="A66" s="22" t="s">
        <v>99</v>
      </c>
      <c r="B66" s="190">
        <v>0</v>
      </c>
      <c r="C66" s="190">
        <v>0</v>
      </c>
      <c r="D66" s="190">
        <v>0</v>
      </c>
      <c r="E66" s="190">
        <v>0</v>
      </c>
      <c r="F66" s="190">
        <v>0</v>
      </c>
      <c r="G66" s="190">
        <v>0</v>
      </c>
      <c r="H66" s="190">
        <v>0</v>
      </c>
      <c r="I66" s="190">
        <v>0</v>
      </c>
      <c r="J66" s="190">
        <v>0</v>
      </c>
      <c r="K66" s="190">
        <v>0</v>
      </c>
      <c r="L66" s="190">
        <v>0</v>
      </c>
      <c r="M66" s="190">
        <v>0</v>
      </c>
      <c r="N66" s="190">
        <v>0</v>
      </c>
      <c r="O66" s="190">
        <v>0</v>
      </c>
      <c r="P66" s="190">
        <v>0</v>
      </c>
      <c r="Q66" s="190">
        <v>0</v>
      </c>
      <c r="R66" s="190">
        <v>0</v>
      </c>
      <c r="S66" s="190">
        <v>0</v>
      </c>
      <c r="T66" s="190">
        <v>0</v>
      </c>
      <c r="U66" s="190">
        <v>0</v>
      </c>
      <c r="V66" s="190">
        <v>0</v>
      </c>
      <c r="W66" s="190">
        <v>0</v>
      </c>
      <c r="X66" s="190">
        <v>0</v>
      </c>
      <c r="Y66" s="190">
        <v>0</v>
      </c>
      <c r="Z66" s="190">
        <v>0</v>
      </c>
      <c r="AA66" s="190">
        <v>0</v>
      </c>
      <c r="AB66" s="190">
        <v>0</v>
      </c>
      <c r="AC66" s="190">
        <v>0</v>
      </c>
      <c r="AD66" s="190">
        <v>0</v>
      </c>
      <c r="AE66" s="190">
        <v>0</v>
      </c>
      <c r="AF66" s="190">
        <v>0</v>
      </c>
      <c r="AG66" s="190">
        <v>0</v>
      </c>
      <c r="AH66" s="190">
        <v>0</v>
      </c>
      <c r="AI66" s="190">
        <v>0</v>
      </c>
      <c r="AJ66" s="190">
        <v>0</v>
      </c>
      <c r="AK66" s="190">
        <v>0</v>
      </c>
      <c r="AL66" s="190">
        <v>0</v>
      </c>
      <c r="AM66" s="190">
        <v>0</v>
      </c>
      <c r="AN66" s="190">
        <v>0</v>
      </c>
      <c r="AO66" s="190">
        <v>0</v>
      </c>
      <c r="AP66" s="190">
        <v>0</v>
      </c>
      <c r="AQ66" s="190">
        <v>0</v>
      </c>
      <c r="AR66" s="190">
        <v>0</v>
      </c>
      <c r="AS66" s="190">
        <v>0</v>
      </c>
      <c r="AT66" s="190">
        <v>0</v>
      </c>
      <c r="AU66" s="190">
        <v>0</v>
      </c>
      <c r="AV66" s="190">
        <v>0</v>
      </c>
      <c r="AW66" s="190">
        <v>0</v>
      </c>
      <c r="AX66" s="190">
        <v>0</v>
      </c>
      <c r="AY66" s="190">
        <v>0</v>
      </c>
      <c r="AZ66" s="190">
        <v>0</v>
      </c>
      <c r="BA66" s="190">
        <v>0</v>
      </c>
      <c r="BB66" s="190">
        <v>0</v>
      </c>
      <c r="BC66" s="190">
        <v>0</v>
      </c>
      <c r="BD66" s="190">
        <v>0</v>
      </c>
      <c r="BE66" s="190">
        <v>0</v>
      </c>
      <c r="BF66" s="190">
        <v>0</v>
      </c>
      <c r="BG66" s="190">
        <v>0</v>
      </c>
      <c r="BH66" s="190">
        <v>0</v>
      </c>
      <c r="BI66" s="190">
        <v>0</v>
      </c>
      <c r="BJ66" s="190">
        <v>0</v>
      </c>
      <c r="BK66" s="190">
        <v>0</v>
      </c>
      <c r="BL66" s="190">
        <v>0</v>
      </c>
      <c r="BM66" s="190">
        <v>0</v>
      </c>
      <c r="BN66" s="190">
        <v>0</v>
      </c>
      <c r="BO66" s="190">
        <v>0</v>
      </c>
      <c r="BP66" s="190">
        <v>0</v>
      </c>
      <c r="BQ66" s="190">
        <v>0</v>
      </c>
      <c r="BR66" s="190">
        <v>0</v>
      </c>
      <c r="BS66" s="190">
        <v>0</v>
      </c>
      <c r="BT66" s="190">
        <v>0</v>
      </c>
      <c r="BU66" s="190">
        <v>0</v>
      </c>
      <c r="BV66" s="190">
        <v>0</v>
      </c>
      <c r="BW66" s="190">
        <v>0</v>
      </c>
      <c r="BX66" s="190">
        <v>0</v>
      </c>
      <c r="BY66" s="190">
        <v>0</v>
      </c>
      <c r="BZ66" s="190">
        <v>0</v>
      </c>
      <c r="CA66" s="190">
        <v>0</v>
      </c>
      <c r="CB66" s="190">
        <v>0</v>
      </c>
      <c r="CC66" s="190">
        <v>0</v>
      </c>
      <c r="CD66" s="190">
        <v>0</v>
      </c>
      <c r="CE66" s="190">
        <v>0</v>
      </c>
      <c r="CF66" s="190">
        <v>0</v>
      </c>
      <c r="CG66" s="190">
        <v>0</v>
      </c>
      <c r="CH66" s="190">
        <v>0</v>
      </c>
      <c r="CI66" s="190">
        <v>0</v>
      </c>
      <c r="CJ66" s="190">
        <v>0</v>
      </c>
      <c r="CK66" s="190">
        <v>0</v>
      </c>
    </row>
    <row r="67" spans="1:89" x14ac:dyDescent="0.25">
      <c r="A67" s="22" t="s">
        <v>100</v>
      </c>
      <c r="B67" s="4">
        <f>B65-B66</f>
        <v>95242273.629999995</v>
      </c>
      <c r="C67" s="4">
        <f t="shared" ref="C67:BN67" si="67">C65-C66</f>
        <v>28971556.489999998</v>
      </c>
      <c r="D67" s="4">
        <f t="shared" si="67"/>
        <v>10478204.369999999</v>
      </c>
      <c r="E67" s="4">
        <f t="shared" si="67"/>
        <v>46344509.020000003</v>
      </c>
      <c r="F67" s="4">
        <f t="shared" si="67"/>
        <v>27243457.18</v>
      </c>
      <c r="G67" s="4">
        <f t="shared" si="67"/>
        <v>27737580.16</v>
      </c>
      <c r="H67" s="4">
        <f t="shared" si="67"/>
        <v>775003.99</v>
      </c>
      <c r="I67" s="4">
        <f t="shared" si="67"/>
        <v>30518868.780000001</v>
      </c>
      <c r="J67" s="4">
        <f t="shared" si="67"/>
        <v>20610189.93</v>
      </c>
      <c r="K67" s="4">
        <f t="shared" si="67"/>
        <v>14837689.359999999</v>
      </c>
      <c r="L67" s="4">
        <f t="shared" si="67"/>
        <v>10351456.130000001</v>
      </c>
      <c r="M67" s="4">
        <f t="shared" si="67"/>
        <v>54802146.340000004</v>
      </c>
      <c r="N67" s="4">
        <f t="shared" si="67"/>
        <v>32745457.399999999</v>
      </c>
      <c r="O67" s="4">
        <f t="shared" si="67"/>
        <v>18458085.66</v>
      </c>
      <c r="P67" s="4">
        <f t="shared" si="67"/>
        <v>1034260.27</v>
      </c>
      <c r="Q67" s="4">
        <f t="shared" si="67"/>
        <v>17154949.390000001</v>
      </c>
      <c r="R67" s="4">
        <f t="shared" si="67"/>
        <v>12541798.699999999</v>
      </c>
      <c r="S67" s="4">
        <f t="shared" si="67"/>
        <v>8266763.2999999998</v>
      </c>
      <c r="T67" s="4">
        <f t="shared" si="67"/>
        <v>1817612.22</v>
      </c>
      <c r="U67" s="4">
        <f t="shared" si="67"/>
        <v>5457633.1399999997</v>
      </c>
      <c r="V67" s="4">
        <f t="shared" si="67"/>
        <v>4203934.51</v>
      </c>
      <c r="W67" s="4">
        <f t="shared" si="67"/>
        <v>3280088.85</v>
      </c>
      <c r="X67" s="4">
        <f t="shared" si="67"/>
        <v>1638355.54</v>
      </c>
      <c r="Y67" s="4">
        <f t="shared" si="67"/>
        <v>929555.19</v>
      </c>
      <c r="Z67" s="4">
        <f t="shared" si="67"/>
        <v>0</v>
      </c>
      <c r="AA67" s="4">
        <f t="shared" si="67"/>
        <v>0</v>
      </c>
      <c r="AB67" s="4">
        <f t="shared" si="67"/>
        <v>0</v>
      </c>
      <c r="AC67" s="4">
        <f t="shared" si="67"/>
        <v>0</v>
      </c>
      <c r="AD67" s="4">
        <f t="shared" si="67"/>
        <v>0</v>
      </c>
      <c r="AE67" s="4">
        <f t="shared" si="67"/>
        <v>0</v>
      </c>
      <c r="AF67" s="4">
        <f t="shared" si="67"/>
        <v>0</v>
      </c>
      <c r="AG67" s="4">
        <f t="shared" si="67"/>
        <v>0</v>
      </c>
      <c r="AH67" s="4">
        <f t="shared" si="67"/>
        <v>0</v>
      </c>
      <c r="AI67" s="4">
        <f t="shared" si="67"/>
        <v>0</v>
      </c>
      <c r="AJ67" s="4">
        <f t="shared" si="67"/>
        <v>0</v>
      </c>
      <c r="AK67" s="4">
        <f t="shared" si="67"/>
        <v>0</v>
      </c>
      <c r="AL67" s="4">
        <f t="shared" si="67"/>
        <v>0</v>
      </c>
      <c r="AM67" s="4">
        <f t="shared" si="67"/>
        <v>0</v>
      </c>
      <c r="AN67" s="4">
        <f t="shared" si="67"/>
        <v>0</v>
      </c>
      <c r="AO67" s="4">
        <f t="shared" si="67"/>
        <v>3020.54</v>
      </c>
      <c r="AP67" s="4">
        <f t="shared" si="67"/>
        <v>3020.54</v>
      </c>
      <c r="AQ67" s="4">
        <f t="shared" si="67"/>
        <v>10356.16</v>
      </c>
      <c r="AR67" s="4">
        <f t="shared" si="67"/>
        <v>0</v>
      </c>
      <c r="AS67" s="4">
        <f t="shared" si="67"/>
        <v>0</v>
      </c>
      <c r="AT67" s="4">
        <f t="shared" si="67"/>
        <v>556604.28</v>
      </c>
      <c r="AU67" s="4">
        <f t="shared" si="67"/>
        <v>47918.79</v>
      </c>
      <c r="AV67" s="4">
        <f t="shared" si="67"/>
        <v>665864.48</v>
      </c>
      <c r="AW67" s="4">
        <f t="shared" si="67"/>
        <v>5051692.58</v>
      </c>
      <c r="AX67" s="4">
        <f t="shared" si="67"/>
        <v>2496157.7200000002</v>
      </c>
      <c r="AY67" s="4">
        <f t="shared" si="67"/>
        <v>1832311.81</v>
      </c>
      <c r="AZ67" s="4">
        <f t="shared" si="67"/>
        <v>100000</v>
      </c>
      <c r="BA67" s="4">
        <f t="shared" si="67"/>
        <v>-3923017.4</v>
      </c>
      <c r="BB67" s="4">
        <f t="shared" si="67"/>
        <v>-497364.9</v>
      </c>
      <c r="BC67" s="4">
        <f t="shared" si="67"/>
        <v>-499893.8</v>
      </c>
      <c r="BD67" s="4">
        <f t="shared" si="67"/>
        <v>0</v>
      </c>
      <c r="BE67" s="4">
        <f t="shared" si="67"/>
        <v>-126753.75</v>
      </c>
      <c r="BF67" s="4">
        <f t="shared" si="67"/>
        <v>344265.81</v>
      </c>
      <c r="BG67" s="4">
        <f t="shared" si="67"/>
        <v>344265.81</v>
      </c>
      <c r="BH67" s="4">
        <f t="shared" si="67"/>
        <v>1026367.48</v>
      </c>
      <c r="BI67" s="4">
        <f t="shared" si="67"/>
        <v>-554425.18000000005</v>
      </c>
      <c r="BJ67" s="4">
        <f t="shared" si="67"/>
        <v>287254.11</v>
      </c>
      <c r="BK67" s="4">
        <f t="shared" si="67"/>
        <v>52424.27</v>
      </c>
      <c r="BL67" s="4">
        <f t="shared" si="67"/>
        <v>265460.88</v>
      </c>
      <c r="BM67" s="4">
        <f t="shared" si="67"/>
        <v>178932.4</v>
      </c>
      <c r="BN67" s="4">
        <f t="shared" si="67"/>
        <v>1871129.6000000001</v>
      </c>
      <c r="BO67" s="4">
        <f t="shared" ref="BO67:CJ67" si="68">BO65-BO66</f>
        <v>1511721.55</v>
      </c>
      <c r="BP67" s="4">
        <f t="shared" si="68"/>
        <v>-174029.22</v>
      </c>
      <c r="BQ67" s="4">
        <f t="shared" si="68"/>
        <v>12349967.949999999</v>
      </c>
      <c r="BR67" s="4">
        <f t="shared" si="68"/>
        <v>12720000</v>
      </c>
      <c r="BS67" s="4">
        <f t="shared" si="68"/>
        <v>9766309.1799999997</v>
      </c>
      <c r="BT67" s="4">
        <f t="shared" si="68"/>
        <v>5348519.25</v>
      </c>
      <c r="BU67" s="4">
        <f t="shared" si="68"/>
        <v>2373601.7000000002</v>
      </c>
      <c r="BV67" s="4">
        <f t="shared" si="68"/>
        <v>0</v>
      </c>
      <c r="BW67" s="4">
        <f t="shared" si="68"/>
        <v>0</v>
      </c>
      <c r="BX67" s="4">
        <f t="shared" si="68"/>
        <v>0</v>
      </c>
      <c r="BY67" s="4">
        <f t="shared" si="68"/>
        <v>0</v>
      </c>
      <c r="BZ67" s="4">
        <f t="shared" si="68"/>
        <v>0</v>
      </c>
      <c r="CA67" s="4">
        <f t="shared" si="68"/>
        <v>0</v>
      </c>
      <c r="CB67" s="4">
        <f t="shared" si="68"/>
        <v>0</v>
      </c>
      <c r="CC67" s="4">
        <f t="shared" si="68"/>
        <v>0</v>
      </c>
      <c r="CD67" s="4">
        <f t="shared" si="68"/>
        <v>0</v>
      </c>
      <c r="CE67" s="4">
        <f t="shared" si="68"/>
        <v>7729000</v>
      </c>
      <c r="CF67" s="4">
        <f t="shared" si="68"/>
        <v>2092581.44</v>
      </c>
      <c r="CG67" s="4">
        <f t="shared" si="68"/>
        <v>0</v>
      </c>
      <c r="CH67" s="4">
        <f t="shared" si="68"/>
        <v>0</v>
      </c>
      <c r="CI67" s="4">
        <f t="shared" si="68"/>
        <v>0</v>
      </c>
      <c r="CJ67" s="4">
        <f t="shared" si="68"/>
        <v>0</v>
      </c>
      <c r="CK67" s="4"/>
    </row>
    <row r="68" spans="1:89" x14ac:dyDescent="0.25">
      <c r="A68" s="22" t="s">
        <v>101</v>
      </c>
      <c r="B68" s="190">
        <v>-2359221.61</v>
      </c>
      <c r="C68" s="190">
        <v>1307558.08</v>
      </c>
      <c r="D68" s="190">
        <v>260047.72</v>
      </c>
      <c r="E68" s="190">
        <v>27676321.760000002</v>
      </c>
      <c r="F68" s="190">
        <v>23895992.73</v>
      </c>
      <c r="G68" s="190">
        <v>22668170.600000001</v>
      </c>
      <c r="H68" s="190">
        <v>-1043511.73</v>
      </c>
      <c r="I68" s="190">
        <v>-7276604.9100000001</v>
      </c>
      <c r="J68" s="190">
        <v>-1871592.45</v>
      </c>
      <c r="K68" s="190">
        <v>-2154259.86</v>
      </c>
      <c r="L68" s="190">
        <v>-731727.52</v>
      </c>
      <c r="M68" s="190">
        <v>-14226230.67</v>
      </c>
      <c r="N68" s="190">
        <v>-10314957.32</v>
      </c>
      <c r="O68" s="190">
        <v>-7357660</v>
      </c>
      <c r="P68" s="190">
        <v>-4232774.92</v>
      </c>
      <c r="Q68" s="190">
        <v>-21581599.199999999</v>
      </c>
      <c r="R68" s="190">
        <v>-17942236.75</v>
      </c>
      <c r="S68" s="190">
        <v>-12917148.289999999</v>
      </c>
      <c r="T68" s="190">
        <v>-7911472.3899999997</v>
      </c>
      <c r="U68" s="190">
        <v>-20355093.649999999</v>
      </c>
      <c r="V68" s="190">
        <v>-16614304.869999999</v>
      </c>
      <c r="W68" s="190">
        <v>-11733376.039999999</v>
      </c>
      <c r="X68" s="190">
        <v>-5998847.0300000003</v>
      </c>
      <c r="Y68" s="190">
        <v>-20637011.890000001</v>
      </c>
      <c r="Z68" s="190">
        <v>-16272157.35</v>
      </c>
      <c r="AA68" s="190">
        <v>-12430552.390000001</v>
      </c>
      <c r="AB68" s="190">
        <v>-4426213.4400000004</v>
      </c>
      <c r="AC68" s="190">
        <v>-25337302.25</v>
      </c>
      <c r="AD68" s="190">
        <v>-17411511.800000001</v>
      </c>
      <c r="AE68" s="190">
        <v>-7335849.6200000001</v>
      </c>
      <c r="AF68" s="190">
        <v>-5493875.6900000004</v>
      </c>
      <c r="AG68" s="190">
        <v>-19012808.809999999</v>
      </c>
      <c r="AH68" s="190">
        <v>-12888786.66</v>
      </c>
      <c r="AI68" s="190">
        <v>-3392337.25</v>
      </c>
      <c r="AJ68" s="190">
        <v>-2462071.08</v>
      </c>
      <c r="AK68" s="190">
        <v>-1020272.3</v>
      </c>
      <c r="AL68" s="190">
        <v>-806903.54</v>
      </c>
      <c r="AM68" s="190">
        <v>-193051.15</v>
      </c>
      <c r="AN68" s="190">
        <v>-3513.59</v>
      </c>
      <c r="AO68" s="190">
        <v>1374912.33</v>
      </c>
      <c r="AP68" s="190">
        <v>869291.8</v>
      </c>
      <c r="AQ68" s="190">
        <v>2451980.81</v>
      </c>
      <c r="AR68" s="190">
        <v>1449589.11</v>
      </c>
      <c r="AS68" s="190">
        <v>0</v>
      </c>
      <c r="AT68" s="190">
        <v>-41018279.990000002</v>
      </c>
      <c r="AU68" s="190">
        <v>-36487207.520000003</v>
      </c>
      <c r="AV68" s="190">
        <v>-3376979.14</v>
      </c>
      <c r="AW68" s="190">
        <v>-50497352.530000001</v>
      </c>
      <c r="AX68" s="190">
        <v>-26367719.059999999</v>
      </c>
      <c r="AY68" s="190">
        <v>-24396518</v>
      </c>
      <c r="AZ68" s="190">
        <v>-2917708.8</v>
      </c>
      <c r="BA68" s="190">
        <v>-25225980.809999999</v>
      </c>
      <c r="BB68" s="190">
        <v>-7438048.8600000003</v>
      </c>
      <c r="BC68" s="190">
        <v>-5495968.9100000001</v>
      </c>
      <c r="BD68" s="190">
        <v>-6057952.7199999997</v>
      </c>
      <c r="BE68" s="190">
        <v>-26456599.109999999</v>
      </c>
      <c r="BF68" s="190">
        <v>-12780406.130000001</v>
      </c>
      <c r="BG68" s="190">
        <v>-11107770.039999999</v>
      </c>
      <c r="BH68" s="190">
        <v>-1735818.19</v>
      </c>
      <c r="BI68" s="190">
        <v>-28358707.260000002</v>
      </c>
      <c r="BJ68" s="190">
        <v>-19582453.850000001</v>
      </c>
      <c r="BK68" s="190">
        <v>-12127010.279999999</v>
      </c>
      <c r="BL68" s="190">
        <v>-2445731.69</v>
      </c>
      <c r="BM68" s="190">
        <v>-26693808.859999999</v>
      </c>
      <c r="BN68" s="190">
        <v>-21740886.899999999</v>
      </c>
      <c r="BO68" s="190">
        <v>-11645839.699999999</v>
      </c>
      <c r="BP68" s="190">
        <v>-7526726.1299999999</v>
      </c>
      <c r="BQ68" s="190">
        <v>-25420934.84</v>
      </c>
      <c r="BR68" s="190">
        <v>0</v>
      </c>
      <c r="BS68" s="190">
        <v>-16481097.720000001</v>
      </c>
      <c r="BT68" s="190">
        <v>-5451391.75</v>
      </c>
      <c r="BU68" s="190">
        <v>-14348624.140000001</v>
      </c>
      <c r="BV68" s="190">
        <v>-7438579.8600000003</v>
      </c>
      <c r="BW68" s="190">
        <v>-15086567.960000001</v>
      </c>
      <c r="BX68" s="190">
        <v>-9593131.2100000009</v>
      </c>
      <c r="BY68" s="190">
        <v>-42791521.079999998</v>
      </c>
      <c r="BZ68" s="190">
        <v>-3834295.55</v>
      </c>
      <c r="CA68" s="190">
        <v>11835075.34</v>
      </c>
      <c r="CB68" s="190">
        <v>16252757.800000001</v>
      </c>
      <c r="CC68" s="190">
        <v>12407743.33</v>
      </c>
      <c r="CD68" s="190">
        <v>0</v>
      </c>
      <c r="CE68" s="190">
        <v>0</v>
      </c>
      <c r="CF68" s="190">
        <v>0</v>
      </c>
      <c r="CG68" s="190">
        <v>0</v>
      </c>
      <c r="CH68" s="190">
        <v>0</v>
      </c>
      <c r="CI68" s="190">
        <v>0</v>
      </c>
      <c r="CJ68" s="190">
        <v>0</v>
      </c>
      <c r="CK68" s="190">
        <v>0</v>
      </c>
    </row>
    <row r="69" spans="1:89" x14ac:dyDescent="0.25">
      <c r="A69" s="22" t="s">
        <v>102</v>
      </c>
      <c r="B69" s="31">
        <v>0.08</v>
      </c>
      <c r="C69" s="31">
        <v>0.08</v>
      </c>
      <c r="D69" s="31">
        <v>0.08</v>
      </c>
      <c r="E69" s="31">
        <v>0.08</v>
      </c>
      <c r="F69" s="31">
        <v>0.08</v>
      </c>
      <c r="G69" s="31">
        <v>0.08</v>
      </c>
      <c r="H69" s="31">
        <v>0.08</v>
      </c>
      <c r="I69" s="31">
        <v>0.08</v>
      </c>
      <c r="J69" s="31">
        <v>0.08</v>
      </c>
      <c r="K69" s="31">
        <v>0.08</v>
      </c>
      <c r="L69" s="31">
        <v>0.08</v>
      </c>
      <c r="M69" s="31">
        <v>0.08</v>
      </c>
      <c r="N69" s="31">
        <v>0.08</v>
      </c>
      <c r="O69" s="31">
        <v>0.08</v>
      </c>
      <c r="P69" s="31">
        <v>0.08</v>
      </c>
      <c r="Q69" s="31">
        <v>0.08</v>
      </c>
      <c r="R69" s="31">
        <v>0.08</v>
      </c>
      <c r="S69" s="31">
        <v>0.08</v>
      </c>
      <c r="T69" s="31">
        <v>0.08</v>
      </c>
      <c r="U69" s="31">
        <v>0.08</v>
      </c>
      <c r="V69" s="31">
        <v>0.08</v>
      </c>
      <c r="W69" s="31">
        <v>0.08</v>
      </c>
      <c r="X69" s="31">
        <v>0.08</v>
      </c>
      <c r="Y69" s="31">
        <v>0.08</v>
      </c>
      <c r="Z69" s="31">
        <v>0.08</v>
      </c>
      <c r="AA69" s="31">
        <v>0.08</v>
      </c>
      <c r="AB69" s="31">
        <v>0.08</v>
      </c>
      <c r="AC69" s="31">
        <v>0.08</v>
      </c>
      <c r="AD69" s="31">
        <v>0.08</v>
      </c>
      <c r="AE69" s="31">
        <v>0.08</v>
      </c>
      <c r="AF69" s="31">
        <v>0.08</v>
      </c>
      <c r="AG69" s="31">
        <v>0.08</v>
      </c>
      <c r="AH69" s="31">
        <v>0.08</v>
      </c>
      <c r="AI69" s="31">
        <v>0.08</v>
      </c>
      <c r="AJ69" s="31">
        <v>0.08</v>
      </c>
      <c r="AK69" s="31">
        <v>0.08</v>
      </c>
      <c r="AL69" s="31">
        <v>0.08</v>
      </c>
      <c r="AM69" s="31">
        <v>0.08</v>
      </c>
      <c r="AN69" s="31">
        <v>0.08</v>
      </c>
      <c r="AO69" s="31">
        <v>0.08</v>
      </c>
      <c r="AP69" s="31">
        <v>0.08</v>
      </c>
      <c r="AQ69" s="31">
        <v>0.08</v>
      </c>
      <c r="AR69" s="31">
        <v>0.08</v>
      </c>
      <c r="AS69" s="31">
        <v>0.08</v>
      </c>
      <c r="AT69" s="31">
        <v>0.08</v>
      </c>
      <c r="AU69" s="31">
        <v>0.08</v>
      </c>
      <c r="AV69" s="31">
        <v>0.08</v>
      </c>
      <c r="AW69" s="31">
        <v>0.08</v>
      </c>
      <c r="AX69" s="31">
        <v>0.08</v>
      </c>
      <c r="AY69" s="31">
        <v>0.08</v>
      </c>
      <c r="AZ69" s="31">
        <v>0.08</v>
      </c>
      <c r="BA69" s="31">
        <v>0.08</v>
      </c>
      <c r="BB69" s="31">
        <v>0.08</v>
      </c>
      <c r="BC69" s="31">
        <v>0.08</v>
      </c>
      <c r="BD69" s="31">
        <v>0.08</v>
      </c>
      <c r="BE69" s="31">
        <v>0.08</v>
      </c>
      <c r="BF69" s="31">
        <v>0.08</v>
      </c>
      <c r="BG69" s="31">
        <v>0.08</v>
      </c>
      <c r="BH69" s="31">
        <v>0.08</v>
      </c>
      <c r="BI69" s="31">
        <v>0.08</v>
      </c>
      <c r="BJ69" s="31">
        <v>0.08</v>
      </c>
      <c r="BK69" s="31">
        <v>0.08</v>
      </c>
      <c r="BL69" s="31">
        <v>0.08</v>
      </c>
      <c r="BM69" s="31">
        <v>0.08</v>
      </c>
      <c r="BN69" s="31">
        <v>0.08</v>
      </c>
      <c r="BO69" s="31">
        <v>0.08</v>
      </c>
      <c r="BP69" s="31">
        <v>0.08</v>
      </c>
      <c r="BQ69" s="31">
        <v>0.08</v>
      </c>
      <c r="BR69" s="31">
        <v>0.08</v>
      </c>
      <c r="BS69" s="31">
        <v>0.08</v>
      </c>
      <c r="BT69" s="31">
        <v>0.08</v>
      </c>
      <c r="BU69" s="31">
        <v>0.08</v>
      </c>
      <c r="BV69" s="31">
        <v>0.08</v>
      </c>
      <c r="BW69" s="31">
        <v>0.08</v>
      </c>
      <c r="BX69" s="31">
        <v>0.08</v>
      </c>
      <c r="BY69" s="31">
        <v>0.08</v>
      </c>
      <c r="BZ69" s="31">
        <v>0.08</v>
      </c>
      <c r="CA69" s="31">
        <v>0.08</v>
      </c>
      <c r="CB69" s="31">
        <v>0.08</v>
      </c>
      <c r="CC69" s="31">
        <v>0.08</v>
      </c>
      <c r="CD69" s="31">
        <v>0.08</v>
      </c>
      <c r="CE69" s="31">
        <v>0.08</v>
      </c>
      <c r="CF69" s="31">
        <v>0.08</v>
      </c>
      <c r="CG69" s="31">
        <v>0.08</v>
      </c>
      <c r="CH69" s="31">
        <v>0.08</v>
      </c>
      <c r="CI69" s="31">
        <v>0.08</v>
      </c>
      <c r="CJ69" s="31">
        <v>0.08</v>
      </c>
      <c r="CK69" s="4"/>
    </row>
    <row r="70" spans="1:89" x14ac:dyDescent="0.25">
      <c r="A70" s="22" t="s">
        <v>103</v>
      </c>
      <c r="B70" s="190">
        <v>3714798615.8400002</v>
      </c>
      <c r="C70" s="190">
        <v>3580670332.1199999</v>
      </c>
      <c r="D70" s="190">
        <v>3721694337.1399999</v>
      </c>
      <c r="E70" s="190">
        <v>3152725257.1300001</v>
      </c>
      <c r="F70" s="190">
        <v>3043549912.8299999</v>
      </c>
      <c r="G70" s="190">
        <v>2904942506.0999999</v>
      </c>
      <c r="H70" s="190">
        <v>3006042763.3600001</v>
      </c>
      <c r="I70" s="190">
        <v>2880258171.6599998</v>
      </c>
      <c r="J70" s="190">
        <v>2810039902.6100001</v>
      </c>
      <c r="K70" s="190">
        <v>2676242325.2399998</v>
      </c>
      <c r="L70" s="190">
        <v>2770792599.6999998</v>
      </c>
      <c r="M70" s="190">
        <v>2655459613.3899999</v>
      </c>
      <c r="N70" s="190">
        <v>2546401388.6300001</v>
      </c>
      <c r="O70" s="190">
        <v>2398957888.52</v>
      </c>
      <c r="P70" s="190">
        <v>2605733811.6999998</v>
      </c>
      <c r="Q70" s="190">
        <v>2487328254.04</v>
      </c>
      <c r="R70" s="190">
        <v>2304068739.1300001</v>
      </c>
      <c r="S70" s="190">
        <v>2184782308.8099999</v>
      </c>
      <c r="T70" s="190">
        <v>2224397084.98</v>
      </c>
      <c r="U70" s="190">
        <v>2125429369.46</v>
      </c>
      <c r="V70" s="190">
        <v>2030685494.9300001</v>
      </c>
      <c r="W70" s="190">
        <v>1930708956.6900001</v>
      </c>
      <c r="X70" s="190">
        <v>1977896014.0699999</v>
      </c>
      <c r="Y70" s="190">
        <v>1892220602.73</v>
      </c>
      <c r="Z70" s="190">
        <v>1763420146.3699999</v>
      </c>
      <c r="AA70" s="190">
        <v>1643908869.0699999</v>
      </c>
      <c r="AB70" s="190">
        <v>1756834966.6400001</v>
      </c>
      <c r="AC70" s="190">
        <v>1650493578.27</v>
      </c>
      <c r="AD70" s="190">
        <v>1556751168.1600001</v>
      </c>
      <c r="AE70" s="190">
        <v>1439317961.3</v>
      </c>
      <c r="AF70" s="190">
        <v>1533876742.3699999</v>
      </c>
      <c r="AG70" s="190">
        <v>1476505584.9100001</v>
      </c>
      <c r="AH70" s="190">
        <v>1378242583.3099999</v>
      </c>
      <c r="AI70" s="190">
        <v>1311332115.0699999</v>
      </c>
      <c r="AJ70" s="190">
        <v>1382399929.6199999</v>
      </c>
      <c r="AK70" s="190">
        <v>1332248508.1300001</v>
      </c>
      <c r="AL70" s="190">
        <v>1288752066.0799999</v>
      </c>
      <c r="AM70" s="190">
        <v>331008478.93000001</v>
      </c>
      <c r="AN70" s="190">
        <v>301337851.48000002</v>
      </c>
      <c r="AO70" s="190">
        <v>233287089.21000001</v>
      </c>
      <c r="AP70" s="190">
        <v>127707873.51000001</v>
      </c>
      <c r="AQ70" s="190">
        <v>0</v>
      </c>
      <c r="AR70" s="190"/>
      <c r="AS70" s="190"/>
      <c r="AT70" s="190">
        <v>9485588152.4899998</v>
      </c>
      <c r="AU70" s="190">
        <v>9304015150.3199997</v>
      </c>
      <c r="AV70" s="190">
        <v>9051649388.7700005</v>
      </c>
      <c r="AW70" s="190">
        <v>8295168514.6400003</v>
      </c>
      <c r="AX70" s="190">
        <v>8139685182.96</v>
      </c>
      <c r="AY70" s="190">
        <v>7938750364.1499996</v>
      </c>
      <c r="AZ70" s="190">
        <v>7934784508.5</v>
      </c>
      <c r="BA70" s="190">
        <v>7385968978.54</v>
      </c>
      <c r="BB70" s="190">
        <v>7360716151.5900002</v>
      </c>
      <c r="BC70" s="190">
        <v>7179425965.6499996</v>
      </c>
      <c r="BD70" s="190">
        <v>7003465589.3699999</v>
      </c>
      <c r="BE70" s="190">
        <v>6586961901.7700005</v>
      </c>
      <c r="BF70" s="190">
        <v>6433916281.1800003</v>
      </c>
      <c r="BG70" s="190">
        <v>6292714866.6599998</v>
      </c>
      <c r="BH70" s="190">
        <v>6409286809.8599997</v>
      </c>
      <c r="BI70" s="190">
        <v>6025892686.6599998</v>
      </c>
      <c r="BJ70" s="190">
        <v>5870405150.8400002</v>
      </c>
      <c r="BK70" s="190">
        <v>5711754634.1499996</v>
      </c>
      <c r="BL70" s="190">
        <v>5611611741.0699997</v>
      </c>
      <c r="BM70" s="190">
        <v>5322099955.71</v>
      </c>
      <c r="BN70" s="190">
        <v>5214293132.5200005</v>
      </c>
      <c r="BO70" s="190">
        <v>5075362101.0900002</v>
      </c>
      <c r="BP70" s="190">
        <v>4954980669.5600004</v>
      </c>
      <c r="BQ70" s="190">
        <v>4702243132.8000002</v>
      </c>
      <c r="BR70" s="190">
        <v>0</v>
      </c>
      <c r="BS70" s="190">
        <v>4385655821.6400003</v>
      </c>
      <c r="BT70" s="190">
        <v>4238623191.5</v>
      </c>
      <c r="BU70" s="190">
        <v>3191216198.9499998</v>
      </c>
      <c r="BV70" s="190">
        <v>2850312166.9000001</v>
      </c>
      <c r="BW70" s="190">
        <v>2420499366.4499998</v>
      </c>
      <c r="BX70" s="190">
        <v>2089698452.7</v>
      </c>
      <c r="BY70" s="190">
        <v>1764990217.6700001</v>
      </c>
      <c r="BZ70" s="190">
        <v>1864618529.46</v>
      </c>
      <c r="CA70" s="190">
        <v>392384778.43000001</v>
      </c>
      <c r="CB70" s="190">
        <v>264958379.21000001</v>
      </c>
      <c r="CC70" s="190">
        <v>225967479.94999999</v>
      </c>
      <c r="CD70" s="190">
        <v>0</v>
      </c>
      <c r="CE70" s="190">
        <v>1079738000</v>
      </c>
      <c r="CF70" s="190">
        <v>1004228352.76</v>
      </c>
      <c r="CG70" s="190">
        <v>492689900.37</v>
      </c>
      <c r="CH70" s="190">
        <v>0</v>
      </c>
      <c r="CI70" s="190">
        <v>0</v>
      </c>
      <c r="CJ70" s="190">
        <v>0</v>
      </c>
      <c r="CK70" s="190">
        <v>0</v>
      </c>
    </row>
  </sheetData>
  <phoneticPr fontId="1" type="noConversion"/>
  <pageMargins left="0.7" right="0.7" top="0.75" bottom="0.75" header="0.3" footer="0.3"/>
  <pageSetup paperSize="9" orientation="portrait" r:id="rId1"/>
  <ignoredErrors>
    <ignoredError sqref="AS56" formulaRange="1"/>
  </ignoredErrors>
  <drawing r:id="rId2"/>
  <tableParts count="3">
    <tablePart r:id="rId3"/>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投资和筹资活动现金流表"/>
  <dimension ref="A1:BV51"/>
  <sheetViews>
    <sheetView topLeftCell="Q31" zoomScale="95" zoomScaleNormal="95" workbookViewId="0">
      <selection activeCell="AO51" sqref="AO51"/>
    </sheetView>
  </sheetViews>
  <sheetFormatPr defaultRowHeight="14.4" x14ac:dyDescent="0.25"/>
  <cols>
    <col min="1" max="1" width="77.5546875" style="17" bestFit="1" customWidth="1"/>
    <col min="2" max="2" width="22.5546875" hidden="1" customWidth="1"/>
    <col min="3" max="4" width="20.33203125" hidden="1" customWidth="1"/>
    <col min="5" max="5" width="22.5546875" bestFit="1" customWidth="1"/>
    <col min="6" max="6" width="20.33203125" hidden="1" customWidth="1"/>
    <col min="7" max="7" width="19.33203125" hidden="1" customWidth="1"/>
    <col min="8" max="8" width="20.33203125" hidden="1" customWidth="1"/>
    <col min="9" max="9" width="22.5546875" bestFit="1" customWidth="1"/>
    <col min="10" max="11" width="20.33203125" hidden="1" customWidth="1"/>
    <col min="12" max="12" width="18.109375" hidden="1" customWidth="1"/>
    <col min="13" max="13" width="22.5546875" bestFit="1" customWidth="1"/>
    <col min="14" max="15" width="19.33203125" hidden="1" customWidth="1"/>
    <col min="16" max="16" width="20.33203125" hidden="1" customWidth="1"/>
    <col min="17" max="17" width="22.5546875" bestFit="1" customWidth="1"/>
    <col min="18" max="18" width="20.33203125" hidden="1" customWidth="1"/>
    <col min="19" max="19" width="18.109375" hidden="1" customWidth="1"/>
    <col min="20" max="20" width="20.33203125" hidden="1" customWidth="1"/>
    <col min="21" max="21" width="22.5546875" bestFit="1" customWidth="1"/>
    <col min="22" max="23" width="18.109375" hidden="1" customWidth="1"/>
    <col min="24" max="24" width="20.33203125" hidden="1" customWidth="1"/>
    <col min="25" max="25" width="22.5546875" bestFit="1" customWidth="1"/>
    <col min="26" max="27" width="18.109375" hidden="1" customWidth="1"/>
    <col min="28" max="28" width="20.33203125" hidden="1" customWidth="1"/>
    <col min="29" max="29" width="20.33203125" bestFit="1" customWidth="1"/>
    <col min="30" max="30" width="20.33203125" hidden="1" customWidth="1"/>
    <col min="31" max="31" width="18.109375" hidden="1" customWidth="1"/>
    <col min="32" max="32" width="20.33203125" hidden="1" customWidth="1"/>
    <col min="33" max="33" width="20.33203125" bestFit="1" customWidth="1"/>
    <col min="34" max="34" width="20.33203125" hidden="1" customWidth="1"/>
    <col min="35" max="35" width="18.109375" hidden="1" customWidth="1"/>
    <col min="36" max="36" width="20.33203125" hidden="1" customWidth="1"/>
    <col min="37" max="37" width="20.33203125" bestFit="1" customWidth="1"/>
    <col min="38" max="38" width="20.33203125" hidden="1" customWidth="1"/>
    <col min="39" max="39" width="17" hidden="1" customWidth="1"/>
    <col min="40" max="40" width="18.109375" hidden="1" customWidth="1"/>
    <col min="41" max="41" width="19.21875" customWidth="1"/>
    <col min="42" max="44" width="20.33203125" bestFit="1" customWidth="1"/>
    <col min="45" max="48" width="20.33203125" hidden="1" customWidth="1"/>
    <col min="49" max="49" width="20.33203125" bestFit="1" customWidth="1"/>
    <col min="50" max="52" width="20.33203125" hidden="1" customWidth="1"/>
    <col min="53" max="53" width="20.33203125" bestFit="1" customWidth="1"/>
    <col min="54" max="56" width="20.33203125" hidden="1" customWidth="1"/>
    <col min="57" max="57" width="20.33203125" bestFit="1" customWidth="1"/>
    <col min="58" max="60" width="20.33203125" hidden="1" customWidth="1"/>
    <col min="61" max="61" width="20.33203125" bestFit="1" customWidth="1"/>
    <col min="62" max="64" width="20.33203125" hidden="1" customWidth="1"/>
    <col min="65" max="65" width="20.33203125" bestFit="1" customWidth="1"/>
    <col min="66" max="66" width="20.33203125" hidden="1" customWidth="1"/>
    <col min="67" max="67" width="20.33203125" bestFit="1" customWidth="1"/>
    <col min="68" max="68" width="20.33203125" hidden="1" customWidth="1"/>
    <col min="69" max="69" width="19.33203125" bestFit="1" customWidth="1"/>
    <col min="70" max="70" width="18.109375" hidden="1" customWidth="1"/>
    <col min="71" max="71" width="18.109375" bestFit="1" customWidth="1"/>
    <col min="72" max="72" width="14.6640625" hidden="1" customWidth="1"/>
    <col min="73" max="73" width="20.33203125" bestFit="1" customWidth="1"/>
    <col min="74" max="74" width="12.21875" hidden="1" customWidth="1"/>
  </cols>
  <sheetData>
    <row r="1" spans="1:74" s="6" customFormat="1" x14ac:dyDescent="0.25">
      <c r="A1" s="104">
        <v>2293</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39447</v>
      </c>
      <c r="AR1" s="1">
        <v>39082</v>
      </c>
      <c r="AS1" s="1">
        <v>25569</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row>
    <row r="2" spans="1:74" s="45" customFormat="1" x14ac:dyDescent="0.25">
      <c r="A2" s="46" t="s">
        <v>292</v>
      </c>
    </row>
    <row r="3" spans="1:74" s="26" customFormat="1" x14ac:dyDescent="0.25">
      <c r="A3" s="17" t="s">
        <v>320</v>
      </c>
      <c r="B3" s="190">
        <v>10241.66</v>
      </c>
      <c r="C3" s="190">
        <v>600</v>
      </c>
      <c r="D3" s="190">
        <v>0</v>
      </c>
      <c r="E3" s="190">
        <v>4970142.3499999996</v>
      </c>
      <c r="F3" s="190">
        <v>16430.900000000001</v>
      </c>
      <c r="G3" s="190">
        <v>16056.83</v>
      </c>
      <c r="H3" s="190">
        <v>-4906.3999999999996</v>
      </c>
      <c r="I3" s="190">
        <v>1855089.14</v>
      </c>
      <c r="J3" s="190">
        <v>156931.23000000001</v>
      </c>
      <c r="K3" s="190">
        <v>134596.9</v>
      </c>
      <c r="L3" s="190">
        <v>64015.67</v>
      </c>
      <c r="M3" s="190">
        <v>322189.39</v>
      </c>
      <c r="N3" s="190">
        <v>1341303.94</v>
      </c>
      <c r="O3" s="190">
        <v>1140990.74</v>
      </c>
      <c r="P3" s="190">
        <v>201441.39</v>
      </c>
      <c r="Q3" s="190">
        <v>767115.55</v>
      </c>
      <c r="R3" s="190">
        <v>292580</v>
      </c>
      <c r="S3" s="190">
        <v>470402.8</v>
      </c>
      <c r="T3" s="190">
        <v>0</v>
      </c>
      <c r="U3" s="190">
        <v>182405.1</v>
      </c>
      <c r="V3" s="190">
        <v>0</v>
      </c>
      <c r="W3" s="190">
        <v>0</v>
      </c>
      <c r="X3" s="190">
        <v>0</v>
      </c>
      <c r="Y3" s="190">
        <v>1292966.78</v>
      </c>
      <c r="Z3" s="190">
        <v>0</v>
      </c>
      <c r="AA3" s="190">
        <v>0</v>
      </c>
      <c r="AB3" s="190">
        <v>0</v>
      </c>
      <c r="AC3" s="190">
        <v>853849.7</v>
      </c>
      <c r="AD3" s="190">
        <v>482261.34</v>
      </c>
      <c r="AE3" s="190">
        <v>325258.98</v>
      </c>
      <c r="AF3" s="190">
        <v>0</v>
      </c>
      <c r="AG3" s="190">
        <v>399690.97</v>
      </c>
      <c r="AH3" s="190">
        <v>130179.67</v>
      </c>
      <c r="AI3" s="190">
        <v>5000</v>
      </c>
      <c r="AJ3" s="190">
        <v>5000</v>
      </c>
      <c r="AK3" s="190">
        <v>75561.5</v>
      </c>
      <c r="AL3" s="190">
        <v>69681.5</v>
      </c>
      <c r="AM3" s="190">
        <v>69681.5</v>
      </c>
      <c r="AN3" s="190">
        <v>69681.5</v>
      </c>
      <c r="AO3" s="190">
        <v>177708.28</v>
      </c>
      <c r="AP3" s="190">
        <v>146608.28</v>
      </c>
      <c r="AQ3" s="190">
        <v>67600</v>
      </c>
      <c r="AR3" s="190">
        <v>83000</v>
      </c>
      <c r="AS3" s="190">
        <v>0</v>
      </c>
      <c r="AT3" s="190">
        <v>915725.99</v>
      </c>
      <c r="AU3" s="190">
        <v>888021.74</v>
      </c>
      <c r="AV3" s="190">
        <v>464588.74</v>
      </c>
      <c r="AW3" s="190">
        <v>573336.46</v>
      </c>
      <c r="AX3" s="190">
        <v>488804.96</v>
      </c>
      <c r="AY3" s="190">
        <v>270000</v>
      </c>
      <c r="AZ3" s="190">
        <v>0</v>
      </c>
      <c r="BA3" s="190">
        <v>863329.02</v>
      </c>
      <c r="BB3" s="190">
        <v>813805.81</v>
      </c>
      <c r="BC3" s="190">
        <v>727743.76</v>
      </c>
      <c r="BD3" s="190">
        <v>17650.599999999999</v>
      </c>
      <c r="BE3" s="190">
        <v>8589013.4800000004</v>
      </c>
      <c r="BF3" s="190">
        <v>7499124.0300000003</v>
      </c>
      <c r="BG3" s="190">
        <v>7168613.4299999997</v>
      </c>
      <c r="BH3" s="190">
        <v>21398</v>
      </c>
      <c r="BI3" s="190">
        <v>6970503.7599999998</v>
      </c>
      <c r="BJ3" s="190">
        <v>0</v>
      </c>
      <c r="BK3" s="190">
        <v>211614.42</v>
      </c>
      <c r="BL3" s="190">
        <v>50000</v>
      </c>
      <c r="BM3" s="190">
        <v>27193335.649999999</v>
      </c>
      <c r="BN3" s="190">
        <v>40285.5</v>
      </c>
      <c r="BO3" s="190">
        <v>371490.58</v>
      </c>
      <c r="BP3" s="190">
        <v>0</v>
      </c>
      <c r="BQ3" s="190">
        <v>3580</v>
      </c>
      <c r="BR3" s="190">
        <v>1500</v>
      </c>
      <c r="BS3" s="190">
        <v>52101.23</v>
      </c>
      <c r="BT3" s="190">
        <v>1680</v>
      </c>
      <c r="BU3" s="190">
        <v>25980.76</v>
      </c>
      <c r="BV3" s="190">
        <v>0</v>
      </c>
    </row>
    <row r="4" spans="1:74" s="26" customFormat="1" x14ac:dyDescent="0.25">
      <c r="A4" s="17" t="s">
        <v>304</v>
      </c>
      <c r="B4" s="190">
        <v>60220811.460000001</v>
      </c>
      <c r="C4" s="190">
        <v>24578275.809999999</v>
      </c>
      <c r="D4" s="190">
        <v>17777812.129999999</v>
      </c>
      <c r="E4" s="190">
        <v>28835553.52</v>
      </c>
      <c r="F4" s="190">
        <v>39181672.270000003</v>
      </c>
      <c r="G4" s="190">
        <v>21317356.91</v>
      </c>
      <c r="H4" s="190">
        <v>12171223.18</v>
      </c>
      <c r="I4" s="190">
        <v>63446137.460000001</v>
      </c>
      <c r="J4" s="190">
        <v>52056893.68</v>
      </c>
      <c r="K4" s="190">
        <v>43674678.600000001</v>
      </c>
      <c r="L4" s="190">
        <v>12840007.220000001</v>
      </c>
      <c r="M4" s="190">
        <v>61224048.009999998</v>
      </c>
      <c r="N4" s="190">
        <v>32123532.359999999</v>
      </c>
      <c r="O4" s="190">
        <v>26300609.809999999</v>
      </c>
      <c r="P4" s="190">
        <v>13845204</v>
      </c>
      <c r="Q4" s="190">
        <v>47393806.950000003</v>
      </c>
      <c r="R4" s="190">
        <v>37578946.32</v>
      </c>
      <c r="S4" s="190">
        <v>20172843.32</v>
      </c>
      <c r="T4" s="190">
        <v>12460552.4</v>
      </c>
      <c r="U4" s="190">
        <v>174980422.69999999</v>
      </c>
      <c r="V4" s="190">
        <v>102571002.12</v>
      </c>
      <c r="W4" s="190">
        <v>40184926.649999999</v>
      </c>
      <c r="X4" s="190">
        <v>9600247.1899999995</v>
      </c>
      <c r="Y4" s="190">
        <v>176241441.44999999</v>
      </c>
      <c r="Z4" s="190">
        <v>96368336.950000003</v>
      </c>
      <c r="AA4" s="190">
        <v>49657024.939999998</v>
      </c>
      <c r="AB4" s="190">
        <v>35348778.57</v>
      </c>
      <c r="AC4" s="190">
        <v>188578926.15000001</v>
      </c>
      <c r="AD4" s="190">
        <v>103961370.38</v>
      </c>
      <c r="AE4" s="190">
        <v>56004281.920000002</v>
      </c>
      <c r="AF4" s="190">
        <v>35697092.039999999</v>
      </c>
      <c r="AG4" s="190">
        <v>51934506.200000003</v>
      </c>
      <c r="AH4" s="190">
        <v>20892529.25</v>
      </c>
      <c r="AI4" s="190">
        <v>5646578.3600000003</v>
      </c>
      <c r="AJ4" s="190">
        <v>2260622.92</v>
      </c>
      <c r="AK4" s="190">
        <v>26471414.289999999</v>
      </c>
      <c r="AL4" s="190">
        <v>3967162.18</v>
      </c>
      <c r="AM4" s="190">
        <v>3541198.67</v>
      </c>
      <c r="AN4" s="190">
        <v>2807412.67</v>
      </c>
      <c r="AO4" s="190">
        <v>32359339.129999999</v>
      </c>
      <c r="AP4" s="190">
        <v>25461777.760000002</v>
      </c>
      <c r="AQ4" s="190">
        <v>19660820.329999998</v>
      </c>
      <c r="AR4" s="190">
        <v>12054338.48</v>
      </c>
      <c r="AS4" s="190">
        <v>0</v>
      </c>
      <c r="AT4" s="190">
        <v>180806493.18000001</v>
      </c>
      <c r="AU4" s="190">
        <v>102706016.8</v>
      </c>
      <c r="AV4" s="190">
        <v>39566827.240000002</v>
      </c>
      <c r="AW4" s="190">
        <v>251397575.99000001</v>
      </c>
      <c r="AX4" s="190">
        <v>231787598.30000001</v>
      </c>
      <c r="AY4" s="190">
        <v>193913936.41999999</v>
      </c>
      <c r="AZ4" s="190">
        <v>732516.47</v>
      </c>
      <c r="BA4" s="190">
        <v>117069771.09999999</v>
      </c>
      <c r="BB4" s="190">
        <v>72571280.939999998</v>
      </c>
      <c r="BC4" s="190">
        <v>69853888.430000007</v>
      </c>
      <c r="BD4" s="190">
        <v>48611645.549999997</v>
      </c>
      <c r="BE4" s="190">
        <v>683013865.38</v>
      </c>
      <c r="BF4" s="190">
        <v>111516381.05</v>
      </c>
      <c r="BG4" s="190">
        <v>99482044.859999999</v>
      </c>
      <c r="BH4" s="190">
        <v>66469318.329999998</v>
      </c>
      <c r="BI4" s="190">
        <v>1370837016.3299999</v>
      </c>
      <c r="BJ4" s="190">
        <v>869403485.79999995</v>
      </c>
      <c r="BK4" s="190">
        <v>102523951.22</v>
      </c>
      <c r="BL4" s="190">
        <v>18067034.449999999</v>
      </c>
      <c r="BM4" s="190">
        <v>1276551302.9200001</v>
      </c>
      <c r="BN4" s="190">
        <v>227870170.09</v>
      </c>
      <c r="BO4" s="190">
        <v>1825260201.4100001</v>
      </c>
      <c r="BP4" s="190">
        <v>1033022955.65</v>
      </c>
      <c r="BQ4" s="190">
        <v>508204018.88</v>
      </c>
      <c r="BR4" s="190">
        <v>378968057.27999997</v>
      </c>
      <c r="BS4" s="190">
        <v>94153230.329999998</v>
      </c>
      <c r="BT4" s="190">
        <v>6757461.4400000004</v>
      </c>
      <c r="BU4" s="190">
        <v>585117171</v>
      </c>
      <c r="BV4" s="190">
        <v>0</v>
      </c>
    </row>
    <row r="5" spans="1:74" s="47" customFormat="1" x14ac:dyDescent="0.25">
      <c r="A5" s="135" t="s">
        <v>295</v>
      </c>
      <c r="E5" s="47">
        <f>E4-E3</f>
        <v>23865411.170000002</v>
      </c>
      <c r="F5" s="47">
        <f t="shared" ref="F5:AR5" si="0">F4-F3</f>
        <v>39165241.370000005</v>
      </c>
      <c r="G5" s="47">
        <f t="shared" si="0"/>
        <v>21301300.080000002</v>
      </c>
      <c r="H5" s="47">
        <f t="shared" si="0"/>
        <v>12176129.58</v>
      </c>
      <c r="I5" s="47">
        <f t="shared" si="0"/>
        <v>61591048.32</v>
      </c>
      <c r="J5" s="47">
        <f t="shared" si="0"/>
        <v>51899962.450000003</v>
      </c>
      <c r="K5" s="47">
        <f t="shared" si="0"/>
        <v>43540081.700000003</v>
      </c>
      <c r="L5" s="47">
        <f t="shared" si="0"/>
        <v>12775991.550000001</v>
      </c>
      <c r="M5" s="47">
        <f t="shared" si="0"/>
        <v>60901858.619999997</v>
      </c>
      <c r="N5" s="47">
        <f t="shared" si="0"/>
        <v>30782228.419999998</v>
      </c>
      <c r="O5" s="47">
        <f t="shared" si="0"/>
        <v>25159619.07</v>
      </c>
      <c r="P5" s="47">
        <f t="shared" si="0"/>
        <v>13643762.609999999</v>
      </c>
      <c r="Q5" s="47">
        <f t="shared" si="0"/>
        <v>46626691.400000006</v>
      </c>
      <c r="R5" s="47">
        <f t="shared" si="0"/>
        <v>37286366.32</v>
      </c>
      <c r="S5" s="47">
        <f t="shared" si="0"/>
        <v>19702440.52</v>
      </c>
      <c r="T5" s="47">
        <f t="shared" si="0"/>
        <v>12460552.4</v>
      </c>
      <c r="U5" s="47">
        <f t="shared" si="0"/>
        <v>174798017.59999999</v>
      </c>
      <c r="V5" s="47">
        <f t="shared" si="0"/>
        <v>102571002.12</v>
      </c>
      <c r="W5" s="47">
        <f t="shared" si="0"/>
        <v>40184926.649999999</v>
      </c>
      <c r="X5" s="47">
        <f t="shared" si="0"/>
        <v>9600247.1899999995</v>
      </c>
      <c r="Y5" s="47">
        <f t="shared" si="0"/>
        <v>174948474.66999999</v>
      </c>
      <c r="Z5" s="47">
        <f t="shared" si="0"/>
        <v>96368336.950000003</v>
      </c>
      <c r="AA5" s="47">
        <f t="shared" si="0"/>
        <v>49657024.939999998</v>
      </c>
      <c r="AB5" s="47">
        <f t="shared" si="0"/>
        <v>35348778.57</v>
      </c>
      <c r="AC5" s="47">
        <f t="shared" si="0"/>
        <v>187725076.45000002</v>
      </c>
      <c r="AD5" s="47">
        <f t="shared" si="0"/>
        <v>103479109.03999999</v>
      </c>
      <c r="AE5" s="47">
        <f t="shared" si="0"/>
        <v>55679022.940000005</v>
      </c>
      <c r="AF5" s="47">
        <f t="shared" si="0"/>
        <v>35697092.039999999</v>
      </c>
      <c r="AG5" s="47">
        <f t="shared" si="0"/>
        <v>51534815.230000004</v>
      </c>
      <c r="AH5" s="47">
        <f t="shared" si="0"/>
        <v>20762349.579999998</v>
      </c>
      <c r="AI5" s="47">
        <f t="shared" si="0"/>
        <v>5641578.3600000003</v>
      </c>
      <c r="AJ5" s="47">
        <f t="shared" si="0"/>
        <v>2255622.92</v>
      </c>
      <c r="AK5" s="47">
        <f t="shared" si="0"/>
        <v>26395852.789999999</v>
      </c>
      <c r="AL5" s="47">
        <f t="shared" si="0"/>
        <v>3897480.68</v>
      </c>
      <c r="AM5" s="47">
        <f t="shared" si="0"/>
        <v>3471517.17</v>
      </c>
      <c r="AN5" s="47">
        <f t="shared" si="0"/>
        <v>2737731.17</v>
      </c>
      <c r="AO5" s="47">
        <f t="shared" si="0"/>
        <v>32181630.849999998</v>
      </c>
      <c r="AP5" s="47">
        <f t="shared" si="0"/>
        <v>25315169.48</v>
      </c>
      <c r="AQ5" s="47">
        <f t="shared" si="0"/>
        <v>19593220.329999998</v>
      </c>
      <c r="AR5" s="47">
        <f t="shared" si="0"/>
        <v>11971338.48</v>
      </c>
    </row>
    <row r="6" spans="1:74" s="105" customFormat="1" x14ac:dyDescent="0.25">
      <c r="A6" s="136" t="s">
        <v>305</v>
      </c>
      <c r="B6" s="190">
        <v>0</v>
      </c>
      <c r="C6" s="190">
        <v>18609479.210000001</v>
      </c>
      <c r="D6" s="190">
        <v>0</v>
      </c>
      <c r="E6" s="190">
        <v>37807652.420000002</v>
      </c>
      <c r="F6" s="190">
        <v>0</v>
      </c>
      <c r="G6" s="190">
        <v>24188662.149999999</v>
      </c>
      <c r="H6" s="190">
        <v>0</v>
      </c>
      <c r="I6" s="190">
        <v>35440637.75</v>
      </c>
      <c r="J6" s="190">
        <v>0</v>
      </c>
      <c r="K6" s="190">
        <v>24114191.109999999</v>
      </c>
      <c r="L6" s="190">
        <v>0</v>
      </c>
      <c r="M6" s="190">
        <v>34959961.5</v>
      </c>
      <c r="N6" s="190">
        <v>0</v>
      </c>
      <c r="O6" s="190">
        <v>17224346.050000001</v>
      </c>
      <c r="P6" s="190">
        <v>0</v>
      </c>
      <c r="Q6" s="190">
        <v>32829402.239999998</v>
      </c>
      <c r="R6" s="190">
        <v>0</v>
      </c>
      <c r="S6" s="190">
        <v>16304147.16</v>
      </c>
      <c r="T6" s="190">
        <v>0</v>
      </c>
      <c r="U6" s="190">
        <v>27484041.66</v>
      </c>
      <c r="V6" s="190">
        <v>0</v>
      </c>
      <c r="W6" s="190">
        <v>13633692.060000001</v>
      </c>
      <c r="X6" s="190">
        <v>0</v>
      </c>
      <c r="Y6" s="190">
        <v>22381991.079999998</v>
      </c>
      <c r="Z6" s="190">
        <v>0</v>
      </c>
      <c r="AA6" s="190">
        <v>10454383.35</v>
      </c>
      <c r="AB6" s="190">
        <v>0</v>
      </c>
      <c r="AC6" s="190">
        <v>11203316.279999999</v>
      </c>
      <c r="AD6" s="190">
        <v>0</v>
      </c>
      <c r="AE6" s="190">
        <v>4861813.6900000004</v>
      </c>
      <c r="AF6" s="190">
        <v>0</v>
      </c>
      <c r="AG6" s="190">
        <v>7957339.1600000001</v>
      </c>
      <c r="AH6" s="190">
        <v>0</v>
      </c>
      <c r="AI6" s="190">
        <v>3978568.6</v>
      </c>
      <c r="AJ6" s="190">
        <v>0</v>
      </c>
      <c r="AK6" s="190">
        <v>7885187.7300000004</v>
      </c>
      <c r="AL6" s="190">
        <v>0</v>
      </c>
      <c r="AM6" s="190">
        <v>3958009.57</v>
      </c>
      <c r="AN6" s="190">
        <v>0</v>
      </c>
      <c r="AO6" s="190">
        <v>6177331.71</v>
      </c>
      <c r="AP6" s="190">
        <v>0</v>
      </c>
      <c r="AQ6" s="190">
        <v>5055507.91</v>
      </c>
      <c r="AR6" s="190">
        <v>5767930.5800000001</v>
      </c>
      <c r="AS6" s="190">
        <v>0</v>
      </c>
      <c r="AT6" s="190">
        <v>0</v>
      </c>
      <c r="AU6" s="190">
        <v>0</v>
      </c>
      <c r="AV6" s="190">
        <v>0</v>
      </c>
      <c r="AW6" s="190">
        <v>467047308.91000003</v>
      </c>
      <c r="AX6" s="190">
        <v>322210774.50999999</v>
      </c>
      <c r="AY6" s="190">
        <v>214415246.97</v>
      </c>
      <c r="AZ6" s="190">
        <v>106891762.23999999</v>
      </c>
      <c r="BA6" s="190">
        <v>478234075.06999999</v>
      </c>
      <c r="BB6" s="190">
        <v>357766299.13</v>
      </c>
      <c r="BC6" s="190">
        <v>237335309.81999999</v>
      </c>
      <c r="BD6" s="190">
        <v>118623693.14</v>
      </c>
      <c r="BE6" s="190">
        <v>404552322.94</v>
      </c>
      <c r="BF6" s="190">
        <v>305788725.56</v>
      </c>
      <c r="BG6" s="190">
        <v>208996928.00999999</v>
      </c>
      <c r="BH6" s="190">
        <v>112312929.75</v>
      </c>
      <c r="BI6" s="190">
        <v>275750634.47000003</v>
      </c>
      <c r="BJ6" s="190">
        <v>202256946.52000001</v>
      </c>
      <c r="BK6" s="190">
        <v>113461866.70999999</v>
      </c>
      <c r="BL6" s="190">
        <v>56664861.82</v>
      </c>
      <c r="BM6" s="190">
        <v>233663769.53999999</v>
      </c>
      <c r="BN6" s="190">
        <v>102939387.53</v>
      </c>
      <c r="BO6" s="190">
        <v>165653982.56</v>
      </c>
      <c r="BP6" s="190">
        <v>49234570.869999997</v>
      </c>
      <c r="BQ6" s="190">
        <v>130519869.31</v>
      </c>
      <c r="BR6" s="190">
        <v>62414344.259999998</v>
      </c>
      <c r="BS6" s="190">
        <v>56928281.189999998</v>
      </c>
      <c r="BT6" s="190">
        <v>29633190.559999999</v>
      </c>
      <c r="BU6" s="190">
        <v>42460875.850000001</v>
      </c>
      <c r="BV6" s="190">
        <v>0</v>
      </c>
    </row>
    <row r="7" spans="1:74" s="26" customFormat="1" x14ac:dyDescent="0.25">
      <c r="A7" s="17" t="s">
        <v>306</v>
      </c>
      <c r="B7" s="190">
        <v>0</v>
      </c>
      <c r="C7" s="190">
        <v>7943763.7300000004</v>
      </c>
      <c r="D7" s="190">
        <v>0</v>
      </c>
      <c r="E7" s="190">
        <v>25971884.399999999</v>
      </c>
      <c r="F7" s="190">
        <v>0</v>
      </c>
      <c r="G7" s="190">
        <v>8416974.0999999996</v>
      </c>
      <c r="H7" s="190">
        <v>0</v>
      </c>
      <c r="I7" s="190">
        <v>7090984.5700000003</v>
      </c>
      <c r="J7" s="190">
        <v>0</v>
      </c>
      <c r="K7" s="190">
        <v>3264639.28</v>
      </c>
      <c r="L7" s="190">
        <v>0</v>
      </c>
      <c r="M7" s="190">
        <v>5117837.59</v>
      </c>
      <c r="N7" s="190">
        <v>0</v>
      </c>
      <c r="O7" s="190">
        <v>2391488.0299999998</v>
      </c>
      <c r="P7" s="190">
        <v>0</v>
      </c>
      <c r="Q7" s="190">
        <v>5055901.84</v>
      </c>
      <c r="R7" s="190">
        <v>0</v>
      </c>
      <c r="S7" s="190">
        <v>2494246.64</v>
      </c>
      <c r="T7" s="190">
        <v>0</v>
      </c>
      <c r="U7" s="190">
        <v>4350113.88</v>
      </c>
      <c r="V7" s="190">
        <v>0</v>
      </c>
      <c r="W7" s="190">
        <v>2003224.18</v>
      </c>
      <c r="X7" s="190">
        <v>0</v>
      </c>
      <c r="Y7" s="190">
        <v>3599842.27</v>
      </c>
      <c r="Z7" s="190">
        <v>0</v>
      </c>
      <c r="AA7" s="190">
        <v>1780235.23</v>
      </c>
      <c r="AB7" s="190">
        <v>0</v>
      </c>
      <c r="AC7" s="190">
        <v>2025721.79</v>
      </c>
      <c r="AD7" s="190">
        <v>0</v>
      </c>
      <c r="AE7" s="190">
        <v>690884.18</v>
      </c>
      <c r="AF7" s="190">
        <v>0</v>
      </c>
      <c r="AG7" s="190">
        <v>822758.43</v>
      </c>
      <c r="AH7" s="190">
        <v>0</v>
      </c>
      <c r="AI7" s="190">
        <v>344885.94</v>
      </c>
      <c r="AJ7" s="190">
        <v>0</v>
      </c>
      <c r="AK7" s="190">
        <v>516614.44</v>
      </c>
      <c r="AL7" s="190">
        <v>0</v>
      </c>
      <c r="AM7" s="190">
        <v>255674.06</v>
      </c>
      <c r="AN7" s="190">
        <v>0</v>
      </c>
      <c r="AO7" s="190">
        <v>480260.76</v>
      </c>
      <c r="AP7" s="190">
        <v>0</v>
      </c>
      <c r="AQ7" s="190">
        <v>480260.76</v>
      </c>
      <c r="AR7" s="190">
        <v>216882.08</v>
      </c>
      <c r="AS7" s="190">
        <v>0</v>
      </c>
      <c r="AT7" s="190">
        <v>0</v>
      </c>
      <c r="AU7" s="190">
        <v>0</v>
      </c>
      <c r="AV7" s="190">
        <v>0</v>
      </c>
      <c r="AW7" s="190">
        <v>3799631.08</v>
      </c>
      <c r="AX7" s="190">
        <v>3384594.86</v>
      </c>
      <c r="AY7" s="190">
        <v>1952934.44</v>
      </c>
      <c r="AZ7" s="190">
        <v>567536.22</v>
      </c>
      <c r="BA7" s="190">
        <v>1586144.88</v>
      </c>
      <c r="BB7" s="190">
        <v>1189608.6599999999</v>
      </c>
      <c r="BC7" s="190">
        <v>793072.44</v>
      </c>
      <c r="BD7" s="190">
        <v>396536.22</v>
      </c>
      <c r="BE7" s="190">
        <v>2026799.88</v>
      </c>
      <c r="BF7" s="190">
        <v>1513263.66</v>
      </c>
      <c r="BG7" s="190">
        <v>968842.44</v>
      </c>
      <c r="BH7" s="190">
        <v>572304.69999999995</v>
      </c>
      <c r="BI7" s="190">
        <v>2294148.85</v>
      </c>
      <c r="BJ7" s="190">
        <v>1897612.63</v>
      </c>
      <c r="BK7" s="190">
        <v>1501076.41</v>
      </c>
      <c r="BL7" s="190">
        <v>397126.17</v>
      </c>
      <c r="BM7" s="190">
        <v>3779059.29</v>
      </c>
      <c r="BN7" s="190">
        <v>943096.31999999995</v>
      </c>
      <c r="BO7" s="190">
        <v>1696119.74</v>
      </c>
      <c r="BP7" s="190">
        <v>808679.94</v>
      </c>
      <c r="BQ7" s="190">
        <v>2290393.21</v>
      </c>
      <c r="BR7" s="190">
        <v>677235.94</v>
      </c>
      <c r="BS7" s="190">
        <v>16746446.949999999</v>
      </c>
      <c r="BT7" s="190">
        <v>1394056.95</v>
      </c>
      <c r="BU7" s="190">
        <v>2442875.52</v>
      </c>
      <c r="BV7" s="190">
        <v>0</v>
      </c>
    </row>
    <row r="8" spans="1:74" s="26" customFormat="1" x14ac:dyDescent="0.25">
      <c r="A8" s="17" t="s">
        <v>307</v>
      </c>
      <c r="B8" s="190">
        <v>0</v>
      </c>
      <c r="C8" s="190">
        <v>18216996.620000001</v>
      </c>
      <c r="D8" s="190">
        <v>0</v>
      </c>
      <c r="E8" s="190">
        <v>44118084.619999997</v>
      </c>
      <c r="F8" s="190">
        <v>0</v>
      </c>
      <c r="G8" s="190">
        <v>18143207.620000001</v>
      </c>
      <c r="H8" s="190">
        <v>0</v>
      </c>
      <c r="I8" s="190">
        <v>31691698.710000001</v>
      </c>
      <c r="J8" s="190">
        <v>0</v>
      </c>
      <c r="K8" s="190">
        <v>16703937.890000001</v>
      </c>
      <c r="L8" s="190">
        <v>0</v>
      </c>
      <c r="M8" s="190">
        <v>27324656.59</v>
      </c>
      <c r="N8" s="190">
        <v>0</v>
      </c>
      <c r="O8" s="190">
        <v>11520338.15</v>
      </c>
      <c r="P8" s="190">
        <v>0</v>
      </c>
      <c r="Q8" s="190">
        <v>23465747.539999999</v>
      </c>
      <c r="R8" s="190">
        <v>0</v>
      </c>
      <c r="S8" s="190">
        <v>11528436.73</v>
      </c>
      <c r="T8" s="190">
        <v>0</v>
      </c>
      <c r="U8" s="190">
        <v>16426474.23</v>
      </c>
      <c r="V8" s="190">
        <v>0</v>
      </c>
      <c r="W8" s="190">
        <v>7062238.1299999999</v>
      </c>
      <c r="X8" s="190">
        <v>0</v>
      </c>
      <c r="Y8" s="190">
        <v>14567104.789999999</v>
      </c>
      <c r="Z8" s="190">
        <v>0</v>
      </c>
      <c r="AA8" s="190">
        <v>5027600.82</v>
      </c>
      <c r="AB8" s="190">
        <v>0</v>
      </c>
      <c r="AC8" s="190">
        <v>4795014.71</v>
      </c>
      <c r="AD8" s="190">
        <v>0</v>
      </c>
      <c r="AE8" s="190">
        <v>391855.77</v>
      </c>
      <c r="AF8" s="190">
        <v>0</v>
      </c>
      <c r="AG8" s="190">
        <v>3267896.07</v>
      </c>
      <c r="AH8" s="190">
        <v>0</v>
      </c>
      <c r="AI8" s="190">
        <v>-291810.57</v>
      </c>
      <c r="AJ8" s="190">
        <v>0</v>
      </c>
      <c r="AK8" s="190">
        <v>-4663144.5199999996</v>
      </c>
      <c r="AL8" s="190">
        <v>0</v>
      </c>
      <c r="AM8" s="190">
        <v>0</v>
      </c>
      <c r="AN8" s="190">
        <v>0</v>
      </c>
      <c r="AO8" s="190">
        <v>0</v>
      </c>
      <c r="AP8" s="190">
        <v>0</v>
      </c>
      <c r="AQ8" s="190">
        <v>0</v>
      </c>
      <c r="AR8" s="190">
        <v>0</v>
      </c>
      <c r="AS8" s="190">
        <v>0</v>
      </c>
      <c r="AT8" s="190">
        <v>0</v>
      </c>
      <c r="AU8" s="190">
        <v>0</v>
      </c>
      <c r="AV8" s="190">
        <v>0</v>
      </c>
      <c r="AW8" s="190">
        <v>0</v>
      </c>
      <c r="AX8" s="190">
        <v>0</v>
      </c>
      <c r="AY8" s="190">
        <v>0</v>
      </c>
      <c r="AZ8" s="190">
        <v>0</v>
      </c>
      <c r="BA8" s="190">
        <v>0</v>
      </c>
      <c r="BB8" s="190">
        <v>0</v>
      </c>
      <c r="BC8" s="190">
        <v>0</v>
      </c>
      <c r="BD8" s="190">
        <v>0</v>
      </c>
      <c r="BE8" s="190">
        <v>0</v>
      </c>
      <c r="BF8" s="190">
        <v>0</v>
      </c>
      <c r="BG8" s="190">
        <v>0</v>
      </c>
      <c r="BH8" s="190">
        <v>0</v>
      </c>
      <c r="BI8" s="190">
        <v>0</v>
      </c>
      <c r="BJ8" s="190">
        <v>0</v>
      </c>
      <c r="BK8" s="190">
        <v>0</v>
      </c>
      <c r="BL8" s="190">
        <v>0</v>
      </c>
      <c r="BM8" s="190">
        <v>0</v>
      </c>
      <c r="BN8" s="190">
        <v>0</v>
      </c>
      <c r="BO8" s="190">
        <v>0</v>
      </c>
      <c r="BP8" s="190">
        <v>0</v>
      </c>
      <c r="BQ8" s="190">
        <v>0</v>
      </c>
      <c r="BR8" s="190">
        <v>0</v>
      </c>
      <c r="BS8" s="190">
        <v>0</v>
      </c>
      <c r="BT8" s="190">
        <v>0</v>
      </c>
      <c r="BU8" s="190">
        <v>0</v>
      </c>
      <c r="BV8" s="190">
        <v>0</v>
      </c>
    </row>
    <row r="9" spans="1:74" s="26" customFormat="1" x14ac:dyDescent="0.25">
      <c r="A9" s="17" t="s">
        <v>308</v>
      </c>
      <c r="B9" s="190">
        <v>0</v>
      </c>
      <c r="C9" s="190">
        <v>527845.37</v>
      </c>
      <c r="D9" s="190">
        <v>0</v>
      </c>
      <c r="E9" s="190">
        <v>400460.26</v>
      </c>
      <c r="F9" s="190">
        <v>0</v>
      </c>
      <c r="G9" s="190">
        <v>567133.53</v>
      </c>
      <c r="H9" s="190">
        <v>0</v>
      </c>
      <c r="I9" s="190">
        <v>315541.44</v>
      </c>
      <c r="J9" s="190">
        <v>0</v>
      </c>
      <c r="K9" s="190">
        <v>271326.99</v>
      </c>
      <c r="L9" s="190">
        <v>0</v>
      </c>
      <c r="M9" s="190">
        <v>262905.48</v>
      </c>
      <c r="N9" s="190">
        <v>0</v>
      </c>
      <c r="O9" s="190">
        <v>211459.86</v>
      </c>
      <c r="P9" s="190">
        <v>0</v>
      </c>
      <c r="Q9" s="190">
        <v>708521.66</v>
      </c>
      <c r="R9" s="190">
        <v>0</v>
      </c>
      <c r="S9" s="190">
        <v>-156539.56</v>
      </c>
      <c r="T9" s="190">
        <v>0</v>
      </c>
      <c r="U9" s="190">
        <v>94529.15</v>
      </c>
      <c r="V9" s="190">
        <v>0</v>
      </c>
      <c r="W9" s="190">
        <v>-49124.82</v>
      </c>
      <c r="X9" s="190">
        <v>0</v>
      </c>
      <c r="Y9" s="190">
        <v>442631.58</v>
      </c>
      <c r="Z9" s="190">
        <v>0</v>
      </c>
      <c r="AA9" s="190">
        <v>355433.64</v>
      </c>
      <c r="AB9" s="190">
        <v>0</v>
      </c>
      <c r="AC9" s="190">
        <v>122008.88</v>
      </c>
      <c r="AD9" s="190">
        <v>0</v>
      </c>
      <c r="AE9" s="190">
        <v>-166311.64000000001</v>
      </c>
      <c r="AF9" s="190">
        <v>0</v>
      </c>
      <c r="AG9" s="190">
        <v>92121.38</v>
      </c>
      <c r="AH9" s="190">
        <v>0</v>
      </c>
      <c r="AI9" s="190">
        <v>10876.46</v>
      </c>
      <c r="AJ9" s="190">
        <v>0</v>
      </c>
      <c r="AK9" s="190">
        <v>196954.43</v>
      </c>
      <c r="AL9" s="190">
        <v>0</v>
      </c>
      <c r="AM9" s="190">
        <v>14468.98</v>
      </c>
      <c r="AN9" s="190">
        <v>0</v>
      </c>
      <c r="AO9" s="190">
        <v>90111.08</v>
      </c>
      <c r="AP9" s="190">
        <v>0</v>
      </c>
      <c r="AQ9" s="190">
        <v>0</v>
      </c>
      <c r="AR9" s="190">
        <v>189932.79999999999</v>
      </c>
      <c r="AS9" s="190">
        <v>0</v>
      </c>
      <c r="AT9" s="190">
        <v>0</v>
      </c>
      <c r="AU9" s="190">
        <v>0</v>
      </c>
      <c r="AV9" s="190">
        <v>0</v>
      </c>
      <c r="AW9" s="190">
        <v>269102.78999999998</v>
      </c>
      <c r="AX9" s="190">
        <v>146154.56</v>
      </c>
      <c r="AY9" s="190">
        <v>-125360.21</v>
      </c>
      <c r="AZ9" s="190">
        <v>0</v>
      </c>
      <c r="BA9" s="190">
        <v>-191319.73</v>
      </c>
      <c r="BB9" s="190">
        <v>-54708.43</v>
      </c>
      <c r="BC9" s="190">
        <v>-7534.17</v>
      </c>
      <c r="BD9" s="190">
        <v>-12970.6</v>
      </c>
      <c r="BE9" s="190">
        <v>2450780.61</v>
      </c>
      <c r="BF9" s="190">
        <v>461041.96</v>
      </c>
      <c r="BG9" s="190">
        <v>260575.46</v>
      </c>
      <c r="BH9" s="190">
        <v>-14558</v>
      </c>
      <c r="BI9" s="190">
        <v>3395525.08</v>
      </c>
      <c r="BJ9" s="190">
        <v>-15527.85</v>
      </c>
      <c r="BK9" s="190">
        <v>13728.15</v>
      </c>
      <c r="BL9" s="190">
        <v>-38776.370000000003</v>
      </c>
      <c r="BM9" s="190">
        <v>925739.38</v>
      </c>
      <c r="BN9" s="190">
        <v>510508.23</v>
      </c>
      <c r="BO9" s="190">
        <v>-49398.94</v>
      </c>
      <c r="BP9" s="190">
        <v>1595890.7</v>
      </c>
      <c r="BQ9" s="190">
        <v>-3580</v>
      </c>
      <c r="BR9" s="190">
        <v>-1500</v>
      </c>
      <c r="BS9" s="190">
        <v>169771.53</v>
      </c>
      <c r="BT9" s="190">
        <v>-1680</v>
      </c>
      <c r="BU9" s="190">
        <v>0</v>
      </c>
      <c r="BV9" s="190">
        <v>0</v>
      </c>
    </row>
    <row r="10" spans="1:74" s="26" customFormat="1" x14ac:dyDescent="0.25">
      <c r="A10" s="17" t="s">
        <v>309</v>
      </c>
      <c r="B10" s="190">
        <v>0</v>
      </c>
      <c r="C10" s="190">
        <v>0</v>
      </c>
      <c r="D10" s="190">
        <v>0</v>
      </c>
      <c r="E10" s="190">
        <v>0</v>
      </c>
      <c r="F10" s="190">
        <v>0</v>
      </c>
      <c r="G10" s="190">
        <v>0</v>
      </c>
      <c r="H10" s="190">
        <v>0</v>
      </c>
      <c r="I10" s="190">
        <v>0</v>
      </c>
      <c r="J10" s="190">
        <v>0</v>
      </c>
      <c r="K10" s="190">
        <v>0</v>
      </c>
      <c r="L10" s="190">
        <v>0</v>
      </c>
      <c r="M10" s="190">
        <v>0</v>
      </c>
      <c r="N10" s="190">
        <v>0</v>
      </c>
      <c r="O10" s="190">
        <v>0</v>
      </c>
      <c r="P10" s="190">
        <v>0</v>
      </c>
      <c r="Q10" s="190">
        <v>0</v>
      </c>
      <c r="R10" s="190">
        <v>0</v>
      </c>
      <c r="S10" s="190">
        <v>0</v>
      </c>
      <c r="T10" s="190">
        <v>0</v>
      </c>
      <c r="U10" s="190">
        <v>0</v>
      </c>
      <c r="V10" s="190">
        <v>0</v>
      </c>
      <c r="W10" s="190">
        <v>0</v>
      </c>
      <c r="X10" s="190">
        <v>0</v>
      </c>
      <c r="Y10" s="190">
        <v>0</v>
      </c>
      <c r="Z10" s="190">
        <v>0</v>
      </c>
      <c r="AA10" s="190">
        <v>0</v>
      </c>
      <c r="AB10" s="190">
        <v>0</v>
      </c>
      <c r="AC10" s="190">
        <v>0</v>
      </c>
      <c r="AD10" s="190">
        <v>0</v>
      </c>
      <c r="AE10" s="190">
        <v>2060.88</v>
      </c>
      <c r="AF10" s="190">
        <v>0</v>
      </c>
      <c r="AG10" s="190">
        <v>0</v>
      </c>
      <c r="AH10" s="190">
        <v>0</v>
      </c>
      <c r="AI10" s="190">
        <v>0</v>
      </c>
      <c r="AJ10" s="190">
        <v>0</v>
      </c>
      <c r="AK10" s="190">
        <v>0</v>
      </c>
      <c r="AL10" s="190">
        <v>0</v>
      </c>
      <c r="AM10" s="190">
        <v>0</v>
      </c>
      <c r="AN10" s="190">
        <v>0</v>
      </c>
      <c r="AO10" s="190">
        <v>0</v>
      </c>
      <c r="AP10" s="190">
        <v>0</v>
      </c>
      <c r="AQ10" s="190">
        <v>1516529.05</v>
      </c>
      <c r="AR10" s="190">
        <v>15552.35</v>
      </c>
      <c r="AS10" s="190">
        <v>0</v>
      </c>
      <c r="AT10" s="190">
        <v>0</v>
      </c>
      <c r="AU10" s="190">
        <v>0</v>
      </c>
      <c r="AV10" s="190">
        <v>0</v>
      </c>
      <c r="AW10" s="190">
        <v>0</v>
      </c>
      <c r="AX10" s="190">
        <v>0</v>
      </c>
      <c r="AY10" s="190">
        <v>1108956.43</v>
      </c>
      <c r="AZ10" s="190">
        <v>0</v>
      </c>
      <c r="BA10" s="190">
        <v>0</v>
      </c>
      <c r="BB10" s="190">
        <v>0</v>
      </c>
      <c r="BC10" s="190">
        <v>0</v>
      </c>
      <c r="BD10" s="190">
        <v>0</v>
      </c>
      <c r="BE10" s="190">
        <v>10234174.27</v>
      </c>
      <c r="BF10" s="190">
        <v>6735200.1100000003</v>
      </c>
      <c r="BG10" s="190">
        <v>2122271.27</v>
      </c>
      <c r="BH10" s="190">
        <v>0</v>
      </c>
      <c r="BI10" s="190">
        <v>5443986.7300000004</v>
      </c>
      <c r="BJ10" s="190">
        <v>2732944.24</v>
      </c>
      <c r="BK10" s="190">
        <v>1676945.26</v>
      </c>
      <c r="BL10" s="190">
        <v>15909.78</v>
      </c>
      <c r="BM10" s="190">
        <v>4369433.5199999996</v>
      </c>
      <c r="BN10" s="190">
        <v>256577.04</v>
      </c>
      <c r="BO10" s="190">
        <v>2074884.19</v>
      </c>
      <c r="BP10" s="190">
        <v>0</v>
      </c>
      <c r="BQ10" s="190">
        <v>1025342.66</v>
      </c>
      <c r="BR10" s="190">
        <v>43944</v>
      </c>
      <c r="BS10" s="190">
        <v>0</v>
      </c>
      <c r="BT10" s="190">
        <v>7101</v>
      </c>
      <c r="BU10" s="190">
        <v>0</v>
      </c>
      <c r="BV10" s="190">
        <v>0</v>
      </c>
    </row>
    <row r="11" spans="1:74" s="47" customFormat="1" x14ac:dyDescent="0.25">
      <c r="A11" s="135" t="s">
        <v>296</v>
      </c>
      <c r="E11" s="47">
        <f>E5-E6-E7-E8-E9-E10</f>
        <v>-84432670.530000001</v>
      </c>
      <c r="F11" s="47">
        <f t="shared" ref="F11:BQ11" si="1">F5-F6-F7-F8-F9-F10</f>
        <v>39165241.370000005</v>
      </c>
      <c r="G11" s="47">
        <f t="shared" si="1"/>
        <v>-30014677.32</v>
      </c>
      <c r="H11" s="47">
        <f t="shared" si="1"/>
        <v>12176129.58</v>
      </c>
      <c r="I11" s="47">
        <f t="shared" si="1"/>
        <v>-12947814.15</v>
      </c>
      <c r="J11" s="47">
        <f t="shared" si="1"/>
        <v>51899962.450000003</v>
      </c>
      <c r="K11" s="47">
        <f t="shared" si="1"/>
        <v>-814013.56999999634</v>
      </c>
      <c r="L11" s="47">
        <f t="shared" si="1"/>
        <v>12775991.550000001</v>
      </c>
      <c r="M11" s="47">
        <f t="shared" si="1"/>
        <v>-6763502.5400000028</v>
      </c>
      <c r="N11" s="47">
        <f t="shared" si="1"/>
        <v>30782228.419999998</v>
      </c>
      <c r="O11" s="47">
        <f t="shared" si="1"/>
        <v>-6188013.0200000005</v>
      </c>
      <c r="P11" s="47">
        <f t="shared" si="1"/>
        <v>13643762.609999999</v>
      </c>
      <c r="Q11" s="47">
        <f t="shared" si="1"/>
        <v>-15432881.879999992</v>
      </c>
      <c r="R11" s="47">
        <f t="shared" si="1"/>
        <v>37286366.32</v>
      </c>
      <c r="S11" s="47">
        <f t="shared" si="1"/>
        <v>-10467850.450000001</v>
      </c>
      <c r="T11" s="47">
        <f t="shared" si="1"/>
        <v>12460552.4</v>
      </c>
      <c r="U11" s="47">
        <f t="shared" si="1"/>
        <v>126442858.67999999</v>
      </c>
      <c r="V11" s="47">
        <f t="shared" si="1"/>
        <v>102571002.12</v>
      </c>
      <c r="W11" s="47">
        <f t="shared" si="1"/>
        <v>17534897.099999998</v>
      </c>
      <c r="X11" s="47">
        <f t="shared" si="1"/>
        <v>9600247.1899999995</v>
      </c>
      <c r="Y11" s="47">
        <f t="shared" si="1"/>
        <v>133956904.94999997</v>
      </c>
      <c r="Z11" s="47">
        <f t="shared" si="1"/>
        <v>96368336.950000003</v>
      </c>
      <c r="AA11" s="47">
        <f t="shared" si="1"/>
        <v>32039371.899999999</v>
      </c>
      <c r="AB11" s="47">
        <f t="shared" si="1"/>
        <v>35348778.57</v>
      </c>
      <c r="AC11" s="47">
        <f t="shared" si="1"/>
        <v>169579014.79000002</v>
      </c>
      <c r="AD11" s="47">
        <f t="shared" si="1"/>
        <v>103479109.03999999</v>
      </c>
      <c r="AE11" s="47">
        <f t="shared" si="1"/>
        <v>49898720.060000002</v>
      </c>
      <c r="AF11" s="47">
        <f t="shared" si="1"/>
        <v>35697092.039999999</v>
      </c>
      <c r="AG11" s="47">
        <f t="shared" si="1"/>
        <v>39394700.190000005</v>
      </c>
      <c r="AH11" s="47">
        <f t="shared" si="1"/>
        <v>20762349.579999998</v>
      </c>
      <c r="AI11" s="47">
        <f t="shared" si="1"/>
        <v>1599057.9300000004</v>
      </c>
      <c r="AJ11" s="47">
        <f t="shared" si="1"/>
        <v>2255622.92</v>
      </c>
      <c r="AK11" s="47">
        <f t="shared" si="1"/>
        <v>22460240.709999997</v>
      </c>
      <c r="AL11" s="47">
        <f t="shared" si="1"/>
        <v>3897480.68</v>
      </c>
      <c r="AM11" s="47">
        <f t="shared" si="1"/>
        <v>-756635.44</v>
      </c>
      <c r="AN11" s="47">
        <f t="shared" si="1"/>
        <v>2737731.17</v>
      </c>
      <c r="AO11" s="47">
        <f t="shared" si="1"/>
        <v>25433927.299999997</v>
      </c>
      <c r="AP11" s="47">
        <f t="shared" si="1"/>
        <v>25315169.48</v>
      </c>
      <c r="AQ11" s="47">
        <f t="shared" si="1"/>
        <v>12540922.609999998</v>
      </c>
      <c r="AR11" s="47">
        <f t="shared" si="1"/>
        <v>5781040.6700000009</v>
      </c>
      <c r="AS11" s="47">
        <f t="shared" si="1"/>
        <v>0</v>
      </c>
      <c r="AT11" s="47">
        <f t="shared" si="1"/>
        <v>0</v>
      </c>
      <c r="AU11" s="47">
        <f t="shared" si="1"/>
        <v>0</v>
      </c>
      <c r="AV11" s="47">
        <f t="shared" si="1"/>
        <v>0</v>
      </c>
      <c r="AW11" s="47">
        <f t="shared" si="1"/>
        <v>-471116042.78000003</v>
      </c>
      <c r="AX11" s="47">
        <f t="shared" si="1"/>
        <v>-325741523.93000001</v>
      </c>
      <c r="AY11" s="47">
        <f t="shared" si="1"/>
        <v>-217351777.63</v>
      </c>
      <c r="AZ11" s="47">
        <f t="shared" si="1"/>
        <v>-107459298.45999999</v>
      </c>
      <c r="BA11" s="47">
        <f t="shared" si="1"/>
        <v>-479628900.21999997</v>
      </c>
      <c r="BB11" s="47">
        <f t="shared" si="1"/>
        <v>-358901199.36000001</v>
      </c>
      <c r="BC11" s="47">
        <f t="shared" si="1"/>
        <v>-238120848.09</v>
      </c>
      <c r="BD11" s="47">
        <f t="shared" si="1"/>
        <v>-119007258.76000001</v>
      </c>
      <c r="BE11" s="47">
        <f t="shared" si="1"/>
        <v>-419264077.69999999</v>
      </c>
      <c r="BF11" s="47">
        <f t="shared" si="1"/>
        <v>-314498231.29000002</v>
      </c>
      <c r="BG11" s="47">
        <f t="shared" si="1"/>
        <v>-212348617.18000001</v>
      </c>
      <c r="BH11" s="47">
        <f t="shared" si="1"/>
        <v>-112870676.45</v>
      </c>
      <c r="BI11" s="47">
        <f t="shared" si="1"/>
        <v>-286884295.13000005</v>
      </c>
      <c r="BJ11" s="47">
        <f t="shared" si="1"/>
        <v>-206871975.54000002</v>
      </c>
      <c r="BK11" s="47">
        <f t="shared" si="1"/>
        <v>-116653616.53</v>
      </c>
      <c r="BL11" s="47">
        <f t="shared" si="1"/>
        <v>-57039121.400000006</v>
      </c>
      <c r="BM11" s="47">
        <f t="shared" si="1"/>
        <v>-242738001.72999999</v>
      </c>
      <c r="BN11" s="47">
        <f t="shared" si="1"/>
        <v>-104649569.12</v>
      </c>
      <c r="BO11" s="47">
        <f t="shared" si="1"/>
        <v>-169375587.55000001</v>
      </c>
      <c r="BP11" s="47">
        <f t="shared" si="1"/>
        <v>-51639141.509999998</v>
      </c>
      <c r="BQ11" s="47">
        <f t="shared" si="1"/>
        <v>-133832025.17999999</v>
      </c>
      <c r="BR11" s="47">
        <f t="shared" ref="BR11:BS11" si="2">BR5-BR6-BR7-BR8-BR9-BR10</f>
        <v>-63134024.199999996</v>
      </c>
      <c r="BS11" s="47">
        <f t="shared" si="2"/>
        <v>-73844499.670000002</v>
      </c>
    </row>
    <row r="12" spans="1:74" s="26" customFormat="1" x14ac:dyDescent="0.25">
      <c r="A12" s="17" t="s">
        <v>297</v>
      </c>
      <c r="E12" s="26">
        <f t="shared" ref="E12:Q12" si="3">I34</f>
        <v>712655645.71999979</v>
      </c>
      <c r="F12" s="26">
        <f t="shared" si="3"/>
        <v>712011638.26999998</v>
      </c>
      <c r="G12" s="26">
        <f t="shared" si="3"/>
        <v>706507482.50999999</v>
      </c>
      <c r="H12" s="26">
        <f t="shared" si="3"/>
        <v>719703422.57000005</v>
      </c>
      <c r="I12" s="26">
        <f t="shared" si="3"/>
        <v>724088791.25999999</v>
      </c>
      <c r="J12" s="26">
        <f t="shared" si="3"/>
        <v>660102135.26999998</v>
      </c>
      <c r="K12" s="26">
        <f t="shared" si="3"/>
        <v>654397807.84000003</v>
      </c>
      <c r="L12" s="26">
        <f t="shared" si="3"/>
        <v>657598710.34000003</v>
      </c>
      <c r="M12" s="26">
        <f t="shared" si="3"/>
        <v>657770407.97000003</v>
      </c>
      <c r="N12" s="26">
        <f t="shared" si="3"/>
        <v>658741725.48000002</v>
      </c>
      <c r="O12" s="26">
        <f t="shared" si="3"/>
        <v>642750663.66999996</v>
      </c>
      <c r="P12" s="26">
        <f t="shared" si="3"/>
        <v>638106996.24000001</v>
      </c>
      <c r="Q12" s="26">
        <f t="shared" si="3"/>
        <v>646286156.85000002</v>
      </c>
      <c r="R12" s="193">
        <f t="shared" ref="R12" si="4">V34</f>
        <v>687749387.55999994</v>
      </c>
      <c r="S12" s="193">
        <f t="shared" ref="S12" si="5">W34</f>
        <v>656425843.01999998</v>
      </c>
      <c r="T12" s="193">
        <f t="shared" ref="T12" si="6">X34</f>
        <v>675710284.61000001</v>
      </c>
      <c r="U12" s="193">
        <f t="shared" ref="U12" si="7">Y34</f>
        <v>514551138.61000001</v>
      </c>
      <c r="V12" s="193">
        <f t="shared" ref="V12" si="8">Z34</f>
        <v>496788347.32999998</v>
      </c>
      <c r="W12" s="193">
        <f t="shared" ref="W12" si="9">AA34</f>
        <v>438036109.13999999</v>
      </c>
      <c r="X12" s="193">
        <f t="shared" ref="X12" si="10">AB34</f>
        <v>424560822.61000001</v>
      </c>
      <c r="Y12" s="193">
        <f t="shared" ref="Y12" si="11">AC34</f>
        <v>406249339.64999998</v>
      </c>
      <c r="Z12" s="193">
        <f t="shared" ref="Z12" si="12">AD34</f>
        <v>313155620.74000001</v>
      </c>
      <c r="AA12" s="193">
        <f t="shared" ref="AA12" si="13">AE34</f>
        <v>255703474.93000001</v>
      </c>
      <c r="AB12" s="193">
        <f t="shared" ref="AB12" si="14">AF34</f>
        <v>233981981.53999999</v>
      </c>
      <c r="AC12" s="193">
        <f t="shared" ref="AC12" si="15">AG34</f>
        <v>214815697.09999999</v>
      </c>
      <c r="AD12" s="193">
        <f t="shared" ref="AD12" si="16">AH34</f>
        <v>135604625.02000001</v>
      </c>
      <c r="AE12" s="193">
        <f t="shared" ref="AE12" si="17">AI34</f>
        <v>127685400.67</v>
      </c>
      <c r="AF12" s="193">
        <f t="shared" ref="AF12" si="18">AJ34</f>
        <v>128100120.87</v>
      </c>
      <c r="AG12" s="193">
        <f t="shared" ref="AG12" si="19">AK34</f>
        <v>127919192.84999999</v>
      </c>
      <c r="AH12" s="193">
        <f t="shared" ref="AH12" si="20">AL34</f>
        <v>97138985.359999999</v>
      </c>
      <c r="AI12" s="193">
        <f t="shared" ref="AI12" si="21">AM34</f>
        <v>98232147.599999994</v>
      </c>
      <c r="AJ12" s="193">
        <f t="shared" ref="AJ12" si="22">AN34</f>
        <v>101951344.34</v>
      </c>
      <c r="AK12" s="193">
        <f t="shared" ref="AK12" si="23">AO34</f>
        <v>82896917.930000007</v>
      </c>
      <c r="AL12" s="193">
        <f t="shared" ref="AL12" si="24">AP34</f>
        <v>64196426.759999998</v>
      </c>
      <c r="AM12" s="193">
        <f t="shared" ref="AM12" si="25">AQ34</f>
        <v>0</v>
      </c>
      <c r="AN12" s="193">
        <f t="shared" ref="AN12" si="26">AR34</f>
        <v>0</v>
      </c>
      <c r="AO12" s="193">
        <f t="shared" ref="AO12" si="27">AS34</f>
        <v>0</v>
      </c>
      <c r="AP12" s="193">
        <f t="shared" ref="AP12" si="28">AT34</f>
        <v>5119825755.0799999</v>
      </c>
      <c r="AQ12" s="193">
        <f t="shared" ref="AQ12" si="29">AU34</f>
        <v>5166324238.8199997</v>
      </c>
      <c r="AR12" s="193">
        <f t="shared" ref="AR12" si="30">AV34</f>
        <v>5229742144.5900002</v>
      </c>
      <c r="AS12" s="193">
        <f t="shared" ref="AS12" si="31">AW34</f>
        <v>5303368604.3599997</v>
      </c>
      <c r="AT12" s="193">
        <f t="shared" ref="AT12" si="32">AX34</f>
        <v>5412891640.3100004</v>
      </c>
      <c r="AU12" s="193">
        <f t="shared" ref="AU12" si="33">AY34</f>
        <v>5477269087.8599997</v>
      </c>
      <c r="AV12" s="193">
        <f t="shared" ref="AV12" si="34">AZ34</f>
        <v>5394582476.9899998</v>
      </c>
      <c r="AW12" s="193">
        <f t="shared" ref="AW12" si="35">BA34</f>
        <v>5501322858.9799995</v>
      </c>
      <c r="AX12" s="193">
        <f t="shared" ref="AX12" si="36">BB34</f>
        <v>5577867470.3299999</v>
      </c>
      <c r="AY12" s="193">
        <f t="shared" ref="AY12" si="37">BC34</f>
        <v>5696283898.6499996</v>
      </c>
      <c r="AZ12" s="193">
        <f t="shared" ref="AZ12" si="38">BD34</f>
        <v>5779603253.5100002</v>
      </c>
      <c r="BA12" s="193">
        <f t="shared" ref="BA12" si="39">BE34</f>
        <v>5840992847.29</v>
      </c>
      <c r="BB12" s="193">
        <f t="shared" ref="BB12" si="40">BF34</f>
        <v>5434316703.3800001</v>
      </c>
      <c r="BC12" s="193">
        <f t="shared" ref="BC12" si="41">BG34</f>
        <v>5519652065.3800001</v>
      </c>
      <c r="BD12" s="193">
        <f t="shared" ref="BD12" si="42">BH34</f>
        <v>5587811046.9799995</v>
      </c>
      <c r="BE12" s="193">
        <f t="shared" ref="BE12" si="43">BI34</f>
        <v>5587556850.7200003</v>
      </c>
      <c r="BF12" s="193">
        <f t="shared" ref="BF12" si="44">BJ34</f>
        <v>5175235607.8500004</v>
      </c>
      <c r="BG12" s="193">
        <f t="shared" ref="BG12" si="45">BK34</f>
        <v>4543535291.6599998</v>
      </c>
      <c r="BH12" s="193">
        <f t="shared" ref="BH12" si="46">BL34</f>
        <v>4478639735.0500002</v>
      </c>
      <c r="BI12" s="193">
        <f t="shared" ref="BI12" si="47">BM34</f>
        <v>4520776529.7700005</v>
      </c>
      <c r="BJ12" s="193">
        <f t="shared" ref="BJ12" si="48">BN34</f>
        <v>3620875395.5999999</v>
      </c>
      <c r="BK12" s="193">
        <f t="shared" ref="BK12" si="49">BO34</f>
        <v>3684993020.0500002</v>
      </c>
      <c r="BL12" s="193">
        <f t="shared" ref="BL12" si="50">BP34</f>
        <v>3523637936.8200002</v>
      </c>
      <c r="BM12" s="193">
        <f t="shared" ref="BM12" si="51">BQ34</f>
        <v>64196426.759999998</v>
      </c>
      <c r="BN12" s="193">
        <f t="shared" ref="BN12" si="52">BR34</f>
        <v>0</v>
      </c>
    </row>
    <row r="13" spans="1:74" s="220" customFormat="1" x14ac:dyDescent="0.25">
      <c r="A13" s="220" t="s">
        <v>350</v>
      </c>
      <c r="E13" s="220">
        <f>E11/E12</f>
        <v>-0.11847611260372073</v>
      </c>
      <c r="F13" s="220">
        <f t="shared" ref="F13:AR13" si="53">F11/F12</f>
        <v>5.5006462345420622E-2</v>
      </c>
      <c r="G13" s="220">
        <f t="shared" si="53"/>
        <v>-4.2483169765403256E-2</v>
      </c>
      <c r="H13" s="220">
        <f t="shared" si="53"/>
        <v>1.6918259936183257E-2</v>
      </c>
      <c r="I13" s="220">
        <f t="shared" si="53"/>
        <v>-1.7881528213507178E-2</v>
      </c>
      <c r="J13" s="220">
        <f t="shared" si="53"/>
        <v>7.8624139624652908E-2</v>
      </c>
      <c r="K13" s="220">
        <f t="shared" si="53"/>
        <v>-1.2439124340694954E-3</v>
      </c>
      <c r="L13" s="220">
        <f t="shared" si="53"/>
        <v>1.9428249096465525E-2</v>
      </c>
      <c r="M13" s="220">
        <f t="shared" si="53"/>
        <v>-1.0282467040244955E-2</v>
      </c>
      <c r="N13" s="220">
        <f t="shared" si="53"/>
        <v>4.6728827443821265E-2</v>
      </c>
      <c r="O13" s="220">
        <f t="shared" si="53"/>
        <v>-9.62739265746918E-3</v>
      </c>
      <c r="P13" s="220">
        <f t="shared" si="53"/>
        <v>2.1381622032660506E-2</v>
      </c>
      <c r="Q13" s="220">
        <f t="shared" si="53"/>
        <v>-2.3879332268572622E-2</v>
      </c>
      <c r="R13" s="220">
        <f t="shared" si="53"/>
        <v>5.4215048380173367E-2</v>
      </c>
      <c r="S13" s="220">
        <f t="shared" si="53"/>
        <v>-1.5946737261045139E-2</v>
      </c>
      <c r="T13" s="220">
        <f t="shared" si="53"/>
        <v>1.844067299817978E-2</v>
      </c>
      <c r="U13" s="220">
        <f t="shared" si="53"/>
        <v>0.24573428993194077</v>
      </c>
      <c r="V13" s="220">
        <f t="shared" si="53"/>
        <v>0.20646821261261489</v>
      </c>
      <c r="W13" s="220">
        <f t="shared" si="53"/>
        <v>4.0030711473596117E-2</v>
      </c>
      <c r="X13" s="220">
        <f t="shared" si="53"/>
        <v>2.2612183411041556E-2</v>
      </c>
      <c r="Y13" s="220">
        <f t="shared" si="53"/>
        <v>0.32974060970882857</v>
      </c>
      <c r="Z13" s="220">
        <f t="shared" si="53"/>
        <v>0.30773305847832949</v>
      </c>
      <c r="AA13" s="220">
        <f t="shared" si="53"/>
        <v>0.12529893036757098</v>
      </c>
      <c r="AB13" s="220">
        <f t="shared" si="53"/>
        <v>0.15107478933781493</v>
      </c>
      <c r="AC13" s="220">
        <f t="shared" si="53"/>
        <v>0.7894163093261215</v>
      </c>
      <c r="AD13" s="220">
        <f t="shared" si="53"/>
        <v>0.76309424567737349</v>
      </c>
      <c r="AE13" s="220">
        <f t="shared" si="53"/>
        <v>0.39079424740939728</v>
      </c>
      <c r="AF13" s="220">
        <f t="shared" si="53"/>
        <v>0.27866556094998945</v>
      </c>
      <c r="AG13" s="220">
        <f t="shared" si="53"/>
        <v>0.30796551566890229</v>
      </c>
      <c r="AH13" s="220">
        <f t="shared" si="53"/>
        <v>0.21373858809677809</v>
      </c>
      <c r="AI13" s="220">
        <f t="shared" si="53"/>
        <v>1.6278356618154612E-2</v>
      </c>
      <c r="AJ13" s="220">
        <f t="shared" si="53"/>
        <v>2.2124503944525423E-2</v>
      </c>
      <c r="AK13" s="220">
        <f t="shared" si="53"/>
        <v>0.270941806653969</v>
      </c>
      <c r="AL13" s="220">
        <f t="shared" si="53"/>
        <v>6.0711800900863727E-2</v>
      </c>
      <c r="AM13" s="220" t="e">
        <f t="shared" si="53"/>
        <v>#DIV/0!</v>
      </c>
      <c r="AN13" s="220" t="e">
        <f t="shared" si="53"/>
        <v>#DIV/0!</v>
      </c>
      <c r="AO13" s="220" t="e">
        <f t="shared" si="53"/>
        <v>#DIV/0!</v>
      </c>
      <c r="AP13" s="220">
        <f t="shared" si="53"/>
        <v>4.9445373125993107E-3</v>
      </c>
      <c r="AQ13" s="220">
        <f t="shared" si="53"/>
        <v>2.4274362255018614E-3</v>
      </c>
      <c r="AR13" s="220">
        <f t="shared" si="53"/>
        <v>1.1054160052576018E-3</v>
      </c>
    </row>
    <row r="14" spans="1:74" s="48" customFormat="1" x14ac:dyDescent="0.25">
      <c r="A14" s="46" t="s">
        <v>293</v>
      </c>
    </row>
    <row r="15" spans="1:74" s="26" customFormat="1" x14ac:dyDescent="0.25">
      <c r="A15" s="17" t="s">
        <v>313</v>
      </c>
      <c r="B15" s="190">
        <v>0</v>
      </c>
      <c r="C15" s="190">
        <v>0</v>
      </c>
      <c r="D15" s="190">
        <v>0</v>
      </c>
      <c r="E15" s="190">
        <v>24066027.059999999</v>
      </c>
      <c r="F15" s="190">
        <v>-109372.6</v>
      </c>
      <c r="G15" s="190">
        <v>-109372.6</v>
      </c>
      <c r="H15" s="190">
        <v>0</v>
      </c>
      <c r="I15" s="190">
        <v>0</v>
      </c>
      <c r="J15" s="190">
        <v>0</v>
      </c>
      <c r="K15" s="190">
        <v>0</v>
      </c>
      <c r="L15" s="190">
        <v>0</v>
      </c>
      <c r="M15" s="190">
        <v>0</v>
      </c>
      <c r="N15" s="190">
        <v>0</v>
      </c>
      <c r="O15" s="190">
        <v>0</v>
      </c>
      <c r="P15" s="190">
        <v>0</v>
      </c>
      <c r="Q15" s="190">
        <v>0</v>
      </c>
      <c r="R15" s="190">
        <v>0</v>
      </c>
      <c r="S15" s="190">
        <v>0</v>
      </c>
      <c r="T15" s="190">
        <v>0</v>
      </c>
      <c r="U15" s="190">
        <v>0</v>
      </c>
      <c r="V15" s="190">
        <v>0</v>
      </c>
      <c r="W15" s="190">
        <v>0</v>
      </c>
      <c r="X15" s="190">
        <v>0</v>
      </c>
      <c r="Y15" s="190">
        <v>0</v>
      </c>
      <c r="Z15" s="190">
        <v>0</v>
      </c>
      <c r="AA15" s="190">
        <v>0</v>
      </c>
      <c r="AB15" s="190">
        <v>0</v>
      </c>
      <c r="AC15" s="190">
        <v>0</v>
      </c>
      <c r="AD15" s="190">
        <v>0</v>
      </c>
      <c r="AE15" s="190">
        <v>0</v>
      </c>
      <c r="AF15" s="190">
        <v>0</v>
      </c>
      <c r="AG15" s="190">
        <v>0</v>
      </c>
      <c r="AH15" s="190">
        <v>0</v>
      </c>
      <c r="AI15" s="190">
        <v>0</v>
      </c>
      <c r="AJ15" s="190">
        <v>0</v>
      </c>
      <c r="AK15" s="190">
        <v>0</v>
      </c>
      <c r="AL15" s="190">
        <v>0</v>
      </c>
      <c r="AM15" s="190">
        <v>0</v>
      </c>
      <c r="AN15" s="190">
        <v>0</v>
      </c>
      <c r="AO15" s="190">
        <v>0</v>
      </c>
      <c r="AP15" s="190">
        <v>0</v>
      </c>
      <c r="AQ15" s="190">
        <v>0</v>
      </c>
      <c r="AR15" s="190">
        <v>0</v>
      </c>
      <c r="AS15" s="190">
        <v>0</v>
      </c>
      <c r="AT15" s="190">
        <v>0</v>
      </c>
      <c r="AU15" s="190">
        <v>0</v>
      </c>
      <c r="AV15" s="190">
        <v>0</v>
      </c>
      <c r="AW15" s="190">
        <v>0</v>
      </c>
      <c r="AX15" s="190">
        <v>0</v>
      </c>
      <c r="AY15" s="190">
        <v>0</v>
      </c>
      <c r="AZ15" s="190">
        <v>0</v>
      </c>
      <c r="BA15" s="190">
        <v>0</v>
      </c>
      <c r="BB15" s="190">
        <v>0</v>
      </c>
      <c r="BC15" s="190">
        <v>0</v>
      </c>
      <c r="BD15" s="190">
        <v>0</v>
      </c>
      <c r="BE15" s="190">
        <v>0</v>
      </c>
      <c r="BF15" s="190">
        <v>0</v>
      </c>
      <c r="BG15" s="190">
        <v>0</v>
      </c>
      <c r="BH15" s="190">
        <v>0</v>
      </c>
      <c r="BI15" s="190">
        <v>0</v>
      </c>
      <c r="BJ15" s="190">
        <v>0</v>
      </c>
      <c r="BK15" s="190">
        <v>0</v>
      </c>
      <c r="BL15" s="190">
        <v>0</v>
      </c>
      <c r="BM15" s="190">
        <v>0</v>
      </c>
      <c r="BN15" s="190">
        <v>0</v>
      </c>
      <c r="BO15" s="190">
        <v>0</v>
      </c>
      <c r="BP15" s="190">
        <v>0</v>
      </c>
      <c r="BQ15" s="190">
        <v>0</v>
      </c>
      <c r="BR15" s="190">
        <v>0</v>
      </c>
      <c r="BS15" s="190">
        <v>0</v>
      </c>
      <c r="BT15" s="190">
        <v>0</v>
      </c>
      <c r="BU15" s="190">
        <v>0</v>
      </c>
      <c r="BV15" s="190">
        <v>0</v>
      </c>
    </row>
    <row r="16" spans="1:74" s="26" customFormat="1" x14ac:dyDescent="0.25">
      <c r="A16" s="17" t="s">
        <v>314</v>
      </c>
      <c r="B16" s="190">
        <v>0</v>
      </c>
      <c r="C16" s="190">
        <v>0</v>
      </c>
      <c r="D16" s="190">
        <v>0</v>
      </c>
      <c r="E16" s="190">
        <v>473809034.79000002</v>
      </c>
      <c r="F16" s="190">
        <v>475594004.85000002</v>
      </c>
      <c r="G16" s="190">
        <v>475594004.85000002</v>
      </c>
      <c r="H16" s="190">
        <v>512121087.44999999</v>
      </c>
      <c r="I16" s="190">
        <v>0</v>
      </c>
      <c r="J16" s="190">
        <v>0</v>
      </c>
      <c r="K16" s="190">
        <v>0</v>
      </c>
      <c r="L16" s="190">
        <v>0</v>
      </c>
      <c r="M16" s="190">
        <v>66253681.619999997</v>
      </c>
      <c r="N16" s="190">
        <v>0</v>
      </c>
      <c r="O16" s="190">
        <v>0</v>
      </c>
      <c r="P16" s="190">
        <v>0</v>
      </c>
      <c r="Q16" s="190">
        <v>132325433.64</v>
      </c>
      <c r="R16" s="190">
        <v>0</v>
      </c>
      <c r="S16" s="190">
        <v>0</v>
      </c>
      <c r="T16" s="190">
        <v>0</v>
      </c>
      <c r="U16" s="190">
        <v>0</v>
      </c>
      <c r="V16" s="190">
        <v>0</v>
      </c>
      <c r="W16" s="190">
        <v>0</v>
      </c>
      <c r="X16" s="190">
        <v>0</v>
      </c>
      <c r="Y16" s="190">
        <v>0</v>
      </c>
      <c r="Z16" s="190">
        <v>0</v>
      </c>
      <c r="AA16" s="190">
        <v>0</v>
      </c>
      <c r="AB16" s="190">
        <v>0</v>
      </c>
      <c r="AC16" s="190">
        <v>0</v>
      </c>
      <c r="AD16" s="190">
        <v>0</v>
      </c>
      <c r="AE16" s="190">
        <v>0</v>
      </c>
      <c r="AF16" s="190">
        <v>0</v>
      </c>
      <c r="AG16" s="190">
        <v>0</v>
      </c>
      <c r="AH16" s="190">
        <v>0</v>
      </c>
      <c r="AI16" s="190">
        <v>0</v>
      </c>
      <c r="AJ16" s="190">
        <v>0</v>
      </c>
      <c r="AK16" s="190">
        <v>8317411.9100000001</v>
      </c>
      <c r="AL16" s="190">
        <v>0</v>
      </c>
      <c r="AM16" s="190">
        <v>0</v>
      </c>
      <c r="AN16" s="190">
        <v>0</v>
      </c>
      <c r="AO16" s="190">
        <v>0</v>
      </c>
      <c r="AP16" s="190">
        <v>0</v>
      </c>
      <c r="AQ16" s="190">
        <v>0</v>
      </c>
      <c r="AR16" s="190">
        <v>10409344.18</v>
      </c>
      <c r="AS16" s="190">
        <v>0</v>
      </c>
      <c r="AT16" s="190">
        <v>0</v>
      </c>
      <c r="AU16" s="190">
        <v>0</v>
      </c>
      <c r="AV16" s="190">
        <v>0</v>
      </c>
      <c r="AW16" s="190">
        <v>0</v>
      </c>
      <c r="AX16" s="190">
        <v>0</v>
      </c>
      <c r="AY16" s="190">
        <v>0</v>
      </c>
      <c r="AZ16" s="190">
        <v>0</v>
      </c>
      <c r="BA16" s="190">
        <v>0</v>
      </c>
      <c r="BB16" s="190">
        <v>0</v>
      </c>
      <c r="BC16" s="190">
        <v>0</v>
      </c>
      <c r="BD16" s="190">
        <v>0</v>
      </c>
      <c r="BE16" s="190">
        <v>0</v>
      </c>
      <c r="BF16" s="190">
        <v>0</v>
      </c>
      <c r="BG16" s="190">
        <v>0</v>
      </c>
      <c r="BH16" s="190">
        <v>0</v>
      </c>
      <c r="BI16" s="190">
        <v>0</v>
      </c>
      <c r="BJ16" s="190">
        <v>0</v>
      </c>
      <c r="BK16" s="190">
        <v>0</v>
      </c>
      <c r="BL16" s="190">
        <v>0</v>
      </c>
      <c r="BM16" s="190">
        <v>0</v>
      </c>
      <c r="BN16" s="190">
        <v>0</v>
      </c>
      <c r="BO16" s="190">
        <v>0</v>
      </c>
      <c r="BP16" s="190">
        <v>0</v>
      </c>
      <c r="BQ16" s="190">
        <v>0</v>
      </c>
      <c r="BR16" s="190">
        <v>0</v>
      </c>
      <c r="BS16" s="190">
        <v>0</v>
      </c>
      <c r="BT16" s="190">
        <v>0</v>
      </c>
      <c r="BU16" s="190">
        <v>0</v>
      </c>
      <c r="BV16" s="190">
        <v>0</v>
      </c>
    </row>
    <row r="17" spans="1:74" s="47" customFormat="1" x14ac:dyDescent="0.25">
      <c r="A17" s="135" t="s">
        <v>298</v>
      </c>
      <c r="E17" s="47">
        <f>E16-E15</f>
        <v>449743007.73000002</v>
      </c>
      <c r="F17" s="47">
        <f t="shared" ref="F17:AV17" si="54">F16-F15</f>
        <v>475703377.45000005</v>
      </c>
      <c r="G17" s="47">
        <f t="shared" si="54"/>
        <v>475703377.45000005</v>
      </c>
      <c r="H17" s="47">
        <f t="shared" si="54"/>
        <v>512121087.44999999</v>
      </c>
      <c r="I17" s="47">
        <f t="shared" si="54"/>
        <v>0</v>
      </c>
      <c r="J17" s="47">
        <f t="shared" si="54"/>
        <v>0</v>
      </c>
      <c r="K17" s="47">
        <f t="shared" si="54"/>
        <v>0</v>
      </c>
      <c r="L17" s="47">
        <f t="shared" si="54"/>
        <v>0</v>
      </c>
      <c r="M17" s="47">
        <f t="shared" si="54"/>
        <v>66253681.619999997</v>
      </c>
      <c r="N17" s="47">
        <f t="shared" si="54"/>
        <v>0</v>
      </c>
      <c r="O17" s="47">
        <f t="shared" si="54"/>
        <v>0</v>
      </c>
      <c r="P17" s="47">
        <f t="shared" si="54"/>
        <v>0</v>
      </c>
      <c r="Q17" s="47">
        <f t="shared" si="54"/>
        <v>132325433.64</v>
      </c>
      <c r="R17" s="47">
        <f t="shared" si="54"/>
        <v>0</v>
      </c>
      <c r="S17" s="47">
        <f t="shared" si="54"/>
        <v>0</v>
      </c>
      <c r="T17" s="47">
        <f t="shared" si="54"/>
        <v>0</v>
      </c>
      <c r="U17" s="47">
        <f t="shared" si="54"/>
        <v>0</v>
      </c>
      <c r="V17" s="47">
        <f t="shared" si="54"/>
        <v>0</v>
      </c>
      <c r="W17" s="47">
        <f t="shared" si="54"/>
        <v>0</v>
      </c>
      <c r="X17" s="47">
        <f t="shared" si="54"/>
        <v>0</v>
      </c>
      <c r="Y17" s="47">
        <f t="shared" si="54"/>
        <v>0</v>
      </c>
      <c r="Z17" s="47">
        <f t="shared" si="54"/>
        <v>0</v>
      </c>
      <c r="AA17" s="47">
        <f t="shared" si="54"/>
        <v>0</v>
      </c>
      <c r="AB17" s="47">
        <f t="shared" si="54"/>
        <v>0</v>
      </c>
      <c r="AC17" s="47">
        <f t="shared" si="54"/>
        <v>0</v>
      </c>
      <c r="AD17" s="47">
        <f t="shared" si="54"/>
        <v>0</v>
      </c>
      <c r="AE17" s="47">
        <f t="shared" si="54"/>
        <v>0</v>
      </c>
      <c r="AF17" s="47">
        <f t="shared" si="54"/>
        <v>0</v>
      </c>
      <c r="AG17" s="47">
        <f t="shared" si="54"/>
        <v>0</v>
      </c>
      <c r="AH17" s="47">
        <f t="shared" si="54"/>
        <v>0</v>
      </c>
      <c r="AI17" s="47">
        <f t="shared" si="54"/>
        <v>0</v>
      </c>
      <c r="AJ17" s="47">
        <f t="shared" si="54"/>
        <v>0</v>
      </c>
      <c r="AK17" s="47">
        <f t="shared" si="54"/>
        <v>8317411.9100000001</v>
      </c>
      <c r="AL17" s="47">
        <f t="shared" si="54"/>
        <v>0</v>
      </c>
      <c r="AM17" s="47">
        <f t="shared" si="54"/>
        <v>0</v>
      </c>
      <c r="AN17" s="47">
        <f t="shared" si="54"/>
        <v>0</v>
      </c>
      <c r="AO17" s="47">
        <f t="shared" si="54"/>
        <v>0</v>
      </c>
      <c r="AP17" s="47">
        <f t="shared" si="54"/>
        <v>0</v>
      </c>
      <c r="AQ17" s="47">
        <f t="shared" si="54"/>
        <v>0</v>
      </c>
      <c r="AR17" s="47">
        <f t="shared" si="54"/>
        <v>10409344.18</v>
      </c>
      <c r="AS17" s="47">
        <f t="shared" si="54"/>
        <v>0</v>
      </c>
      <c r="AT17" s="47">
        <f t="shared" si="54"/>
        <v>0</v>
      </c>
      <c r="AU17" s="47">
        <f t="shared" si="54"/>
        <v>0</v>
      </c>
      <c r="AV17" s="47">
        <f t="shared" si="54"/>
        <v>0</v>
      </c>
    </row>
    <row r="18" spans="1:74" s="48" customFormat="1" x14ac:dyDescent="0.25">
      <c r="A18" s="46" t="s">
        <v>294</v>
      </c>
    </row>
    <row r="19" spans="1:74" s="193" customFormat="1" x14ac:dyDescent="0.25">
      <c r="A19" s="193" t="s">
        <v>299</v>
      </c>
      <c r="E19" s="193">
        <f>E5+E17</f>
        <v>473608418.90000004</v>
      </c>
      <c r="F19" s="193">
        <f t="shared" ref="F19:AS19" si="55">F5+F17</f>
        <v>514868618.82000005</v>
      </c>
      <c r="G19" s="193">
        <f t="shared" si="55"/>
        <v>497004677.53000003</v>
      </c>
      <c r="H19" s="193">
        <f t="shared" si="55"/>
        <v>524297217.02999997</v>
      </c>
      <c r="I19" s="193">
        <f t="shared" si="55"/>
        <v>61591048.32</v>
      </c>
      <c r="J19" s="193">
        <f t="shared" si="55"/>
        <v>51899962.450000003</v>
      </c>
      <c r="K19" s="193">
        <f t="shared" si="55"/>
        <v>43540081.700000003</v>
      </c>
      <c r="L19" s="193">
        <f t="shared" si="55"/>
        <v>12775991.550000001</v>
      </c>
      <c r="M19" s="193">
        <f t="shared" si="55"/>
        <v>127155540.23999999</v>
      </c>
      <c r="N19" s="193">
        <f t="shared" si="55"/>
        <v>30782228.419999998</v>
      </c>
      <c r="O19" s="193">
        <f t="shared" si="55"/>
        <v>25159619.07</v>
      </c>
      <c r="P19" s="193">
        <f t="shared" si="55"/>
        <v>13643762.609999999</v>
      </c>
      <c r="Q19" s="193">
        <f t="shared" si="55"/>
        <v>178952125.04000002</v>
      </c>
      <c r="R19" s="193">
        <f t="shared" si="55"/>
        <v>37286366.32</v>
      </c>
      <c r="S19" s="193">
        <f t="shared" si="55"/>
        <v>19702440.52</v>
      </c>
      <c r="T19" s="193">
        <f t="shared" si="55"/>
        <v>12460552.4</v>
      </c>
      <c r="U19" s="193">
        <f t="shared" si="55"/>
        <v>174798017.59999999</v>
      </c>
      <c r="V19" s="193">
        <f t="shared" si="55"/>
        <v>102571002.12</v>
      </c>
      <c r="W19" s="193">
        <f t="shared" si="55"/>
        <v>40184926.649999999</v>
      </c>
      <c r="X19" s="193">
        <f t="shared" si="55"/>
        <v>9600247.1899999995</v>
      </c>
      <c r="Y19" s="193">
        <f t="shared" si="55"/>
        <v>174948474.66999999</v>
      </c>
      <c r="Z19" s="193">
        <f t="shared" si="55"/>
        <v>96368336.950000003</v>
      </c>
      <c r="AA19" s="193">
        <f t="shared" si="55"/>
        <v>49657024.939999998</v>
      </c>
      <c r="AB19" s="193">
        <f t="shared" si="55"/>
        <v>35348778.57</v>
      </c>
      <c r="AC19" s="193">
        <f t="shared" si="55"/>
        <v>187725076.45000002</v>
      </c>
      <c r="AD19" s="193">
        <f t="shared" si="55"/>
        <v>103479109.03999999</v>
      </c>
      <c r="AE19" s="193">
        <f t="shared" si="55"/>
        <v>55679022.940000005</v>
      </c>
      <c r="AF19" s="193">
        <f t="shared" si="55"/>
        <v>35697092.039999999</v>
      </c>
      <c r="AG19" s="193">
        <f t="shared" si="55"/>
        <v>51534815.230000004</v>
      </c>
      <c r="AH19" s="193">
        <f t="shared" si="55"/>
        <v>20762349.579999998</v>
      </c>
      <c r="AI19" s="193">
        <f t="shared" si="55"/>
        <v>5641578.3600000003</v>
      </c>
      <c r="AJ19" s="193">
        <f t="shared" si="55"/>
        <v>2255622.92</v>
      </c>
      <c r="AK19" s="193">
        <f t="shared" si="55"/>
        <v>34713264.700000003</v>
      </c>
      <c r="AL19" s="193">
        <f t="shared" si="55"/>
        <v>3897480.68</v>
      </c>
      <c r="AM19" s="193">
        <f t="shared" si="55"/>
        <v>3471517.17</v>
      </c>
      <c r="AN19" s="193">
        <f t="shared" si="55"/>
        <v>2737731.17</v>
      </c>
      <c r="AO19" s="193">
        <f t="shared" si="55"/>
        <v>32181630.849999998</v>
      </c>
      <c r="AP19" s="193">
        <f t="shared" si="55"/>
        <v>25315169.48</v>
      </c>
      <c r="AQ19" s="193">
        <f t="shared" si="55"/>
        <v>19593220.329999998</v>
      </c>
      <c r="AR19" s="193">
        <f t="shared" si="55"/>
        <v>22380682.66</v>
      </c>
      <c r="AS19" s="193">
        <f t="shared" si="55"/>
        <v>0</v>
      </c>
    </row>
    <row r="20" spans="1:74" s="193" customFormat="1" x14ac:dyDescent="0.25">
      <c r="A20" s="193" t="s">
        <v>300</v>
      </c>
      <c r="B20" s="190">
        <v>-204865802.30000001</v>
      </c>
      <c r="C20" s="190">
        <v>-34056397.049999997</v>
      </c>
      <c r="D20" s="190">
        <v>-21880228.300000001</v>
      </c>
      <c r="E20" s="190">
        <v>398329906.70999998</v>
      </c>
      <c r="F20" s="190">
        <v>22057931.399999999</v>
      </c>
      <c r="G20" s="190">
        <v>-108047538.38</v>
      </c>
      <c r="H20" s="190">
        <v>91197203.870000005</v>
      </c>
      <c r="I20" s="190">
        <v>505346104.88999999</v>
      </c>
      <c r="J20" s="190">
        <v>222610853.25999999</v>
      </c>
      <c r="K20" s="190">
        <v>52297990.909999996</v>
      </c>
      <c r="L20" s="190">
        <v>80416090.650000006</v>
      </c>
      <c r="M20" s="190">
        <v>339503977.39999998</v>
      </c>
      <c r="N20" s="190">
        <v>190646009.99000001</v>
      </c>
      <c r="O20" s="190">
        <v>70588324.090000004</v>
      </c>
      <c r="P20" s="190">
        <v>142675186.96000001</v>
      </c>
      <c r="Q20" s="190">
        <v>508017310.10000002</v>
      </c>
      <c r="R20" s="190">
        <v>321017919.66000003</v>
      </c>
      <c r="S20" s="190">
        <v>84241772.310000002</v>
      </c>
      <c r="T20" s="190">
        <v>165971258.36000001</v>
      </c>
      <c r="U20" s="190">
        <v>413669738.88</v>
      </c>
      <c r="V20" s="190">
        <v>176625941.65000001</v>
      </c>
      <c r="W20" s="190">
        <v>-63675890.590000004</v>
      </c>
      <c r="X20" s="190">
        <v>37386371.759999998</v>
      </c>
      <c r="Y20" s="190">
        <v>246398895.37</v>
      </c>
      <c r="Z20" s="190">
        <v>20417199.34</v>
      </c>
      <c r="AA20" s="190">
        <v>-157738332.30000001</v>
      </c>
      <c r="AB20" s="190">
        <v>42416729.969999999</v>
      </c>
      <c r="AC20" s="190">
        <v>306295910.07999998</v>
      </c>
      <c r="AD20" s="190">
        <v>209983030.33000001</v>
      </c>
      <c r="AE20" s="190">
        <v>52398903.630000003</v>
      </c>
      <c r="AF20" s="190">
        <v>124686672.64</v>
      </c>
      <c r="AG20" s="190">
        <v>132187072.02</v>
      </c>
      <c r="AH20" s="190">
        <v>679972.5</v>
      </c>
      <c r="AI20" s="190">
        <v>-34746417.619999997</v>
      </c>
      <c r="AJ20" s="190">
        <v>61533081.909999996</v>
      </c>
      <c r="AK20" s="190">
        <v>134205495.3</v>
      </c>
      <c r="AL20" s="190">
        <v>89952114.109999999</v>
      </c>
      <c r="AM20" s="190">
        <v>23159448.66</v>
      </c>
      <c r="AN20" s="190">
        <v>52529154.340000004</v>
      </c>
      <c r="AO20" s="190">
        <v>108319136.56999999</v>
      </c>
      <c r="AP20" s="190">
        <v>34728334.869999997</v>
      </c>
      <c r="AQ20" s="190">
        <v>44102238.759999998</v>
      </c>
      <c r="AR20" s="190">
        <v>17055404.859999999</v>
      </c>
      <c r="AS20" s="190">
        <v>0</v>
      </c>
      <c r="AT20" s="190">
        <v>2089846017.8800001</v>
      </c>
      <c r="AU20" s="190">
        <v>1599888081.8099999</v>
      </c>
      <c r="AV20" s="190">
        <v>1055798280.0700001</v>
      </c>
      <c r="AW20" s="190">
        <v>1336270367.45</v>
      </c>
      <c r="AX20" s="190">
        <v>1192408273.4000001</v>
      </c>
      <c r="AY20" s="190">
        <v>889923241.13999999</v>
      </c>
      <c r="AZ20" s="190">
        <v>788427165.83000004</v>
      </c>
      <c r="BA20" s="190">
        <v>1252717668.0899999</v>
      </c>
      <c r="BB20" s="190">
        <v>807940999.38999999</v>
      </c>
      <c r="BC20" s="190">
        <v>713289532.66999996</v>
      </c>
      <c r="BD20" s="190">
        <v>410809880.20999998</v>
      </c>
      <c r="BE20" s="190">
        <v>821693394.29999995</v>
      </c>
      <c r="BF20" s="190">
        <v>845972023.45000005</v>
      </c>
      <c r="BG20" s="190">
        <v>673455379.76999998</v>
      </c>
      <c r="BH20" s="190">
        <v>959479476.41999996</v>
      </c>
      <c r="BI20" s="190">
        <v>1044659243.4</v>
      </c>
      <c r="BJ20" s="190">
        <v>796479775.66999996</v>
      </c>
      <c r="BK20" s="190">
        <v>324143510.37</v>
      </c>
      <c r="BL20" s="190">
        <v>233531826.72</v>
      </c>
      <c r="BM20" s="190">
        <v>1053290717.92</v>
      </c>
      <c r="BN20" s="190">
        <v>513631576.39999998</v>
      </c>
      <c r="BO20" s="190">
        <v>1073187941.83</v>
      </c>
      <c r="BP20" s="190">
        <v>259841859.31999999</v>
      </c>
      <c r="BQ20" s="190">
        <v>1294995783.27</v>
      </c>
      <c r="BR20" s="190">
        <v>527169463.72000003</v>
      </c>
      <c r="BS20" s="190">
        <v>898446895.69000006</v>
      </c>
      <c r="BT20" s="190">
        <v>436278873.26999998</v>
      </c>
      <c r="BU20" s="190">
        <v>359005459.04000002</v>
      </c>
      <c r="BV20" s="190">
        <v>0</v>
      </c>
    </row>
    <row r="21" spans="1:74" s="221" customFormat="1" x14ac:dyDescent="0.25">
      <c r="A21" s="221" t="s">
        <v>666</v>
      </c>
      <c r="E21" s="221">
        <f>E20/E19</f>
        <v>0.84105326428773908</v>
      </c>
      <c r="F21" s="221">
        <f t="shared" ref="F21:AS21" si="56">F20/F19</f>
        <v>4.2841864106135261E-2</v>
      </c>
      <c r="G21" s="221">
        <f t="shared" si="56"/>
        <v>-0.21739742755937758</v>
      </c>
      <c r="H21" s="221">
        <f t="shared" si="56"/>
        <v>0.17394180420526961</v>
      </c>
      <c r="I21" s="221">
        <f t="shared" si="56"/>
        <v>8.2048628603371689</v>
      </c>
      <c r="J21" s="221">
        <f t="shared" si="56"/>
        <v>4.2892295630167645</v>
      </c>
      <c r="K21" s="221">
        <f t="shared" si="56"/>
        <v>1.2011459066692562</v>
      </c>
      <c r="L21" s="221">
        <f t="shared" si="56"/>
        <v>6.2943130742756326</v>
      </c>
      <c r="M21" s="221">
        <f t="shared" si="56"/>
        <v>2.6699896580141336</v>
      </c>
      <c r="N21" s="221">
        <f t="shared" si="56"/>
        <v>6.1933790948719114</v>
      </c>
      <c r="O21" s="221">
        <f t="shared" si="56"/>
        <v>2.8056197470083557</v>
      </c>
      <c r="P21" s="221">
        <f t="shared" si="56"/>
        <v>10.457173071556396</v>
      </c>
      <c r="Q21" s="221">
        <f t="shared" si="56"/>
        <v>2.8388448026892452</v>
      </c>
      <c r="R21" s="221">
        <f t="shared" si="56"/>
        <v>8.6095254470481759</v>
      </c>
      <c r="S21" s="221">
        <f t="shared" si="56"/>
        <v>4.2757024047089978</v>
      </c>
      <c r="T21" s="221">
        <f t="shared" si="56"/>
        <v>13.319735195688436</v>
      </c>
      <c r="U21" s="221">
        <f t="shared" si="56"/>
        <v>2.3665585260047024</v>
      </c>
      <c r="V21" s="221">
        <f t="shared" si="56"/>
        <v>1.721987091862099</v>
      </c>
      <c r="W21" s="221">
        <f t="shared" si="56"/>
        <v>-1.5845715271449925</v>
      </c>
      <c r="X21" s="221">
        <f t="shared" si="56"/>
        <v>3.8943134504852264</v>
      </c>
      <c r="Y21" s="221">
        <f t="shared" si="56"/>
        <v>1.4084083661476603</v>
      </c>
      <c r="Z21" s="221">
        <f t="shared" si="56"/>
        <v>0.21186626215821605</v>
      </c>
      <c r="AA21" s="221">
        <f t="shared" si="56"/>
        <v>-3.1765562373217766</v>
      </c>
      <c r="AB21" s="221">
        <f t="shared" si="56"/>
        <v>1.1999489568219046</v>
      </c>
      <c r="AC21" s="221">
        <f t="shared" si="56"/>
        <v>1.6316195783336434</v>
      </c>
      <c r="AD21" s="221">
        <f t="shared" si="56"/>
        <v>2.0292311392904514</v>
      </c>
      <c r="AE21" s="221">
        <f t="shared" si="56"/>
        <v>0.94108877748205688</v>
      </c>
      <c r="AF21" s="221">
        <f t="shared" si="56"/>
        <v>3.4929083999414763</v>
      </c>
      <c r="AG21" s="221">
        <f t="shared" si="56"/>
        <v>2.5650052577087696</v>
      </c>
      <c r="AH21" s="221">
        <f t="shared" si="56"/>
        <v>3.2750267371232655E-2</v>
      </c>
      <c r="AI21" s="221">
        <f t="shared" si="56"/>
        <v>-6.1589887444193891</v>
      </c>
      <c r="AJ21" s="221">
        <f t="shared" si="56"/>
        <v>27.279861968240684</v>
      </c>
      <c r="AK21" s="221">
        <f t="shared" si="56"/>
        <v>3.866115632160636</v>
      </c>
      <c r="AL21" s="221">
        <f t="shared" si="56"/>
        <v>23.079553561763902</v>
      </c>
      <c r="AM21" s="221">
        <f t="shared" si="56"/>
        <v>6.6712758502646263</v>
      </c>
      <c r="AN21" s="221">
        <f t="shared" si="56"/>
        <v>19.187111910626346</v>
      </c>
      <c r="AO21" s="221">
        <f t="shared" si="56"/>
        <v>3.3658684693414163</v>
      </c>
      <c r="AP21" s="221">
        <f t="shared" si="56"/>
        <v>1.3718389243823461</v>
      </c>
      <c r="AQ21" s="221">
        <f t="shared" si="56"/>
        <v>2.2508928097171048</v>
      </c>
      <c r="AR21" s="221">
        <f t="shared" si="56"/>
        <v>0.76205918823389451</v>
      </c>
      <c r="AS21" s="221" t="e">
        <f t="shared" si="56"/>
        <v>#DIV/0!</v>
      </c>
    </row>
    <row r="22" spans="1:74" s="193" customFormat="1" x14ac:dyDescent="0.25">
      <c r="A22" s="193" t="s">
        <v>301</v>
      </c>
      <c r="E22" s="193">
        <f>I35</f>
        <v>1547342145.5699999</v>
      </c>
      <c r="F22" s="193">
        <f t="shared" ref="F22:Y22" si="57">J35</f>
        <v>935254236.98000002</v>
      </c>
      <c r="G22" s="193">
        <f t="shared" si="57"/>
        <v>726701245.64999998</v>
      </c>
      <c r="H22" s="193">
        <f t="shared" si="57"/>
        <v>796484046.78999996</v>
      </c>
      <c r="I22" s="193">
        <f t="shared" si="57"/>
        <v>693588693.25999999</v>
      </c>
      <c r="J22" s="193">
        <f t="shared" si="57"/>
        <v>797669458.75</v>
      </c>
      <c r="K22" s="193">
        <f t="shared" si="57"/>
        <v>619994822.77999997</v>
      </c>
      <c r="L22" s="193">
        <f t="shared" si="57"/>
        <v>669893756.87</v>
      </c>
      <c r="M22" s="193">
        <f t="shared" si="57"/>
        <v>647204677.45000005</v>
      </c>
      <c r="N22" s="193">
        <f t="shared" si="57"/>
        <v>629117054.61000001</v>
      </c>
      <c r="O22" s="193">
        <f t="shared" si="57"/>
        <v>835542721.87</v>
      </c>
      <c r="P22" s="193">
        <f t="shared" si="57"/>
        <v>884858061.70000005</v>
      </c>
      <c r="Q22" s="193">
        <f t="shared" si="57"/>
        <v>932276706.14999998</v>
      </c>
      <c r="R22" s="193">
        <f t="shared" si="57"/>
        <v>952923862.08000004</v>
      </c>
      <c r="S22" s="193">
        <f t="shared" si="57"/>
        <v>769157162.38</v>
      </c>
      <c r="T22" s="193">
        <f t="shared" si="57"/>
        <v>991763885.86000001</v>
      </c>
      <c r="U22" s="193">
        <f t="shared" si="57"/>
        <v>956043885.24000001</v>
      </c>
      <c r="V22" s="193">
        <f t="shared" si="57"/>
        <v>803173622.38</v>
      </c>
      <c r="W22" s="193">
        <f t="shared" si="57"/>
        <v>667828913.97000003</v>
      </c>
      <c r="X22" s="193">
        <f t="shared" si="57"/>
        <v>1014024416.74</v>
      </c>
      <c r="Y22" s="193">
        <f t="shared" si="57"/>
        <v>1002302902.5700001</v>
      </c>
      <c r="Z22" s="193">
        <f t="shared" ref="Z22" si="58">AD35</f>
        <v>982362386.38999999</v>
      </c>
      <c r="AA22" s="193">
        <f t="shared" ref="AA22" si="59">AE35</f>
        <v>862194779.22000003</v>
      </c>
      <c r="AB22" s="193">
        <f t="shared" ref="AB22" si="60">AF35</f>
        <v>1151874426.3</v>
      </c>
      <c r="AC22" s="193">
        <f t="shared" ref="AC22" si="61">AG35</f>
        <v>1057191976.45</v>
      </c>
      <c r="AD22" s="193">
        <f t="shared" ref="AD22" si="62">AH35</f>
        <v>960610001.01999998</v>
      </c>
      <c r="AE22" s="193">
        <f t="shared" ref="AE22" si="63">AI35</f>
        <v>930790908.42999995</v>
      </c>
      <c r="AF22" s="193">
        <f t="shared" ref="AF22" si="64">AJ35</f>
        <v>1127355392.73</v>
      </c>
      <c r="AG22" s="193">
        <f t="shared" ref="AG22" si="65">AK35</f>
        <v>1066884381.7</v>
      </c>
      <c r="AH22" s="193">
        <f t="shared" ref="AH22" si="66">AL35</f>
        <v>1057983159.11</v>
      </c>
      <c r="AI22" s="193">
        <f t="shared" ref="AI22" si="67">AM35</f>
        <v>74808751.980000004</v>
      </c>
      <c r="AJ22" s="193">
        <f t="shared" ref="AJ22" si="68">AN35</f>
        <v>78505801.079999998</v>
      </c>
      <c r="AK22" s="193">
        <f t="shared" ref="AK22" si="69">AO35</f>
        <v>50145116.420000002</v>
      </c>
      <c r="AL22" s="193">
        <f t="shared" ref="AL22" si="70">AP35</f>
        <v>52609626.460000001</v>
      </c>
      <c r="AM22" s="193">
        <f t="shared" ref="AM22" si="71">AQ35</f>
        <v>0</v>
      </c>
      <c r="AN22" s="193">
        <f t="shared" ref="AN22" si="72">AR35</f>
        <v>0</v>
      </c>
      <c r="AO22" s="193">
        <f t="shared" ref="AO22" si="73">AS35</f>
        <v>0</v>
      </c>
      <c r="AP22" s="193">
        <f t="shared" ref="AP22" si="74">AT35</f>
        <v>0</v>
      </c>
      <c r="AQ22" s="193">
        <f t="shared" ref="AQ22" si="75">AU35</f>
        <v>0</v>
      </c>
      <c r="AR22" s="193">
        <f t="shared" ref="AR22" si="76">AV35</f>
        <v>0</v>
      </c>
      <c r="AS22" s="193">
        <f t="shared" ref="AS22" si="77">AW35</f>
        <v>0</v>
      </c>
    </row>
    <row r="23" spans="1:74" s="193" customFormat="1" x14ac:dyDescent="0.25">
      <c r="A23" s="193" t="s">
        <v>302</v>
      </c>
      <c r="E23" s="193">
        <f>E20+E22-E19</f>
        <v>1472063633.3799999</v>
      </c>
      <c r="F23" s="193">
        <f t="shared" ref="F23:AS23" si="78">F20+F22-F19</f>
        <v>442443549.55999994</v>
      </c>
      <c r="G23" s="193">
        <f t="shared" si="78"/>
        <v>121649029.73999995</v>
      </c>
      <c r="H23" s="193">
        <f t="shared" si="78"/>
        <v>363384033.63</v>
      </c>
      <c r="I23" s="193">
        <f t="shared" si="78"/>
        <v>1137343749.8300002</v>
      </c>
      <c r="J23" s="193">
        <f t="shared" si="78"/>
        <v>968380349.55999994</v>
      </c>
      <c r="K23" s="193">
        <f t="shared" si="78"/>
        <v>628752731.98999989</v>
      </c>
      <c r="L23" s="193">
        <f t="shared" si="78"/>
        <v>737533855.97000003</v>
      </c>
      <c r="M23" s="193">
        <f t="shared" si="78"/>
        <v>859553114.61000001</v>
      </c>
      <c r="N23" s="193">
        <f t="shared" si="78"/>
        <v>788980836.18000007</v>
      </c>
      <c r="O23" s="193">
        <f t="shared" si="78"/>
        <v>880971426.88999999</v>
      </c>
      <c r="P23" s="193">
        <f t="shared" si="78"/>
        <v>1013889486.0500001</v>
      </c>
      <c r="Q23" s="193">
        <f t="shared" si="78"/>
        <v>1261341891.21</v>
      </c>
      <c r="R23" s="193">
        <f t="shared" si="78"/>
        <v>1236655415.4200001</v>
      </c>
      <c r="S23" s="193">
        <f t="shared" si="78"/>
        <v>833696494.17000008</v>
      </c>
      <c r="T23" s="193">
        <f t="shared" si="78"/>
        <v>1145274591.8199999</v>
      </c>
      <c r="U23" s="193">
        <f t="shared" si="78"/>
        <v>1194915606.52</v>
      </c>
      <c r="V23" s="193">
        <f t="shared" si="78"/>
        <v>877228561.90999997</v>
      </c>
      <c r="W23" s="193">
        <f t="shared" si="78"/>
        <v>563968096.73000002</v>
      </c>
      <c r="X23" s="193">
        <f t="shared" si="78"/>
        <v>1041810541.3099999</v>
      </c>
      <c r="Y23" s="193">
        <f t="shared" si="78"/>
        <v>1073753323.27</v>
      </c>
      <c r="Z23" s="193">
        <f t="shared" si="78"/>
        <v>906411248.77999997</v>
      </c>
      <c r="AA23" s="193">
        <f t="shared" si="78"/>
        <v>654799421.98000002</v>
      </c>
      <c r="AB23" s="193">
        <f t="shared" si="78"/>
        <v>1158942377.7</v>
      </c>
      <c r="AC23" s="193">
        <f t="shared" si="78"/>
        <v>1175762810.0799999</v>
      </c>
      <c r="AD23" s="193">
        <f t="shared" si="78"/>
        <v>1067113922.3099999</v>
      </c>
      <c r="AE23" s="193">
        <f t="shared" si="78"/>
        <v>927510789.11999989</v>
      </c>
      <c r="AF23" s="193">
        <f t="shared" si="78"/>
        <v>1216344973.3300002</v>
      </c>
      <c r="AG23" s="193">
        <f t="shared" si="78"/>
        <v>1147536638.49</v>
      </c>
      <c r="AH23" s="193">
        <f t="shared" si="78"/>
        <v>1037900782.03</v>
      </c>
      <c r="AI23" s="193">
        <f t="shared" si="78"/>
        <v>34420756.000000007</v>
      </c>
      <c r="AJ23" s="193">
        <f t="shared" si="78"/>
        <v>137783260.07000002</v>
      </c>
      <c r="AK23" s="193">
        <f t="shared" si="78"/>
        <v>149637347.01999998</v>
      </c>
      <c r="AL23" s="193">
        <f t="shared" si="78"/>
        <v>138664259.88999999</v>
      </c>
      <c r="AM23" s="193">
        <f t="shared" si="78"/>
        <v>19687931.490000002</v>
      </c>
      <c r="AN23" s="193">
        <f t="shared" si="78"/>
        <v>49791423.170000002</v>
      </c>
      <c r="AO23" s="193">
        <f t="shared" si="78"/>
        <v>76137505.719999999</v>
      </c>
      <c r="AP23" s="193">
        <f t="shared" si="78"/>
        <v>9413165.3899999969</v>
      </c>
      <c r="AQ23" s="193">
        <f t="shared" si="78"/>
        <v>24509018.43</v>
      </c>
      <c r="AR23" s="193">
        <f t="shared" si="78"/>
        <v>-5325277.8000000007</v>
      </c>
      <c r="AS23" s="193">
        <f t="shared" si="78"/>
        <v>0</v>
      </c>
    </row>
    <row r="24" spans="1:74" s="221" customFormat="1" x14ac:dyDescent="0.25">
      <c r="A24" s="221" t="s">
        <v>303</v>
      </c>
      <c r="B24" s="190">
        <v>198872529.78999999</v>
      </c>
      <c r="C24" s="190">
        <v>197346163.38</v>
      </c>
      <c r="D24" s="190">
        <v>465595769.37</v>
      </c>
      <c r="E24" s="190">
        <v>-208447636.72999999</v>
      </c>
      <c r="F24" s="190">
        <v>-63229860.229999997</v>
      </c>
      <c r="G24" s="190">
        <v>-57466764.079999998</v>
      </c>
      <c r="H24" s="190">
        <v>8204678.2000000002</v>
      </c>
      <c r="I24" s="190">
        <v>175600070.94999999</v>
      </c>
      <c r="J24" s="190">
        <v>14236594.119999999</v>
      </c>
      <c r="K24" s="190">
        <v>27918489.920000002</v>
      </c>
      <c r="L24" s="190">
        <v>-1441059</v>
      </c>
      <c r="M24" s="190">
        <v>-176498537.03</v>
      </c>
      <c r="N24" s="190">
        <v>-274611973</v>
      </c>
      <c r="O24" s="190">
        <v>-275576200</v>
      </c>
      <c r="P24" s="190">
        <v>0</v>
      </c>
      <c r="Q24" s="190">
        <v>-98254170</v>
      </c>
      <c r="R24" s="190">
        <v>-98254170</v>
      </c>
      <c r="S24" s="190">
        <v>-98254170</v>
      </c>
      <c r="T24" s="190">
        <v>0</v>
      </c>
      <c r="U24" s="190">
        <v>-98254170</v>
      </c>
      <c r="V24" s="190">
        <v>-98254170</v>
      </c>
      <c r="W24" s="190">
        <v>-98254170</v>
      </c>
      <c r="X24" s="190">
        <v>-92555.56</v>
      </c>
      <c r="Y24" s="190">
        <v>-140363100</v>
      </c>
      <c r="Z24" s="190">
        <v>-140363100</v>
      </c>
      <c r="AA24" s="190">
        <v>-140363100</v>
      </c>
      <c r="AB24" s="190">
        <v>0</v>
      </c>
      <c r="AC24" s="190">
        <v>-199315602</v>
      </c>
      <c r="AD24" s="190">
        <v>-199315602</v>
      </c>
      <c r="AE24" s="190">
        <v>-199315602</v>
      </c>
      <c r="AF24" s="190">
        <v>0</v>
      </c>
      <c r="AG24" s="190">
        <v>-99967301.810000002</v>
      </c>
      <c r="AH24" s="190">
        <v>-98308305</v>
      </c>
      <c r="AI24" s="190">
        <v>-98254170</v>
      </c>
      <c r="AJ24" s="190">
        <v>0</v>
      </c>
      <c r="AK24" s="190">
        <v>887178803.16999996</v>
      </c>
      <c r="AL24" s="190">
        <v>892730660.5</v>
      </c>
      <c r="AM24" s="190">
        <v>-21052620</v>
      </c>
      <c r="AN24" s="190">
        <v>-21052620</v>
      </c>
      <c r="AO24" s="190">
        <v>-48762049.93</v>
      </c>
      <c r="AP24" s="190">
        <v>-33590392.990000002</v>
      </c>
      <c r="AQ24" s="190">
        <v>-28145318.309999999</v>
      </c>
      <c r="AR24" s="190">
        <v>51985750.189999998</v>
      </c>
      <c r="AS24" s="190">
        <v>0</v>
      </c>
      <c r="AT24" s="190">
        <v>-11287580.49</v>
      </c>
      <c r="AU24" s="190">
        <v>-11287580.49</v>
      </c>
      <c r="AV24" s="190">
        <v>0</v>
      </c>
      <c r="AW24" s="190">
        <v>-271140480</v>
      </c>
      <c r="AX24" s="190">
        <v>-265331306.06</v>
      </c>
      <c r="AY24" s="190">
        <v>-220552618.06</v>
      </c>
      <c r="AZ24" s="190">
        <v>0</v>
      </c>
      <c r="BA24" s="190">
        <v>0</v>
      </c>
      <c r="BB24" s="190">
        <v>0</v>
      </c>
      <c r="BC24" s="190">
        <v>0</v>
      </c>
      <c r="BD24" s="190">
        <v>0</v>
      </c>
      <c r="BE24" s="190">
        <v>-268690480</v>
      </c>
      <c r="BF24" s="190">
        <v>-271140480</v>
      </c>
      <c r="BG24" s="190">
        <v>-271140480</v>
      </c>
      <c r="BH24" s="190">
        <v>0</v>
      </c>
      <c r="BI24" s="190">
        <v>-15606000</v>
      </c>
      <c r="BJ24" s="190">
        <v>0</v>
      </c>
      <c r="BK24" s="190">
        <v>0</v>
      </c>
      <c r="BL24" s="190">
        <v>0</v>
      </c>
      <c r="BM24" s="190">
        <v>-5320000</v>
      </c>
      <c r="BN24" s="190">
        <v>-6120000</v>
      </c>
      <c r="BO24" s="190">
        <v>562994338.32000005</v>
      </c>
      <c r="BP24" s="190">
        <v>613134338.32000005</v>
      </c>
      <c r="BQ24" s="190">
        <v>0</v>
      </c>
      <c r="BR24" s="190">
        <v>4623692.53</v>
      </c>
      <c r="BS24" s="190">
        <v>-400000000</v>
      </c>
      <c r="BT24" s="190">
        <v>-237866348.78</v>
      </c>
      <c r="BU24" s="190">
        <v>1108113819.7</v>
      </c>
      <c r="BV24" s="190">
        <v>0</v>
      </c>
    </row>
    <row r="25" spans="1:74" s="242" customFormat="1" ht="138.6" customHeight="1" x14ac:dyDescent="0.25">
      <c r="A25" s="275" t="s">
        <v>742</v>
      </c>
      <c r="B25" s="276"/>
      <c r="C25" s="276"/>
      <c r="D25" s="276"/>
      <c r="E25" s="276"/>
      <c r="F25" s="276"/>
      <c r="G25" s="276"/>
      <c r="H25" s="276"/>
      <c r="I25" s="276"/>
      <c r="J25" s="276"/>
      <c r="K25" s="276"/>
      <c r="L25" s="276"/>
      <c r="M25" s="276"/>
      <c r="N25" s="276"/>
      <c r="O25" s="276"/>
      <c r="P25" s="276"/>
      <c r="Q25" s="276"/>
      <c r="R25" s="276"/>
      <c r="S25" s="276"/>
      <c r="T25" s="276"/>
      <c r="U25" s="276"/>
      <c r="V25" s="276"/>
      <c r="W25" s="276"/>
      <c r="X25" s="276"/>
      <c r="Y25" s="276"/>
      <c r="Z25" s="276"/>
      <c r="AA25" s="276"/>
      <c r="AB25" s="276"/>
      <c r="AC25" s="276"/>
      <c r="AD25" s="276"/>
      <c r="AE25" s="276"/>
      <c r="AF25" s="276"/>
      <c r="AG25" s="276"/>
      <c r="AH25" s="276"/>
      <c r="AI25" s="276"/>
      <c r="AJ25" s="276"/>
      <c r="AK25" s="276"/>
    </row>
    <row r="26" spans="1:74" s="26" customFormat="1" x14ac:dyDescent="0.25">
      <c r="A26" s="17" t="s">
        <v>630</v>
      </c>
      <c r="E26" s="26">
        <f>现金流量表!E15</f>
        <v>160000000</v>
      </c>
      <c r="F26" s="26">
        <f>现金流量表!F15</f>
        <v>1215475000</v>
      </c>
      <c r="G26" s="26">
        <f>现金流量表!G15</f>
        <v>874575000</v>
      </c>
      <c r="H26" s="26">
        <f>现金流量表!H15</f>
        <v>141400000</v>
      </c>
      <c r="I26" s="26">
        <f>现金流量表!I15</f>
        <v>1839535840</v>
      </c>
      <c r="J26" s="26">
        <f>现金流量表!J15</f>
        <v>1074457920</v>
      </c>
      <c r="K26" s="26">
        <f>现金流量表!K15</f>
        <v>974667920</v>
      </c>
      <c r="L26" s="26">
        <f>现金流量表!L15</f>
        <v>337267920</v>
      </c>
      <c r="M26" s="26">
        <f>现金流量表!M15</f>
        <v>1007062463.98</v>
      </c>
      <c r="N26" s="26">
        <f>现金流量表!N15</f>
        <v>698850000</v>
      </c>
      <c r="O26" s="26">
        <f>现金流量表!O15</f>
        <v>410950000</v>
      </c>
      <c r="P26" s="26">
        <f>现金流量表!P15</f>
        <v>103000000</v>
      </c>
      <c r="Q26" s="26">
        <f>现金流量表!Q15</f>
        <v>867540000</v>
      </c>
      <c r="R26" s="26">
        <f>现金流量表!R15</f>
        <v>644540000</v>
      </c>
      <c r="S26" s="26">
        <f>现金流量表!S15</f>
        <v>479000000</v>
      </c>
      <c r="T26" s="26">
        <f>现金流量表!T15</f>
        <v>40000000</v>
      </c>
      <c r="U26" s="26">
        <f>现金流量表!U15</f>
        <v>801610277.75</v>
      </c>
      <c r="V26" s="26">
        <f>现金流量表!V15</f>
        <v>400000000</v>
      </c>
      <c r="W26" s="26">
        <f>现金流量表!W15</f>
        <v>300000000</v>
      </c>
      <c r="X26" s="26">
        <f>现金流量表!X15</f>
        <v>150000000</v>
      </c>
      <c r="Y26" s="26">
        <f>现金流量表!Y15</f>
        <v>300000000</v>
      </c>
      <c r="Z26" s="26">
        <f>现金流量表!Z15</f>
        <v>0</v>
      </c>
      <c r="AA26" s="26">
        <f>现金流量表!AA15</f>
        <v>0</v>
      </c>
      <c r="AB26" s="26">
        <f>现金流量表!AB15</f>
        <v>0</v>
      </c>
      <c r="AC26" s="26">
        <f>现金流量表!AC15</f>
        <v>0</v>
      </c>
      <c r="AD26" s="26">
        <f>现金流量表!AD15</f>
        <v>0</v>
      </c>
      <c r="AE26" s="26">
        <f>现金流量表!AE15</f>
        <v>0</v>
      </c>
      <c r="AF26" s="26">
        <f>现金流量表!AF15</f>
        <v>0</v>
      </c>
      <c r="AG26" s="26">
        <f>现金流量表!AG15</f>
        <v>0</v>
      </c>
      <c r="AH26" s="26">
        <f>现金流量表!AH15</f>
        <v>0</v>
      </c>
      <c r="AI26" s="26">
        <f>现金流量表!AI15</f>
        <v>0</v>
      </c>
      <c r="AJ26" s="26">
        <f>现金流量表!AJ15</f>
        <v>0</v>
      </c>
      <c r="AK26" s="26">
        <f>现金流量表!AK15</f>
        <v>0</v>
      </c>
      <c r="AL26" s="26">
        <f>现金流量表!AL15</f>
        <v>0</v>
      </c>
      <c r="AM26" s="26">
        <f>现金流量表!AM15</f>
        <v>0</v>
      </c>
      <c r="AN26" s="26">
        <f>现金流量表!AN15</f>
        <v>0</v>
      </c>
      <c r="AO26" s="26">
        <f>现金流量表!AO15</f>
        <v>5000000</v>
      </c>
      <c r="AP26" s="26">
        <f>现金流量表!AP15</f>
        <v>196.18</v>
      </c>
      <c r="AQ26" s="26">
        <f>现金流量表!AQ15</f>
        <v>0</v>
      </c>
      <c r="AR26" s="26">
        <f>现金流量表!AR15</f>
        <v>0</v>
      </c>
      <c r="AS26" s="26">
        <f>现金流量表!AS15</f>
        <v>0</v>
      </c>
      <c r="AT26" s="26">
        <f>现金流量表!AT15</f>
        <v>0</v>
      </c>
      <c r="AU26" s="26">
        <f>现金流量表!AU15</f>
        <v>0</v>
      </c>
      <c r="AV26" s="26">
        <f>现金流量表!AV15</f>
        <v>0</v>
      </c>
      <c r="AW26" s="26">
        <f>现金流量表!AW15</f>
        <v>0</v>
      </c>
      <c r="AX26" s="26">
        <f>现金流量表!AX15</f>
        <v>0</v>
      </c>
      <c r="AY26" s="26">
        <f>现金流量表!AY15</f>
        <v>0</v>
      </c>
      <c r="AZ26" s="26">
        <f>现金流量表!AZ15</f>
        <v>0</v>
      </c>
      <c r="BA26" s="26">
        <f>现金流量表!BA15</f>
        <v>0</v>
      </c>
      <c r="BB26" s="26">
        <f>现金流量表!BB15</f>
        <v>0</v>
      </c>
      <c r="BC26" s="26">
        <f>现金流量表!BC15</f>
        <v>0</v>
      </c>
      <c r="BD26" s="26">
        <f>现金流量表!BD15</f>
        <v>0</v>
      </c>
      <c r="BE26" s="26">
        <f>现金流量表!BE15</f>
        <v>0</v>
      </c>
      <c r="BF26" s="26">
        <f>现金流量表!BF15</f>
        <v>0</v>
      </c>
      <c r="BG26" s="26">
        <f>现金流量表!BG15</f>
        <v>0</v>
      </c>
      <c r="BH26" s="26">
        <f>现金流量表!BH15</f>
        <v>0</v>
      </c>
      <c r="BI26" s="26">
        <f>现金流量表!BI15</f>
        <v>0</v>
      </c>
      <c r="BJ26" s="26">
        <f>现金流量表!BJ15</f>
        <v>0</v>
      </c>
      <c r="BK26" s="26">
        <f>现金流量表!BK15</f>
        <v>0</v>
      </c>
      <c r="BL26" s="26">
        <f>现金流量表!BL15</f>
        <v>0</v>
      </c>
      <c r="BM26" s="26">
        <f>现金流量表!BM15</f>
        <v>0</v>
      </c>
      <c r="BN26" s="26">
        <f>现金流量表!BN15</f>
        <v>0</v>
      </c>
      <c r="BO26" s="26">
        <f>现金流量表!BO15</f>
        <v>0</v>
      </c>
      <c r="BP26" s="26">
        <f>现金流量表!BP15</f>
        <v>0</v>
      </c>
      <c r="BQ26" s="26">
        <f>现金流量表!BQ15</f>
        <v>0</v>
      </c>
      <c r="BR26" s="26">
        <f>现金流量表!BR15</f>
        <v>0</v>
      </c>
      <c r="BS26" s="26">
        <f>现金流量表!BS15</f>
        <v>0</v>
      </c>
      <c r="BT26" s="26">
        <f>现金流量表!BT15</f>
        <v>0</v>
      </c>
      <c r="BU26" s="26">
        <f>现金流量表!BU15</f>
        <v>0</v>
      </c>
      <c r="BV26" s="26">
        <f>现金流量表!BV15</f>
        <v>0</v>
      </c>
    </row>
    <row r="27" spans="1:74" s="26" customFormat="1" x14ac:dyDescent="0.25">
      <c r="A27" s="17" t="s">
        <v>631</v>
      </c>
      <c r="E27" s="26">
        <f>现金流量表!E22</f>
        <v>541873470.29999995</v>
      </c>
      <c r="F27" s="26">
        <f>现金流量表!F22</f>
        <v>1416100000</v>
      </c>
      <c r="G27" s="26">
        <f>现金流量表!G22</f>
        <v>716700000</v>
      </c>
      <c r="H27" s="26">
        <f>现金流量表!H22</f>
        <v>198515200</v>
      </c>
      <c r="I27" s="26">
        <f>现金流量表!I22</f>
        <v>2027111639.0599999</v>
      </c>
      <c r="J27" s="26">
        <f>现金流量表!J22</f>
        <v>1438430790</v>
      </c>
      <c r="K27" s="26">
        <f>现金流量表!K22</f>
        <v>1056401875</v>
      </c>
      <c r="L27" s="26">
        <f>现金流量表!L22</f>
        <v>314340253.99000001</v>
      </c>
      <c r="M27" s="26">
        <f>现金流量表!M22</f>
        <v>1177383586.3299999</v>
      </c>
      <c r="N27" s="26">
        <f>现金流量表!N22</f>
        <v>526241278.39999998</v>
      </c>
      <c r="O27" s="26">
        <f>现金流量表!O22</f>
        <v>222686000</v>
      </c>
      <c r="P27" s="26">
        <f>现金流量表!P22</f>
        <v>214631257.19</v>
      </c>
      <c r="Q27" s="26">
        <f>现金流量表!Q22</f>
        <v>1423250000</v>
      </c>
      <c r="R27" s="26">
        <f>现金流量表!R22</f>
        <v>1164750000</v>
      </c>
      <c r="S27" s="26">
        <f>现金流量表!S22</f>
        <v>564000000</v>
      </c>
      <c r="T27" s="26">
        <f>现金流量表!T22</f>
        <v>249665000</v>
      </c>
      <c r="U27" s="26">
        <f>现金流量表!U22</f>
        <v>992150277.75</v>
      </c>
      <c r="V27" s="26">
        <f>现金流量表!V22</f>
        <v>450000000</v>
      </c>
      <c r="W27" s="26">
        <f>现金流量表!W22</f>
        <v>400000000</v>
      </c>
      <c r="X27" s="26">
        <f>现金流量表!X22</f>
        <v>300000000</v>
      </c>
      <c r="Y27" s="26">
        <f>现金流量表!Y22</f>
        <v>300000000</v>
      </c>
      <c r="Z27" s="26">
        <f>现金流量表!Z22</f>
        <v>0</v>
      </c>
      <c r="AA27" s="26">
        <f>现金流量表!AA22</f>
        <v>0</v>
      </c>
      <c r="AB27" s="26">
        <f>现金流量表!AB22</f>
        <v>0</v>
      </c>
      <c r="AC27" s="26">
        <f>现金流量表!AC22</f>
        <v>0</v>
      </c>
      <c r="AD27" s="26">
        <f>现金流量表!AD22</f>
        <v>0</v>
      </c>
      <c r="AE27" s="26">
        <f>现金流量表!AE22</f>
        <v>0</v>
      </c>
      <c r="AF27" s="26">
        <f>现金流量表!AF22</f>
        <v>0</v>
      </c>
      <c r="AG27" s="26">
        <f>现金流量表!AG22</f>
        <v>8640000</v>
      </c>
      <c r="AH27" s="26">
        <f>现金流量表!AH22</f>
        <v>0</v>
      </c>
      <c r="AI27" s="26">
        <f>现金流量表!AI22</f>
        <v>0</v>
      </c>
      <c r="AJ27" s="26">
        <f>现金流量表!AJ22</f>
        <v>0</v>
      </c>
      <c r="AK27" s="26">
        <f>现金流量表!AK22</f>
        <v>328334.73</v>
      </c>
      <c r="AL27" s="26">
        <f>现金流量表!AL22</f>
        <v>328334.73</v>
      </c>
      <c r="AM27" s="26">
        <f>现金流量表!AM22</f>
        <v>328334.73</v>
      </c>
      <c r="AN27" s="26">
        <f>现金流量表!AN22</f>
        <v>328334.73</v>
      </c>
      <c r="AO27" s="26">
        <f>现金流量表!AO22</f>
        <v>897156</v>
      </c>
      <c r="AP27" s="26">
        <f>现金流量表!AP22</f>
        <v>897156</v>
      </c>
      <c r="AQ27" s="26">
        <f>现金流量表!AQ22</f>
        <v>5000000</v>
      </c>
      <c r="AR27" s="26">
        <f>现金流量表!AR22</f>
        <v>0</v>
      </c>
      <c r="AS27" s="26">
        <f>现金流量表!AS22</f>
        <v>0</v>
      </c>
      <c r="AT27" s="26">
        <f>现金流量表!AT22</f>
        <v>0</v>
      </c>
      <c r="AU27" s="26">
        <f>现金流量表!AU22</f>
        <v>0</v>
      </c>
      <c r="AV27" s="26">
        <f>现金流量表!AV22</f>
        <v>0</v>
      </c>
      <c r="AW27" s="26">
        <f>现金流量表!AW22</f>
        <v>0</v>
      </c>
      <c r="AX27" s="26">
        <f>现金流量表!AX22</f>
        <v>0</v>
      </c>
      <c r="AY27" s="26">
        <f>现金流量表!AY22</f>
        <v>0</v>
      </c>
      <c r="AZ27" s="26">
        <f>现金流量表!AZ22</f>
        <v>0</v>
      </c>
      <c r="BA27" s="26">
        <f>现金流量表!BA22</f>
        <v>0</v>
      </c>
      <c r="BB27" s="26">
        <f>现金流量表!BB22</f>
        <v>0</v>
      </c>
      <c r="BC27" s="26">
        <f>现金流量表!BC22</f>
        <v>0</v>
      </c>
      <c r="BD27" s="26">
        <f>现金流量表!BD22</f>
        <v>0</v>
      </c>
      <c r="BE27" s="26">
        <f>现金流量表!BE22</f>
        <v>0</v>
      </c>
      <c r="BF27" s="26">
        <f>现金流量表!BF22</f>
        <v>0</v>
      </c>
      <c r="BG27" s="26">
        <f>现金流量表!BG22</f>
        <v>0</v>
      </c>
      <c r="BH27" s="26">
        <f>现金流量表!BH22</f>
        <v>0</v>
      </c>
      <c r="BI27" s="26">
        <f>现金流量表!BI22</f>
        <v>0</v>
      </c>
      <c r="BJ27" s="26">
        <f>现金流量表!BJ22</f>
        <v>0</v>
      </c>
      <c r="BK27" s="26">
        <f>现金流量表!BK22</f>
        <v>0</v>
      </c>
      <c r="BL27" s="26">
        <f>现金流量表!BL22</f>
        <v>0</v>
      </c>
      <c r="BM27" s="26">
        <f>现金流量表!BM22</f>
        <v>0</v>
      </c>
      <c r="BN27" s="26">
        <f>现金流量表!BN22</f>
        <v>0</v>
      </c>
      <c r="BO27" s="26">
        <f>现金流量表!BO22</f>
        <v>0</v>
      </c>
      <c r="BP27" s="26">
        <f>现金流量表!BP22</f>
        <v>0</v>
      </c>
      <c r="BQ27" s="26">
        <f>现金流量表!BQ22</f>
        <v>0</v>
      </c>
      <c r="BR27" s="26">
        <f>现金流量表!BR22</f>
        <v>0</v>
      </c>
      <c r="BS27" s="26">
        <f>现金流量表!BS22</f>
        <v>0</v>
      </c>
      <c r="BT27" s="26">
        <f>现金流量表!BT22</f>
        <v>0</v>
      </c>
      <c r="BU27" s="26">
        <f>现金流量表!BU22</f>
        <v>0</v>
      </c>
      <c r="BV27" s="26">
        <f>现金流量表!BV22</f>
        <v>0</v>
      </c>
    </row>
    <row r="28" spans="1:74" s="26" customFormat="1" x14ac:dyDescent="0.25">
      <c r="A28" s="17" t="s">
        <v>632</v>
      </c>
      <c r="E28" s="26">
        <f>E27-E26</f>
        <v>381873470.29999995</v>
      </c>
      <c r="F28" s="26">
        <f t="shared" ref="F28:BQ28" si="79">F27-F26</f>
        <v>200625000</v>
      </c>
      <c r="G28" s="26">
        <f t="shared" si="79"/>
        <v>-157875000</v>
      </c>
      <c r="H28" s="26">
        <f t="shared" si="79"/>
        <v>57115200</v>
      </c>
      <c r="I28" s="26">
        <f t="shared" si="79"/>
        <v>187575799.05999994</v>
      </c>
      <c r="J28" s="26">
        <f t="shared" si="79"/>
        <v>363972870</v>
      </c>
      <c r="K28" s="26">
        <f t="shared" si="79"/>
        <v>81733955</v>
      </c>
      <c r="L28" s="26">
        <f t="shared" si="79"/>
        <v>-22927666.00999999</v>
      </c>
      <c r="M28" s="26">
        <f t="shared" si="79"/>
        <v>170321122.3499999</v>
      </c>
      <c r="N28" s="26">
        <f t="shared" si="79"/>
        <v>-172608721.60000002</v>
      </c>
      <c r="O28" s="26">
        <f t="shared" si="79"/>
        <v>-188264000</v>
      </c>
      <c r="P28" s="26">
        <f t="shared" si="79"/>
        <v>111631257.19</v>
      </c>
      <c r="Q28" s="26">
        <f t="shared" si="79"/>
        <v>555710000</v>
      </c>
      <c r="R28" s="26">
        <f t="shared" si="79"/>
        <v>520210000</v>
      </c>
      <c r="S28" s="26">
        <f t="shared" si="79"/>
        <v>85000000</v>
      </c>
      <c r="T28" s="26">
        <f t="shared" si="79"/>
        <v>209665000</v>
      </c>
      <c r="U28" s="26">
        <f t="shared" si="79"/>
        <v>190540000</v>
      </c>
      <c r="V28" s="26">
        <f t="shared" si="79"/>
        <v>50000000</v>
      </c>
      <c r="W28" s="26">
        <f t="shared" si="79"/>
        <v>100000000</v>
      </c>
      <c r="X28" s="26">
        <f t="shared" si="79"/>
        <v>150000000</v>
      </c>
      <c r="Y28" s="26">
        <f t="shared" si="79"/>
        <v>0</v>
      </c>
      <c r="Z28" s="26">
        <f t="shared" si="79"/>
        <v>0</v>
      </c>
      <c r="AA28" s="26">
        <f t="shared" si="79"/>
        <v>0</v>
      </c>
      <c r="AB28" s="26">
        <f t="shared" si="79"/>
        <v>0</v>
      </c>
      <c r="AC28" s="26">
        <f t="shared" si="79"/>
        <v>0</v>
      </c>
      <c r="AD28" s="26">
        <f t="shared" si="79"/>
        <v>0</v>
      </c>
      <c r="AE28" s="26">
        <f t="shared" si="79"/>
        <v>0</v>
      </c>
      <c r="AF28" s="26">
        <f t="shared" si="79"/>
        <v>0</v>
      </c>
      <c r="AG28" s="26">
        <f t="shared" si="79"/>
        <v>8640000</v>
      </c>
      <c r="AH28" s="26">
        <f t="shared" si="79"/>
        <v>0</v>
      </c>
      <c r="AI28" s="26">
        <f t="shared" si="79"/>
        <v>0</v>
      </c>
      <c r="AJ28" s="26">
        <f t="shared" si="79"/>
        <v>0</v>
      </c>
      <c r="AK28" s="26">
        <f t="shared" si="79"/>
        <v>328334.73</v>
      </c>
      <c r="AL28" s="26">
        <f t="shared" si="79"/>
        <v>328334.73</v>
      </c>
      <c r="AM28" s="26">
        <f t="shared" si="79"/>
        <v>328334.73</v>
      </c>
      <c r="AN28" s="26">
        <f t="shared" si="79"/>
        <v>328334.73</v>
      </c>
      <c r="AO28" s="26">
        <f t="shared" si="79"/>
        <v>-4102844</v>
      </c>
      <c r="AP28" s="26">
        <f t="shared" si="79"/>
        <v>896959.82</v>
      </c>
      <c r="AQ28" s="26">
        <f t="shared" si="79"/>
        <v>5000000</v>
      </c>
      <c r="AR28" s="26">
        <f t="shared" si="79"/>
        <v>0</v>
      </c>
      <c r="AS28" s="26">
        <f t="shared" si="79"/>
        <v>0</v>
      </c>
      <c r="AT28" s="26">
        <f t="shared" si="79"/>
        <v>0</v>
      </c>
      <c r="AU28" s="26">
        <f t="shared" si="79"/>
        <v>0</v>
      </c>
      <c r="AV28" s="26">
        <f t="shared" si="79"/>
        <v>0</v>
      </c>
      <c r="AW28" s="26">
        <f t="shared" si="79"/>
        <v>0</v>
      </c>
      <c r="AX28" s="26">
        <f t="shared" si="79"/>
        <v>0</v>
      </c>
      <c r="AY28" s="26">
        <f t="shared" si="79"/>
        <v>0</v>
      </c>
      <c r="AZ28" s="26">
        <f t="shared" si="79"/>
        <v>0</v>
      </c>
      <c r="BA28" s="26">
        <f t="shared" si="79"/>
        <v>0</v>
      </c>
      <c r="BB28" s="26">
        <f t="shared" si="79"/>
        <v>0</v>
      </c>
      <c r="BC28" s="26">
        <f t="shared" si="79"/>
        <v>0</v>
      </c>
      <c r="BD28" s="26">
        <f t="shared" si="79"/>
        <v>0</v>
      </c>
      <c r="BE28" s="26">
        <f t="shared" si="79"/>
        <v>0</v>
      </c>
      <c r="BF28" s="26">
        <f t="shared" si="79"/>
        <v>0</v>
      </c>
      <c r="BG28" s="26">
        <f t="shared" si="79"/>
        <v>0</v>
      </c>
      <c r="BH28" s="26">
        <f t="shared" si="79"/>
        <v>0</v>
      </c>
      <c r="BI28" s="26">
        <f t="shared" si="79"/>
        <v>0</v>
      </c>
      <c r="BJ28" s="26">
        <f t="shared" si="79"/>
        <v>0</v>
      </c>
      <c r="BK28" s="26">
        <f t="shared" si="79"/>
        <v>0</v>
      </c>
      <c r="BL28" s="26">
        <f t="shared" si="79"/>
        <v>0</v>
      </c>
      <c r="BM28" s="26">
        <f t="shared" si="79"/>
        <v>0</v>
      </c>
      <c r="BN28" s="26">
        <f t="shared" si="79"/>
        <v>0</v>
      </c>
      <c r="BO28" s="26">
        <f t="shared" si="79"/>
        <v>0</v>
      </c>
      <c r="BP28" s="26">
        <f t="shared" si="79"/>
        <v>0</v>
      </c>
      <c r="BQ28" s="26">
        <f t="shared" si="79"/>
        <v>0</v>
      </c>
      <c r="BR28" s="26">
        <f t="shared" ref="BR28:BV28" si="80">BR27-BR26</f>
        <v>0</v>
      </c>
      <c r="BS28" s="26">
        <f t="shared" si="80"/>
        <v>0</v>
      </c>
      <c r="BT28" s="26">
        <f t="shared" si="80"/>
        <v>0</v>
      </c>
      <c r="BU28" s="26">
        <f t="shared" si="80"/>
        <v>0</v>
      </c>
      <c r="BV28" s="26">
        <f t="shared" si="80"/>
        <v>0</v>
      </c>
    </row>
    <row r="29" spans="1:74" s="26" customFormat="1" ht="16.2" customHeight="1" x14ac:dyDescent="0.25">
      <c r="A29" s="181" t="s">
        <v>633</v>
      </c>
      <c r="E29" s="182">
        <f>POWER(E28/U28,1/5)-1</f>
        <v>0.14917631230469941</v>
      </c>
    </row>
    <row r="30" spans="1:74" s="30" customFormat="1" ht="15" customHeight="1" thickBot="1" x14ac:dyDescent="0.3">
      <c r="A30" s="137" t="s">
        <v>315</v>
      </c>
      <c r="B30" s="1">
        <v>43373</v>
      </c>
      <c r="C30" s="1">
        <v>43281</v>
      </c>
      <c r="D30" s="1">
        <v>43190</v>
      </c>
      <c r="E30" s="1">
        <v>43100</v>
      </c>
      <c r="F30" s="1">
        <v>43008</v>
      </c>
      <c r="G30" s="1">
        <v>42916</v>
      </c>
      <c r="H30" s="1">
        <v>42825</v>
      </c>
      <c r="I30" s="1">
        <v>42735</v>
      </c>
      <c r="J30" s="1">
        <v>42643</v>
      </c>
      <c r="K30" s="1">
        <v>42551</v>
      </c>
      <c r="L30" s="1">
        <v>42460</v>
      </c>
      <c r="M30" s="1">
        <v>42369</v>
      </c>
      <c r="N30" s="1">
        <v>42277</v>
      </c>
      <c r="O30" s="1">
        <v>42185</v>
      </c>
      <c r="P30" s="1">
        <v>42094</v>
      </c>
      <c r="Q30" s="1">
        <v>42004</v>
      </c>
      <c r="R30" s="1">
        <v>41912</v>
      </c>
      <c r="S30" s="1">
        <v>41820</v>
      </c>
      <c r="T30" s="1">
        <v>41729</v>
      </c>
      <c r="U30" s="1">
        <v>41639</v>
      </c>
      <c r="V30" s="1">
        <v>41547</v>
      </c>
      <c r="W30" s="1">
        <v>41455</v>
      </c>
      <c r="X30" s="1">
        <v>41364</v>
      </c>
      <c r="Y30" s="1">
        <v>41274</v>
      </c>
      <c r="Z30" s="1">
        <v>41182</v>
      </c>
      <c r="AA30" s="1">
        <v>41090</v>
      </c>
      <c r="AB30" s="1">
        <v>40999</v>
      </c>
      <c r="AC30" s="1">
        <v>40908</v>
      </c>
      <c r="AD30" s="1">
        <v>40816</v>
      </c>
      <c r="AE30" s="1">
        <v>40724</v>
      </c>
      <c r="AF30" s="1">
        <v>40633</v>
      </c>
      <c r="AG30" s="1">
        <v>40543</v>
      </c>
      <c r="AH30" s="1">
        <v>40451</v>
      </c>
      <c r="AI30" s="1">
        <v>40359</v>
      </c>
      <c r="AJ30" s="1">
        <v>40268</v>
      </c>
      <c r="AK30" s="1">
        <v>40178</v>
      </c>
      <c r="AL30" s="1">
        <v>40086</v>
      </c>
      <c r="AM30" s="1">
        <v>39994</v>
      </c>
      <c r="AN30" s="1">
        <v>39903</v>
      </c>
      <c r="AO30" s="1">
        <v>39813</v>
      </c>
      <c r="AP30" s="1">
        <v>39721</v>
      </c>
      <c r="AQ30" s="1">
        <v>39447</v>
      </c>
      <c r="AR30" s="1">
        <v>39082</v>
      </c>
      <c r="AS30" s="1">
        <v>25569</v>
      </c>
      <c r="AT30" s="1">
        <v>39355</v>
      </c>
      <c r="AU30" s="1">
        <v>39263</v>
      </c>
      <c r="AV30" s="1">
        <v>39172</v>
      </c>
      <c r="AW30" s="1">
        <v>39082</v>
      </c>
      <c r="AX30" s="1">
        <v>38990</v>
      </c>
      <c r="AY30" s="1">
        <v>38898</v>
      </c>
      <c r="AZ30" s="1">
        <v>38807</v>
      </c>
      <c r="BA30" s="1">
        <v>38717</v>
      </c>
      <c r="BB30" s="1">
        <v>38625</v>
      </c>
      <c r="BC30" s="1">
        <v>38533</v>
      </c>
      <c r="BD30" s="1">
        <v>38442</v>
      </c>
      <c r="BE30" s="1">
        <v>38352</v>
      </c>
      <c r="BF30" s="1">
        <v>38260</v>
      </c>
      <c r="BG30" s="1">
        <v>38168</v>
      </c>
      <c r="BH30" s="1">
        <v>38077</v>
      </c>
      <c r="BI30" s="1">
        <v>37986</v>
      </c>
      <c r="BJ30" s="1">
        <v>37894</v>
      </c>
      <c r="BK30" s="1">
        <v>37802</v>
      </c>
      <c r="BL30" s="1">
        <v>37711</v>
      </c>
      <c r="BM30" s="1">
        <v>37621</v>
      </c>
      <c r="BN30" s="1">
        <v>37437</v>
      </c>
      <c r="BO30" s="1">
        <v>37256</v>
      </c>
      <c r="BP30" s="1">
        <v>37072</v>
      </c>
      <c r="BQ30" s="1">
        <v>36891</v>
      </c>
      <c r="BR30" s="1">
        <v>36707</v>
      </c>
      <c r="BS30" s="1">
        <v>36525</v>
      </c>
      <c r="BT30" s="1">
        <v>36341</v>
      </c>
      <c r="BU30" s="1">
        <v>36160</v>
      </c>
      <c r="BV30" s="1">
        <v>25569</v>
      </c>
    </row>
    <row r="31" spans="1:74" s="51" customFormat="1" ht="17.399999999999999" customHeight="1" x14ac:dyDescent="0.25">
      <c r="A31" s="111" t="s">
        <v>310</v>
      </c>
      <c r="B31" s="190">
        <v>1355409607.72</v>
      </c>
      <c r="C31" s="190">
        <v>1333068745.54</v>
      </c>
      <c r="D31" s="190">
        <v>1293989081.75</v>
      </c>
      <c r="E31" s="190">
        <v>1367394571.5699999</v>
      </c>
      <c r="F31" s="190">
        <v>1443240135.76</v>
      </c>
      <c r="G31" s="190">
        <v>1468688926.72</v>
      </c>
      <c r="H31" s="190">
        <v>1685717796.96</v>
      </c>
      <c r="I31" s="190">
        <v>1272651203.6099999</v>
      </c>
      <c r="J31" s="190">
        <v>1314956821.5599999</v>
      </c>
      <c r="K31" s="190">
        <v>1063497750.8</v>
      </c>
      <c r="L31" s="190">
        <v>1020238065.86</v>
      </c>
      <c r="M31" s="190">
        <v>1024693184.55</v>
      </c>
      <c r="N31" s="190">
        <v>890121493.55999994</v>
      </c>
      <c r="O31" s="190">
        <v>822129414.73000002</v>
      </c>
      <c r="P31" s="190">
        <v>825330317.23000002</v>
      </c>
      <c r="Q31" s="190">
        <v>825502014.86000001</v>
      </c>
      <c r="R31" s="190">
        <v>658741725.48000002</v>
      </c>
      <c r="S31" s="190">
        <v>642750663.66999996</v>
      </c>
      <c r="T31" s="190">
        <v>638106996.24000001</v>
      </c>
      <c r="U31" s="190">
        <v>646286156.85000002</v>
      </c>
      <c r="V31" s="190">
        <v>687749387.55999994</v>
      </c>
      <c r="W31" s="190">
        <v>656425843.01999998</v>
      </c>
      <c r="X31" s="190">
        <v>675710284.61000001</v>
      </c>
      <c r="Y31" s="190">
        <v>514551138.61000001</v>
      </c>
      <c r="Z31" s="190">
        <v>496788347.32999998</v>
      </c>
      <c r="AA31" s="190">
        <v>438036109.13999999</v>
      </c>
      <c r="AB31" s="190">
        <v>424560822.61000001</v>
      </c>
      <c r="AC31" s="190">
        <v>406249339.64999998</v>
      </c>
      <c r="AD31" s="190">
        <v>313155620.74000001</v>
      </c>
      <c r="AE31" s="190">
        <v>255703474.93000001</v>
      </c>
      <c r="AF31" s="190">
        <v>233981981.53999999</v>
      </c>
      <c r="AG31" s="190">
        <v>214815697.09999999</v>
      </c>
      <c r="AH31" s="190">
        <v>135625805.69</v>
      </c>
      <c r="AI31" s="190">
        <v>127706581.34</v>
      </c>
      <c r="AJ31" s="190">
        <v>128121301.54000001</v>
      </c>
      <c r="AK31" s="190">
        <v>127940373.52</v>
      </c>
      <c r="AL31" s="190">
        <v>97160166.030000001</v>
      </c>
      <c r="AM31" s="190">
        <v>98253328.269999996</v>
      </c>
      <c r="AN31" s="190">
        <v>101972525.01000001</v>
      </c>
      <c r="AO31" s="190">
        <v>82896917.930000007</v>
      </c>
      <c r="AP31" s="190">
        <v>64196426.759999998</v>
      </c>
      <c r="AQ31" s="190">
        <v>0</v>
      </c>
      <c r="AR31" s="190"/>
      <c r="AS31" s="190"/>
      <c r="AT31" s="190">
        <v>5119825755.0799999</v>
      </c>
      <c r="AU31" s="190">
        <v>5166324238.8199997</v>
      </c>
      <c r="AV31" s="190">
        <v>5229742144.5900002</v>
      </c>
      <c r="AW31" s="190">
        <v>5303368604.3599997</v>
      </c>
      <c r="AX31" s="190">
        <v>5412891640.3100004</v>
      </c>
      <c r="AY31" s="190">
        <v>5477269087.8599997</v>
      </c>
      <c r="AZ31" s="190">
        <v>5394582476.9899998</v>
      </c>
      <c r="BA31" s="190">
        <v>5501322858.9799995</v>
      </c>
      <c r="BB31" s="190">
        <v>5577867470.3299999</v>
      </c>
      <c r="BC31" s="190">
        <v>5696283898.6499996</v>
      </c>
      <c r="BD31" s="190">
        <v>5779603253.5100002</v>
      </c>
      <c r="BE31" s="190">
        <v>5840992847.29</v>
      </c>
      <c r="BF31" s="190">
        <v>5434316703.3800001</v>
      </c>
      <c r="BG31" s="190">
        <v>5519652065.3800001</v>
      </c>
      <c r="BH31" s="190">
        <v>5587811046.9799995</v>
      </c>
      <c r="BI31" s="190">
        <v>5587556850.7200003</v>
      </c>
      <c r="BJ31" s="190">
        <v>5175235607.8500004</v>
      </c>
      <c r="BK31" s="190">
        <v>4543535291.6599998</v>
      </c>
      <c r="BL31" s="190">
        <v>4478639735.0500002</v>
      </c>
      <c r="BM31" s="190">
        <v>4520776529.7700005</v>
      </c>
      <c r="BN31" s="190">
        <v>3620875395.5999999</v>
      </c>
      <c r="BO31" s="190">
        <v>3684993020.0500002</v>
      </c>
      <c r="BP31" s="190">
        <v>3523637936.8200002</v>
      </c>
      <c r="BQ31" s="190">
        <v>3558533656.5999999</v>
      </c>
      <c r="BR31" s="190">
        <v>0</v>
      </c>
      <c r="BS31" s="190">
        <v>3540915525.1199999</v>
      </c>
      <c r="BT31" s="190">
        <v>1786934979.5599999</v>
      </c>
      <c r="BU31" s="190">
        <v>1665815375.1099999</v>
      </c>
      <c r="BV31" s="190">
        <v>1686369507.6900001</v>
      </c>
    </row>
    <row r="32" spans="1:74" s="54" customFormat="1" ht="15" customHeight="1" x14ac:dyDescent="0.25">
      <c r="A32" s="138" t="s">
        <v>311</v>
      </c>
      <c r="B32" s="190">
        <v>243655266.56</v>
      </c>
      <c r="C32" s="190">
        <v>243655266.56</v>
      </c>
      <c r="D32" s="190">
        <v>235212831.53</v>
      </c>
      <c r="E32" s="190">
        <v>242110082.27000001</v>
      </c>
      <c r="F32" s="190">
        <v>316329792.22000003</v>
      </c>
      <c r="G32" s="190">
        <v>319336551.69</v>
      </c>
      <c r="H32" s="190">
        <v>321700134.58999997</v>
      </c>
      <c r="I32" s="190">
        <v>171198432.88999999</v>
      </c>
      <c r="J32" s="190">
        <v>196618493.28999999</v>
      </c>
      <c r="K32" s="190">
        <v>196618493.28999999</v>
      </c>
      <c r="L32" s="190">
        <v>196618493.28999999</v>
      </c>
      <c r="M32" s="190">
        <v>196618493.28999999</v>
      </c>
      <c r="N32" s="190">
        <v>169278079.88999999</v>
      </c>
      <c r="O32" s="190">
        <v>167731606.88999999</v>
      </c>
      <c r="P32" s="190">
        <v>167731606.88999999</v>
      </c>
      <c r="Q32" s="190">
        <v>167731606.88999999</v>
      </c>
      <c r="R32" s="190">
        <v>0</v>
      </c>
      <c r="S32" s="190">
        <v>0</v>
      </c>
      <c r="T32" s="190">
        <v>0</v>
      </c>
      <c r="U32" s="190">
        <v>0</v>
      </c>
      <c r="V32" s="190">
        <v>0</v>
      </c>
      <c r="W32" s="190">
        <v>0</v>
      </c>
      <c r="X32" s="190">
        <v>0</v>
      </c>
      <c r="Y32" s="190">
        <v>0</v>
      </c>
      <c r="Z32" s="190">
        <v>0</v>
      </c>
      <c r="AA32" s="190">
        <v>0</v>
      </c>
      <c r="AB32" s="190">
        <v>0</v>
      </c>
      <c r="AC32" s="190">
        <v>0</v>
      </c>
      <c r="AD32" s="190">
        <v>0</v>
      </c>
      <c r="AE32" s="190">
        <v>0</v>
      </c>
      <c r="AF32" s="190">
        <v>0</v>
      </c>
      <c r="AG32" s="190">
        <v>0</v>
      </c>
      <c r="AH32" s="190">
        <v>21180.67</v>
      </c>
      <c r="AI32" s="190">
        <v>21180.67</v>
      </c>
      <c r="AJ32" s="190">
        <v>21180.67</v>
      </c>
      <c r="AK32" s="190">
        <v>21180.67</v>
      </c>
      <c r="AL32" s="190">
        <v>21180.67</v>
      </c>
      <c r="AM32" s="190">
        <v>21180.67</v>
      </c>
      <c r="AN32" s="190">
        <v>21180.67</v>
      </c>
      <c r="AO32" s="190">
        <v>0</v>
      </c>
      <c r="AP32" s="190">
        <v>0</v>
      </c>
      <c r="AQ32" s="190">
        <v>0</v>
      </c>
      <c r="AR32" s="190"/>
      <c r="AS32" s="190"/>
      <c r="AT32" s="190">
        <v>0</v>
      </c>
      <c r="AU32" s="190">
        <v>0</v>
      </c>
      <c r="AV32" s="190">
        <v>0</v>
      </c>
      <c r="AW32" s="190">
        <v>0</v>
      </c>
      <c r="AX32" s="190">
        <v>0</v>
      </c>
      <c r="AY32" s="190">
        <v>0</v>
      </c>
      <c r="AZ32" s="190">
        <v>0</v>
      </c>
      <c r="BA32" s="190">
        <v>0</v>
      </c>
      <c r="BB32" s="190">
        <v>0</v>
      </c>
      <c r="BC32" s="190">
        <v>0</v>
      </c>
      <c r="BD32" s="190">
        <v>0</v>
      </c>
      <c r="BE32" s="190">
        <v>0</v>
      </c>
      <c r="BF32" s="190">
        <v>0</v>
      </c>
      <c r="BG32" s="190">
        <v>0</v>
      </c>
      <c r="BH32" s="190">
        <v>0</v>
      </c>
      <c r="BI32" s="190">
        <v>0</v>
      </c>
      <c r="BJ32" s="190">
        <v>0</v>
      </c>
      <c r="BK32" s="190">
        <v>0</v>
      </c>
      <c r="BL32" s="190">
        <v>0</v>
      </c>
      <c r="BM32" s="190">
        <v>0</v>
      </c>
      <c r="BN32" s="190">
        <v>0</v>
      </c>
      <c r="BO32" s="190">
        <v>0</v>
      </c>
      <c r="BP32" s="190">
        <v>0</v>
      </c>
      <c r="BQ32" s="190">
        <v>0</v>
      </c>
      <c r="BR32" s="190">
        <v>0</v>
      </c>
      <c r="BS32" s="190">
        <v>0</v>
      </c>
      <c r="BT32" s="190">
        <v>0</v>
      </c>
      <c r="BU32" s="190">
        <v>0</v>
      </c>
      <c r="BV32" s="190">
        <v>0</v>
      </c>
    </row>
    <row r="33" spans="1:74" s="54" customFormat="1" ht="19.2" customHeight="1" x14ac:dyDescent="0.25">
      <c r="A33" s="138" t="s">
        <v>312</v>
      </c>
      <c r="B33" s="190">
        <v>227475238.28</v>
      </c>
      <c r="C33" s="190">
        <v>224516989.86000001</v>
      </c>
      <c r="D33" s="190">
        <v>204255161.68000001</v>
      </c>
      <c r="E33" s="190">
        <v>228463347.99000001</v>
      </c>
      <c r="F33" s="190">
        <v>189611525</v>
      </c>
      <c r="G33" s="190">
        <v>190034675</v>
      </c>
      <c r="H33" s="190">
        <v>388188950</v>
      </c>
      <c r="I33" s="190">
        <v>388797125</v>
      </c>
      <c r="J33" s="190">
        <v>406326690</v>
      </c>
      <c r="K33" s="190">
        <v>160371775</v>
      </c>
      <c r="L33" s="190">
        <v>103916150</v>
      </c>
      <c r="M33" s="190">
        <v>103985900</v>
      </c>
      <c r="N33" s="190">
        <v>60741278.399999999</v>
      </c>
      <c r="O33" s="190">
        <v>0</v>
      </c>
      <c r="P33" s="190">
        <v>0</v>
      </c>
      <c r="Q33" s="190">
        <v>0</v>
      </c>
      <c r="R33" s="190">
        <v>0</v>
      </c>
      <c r="S33" s="190">
        <v>0</v>
      </c>
      <c r="T33" s="190">
        <v>0</v>
      </c>
      <c r="U33" s="190">
        <v>0</v>
      </c>
      <c r="V33" s="190">
        <v>0</v>
      </c>
      <c r="W33" s="190">
        <v>0</v>
      </c>
      <c r="X33" s="190">
        <v>0</v>
      </c>
      <c r="Y33" s="190">
        <v>0</v>
      </c>
      <c r="Z33" s="190">
        <v>0</v>
      </c>
      <c r="AA33" s="190">
        <v>0</v>
      </c>
      <c r="AB33" s="190">
        <v>0</v>
      </c>
      <c r="AC33" s="190">
        <v>0</v>
      </c>
      <c r="AD33" s="190">
        <v>0</v>
      </c>
      <c r="AE33" s="190">
        <v>0</v>
      </c>
      <c r="AF33" s="190">
        <v>0</v>
      </c>
      <c r="AG33" s="190">
        <v>0</v>
      </c>
      <c r="AH33" s="190">
        <v>0</v>
      </c>
      <c r="AI33" s="190">
        <v>0</v>
      </c>
      <c r="AJ33" s="190">
        <v>0</v>
      </c>
      <c r="AK33" s="190">
        <v>0</v>
      </c>
      <c r="AL33" s="190">
        <v>0</v>
      </c>
      <c r="AM33" s="190">
        <v>0</v>
      </c>
      <c r="AN33" s="190">
        <v>0</v>
      </c>
      <c r="AO33" s="190">
        <v>0</v>
      </c>
      <c r="AP33" s="190">
        <v>0</v>
      </c>
      <c r="AQ33" s="190">
        <v>0</v>
      </c>
      <c r="AR33" s="190"/>
      <c r="AS33" s="190"/>
      <c r="AT33" s="190">
        <v>0</v>
      </c>
      <c r="AU33" s="190">
        <v>0</v>
      </c>
      <c r="AV33" s="190">
        <v>0</v>
      </c>
      <c r="AW33" s="190">
        <v>0</v>
      </c>
      <c r="AX33" s="190">
        <v>0</v>
      </c>
      <c r="AY33" s="190">
        <v>0</v>
      </c>
      <c r="AZ33" s="190">
        <v>0</v>
      </c>
      <c r="BA33" s="190">
        <v>0</v>
      </c>
      <c r="BB33" s="190">
        <v>0</v>
      </c>
      <c r="BC33" s="190">
        <v>0</v>
      </c>
      <c r="BD33" s="190">
        <v>0</v>
      </c>
      <c r="BE33" s="190">
        <v>0</v>
      </c>
      <c r="BF33" s="190">
        <v>0</v>
      </c>
      <c r="BG33" s="190">
        <v>0</v>
      </c>
      <c r="BH33" s="190">
        <v>0</v>
      </c>
      <c r="BI33" s="190">
        <v>0</v>
      </c>
      <c r="BJ33" s="190">
        <v>0</v>
      </c>
      <c r="BK33" s="190">
        <v>0</v>
      </c>
      <c r="BL33" s="190">
        <v>0</v>
      </c>
      <c r="BM33" s="190">
        <v>0</v>
      </c>
      <c r="BN33" s="190">
        <v>0</v>
      </c>
      <c r="BO33" s="190">
        <v>0</v>
      </c>
      <c r="BP33" s="190">
        <v>0</v>
      </c>
      <c r="BQ33" s="190">
        <v>0</v>
      </c>
      <c r="BR33" s="190">
        <v>0</v>
      </c>
      <c r="BS33" s="190">
        <v>0</v>
      </c>
      <c r="BT33" s="190">
        <v>0</v>
      </c>
      <c r="BU33" s="190">
        <v>0</v>
      </c>
      <c r="BV33" s="190">
        <v>0</v>
      </c>
    </row>
    <row r="34" spans="1:74" s="44" customFormat="1" ht="15" thickBot="1" x14ac:dyDescent="0.3">
      <c r="A34" s="139" t="s">
        <v>315</v>
      </c>
      <c r="B34" s="49"/>
      <c r="C34" s="49"/>
      <c r="D34" s="49"/>
      <c r="E34" s="49">
        <f>E31-E32-E33</f>
        <v>896821141.30999994</v>
      </c>
      <c r="F34" s="49">
        <f t="shared" ref="F34:BP34" si="81">F31-F32-F33</f>
        <v>937298818.53999996</v>
      </c>
      <c r="G34" s="49">
        <f t="shared" si="81"/>
        <v>959317700.02999997</v>
      </c>
      <c r="H34" s="49">
        <f t="shared" si="81"/>
        <v>975828712.37000012</v>
      </c>
      <c r="I34" s="49">
        <f t="shared" si="81"/>
        <v>712655645.71999979</v>
      </c>
      <c r="J34" s="49">
        <f t="shared" si="81"/>
        <v>712011638.26999998</v>
      </c>
      <c r="K34" s="49">
        <f t="shared" si="81"/>
        <v>706507482.50999999</v>
      </c>
      <c r="L34" s="49">
        <f t="shared" si="81"/>
        <v>719703422.57000005</v>
      </c>
      <c r="M34" s="49">
        <f t="shared" si="81"/>
        <v>724088791.25999999</v>
      </c>
      <c r="N34" s="49">
        <f t="shared" si="81"/>
        <v>660102135.26999998</v>
      </c>
      <c r="O34" s="49">
        <f t="shared" si="81"/>
        <v>654397807.84000003</v>
      </c>
      <c r="P34" s="49">
        <f t="shared" si="81"/>
        <v>657598710.34000003</v>
      </c>
      <c r="Q34" s="49">
        <f t="shared" si="81"/>
        <v>657770407.97000003</v>
      </c>
      <c r="R34" s="49">
        <f t="shared" si="81"/>
        <v>658741725.48000002</v>
      </c>
      <c r="S34" s="49">
        <f t="shared" si="81"/>
        <v>642750663.66999996</v>
      </c>
      <c r="T34" s="49">
        <f t="shared" si="81"/>
        <v>638106996.24000001</v>
      </c>
      <c r="U34" s="49">
        <f t="shared" si="81"/>
        <v>646286156.85000002</v>
      </c>
      <c r="V34" s="49">
        <f t="shared" si="81"/>
        <v>687749387.55999994</v>
      </c>
      <c r="W34" s="49">
        <f t="shared" si="81"/>
        <v>656425843.01999998</v>
      </c>
      <c r="X34" s="49">
        <f t="shared" si="81"/>
        <v>675710284.61000001</v>
      </c>
      <c r="Y34" s="49">
        <f t="shared" si="81"/>
        <v>514551138.61000001</v>
      </c>
      <c r="Z34" s="49">
        <f t="shared" si="81"/>
        <v>496788347.32999998</v>
      </c>
      <c r="AA34" s="49">
        <f t="shared" si="81"/>
        <v>438036109.13999999</v>
      </c>
      <c r="AB34" s="49">
        <f t="shared" si="81"/>
        <v>424560822.61000001</v>
      </c>
      <c r="AC34" s="49">
        <f t="shared" si="81"/>
        <v>406249339.64999998</v>
      </c>
      <c r="AD34" s="49">
        <f t="shared" si="81"/>
        <v>313155620.74000001</v>
      </c>
      <c r="AE34" s="49">
        <f t="shared" si="81"/>
        <v>255703474.93000001</v>
      </c>
      <c r="AF34" s="49">
        <f t="shared" si="81"/>
        <v>233981981.53999999</v>
      </c>
      <c r="AG34" s="49">
        <f t="shared" si="81"/>
        <v>214815697.09999999</v>
      </c>
      <c r="AH34" s="49">
        <f t="shared" si="81"/>
        <v>135604625.02000001</v>
      </c>
      <c r="AI34" s="49">
        <f t="shared" si="81"/>
        <v>127685400.67</v>
      </c>
      <c r="AJ34" s="49">
        <f t="shared" si="81"/>
        <v>128100120.87</v>
      </c>
      <c r="AK34" s="49">
        <f t="shared" si="81"/>
        <v>127919192.84999999</v>
      </c>
      <c r="AL34" s="49">
        <f t="shared" si="81"/>
        <v>97138985.359999999</v>
      </c>
      <c r="AM34" s="49">
        <f t="shared" si="81"/>
        <v>98232147.599999994</v>
      </c>
      <c r="AN34" s="49">
        <f t="shared" si="81"/>
        <v>101951344.34</v>
      </c>
      <c r="AO34" s="49">
        <f t="shared" si="81"/>
        <v>82896917.930000007</v>
      </c>
      <c r="AP34" s="49">
        <f t="shared" si="81"/>
        <v>64196426.759999998</v>
      </c>
      <c r="AQ34" s="49">
        <f t="shared" si="81"/>
        <v>0</v>
      </c>
      <c r="AR34" s="49">
        <f t="shared" si="81"/>
        <v>0</v>
      </c>
      <c r="AS34" s="49">
        <f t="shared" si="81"/>
        <v>0</v>
      </c>
      <c r="AT34" s="49">
        <f t="shared" si="81"/>
        <v>5119825755.0799999</v>
      </c>
      <c r="AU34" s="49">
        <f t="shared" si="81"/>
        <v>5166324238.8199997</v>
      </c>
      <c r="AV34" s="49">
        <f t="shared" si="81"/>
        <v>5229742144.5900002</v>
      </c>
      <c r="AW34" s="49">
        <f t="shared" si="81"/>
        <v>5303368604.3599997</v>
      </c>
      <c r="AX34" s="49">
        <f t="shared" si="81"/>
        <v>5412891640.3100004</v>
      </c>
      <c r="AY34" s="49">
        <f t="shared" si="81"/>
        <v>5477269087.8599997</v>
      </c>
      <c r="AZ34" s="49">
        <f t="shared" si="81"/>
        <v>5394582476.9899998</v>
      </c>
      <c r="BA34" s="49">
        <f t="shared" si="81"/>
        <v>5501322858.9799995</v>
      </c>
      <c r="BB34" s="49">
        <f t="shared" si="81"/>
        <v>5577867470.3299999</v>
      </c>
      <c r="BC34" s="49">
        <f t="shared" si="81"/>
        <v>5696283898.6499996</v>
      </c>
      <c r="BD34" s="49">
        <f t="shared" si="81"/>
        <v>5779603253.5100002</v>
      </c>
      <c r="BE34" s="49">
        <f t="shared" si="81"/>
        <v>5840992847.29</v>
      </c>
      <c r="BF34" s="49">
        <f t="shared" si="81"/>
        <v>5434316703.3800001</v>
      </c>
      <c r="BG34" s="49">
        <f t="shared" si="81"/>
        <v>5519652065.3800001</v>
      </c>
      <c r="BH34" s="49">
        <f t="shared" si="81"/>
        <v>5587811046.9799995</v>
      </c>
      <c r="BI34" s="49">
        <f t="shared" si="81"/>
        <v>5587556850.7200003</v>
      </c>
      <c r="BJ34" s="49">
        <f t="shared" si="81"/>
        <v>5175235607.8500004</v>
      </c>
      <c r="BK34" s="49">
        <f t="shared" si="81"/>
        <v>4543535291.6599998</v>
      </c>
      <c r="BL34" s="49">
        <f t="shared" si="81"/>
        <v>4478639735.0500002</v>
      </c>
      <c r="BM34" s="49">
        <f t="shared" si="81"/>
        <v>4520776529.7700005</v>
      </c>
      <c r="BN34" s="49">
        <f t="shared" si="81"/>
        <v>3620875395.5999999</v>
      </c>
      <c r="BO34" s="49">
        <f t="shared" si="81"/>
        <v>3684993020.0500002</v>
      </c>
      <c r="BP34" s="49">
        <f t="shared" si="81"/>
        <v>3523637936.8200002</v>
      </c>
      <c r="BQ34" s="49">
        <f>AP31-AP32-AP33</f>
        <v>64196426.759999998</v>
      </c>
      <c r="BR34" s="49">
        <f>AQ31-AQ32-AQ33</f>
        <v>0</v>
      </c>
      <c r="BS34" s="49">
        <f>AR31-AR32-AR33</f>
        <v>0</v>
      </c>
      <c r="BT34" s="49"/>
      <c r="BU34" s="50"/>
    </row>
    <row r="35" spans="1:74" s="106" customFormat="1" ht="15" thickBot="1" x14ac:dyDescent="0.3">
      <c r="A35" s="140" t="s">
        <v>317</v>
      </c>
      <c r="B35" s="33">
        <f>SUM(B22:B31)</f>
        <v>1554325510.51</v>
      </c>
      <c r="C35" s="33">
        <f>SUM(C22:C31)</f>
        <v>1530458189.9200001</v>
      </c>
      <c r="D35" s="33">
        <f>SUM(D22:D31)</f>
        <v>1759628041.1199999</v>
      </c>
      <c r="E35" s="33">
        <f>资产资本表!E17</f>
        <v>733176594.04999995</v>
      </c>
      <c r="F35" s="33">
        <f>资产资本表!F17</f>
        <v>542119136.30999994</v>
      </c>
      <c r="G35" s="33">
        <f>资产资本表!G17</f>
        <v>792389362.92999995</v>
      </c>
      <c r="H35" s="33">
        <f>资产资本表!H17</f>
        <v>1064862608.49</v>
      </c>
      <c r="I35" s="33">
        <f>资产资本表!I17</f>
        <v>1547342145.5699999</v>
      </c>
      <c r="J35" s="33">
        <f>资产资本表!J17</f>
        <v>935254236.98000002</v>
      </c>
      <c r="K35" s="33">
        <f>资产资本表!K17</f>
        <v>726701245.64999998</v>
      </c>
      <c r="L35" s="33">
        <f>资产资本表!L17</f>
        <v>796484046.78999996</v>
      </c>
      <c r="M35" s="33">
        <f>资产资本表!M17</f>
        <v>693588693.25999999</v>
      </c>
      <c r="N35" s="33">
        <f>资产资本表!N17</f>
        <v>797669458.75</v>
      </c>
      <c r="O35" s="33">
        <f>资产资本表!O17</f>
        <v>619994822.77999997</v>
      </c>
      <c r="P35" s="33">
        <f>资产资本表!P17</f>
        <v>669893756.87</v>
      </c>
      <c r="Q35" s="33">
        <f>资产资本表!Q17</f>
        <v>647204677.45000005</v>
      </c>
      <c r="R35" s="33">
        <f>资产资本表!R17</f>
        <v>629117054.61000001</v>
      </c>
      <c r="S35" s="33">
        <f>资产资本表!S17</f>
        <v>835542721.87</v>
      </c>
      <c r="T35" s="33">
        <f>资产资本表!T17</f>
        <v>884858061.70000005</v>
      </c>
      <c r="U35" s="33">
        <f>资产资本表!U17</f>
        <v>932276706.14999998</v>
      </c>
      <c r="V35" s="33">
        <f>资产资本表!V17</f>
        <v>952923862.08000004</v>
      </c>
      <c r="W35" s="33">
        <f>资产资本表!W17</f>
        <v>769157162.38</v>
      </c>
      <c r="X35" s="33">
        <f>资产资本表!X17</f>
        <v>991763885.86000001</v>
      </c>
      <c r="Y35" s="33">
        <f>资产资本表!Y17</f>
        <v>956043885.24000001</v>
      </c>
      <c r="Z35" s="33">
        <f>资产资本表!Z17</f>
        <v>803173622.38</v>
      </c>
      <c r="AA35" s="33">
        <f>资产资本表!AA17</f>
        <v>667828913.97000003</v>
      </c>
      <c r="AB35" s="33">
        <f>资产资本表!AB17</f>
        <v>1014024416.74</v>
      </c>
      <c r="AC35" s="33">
        <f>资产资本表!AC17</f>
        <v>1002302902.5700001</v>
      </c>
      <c r="AD35" s="33">
        <f>资产资本表!AD17</f>
        <v>982362386.38999999</v>
      </c>
      <c r="AE35" s="33">
        <f>资产资本表!AE17</f>
        <v>862194779.22000003</v>
      </c>
      <c r="AF35" s="33">
        <f>资产资本表!AF17</f>
        <v>1151874426.3</v>
      </c>
      <c r="AG35" s="33">
        <f>资产资本表!AG17</f>
        <v>1057191976.45</v>
      </c>
      <c r="AH35" s="33">
        <f>资产资本表!AH17</f>
        <v>960610001.01999998</v>
      </c>
      <c r="AI35" s="33">
        <f>资产资本表!AI17</f>
        <v>930790908.42999995</v>
      </c>
      <c r="AJ35" s="33">
        <f>资产资本表!AJ17</f>
        <v>1127355392.73</v>
      </c>
      <c r="AK35" s="33">
        <f>资产资本表!AK17</f>
        <v>1066884381.7</v>
      </c>
      <c r="AL35" s="33">
        <f>资产资本表!AL17</f>
        <v>1057983159.11</v>
      </c>
      <c r="AM35" s="33">
        <f>资产资本表!AM17</f>
        <v>74808751.980000004</v>
      </c>
      <c r="AN35" s="33">
        <f>资产资本表!AN17</f>
        <v>78505801.079999998</v>
      </c>
      <c r="AO35" s="33">
        <f>资产资本表!AO17</f>
        <v>50145116.420000002</v>
      </c>
      <c r="AP35" s="33">
        <f>资产资本表!AP17</f>
        <v>52609626.460000001</v>
      </c>
      <c r="AQ35" s="33">
        <f>资产资本表!AQ17</f>
        <v>0</v>
      </c>
      <c r="AR35" s="33">
        <f>资产资本表!AR17</f>
        <v>0</v>
      </c>
      <c r="AS35" s="33">
        <f>资产资本表!AS17</f>
        <v>0</v>
      </c>
      <c r="AT35" s="33">
        <f>资产资本表!AT17</f>
        <v>0</v>
      </c>
      <c r="AU35" s="33">
        <f>资产资本表!AU17</f>
        <v>0</v>
      </c>
      <c r="AV35" s="33">
        <f>资产资本表!AV17</f>
        <v>0</v>
      </c>
      <c r="AW35" s="33">
        <f>资产资本表!AW17</f>
        <v>0</v>
      </c>
      <c r="AX35" s="33">
        <f>资产资本表!AX17</f>
        <v>0</v>
      </c>
      <c r="AY35" s="33">
        <f>资产资本表!AY17</f>
        <v>0</v>
      </c>
      <c r="AZ35" s="33">
        <f>资产资本表!AZ17</f>
        <v>0</v>
      </c>
      <c r="BA35" s="33">
        <f>资产资本表!BA17</f>
        <v>0</v>
      </c>
      <c r="BB35" s="33">
        <f>资产资本表!BB17</f>
        <v>0</v>
      </c>
      <c r="BC35" s="33">
        <f>资产资本表!BC17</f>
        <v>0</v>
      </c>
      <c r="BD35" s="33">
        <f>资产资本表!BD17</f>
        <v>0</v>
      </c>
      <c r="BE35" s="33">
        <f>资产资本表!BE17</f>
        <v>0</v>
      </c>
      <c r="BF35" s="33">
        <f>资产资本表!BF17</f>
        <v>0</v>
      </c>
      <c r="BG35" s="33">
        <f>资产资本表!BG17</f>
        <v>0</v>
      </c>
      <c r="BH35" s="33">
        <f>资产资本表!BH17</f>
        <v>0</v>
      </c>
      <c r="BI35" s="33">
        <f>资产资本表!BI17</f>
        <v>0</v>
      </c>
      <c r="BJ35" s="33">
        <f>资产资本表!BJ17</f>
        <v>0</v>
      </c>
      <c r="BK35" s="33">
        <f>资产资本表!BK17</f>
        <v>0</v>
      </c>
      <c r="BL35" s="33">
        <f>资产资本表!BL17</f>
        <v>0</v>
      </c>
      <c r="BM35" s="33">
        <f>资产资本表!BM17</f>
        <v>0</v>
      </c>
      <c r="BN35" s="33">
        <f>资产资本表!BN17</f>
        <v>0</v>
      </c>
      <c r="BO35" s="33">
        <f>资产资本表!BO17</f>
        <v>0</v>
      </c>
      <c r="BP35" s="33">
        <f>资产资本表!BP17</f>
        <v>0</v>
      </c>
      <c r="BQ35" s="33">
        <f>资产资本表!BQ17</f>
        <v>0</v>
      </c>
      <c r="BR35" s="33">
        <f>资产资本表!BR17</f>
        <v>0</v>
      </c>
      <c r="BS35" s="33">
        <f>资产资本表!BS17</f>
        <v>0</v>
      </c>
      <c r="BT35" s="33">
        <f>资产资本表!BT17</f>
        <v>0</v>
      </c>
      <c r="BU35" s="33">
        <f>资产资本表!BU17</f>
        <v>0</v>
      </c>
      <c r="BV35" s="33">
        <f>资产资本表!BV17</f>
        <v>0</v>
      </c>
    </row>
    <row r="36" spans="1:74" s="26" customFormat="1" x14ac:dyDescent="0.25">
      <c r="A36" s="17"/>
    </row>
    <row r="37" spans="1:74" s="26" customFormat="1" x14ac:dyDescent="0.25">
      <c r="A37" s="17"/>
    </row>
    <row r="38" spans="1:74" s="18" customFormat="1" x14ac:dyDescent="0.25">
      <c r="A38" s="18" t="s">
        <v>318</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39447</v>
      </c>
      <c r="AR38" s="1">
        <v>39082</v>
      </c>
      <c r="AS38" s="1">
        <v>25569</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37437</v>
      </c>
      <c r="BO38" s="1">
        <v>37256</v>
      </c>
      <c r="BP38" s="1">
        <v>37072</v>
      </c>
      <c r="BQ38" s="1">
        <v>36891</v>
      </c>
      <c r="BR38" s="1">
        <v>36707</v>
      </c>
      <c r="BS38" s="1">
        <v>36525</v>
      </c>
      <c r="BT38" s="1">
        <v>36341</v>
      </c>
      <c r="BU38" s="1">
        <v>36160</v>
      </c>
      <c r="BV38" s="1">
        <v>25569</v>
      </c>
    </row>
    <row r="39" spans="1:74" s="48" customFormat="1" x14ac:dyDescent="0.25">
      <c r="A39" s="46" t="s">
        <v>319</v>
      </c>
    </row>
    <row r="40" spans="1:74" s="193" customFormat="1" x14ac:dyDescent="0.25">
      <c r="A40" s="193" t="s">
        <v>743</v>
      </c>
      <c r="B40" s="190">
        <v>468058695.66000003</v>
      </c>
      <c r="C40" s="190">
        <v>465145228.47000003</v>
      </c>
      <c r="D40" s="190">
        <v>455644061.94999999</v>
      </c>
      <c r="E40" s="190">
        <v>20118946.59</v>
      </c>
      <c r="F40" s="190">
        <v>20120320</v>
      </c>
      <c r="G40" s="190">
        <v>20120320</v>
      </c>
      <c r="H40" s="190">
        <v>0</v>
      </c>
      <c r="I40" s="190">
        <v>23602222.899999999</v>
      </c>
      <c r="J40" s="190">
        <v>23502222.899999999</v>
      </c>
      <c r="K40" s="190">
        <v>1502222.9</v>
      </c>
      <c r="L40" s="190">
        <v>0</v>
      </c>
      <c r="M40" s="190">
        <v>5686000</v>
      </c>
      <c r="N40" s="190">
        <v>6114227</v>
      </c>
      <c r="O40" s="190">
        <v>5150000</v>
      </c>
      <c r="P40" s="190">
        <v>0</v>
      </c>
      <c r="Q40" s="190">
        <v>0</v>
      </c>
      <c r="R40" s="190">
        <v>0</v>
      </c>
      <c r="S40" s="190">
        <v>0</v>
      </c>
      <c r="T40" s="190">
        <v>0</v>
      </c>
      <c r="U40" s="190">
        <v>0</v>
      </c>
      <c r="V40" s="190">
        <v>0</v>
      </c>
      <c r="W40" s="190">
        <v>0</v>
      </c>
      <c r="X40" s="190">
        <v>0</v>
      </c>
      <c r="Y40" s="190">
        <v>0</v>
      </c>
      <c r="Z40" s="190">
        <v>0</v>
      </c>
      <c r="AA40" s="190">
        <v>0</v>
      </c>
      <c r="AB40" s="190">
        <v>0</v>
      </c>
      <c r="AC40" s="190">
        <v>0</v>
      </c>
      <c r="AD40" s="190">
        <v>0</v>
      </c>
      <c r="AE40" s="190">
        <v>0</v>
      </c>
      <c r="AF40" s="190">
        <v>0</v>
      </c>
      <c r="AG40" s="190">
        <v>0</v>
      </c>
      <c r="AH40" s="190">
        <v>0</v>
      </c>
      <c r="AI40" s="190">
        <v>0</v>
      </c>
      <c r="AJ40" s="190">
        <v>0</v>
      </c>
      <c r="AK40" s="190">
        <v>917083360</v>
      </c>
      <c r="AL40" s="190">
        <v>917083360</v>
      </c>
      <c r="AM40" s="190">
        <v>0</v>
      </c>
      <c r="AN40" s="190">
        <v>0</v>
      </c>
      <c r="AO40" s="190">
        <v>0</v>
      </c>
      <c r="AP40" s="190">
        <v>0</v>
      </c>
      <c r="AQ40" s="190">
        <v>20440920.940000001</v>
      </c>
      <c r="AR40" s="190">
        <v>15488720.49</v>
      </c>
      <c r="AS40" s="190">
        <v>0</v>
      </c>
      <c r="AT40" s="190">
        <v>15000000</v>
      </c>
      <c r="AU40" s="190">
        <v>15000000</v>
      </c>
      <c r="AV40" s="190">
        <v>0</v>
      </c>
      <c r="AW40" s="190">
        <v>0</v>
      </c>
      <c r="AX40" s="190">
        <v>1000000</v>
      </c>
      <c r="AY40" s="190">
        <v>1000000</v>
      </c>
      <c r="AZ40" s="190">
        <v>0</v>
      </c>
      <c r="BA40" s="190">
        <v>0</v>
      </c>
      <c r="BB40" s="190">
        <v>0</v>
      </c>
      <c r="BC40" s="190">
        <v>0</v>
      </c>
      <c r="BD40" s="190">
        <v>0</v>
      </c>
      <c r="BE40" s="190">
        <v>2450000</v>
      </c>
      <c r="BF40" s="190">
        <v>0</v>
      </c>
      <c r="BG40" s="190">
        <v>0</v>
      </c>
      <c r="BH40" s="190">
        <v>0</v>
      </c>
      <c r="BI40" s="190">
        <v>0</v>
      </c>
      <c r="BJ40" s="190">
        <v>0</v>
      </c>
      <c r="BK40" s="190">
        <v>0</v>
      </c>
      <c r="BL40" s="190">
        <v>0</v>
      </c>
      <c r="BM40" s="190">
        <v>800000</v>
      </c>
      <c r="BN40" s="190">
        <v>0</v>
      </c>
      <c r="BO40" s="190">
        <v>615571049.24000001</v>
      </c>
      <c r="BP40" s="190">
        <v>614591049.24000001</v>
      </c>
      <c r="BQ40" s="190">
        <v>0</v>
      </c>
      <c r="BR40" s="190">
        <v>0</v>
      </c>
      <c r="BS40" s="190">
        <v>0</v>
      </c>
      <c r="BT40" s="190">
        <v>0</v>
      </c>
      <c r="BU40" s="190">
        <v>1165397962.47</v>
      </c>
      <c r="BV40" s="190">
        <v>0</v>
      </c>
    </row>
    <row r="41" spans="1:74" s="53" customFormat="1" ht="21.75" customHeight="1" x14ac:dyDescent="0.25">
      <c r="A41" s="141" t="s">
        <v>634</v>
      </c>
      <c r="B41" s="53">
        <v>1419647033.29</v>
      </c>
      <c r="C41" s="53">
        <v>682396282.87</v>
      </c>
      <c r="D41" s="53">
        <v>73246783.790000007</v>
      </c>
      <c r="E41" s="53">
        <v>140363100</v>
      </c>
      <c r="I41" s="53">
        <v>140363100</v>
      </c>
      <c r="M41" s="53">
        <v>280726200</v>
      </c>
      <c r="Q41" s="53">
        <v>98254170</v>
      </c>
      <c r="U41" s="53">
        <v>98254170</v>
      </c>
      <c r="Y41" s="53">
        <v>140363100</v>
      </c>
      <c r="AC41" s="53">
        <v>199315602</v>
      </c>
      <c r="AG41" s="53">
        <v>98254170</v>
      </c>
      <c r="AK41" s="53">
        <v>21052620</v>
      </c>
      <c r="AO41" s="53">
        <v>42105240</v>
      </c>
    </row>
    <row r="42" spans="1:74" s="26" customFormat="1" x14ac:dyDescent="0.25">
      <c r="A42" s="17" t="s">
        <v>322</v>
      </c>
      <c r="E42" s="26">
        <f>E40-E41</f>
        <v>-120244153.41</v>
      </c>
      <c r="F42" s="26">
        <f t="shared" ref="F42:Y42" si="82">F40-F41</f>
        <v>20120320</v>
      </c>
      <c r="G42" s="26">
        <f t="shared" si="82"/>
        <v>20120320</v>
      </c>
      <c r="H42" s="26">
        <f t="shared" si="82"/>
        <v>0</v>
      </c>
      <c r="I42" s="26">
        <f>I40-I41</f>
        <v>-116760877.09999999</v>
      </c>
      <c r="J42" s="26">
        <f t="shared" si="82"/>
        <v>23502222.899999999</v>
      </c>
      <c r="K42" s="26">
        <f t="shared" si="82"/>
        <v>1502222.9</v>
      </c>
      <c r="L42" s="26">
        <f t="shared" si="82"/>
        <v>0</v>
      </c>
      <c r="M42" s="26">
        <f t="shared" si="82"/>
        <v>-275040200</v>
      </c>
      <c r="N42" s="26">
        <f t="shared" si="82"/>
        <v>6114227</v>
      </c>
      <c r="O42" s="26">
        <f t="shared" si="82"/>
        <v>5150000</v>
      </c>
      <c r="P42" s="26">
        <f t="shared" si="82"/>
        <v>0</v>
      </c>
      <c r="Q42" s="26">
        <f t="shared" si="82"/>
        <v>-98254170</v>
      </c>
      <c r="R42" s="26">
        <f t="shared" si="82"/>
        <v>0</v>
      </c>
      <c r="S42" s="26">
        <f t="shared" si="82"/>
        <v>0</v>
      </c>
      <c r="T42" s="26">
        <f t="shared" si="82"/>
        <v>0</v>
      </c>
      <c r="U42" s="26">
        <f t="shared" si="82"/>
        <v>-98254170</v>
      </c>
      <c r="V42" s="26">
        <f t="shared" si="82"/>
        <v>0</v>
      </c>
      <c r="W42" s="26">
        <f t="shared" si="82"/>
        <v>0</v>
      </c>
      <c r="X42" s="26">
        <f t="shared" si="82"/>
        <v>0</v>
      </c>
      <c r="Y42" s="26">
        <f t="shared" si="82"/>
        <v>-140363100</v>
      </c>
      <c r="Z42" s="26">
        <f t="shared" ref="Z42:BQ42" si="83">Z40-Z41</f>
        <v>0</v>
      </c>
      <c r="AA42" s="26">
        <f t="shared" si="83"/>
        <v>0</v>
      </c>
      <c r="AB42" s="26">
        <f t="shared" si="83"/>
        <v>0</v>
      </c>
      <c r="AC42" s="26">
        <f t="shared" si="83"/>
        <v>-199315602</v>
      </c>
      <c r="AD42" s="26">
        <f t="shared" si="83"/>
        <v>0</v>
      </c>
      <c r="AE42" s="26">
        <f t="shared" si="83"/>
        <v>0</v>
      </c>
      <c r="AF42" s="26">
        <f t="shared" si="83"/>
        <v>0</v>
      </c>
      <c r="AG42" s="26">
        <f t="shared" si="83"/>
        <v>-98254170</v>
      </c>
      <c r="AH42" s="26">
        <f t="shared" si="83"/>
        <v>0</v>
      </c>
      <c r="AI42" s="26">
        <f t="shared" si="83"/>
        <v>0</v>
      </c>
      <c r="AJ42" s="26">
        <f t="shared" si="83"/>
        <v>0</v>
      </c>
      <c r="AK42" s="26">
        <f t="shared" si="83"/>
        <v>896030740</v>
      </c>
      <c r="AL42" s="193">
        <f t="shared" si="83"/>
        <v>917083360</v>
      </c>
      <c r="AM42" s="193">
        <f t="shared" si="83"/>
        <v>0</v>
      </c>
      <c r="AN42" s="193">
        <f t="shared" si="83"/>
        <v>0</v>
      </c>
      <c r="AO42" s="193">
        <f t="shared" si="83"/>
        <v>-42105240</v>
      </c>
      <c r="AP42" s="193">
        <f t="shared" si="83"/>
        <v>0</v>
      </c>
      <c r="AQ42" s="193">
        <f t="shared" si="83"/>
        <v>20440920.940000001</v>
      </c>
      <c r="AR42" s="193">
        <f t="shared" si="83"/>
        <v>15488720.49</v>
      </c>
      <c r="AS42" s="193">
        <f t="shared" si="83"/>
        <v>0</v>
      </c>
      <c r="AT42" s="193">
        <f t="shared" si="83"/>
        <v>15000000</v>
      </c>
      <c r="AU42" s="193">
        <f t="shared" si="83"/>
        <v>15000000</v>
      </c>
      <c r="AV42" s="193">
        <f t="shared" si="83"/>
        <v>0</v>
      </c>
      <c r="AW42" s="193">
        <f t="shared" si="83"/>
        <v>0</v>
      </c>
      <c r="AX42" s="193">
        <f t="shared" si="83"/>
        <v>1000000</v>
      </c>
      <c r="AY42" s="193">
        <f t="shared" si="83"/>
        <v>1000000</v>
      </c>
      <c r="AZ42" s="193">
        <f t="shared" si="83"/>
        <v>0</v>
      </c>
      <c r="BA42" s="26">
        <f t="shared" si="83"/>
        <v>0</v>
      </c>
      <c r="BB42" s="26">
        <f t="shared" si="83"/>
        <v>0</v>
      </c>
      <c r="BC42" s="26">
        <f t="shared" si="83"/>
        <v>0</v>
      </c>
      <c r="BD42" s="26">
        <f t="shared" si="83"/>
        <v>0</v>
      </c>
      <c r="BE42" s="26">
        <f t="shared" si="83"/>
        <v>2450000</v>
      </c>
      <c r="BF42" s="26">
        <f t="shared" si="83"/>
        <v>0</v>
      </c>
      <c r="BG42" s="26">
        <f t="shared" si="83"/>
        <v>0</v>
      </c>
      <c r="BH42" s="26">
        <f t="shared" si="83"/>
        <v>0</v>
      </c>
      <c r="BI42" s="26">
        <f t="shared" si="83"/>
        <v>0</v>
      </c>
      <c r="BJ42" s="26">
        <f t="shared" si="83"/>
        <v>0</v>
      </c>
      <c r="BK42" s="26">
        <f t="shared" si="83"/>
        <v>0</v>
      </c>
      <c r="BL42" s="26">
        <f t="shared" si="83"/>
        <v>0</v>
      </c>
      <c r="BM42" s="26">
        <f t="shared" si="83"/>
        <v>800000</v>
      </c>
      <c r="BN42" s="26">
        <f t="shared" si="83"/>
        <v>0</v>
      </c>
      <c r="BO42" s="26">
        <f t="shared" si="83"/>
        <v>615571049.24000001</v>
      </c>
      <c r="BP42" s="26">
        <f t="shared" si="83"/>
        <v>614591049.24000001</v>
      </c>
      <c r="BQ42" s="26">
        <f t="shared" si="83"/>
        <v>0</v>
      </c>
      <c r="BR42" s="26">
        <f t="shared" ref="BR42:BV42" si="84">BR40-BR41</f>
        <v>0</v>
      </c>
      <c r="BS42" s="26">
        <f t="shared" si="84"/>
        <v>0</v>
      </c>
      <c r="BT42" s="26">
        <f t="shared" si="84"/>
        <v>0</v>
      </c>
      <c r="BU42" s="26">
        <f t="shared" si="84"/>
        <v>1165397962.47</v>
      </c>
      <c r="BV42" s="26">
        <f t="shared" si="84"/>
        <v>0</v>
      </c>
    </row>
    <row r="43" spans="1:74" s="52" customFormat="1" ht="15" customHeight="1" x14ac:dyDescent="0.25">
      <c r="A43" s="142" t="s">
        <v>321</v>
      </c>
    </row>
    <row r="44" spans="1:74" s="193" customFormat="1" x14ac:dyDescent="0.25">
      <c r="A44" s="193" t="s">
        <v>324</v>
      </c>
      <c r="B44" s="190">
        <v>705678113.75999999</v>
      </c>
      <c r="C44" s="190">
        <v>488258116.19</v>
      </c>
      <c r="D44" s="190">
        <v>7086499.4900000002</v>
      </c>
      <c r="E44" s="190">
        <v>247500960</v>
      </c>
      <c r="F44" s="190">
        <v>620688039.99000001</v>
      </c>
      <c r="G44" s="190">
        <v>614687388.02999997</v>
      </c>
      <c r="H44" s="190">
        <v>75892300</v>
      </c>
      <c r="I44" s="190">
        <v>578377380</v>
      </c>
      <c r="J44" s="190">
        <v>324840756</v>
      </c>
      <c r="K44" s="190">
        <v>170000000</v>
      </c>
      <c r="L44" s="190">
        <v>0</v>
      </c>
      <c r="M44" s="190">
        <v>100000000</v>
      </c>
      <c r="N44" s="190">
        <v>0</v>
      </c>
      <c r="O44" s="190">
        <v>0</v>
      </c>
      <c r="P44" s="190">
        <v>0</v>
      </c>
      <c r="Q44" s="190">
        <v>0</v>
      </c>
      <c r="R44" s="190">
        <v>0</v>
      </c>
      <c r="S44" s="190">
        <v>0</v>
      </c>
      <c r="T44" s="190">
        <v>0</v>
      </c>
      <c r="U44" s="190">
        <v>0</v>
      </c>
      <c r="V44" s="190">
        <v>0</v>
      </c>
      <c r="W44" s="190">
        <v>0</v>
      </c>
      <c r="X44" s="190">
        <v>35000000</v>
      </c>
      <c r="Y44" s="190">
        <v>0</v>
      </c>
      <c r="Z44" s="190">
        <v>0</v>
      </c>
      <c r="AA44" s="190">
        <v>0</v>
      </c>
      <c r="AB44" s="190">
        <v>0</v>
      </c>
      <c r="AC44" s="190">
        <v>0</v>
      </c>
      <c r="AD44" s="190">
        <v>0</v>
      </c>
      <c r="AE44" s="190">
        <v>0</v>
      </c>
      <c r="AF44" s="190">
        <v>0</v>
      </c>
      <c r="AG44" s="190">
        <v>20000000</v>
      </c>
      <c r="AH44" s="190">
        <v>20000000</v>
      </c>
      <c r="AI44" s="190">
        <v>0</v>
      </c>
      <c r="AJ44" s="190">
        <v>0</v>
      </c>
      <c r="AK44" s="190">
        <v>0</v>
      </c>
      <c r="AL44" s="190">
        <v>0</v>
      </c>
      <c r="AM44" s="190">
        <v>0</v>
      </c>
      <c r="AN44" s="190">
        <v>0</v>
      </c>
      <c r="AO44" s="190">
        <v>57800000</v>
      </c>
      <c r="AP44" s="190">
        <v>57800000</v>
      </c>
      <c r="AQ44" s="190">
        <v>108000000</v>
      </c>
      <c r="AR44" s="190">
        <v>91000000</v>
      </c>
      <c r="AS44" s="190">
        <v>0</v>
      </c>
      <c r="AT44" s="190">
        <v>0</v>
      </c>
      <c r="AU44" s="190">
        <v>0</v>
      </c>
      <c r="AV44" s="190">
        <v>0</v>
      </c>
      <c r="AW44" s="190">
        <v>0</v>
      </c>
      <c r="AX44" s="190">
        <v>0</v>
      </c>
      <c r="AY44" s="190">
        <v>0</v>
      </c>
      <c r="AZ44" s="190">
        <v>0</v>
      </c>
      <c r="BA44" s="190">
        <v>0</v>
      </c>
      <c r="BB44" s="190">
        <v>0</v>
      </c>
      <c r="BC44" s="190">
        <v>0</v>
      </c>
      <c r="BD44" s="190">
        <v>0</v>
      </c>
      <c r="BE44" s="190">
        <v>0</v>
      </c>
      <c r="BF44" s="190">
        <v>0</v>
      </c>
      <c r="BG44" s="190">
        <v>0</v>
      </c>
      <c r="BH44" s="190">
        <v>0</v>
      </c>
      <c r="BI44" s="190">
        <v>0</v>
      </c>
      <c r="BJ44" s="190">
        <v>0</v>
      </c>
      <c r="BK44" s="190">
        <v>0</v>
      </c>
      <c r="BL44" s="190">
        <v>0</v>
      </c>
      <c r="BM44" s="190">
        <v>0</v>
      </c>
      <c r="BN44" s="190">
        <v>0</v>
      </c>
      <c r="BO44" s="190">
        <v>0</v>
      </c>
      <c r="BP44" s="190">
        <v>0</v>
      </c>
      <c r="BQ44" s="190">
        <v>0</v>
      </c>
      <c r="BR44" s="190">
        <v>0</v>
      </c>
      <c r="BS44" s="190">
        <v>0</v>
      </c>
      <c r="BT44" s="190">
        <v>0</v>
      </c>
      <c r="BU44" s="190">
        <v>0</v>
      </c>
      <c r="BV44" s="190">
        <v>0</v>
      </c>
    </row>
    <row r="45" spans="1:74" s="193" customFormat="1" x14ac:dyDescent="0.25">
      <c r="A45" s="193" t="s">
        <v>323</v>
      </c>
      <c r="E45" s="193">
        <f>股权价值增加表!E53</f>
        <v>21110212.079999998</v>
      </c>
      <c r="F45" s="193">
        <f>股权价值增加表!F53</f>
        <v>0</v>
      </c>
      <c r="G45" s="193">
        <f>股权价值增加表!G53</f>
        <v>0</v>
      </c>
      <c r="H45" s="193">
        <f>股权价值增加表!H53</f>
        <v>0</v>
      </c>
      <c r="I45" s="193">
        <f>股权价值增加表!I53</f>
        <v>9305327.8499999996</v>
      </c>
      <c r="J45" s="193">
        <f>股权价值增加表!J53</f>
        <v>0</v>
      </c>
      <c r="K45" s="193">
        <f>股权价值增加表!K53</f>
        <v>0</v>
      </c>
      <c r="L45" s="193">
        <f>股权价值增加表!L53</f>
        <v>0</v>
      </c>
      <c r="M45" s="193">
        <f>股权价值增加表!M53</f>
        <v>1760420.36</v>
      </c>
      <c r="N45" s="193">
        <f>股权价值增加表!N53</f>
        <v>0</v>
      </c>
      <c r="O45" s="193">
        <f>股权价值增加表!O53</f>
        <v>0</v>
      </c>
      <c r="P45" s="193">
        <f>股权价值增加表!P53</f>
        <v>0</v>
      </c>
      <c r="Q45" s="193">
        <f>股权价值增加表!Q53</f>
        <v>0</v>
      </c>
      <c r="R45" s="193">
        <f>股权价值增加表!R53</f>
        <v>0</v>
      </c>
      <c r="S45" s="193">
        <f>股权价值增加表!S53</f>
        <v>0</v>
      </c>
      <c r="T45" s="193">
        <f>股权价值增加表!T53</f>
        <v>0</v>
      </c>
      <c r="U45" s="193">
        <f>股权价值增加表!U53</f>
        <v>0</v>
      </c>
      <c r="V45" s="193">
        <f>股权价值增加表!V53</f>
        <v>0</v>
      </c>
      <c r="W45" s="193">
        <f>股权价值增加表!W53</f>
        <v>0</v>
      </c>
      <c r="X45" s="193">
        <f>股权价值增加表!X53</f>
        <v>0</v>
      </c>
      <c r="Y45" s="193">
        <f>股权价值增加表!Y53</f>
        <v>0</v>
      </c>
      <c r="Z45" s="193">
        <f>股权价值增加表!Z53</f>
        <v>0</v>
      </c>
      <c r="AA45" s="193">
        <f>股权价值增加表!AA53</f>
        <v>0</v>
      </c>
      <c r="AB45" s="193">
        <f>股权价值增加表!AB53</f>
        <v>0</v>
      </c>
      <c r="AC45" s="193">
        <f>股权价值增加表!AC53</f>
        <v>0</v>
      </c>
      <c r="AD45" s="193">
        <f>股权价值增加表!AD53</f>
        <v>0</v>
      </c>
      <c r="AE45" s="193">
        <f>股权价值增加表!AE53</f>
        <v>0</v>
      </c>
      <c r="AF45" s="193">
        <f>股权价值增加表!AF53</f>
        <v>0</v>
      </c>
      <c r="AG45" s="193">
        <f>股权价值增加表!AG53</f>
        <v>54135</v>
      </c>
      <c r="AH45" s="193">
        <f>股权价值增加表!AH53</f>
        <v>0</v>
      </c>
      <c r="AI45" s="193">
        <f>股权价值增加表!AI53</f>
        <v>0</v>
      </c>
      <c r="AJ45" s="193">
        <f>股权价值增加表!AJ53</f>
        <v>0</v>
      </c>
      <c r="AK45" s="193">
        <f>股权价值增加表!AK53</f>
        <v>0</v>
      </c>
      <c r="AL45" s="193">
        <f>股权价值增加表!AL53</f>
        <v>0</v>
      </c>
      <c r="AM45" s="193">
        <f>股权价值增加表!AM53</f>
        <v>0</v>
      </c>
      <c r="AN45" s="193">
        <f>股权价值增加表!AN53</f>
        <v>0</v>
      </c>
      <c r="AO45" s="193">
        <f>股权价值增加表!AO53</f>
        <v>1186365.49</v>
      </c>
      <c r="AP45" s="193">
        <f>股权价值增加表!AP53</f>
        <v>0</v>
      </c>
      <c r="AQ45" s="193">
        <f>股权价值增加表!AQ53</f>
        <v>0</v>
      </c>
      <c r="AR45" s="193">
        <f>股权价值增加表!AR53</f>
        <v>0</v>
      </c>
      <c r="AS45" s="193">
        <f>股权价值增加表!AS53</f>
        <v>0</v>
      </c>
      <c r="AT45" s="193">
        <f>股权价值增加表!AT53</f>
        <v>0</v>
      </c>
      <c r="AU45" s="193">
        <f>股权价值增加表!AU53</f>
        <v>0</v>
      </c>
      <c r="AV45" s="193">
        <f>股权价值增加表!AV53</f>
        <v>0</v>
      </c>
      <c r="AW45" s="193">
        <f>股权价值增加表!AW53</f>
        <v>0</v>
      </c>
      <c r="AX45" s="193">
        <f>股权价值增加表!AX53</f>
        <v>0</v>
      </c>
      <c r="AY45" s="193">
        <f>股权价值增加表!AY53</f>
        <v>0</v>
      </c>
      <c r="AZ45" s="193">
        <f>股权价值增加表!AZ53</f>
        <v>0</v>
      </c>
      <c r="BA45" s="193">
        <f>股权价值增加表!BA53</f>
        <v>0</v>
      </c>
      <c r="BB45" s="193">
        <f>股权价值增加表!BB53</f>
        <v>0</v>
      </c>
      <c r="BC45" s="193">
        <f>股权价值增加表!BC53</f>
        <v>0</v>
      </c>
      <c r="BD45" s="193">
        <f>股权价值增加表!BD53</f>
        <v>0</v>
      </c>
      <c r="BE45" s="193">
        <f>股权价值增加表!BE53</f>
        <v>0</v>
      </c>
      <c r="BF45" s="193">
        <f>股权价值增加表!BF53</f>
        <v>0</v>
      </c>
      <c r="BG45" s="193">
        <f>股权价值增加表!BG53</f>
        <v>0</v>
      </c>
      <c r="BH45" s="193">
        <f>股权价值增加表!BH53</f>
        <v>0</v>
      </c>
      <c r="BI45" s="193">
        <f>股权价值增加表!BI53</f>
        <v>0</v>
      </c>
      <c r="BJ45" s="193">
        <f>股权价值增加表!BJ53</f>
        <v>0</v>
      </c>
      <c r="BK45" s="193">
        <f>股权价值增加表!BK53</f>
        <v>0</v>
      </c>
      <c r="BL45" s="193">
        <f>股权价值增加表!BL53</f>
        <v>0</v>
      </c>
      <c r="BM45" s="193">
        <f>股权价值增加表!BM53</f>
        <v>0</v>
      </c>
      <c r="BN45" s="193">
        <f>股权价值增加表!BN53</f>
        <v>0</v>
      </c>
      <c r="BO45" s="193">
        <f>股权价值增加表!BO53</f>
        <v>0</v>
      </c>
      <c r="BP45" s="193">
        <f>股权价值增加表!BP53</f>
        <v>0</v>
      </c>
      <c r="BQ45" s="193">
        <f>股权价值增加表!BQ53</f>
        <v>0</v>
      </c>
      <c r="BR45" s="193">
        <f>股权价值增加表!BR53</f>
        <v>0</v>
      </c>
      <c r="BS45" s="193">
        <f>股权价值增加表!BS53</f>
        <v>0</v>
      </c>
      <c r="BT45" s="193">
        <f>股权价值增加表!BT53</f>
        <v>0</v>
      </c>
      <c r="BU45" s="193">
        <f>股权价值增加表!BU53</f>
        <v>0</v>
      </c>
      <c r="BV45" s="193">
        <f>股权价值增加表!BV53</f>
        <v>0</v>
      </c>
    </row>
    <row r="46" spans="1:74" s="193" customFormat="1" x14ac:dyDescent="0.25">
      <c r="A46" s="193" t="s">
        <v>325</v>
      </c>
      <c r="B46" s="190">
        <v>0</v>
      </c>
      <c r="C46" s="190">
        <v>120284.89</v>
      </c>
      <c r="D46" s="190">
        <v>92918.44</v>
      </c>
      <c r="E46" s="190">
        <v>378668.3</v>
      </c>
      <c r="F46" s="190">
        <v>93686.35</v>
      </c>
      <c r="G46" s="190">
        <v>262805.84000000003</v>
      </c>
      <c r="H46" s="190">
        <v>526149.98</v>
      </c>
      <c r="I46" s="190">
        <v>690979.23</v>
      </c>
      <c r="J46" s="190">
        <v>0</v>
      </c>
      <c r="K46" s="190">
        <v>0</v>
      </c>
      <c r="L46" s="190">
        <v>0</v>
      </c>
      <c r="M46" s="190">
        <v>302083.33</v>
      </c>
      <c r="N46" s="190">
        <v>0</v>
      </c>
      <c r="O46" s="190">
        <v>0</v>
      </c>
      <c r="P46" s="190">
        <v>0</v>
      </c>
      <c r="Q46" s="190">
        <v>0</v>
      </c>
      <c r="R46" s="190">
        <v>0</v>
      </c>
      <c r="S46" s="190">
        <v>0</v>
      </c>
      <c r="T46" s="190">
        <v>0</v>
      </c>
      <c r="U46" s="190">
        <v>0</v>
      </c>
      <c r="V46" s="190">
        <v>0</v>
      </c>
      <c r="W46" s="190">
        <v>0</v>
      </c>
      <c r="X46" s="190">
        <v>0</v>
      </c>
      <c r="Y46" s="190">
        <v>0</v>
      </c>
      <c r="Z46" s="190">
        <v>0</v>
      </c>
      <c r="AA46" s="190">
        <v>0</v>
      </c>
      <c r="AB46" s="190">
        <v>0</v>
      </c>
      <c r="AC46" s="190">
        <v>0</v>
      </c>
      <c r="AD46" s="190">
        <v>0</v>
      </c>
      <c r="AE46" s="190">
        <v>0</v>
      </c>
      <c r="AF46" s="190">
        <v>0</v>
      </c>
      <c r="AG46" s="190">
        <v>0</v>
      </c>
      <c r="AH46" s="190">
        <v>0</v>
      </c>
      <c r="AI46" s="190">
        <v>0</v>
      </c>
      <c r="AJ46" s="190">
        <v>0</v>
      </c>
      <c r="AK46" s="190">
        <v>0</v>
      </c>
      <c r="AL46" s="190">
        <v>0</v>
      </c>
      <c r="AM46" s="190">
        <v>0</v>
      </c>
      <c r="AN46" s="190">
        <v>0</v>
      </c>
      <c r="AO46" s="190">
        <v>10444.44</v>
      </c>
      <c r="AP46" s="190">
        <v>49021.5</v>
      </c>
      <c r="AQ46" s="190">
        <v>0</v>
      </c>
      <c r="AR46" s="190"/>
      <c r="AS46" s="190"/>
      <c r="AT46" s="190">
        <v>0</v>
      </c>
      <c r="AU46" s="190">
        <v>0</v>
      </c>
      <c r="AV46" s="190">
        <v>0</v>
      </c>
      <c r="AW46" s="190">
        <v>0</v>
      </c>
      <c r="AX46" s="190">
        <v>0</v>
      </c>
      <c r="AY46" s="190">
        <v>0</v>
      </c>
      <c r="AZ46" s="190">
        <v>0</v>
      </c>
      <c r="BA46" s="190">
        <v>0</v>
      </c>
      <c r="BB46" s="190">
        <v>0</v>
      </c>
      <c r="BC46" s="190">
        <v>0</v>
      </c>
      <c r="BD46" s="190">
        <v>0</v>
      </c>
      <c r="BE46" s="190">
        <v>0</v>
      </c>
      <c r="BF46" s="190">
        <v>0</v>
      </c>
      <c r="BG46" s="190">
        <v>0</v>
      </c>
      <c r="BH46" s="190">
        <v>0</v>
      </c>
      <c r="BI46" s="190">
        <v>0</v>
      </c>
      <c r="BJ46" s="190">
        <v>0</v>
      </c>
      <c r="BK46" s="190">
        <v>0</v>
      </c>
      <c r="BL46" s="190">
        <v>0</v>
      </c>
      <c r="BM46" s="190">
        <v>0</v>
      </c>
      <c r="BN46" s="190">
        <v>0</v>
      </c>
      <c r="BO46" s="190">
        <v>0</v>
      </c>
      <c r="BP46" s="190">
        <v>0</v>
      </c>
      <c r="BQ46" s="190">
        <v>0</v>
      </c>
      <c r="BR46" s="190">
        <v>0</v>
      </c>
      <c r="BS46" s="190">
        <v>0</v>
      </c>
      <c r="BT46" s="190">
        <v>0</v>
      </c>
      <c r="BU46" s="190">
        <v>0</v>
      </c>
      <c r="BV46" s="190">
        <v>0</v>
      </c>
    </row>
    <row r="47" spans="1:74" s="193" customFormat="1" x14ac:dyDescent="0.25">
      <c r="A47" s="193" t="s">
        <v>326</v>
      </c>
      <c r="B47" s="190">
        <v>707483601.80999994</v>
      </c>
      <c r="C47" s="190">
        <v>490369094.81</v>
      </c>
      <c r="D47" s="190">
        <v>0</v>
      </c>
      <c r="E47" s="190">
        <v>400000000</v>
      </c>
      <c r="F47" s="190">
        <v>632765109.16999996</v>
      </c>
      <c r="G47" s="190">
        <v>631851586.58000004</v>
      </c>
      <c r="H47" s="190">
        <v>64471629.520000003</v>
      </c>
      <c r="I47" s="190">
        <v>190000000</v>
      </c>
      <c r="J47" s="190">
        <v>100000000</v>
      </c>
      <c r="K47" s="190">
        <v>0</v>
      </c>
      <c r="L47" s="190">
        <v>0</v>
      </c>
      <c r="M47" s="190">
        <v>0</v>
      </c>
      <c r="N47" s="190">
        <v>0</v>
      </c>
      <c r="O47" s="190">
        <v>0</v>
      </c>
      <c r="P47" s="190">
        <v>0</v>
      </c>
      <c r="Q47" s="190">
        <v>0</v>
      </c>
      <c r="R47" s="190">
        <v>0</v>
      </c>
      <c r="S47" s="190">
        <v>0</v>
      </c>
      <c r="T47" s="190">
        <v>0</v>
      </c>
      <c r="U47" s="190">
        <v>0</v>
      </c>
      <c r="V47" s="190">
        <v>0</v>
      </c>
      <c r="W47" s="190">
        <v>0</v>
      </c>
      <c r="X47" s="190">
        <v>35000000</v>
      </c>
      <c r="Y47" s="190">
        <v>0</v>
      </c>
      <c r="Z47" s="190">
        <v>0</v>
      </c>
      <c r="AA47" s="190">
        <v>0</v>
      </c>
      <c r="AB47" s="190">
        <v>0</v>
      </c>
      <c r="AC47" s="190">
        <v>0</v>
      </c>
      <c r="AD47" s="190">
        <v>0</v>
      </c>
      <c r="AE47" s="190">
        <v>0</v>
      </c>
      <c r="AF47" s="190">
        <v>0</v>
      </c>
      <c r="AG47" s="190">
        <v>20000000</v>
      </c>
      <c r="AH47" s="190">
        <v>20000000</v>
      </c>
      <c r="AI47" s="190">
        <v>0</v>
      </c>
      <c r="AJ47" s="190">
        <v>0</v>
      </c>
      <c r="AK47" s="190">
        <v>0</v>
      </c>
      <c r="AL47" s="190">
        <v>0</v>
      </c>
      <c r="AM47" s="190">
        <v>0</v>
      </c>
      <c r="AN47" s="190">
        <v>0</v>
      </c>
      <c r="AO47" s="190">
        <v>62800000</v>
      </c>
      <c r="AP47" s="190">
        <v>47800000</v>
      </c>
      <c r="AQ47" s="190">
        <v>131000000</v>
      </c>
      <c r="AR47" s="190">
        <v>78000000</v>
      </c>
      <c r="AS47" s="190">
        <v>0</v>
      </c>
      <c r="AT47" s="190">
        <v>0</v>
      </c>
      <c r="AU47" s="190">
        <v>0</v>
      </c>
      <c r="AV47" s="190">
        <v>0</v>
      </c>
      <c r="AW47" s="190">
        <v>0</v>
      </c>
      <c r="AX47" s="190">
        <v>0</v>
      </c>
      <c r="AY47" s="190">
        <v>0</v>
      </c>
      <c r="AZ47" s="190">
        <v>0</v>
      </c>
      <c r="BA47" s="190">
        <v>0</v>
      </c>
      <c r="BB47" s="190">
        <v>0</v>
      </c>
      <c r="BC47" s="190">
        <v>0</v>
      </c>
      <c r="BD47" s="190">
        <v>0</v>
      </c>
      <c r="BE47" s="190">
        <v>0</v>
      </c>
      <c r="BF47" s="190">
        <v>0</v>
      </c>
      <c r="BG47" s="190">
        <v>0</v>
      </c>
      <c r="BH47" s="190">
        <v>0</v>
      </c>
      <c r="BI47" s="190">
        <v>0</v>
      </c>
      <c r="BJ47" s="190">
        <v>0</v>
      </c>
      <c r="BK47" s="190">
        <v>0</v>
      </c>
      <c r="BL47" s="190">
        <v>0</v>
      </c>
      <c r="BM47" s="190">
        <v>0</v>
      </c>
      <c r="BN47" s="190">
        <v>0</v>
      </c>
      <c r="BO47" s="190">
        <v>0</v>
      </c>
      <c r="BP47" s="190">
        <v>0</v>
      </c>
      <c r="BQ47" s="190">
        <v>0</v>
      </c>
      <c r="BR47" s="190">
        <v>2814887.33</v>
      </c>
      <c r="BS47" s="190">
        <v>0</v>
      </c>
      <c r="BT47" s="190">
        <v>0</v>
      </c>
      <c r="BU47" s="190">
        <v>70000000</v>
      </c>
      <c r="BV47" s="190">
        <v>0</v>
      </c>
    </row>
    <row r="48" spans="1:74" s="193" customFormat="1" x14ac:dyDescent="0.25">
      <c r="A48" s="193" t="s">
        <v>598</v>
      </c>
      <c r="B48" s="190">
        <v>0</v>
      </c>
      <c r="C48" s="190">
        <v>0</v>
      </c>
      <c r="D48" s="190">
        <v>0</v>
      </c>
      <c r="E48" s="190">
        <v>0</v>
      </c>
      <c r="F48" s="190">
        <v>0</v>
      </c>
      <c r="G48" s="190">
        <v>0</v>
      </c>
      <c r="H48" s="190">
        <v>0</v>
      </c>
      <c r="I48" s="190">
        <v>0</v>
      </c>
      <c r="J48" s="190">
        <v>0</v>
      </c>
      <c r="K48" s="190">
        <v>0</v>
      </c>
      <c r="L48" s="190">
        <v>0</v>
      </c>
      <c r="M48" s="190">
        <v>0</v>
      </c>
      <c r="N48" s="190">
        <v>0</v>
      </c>
      <c r="O48" s="190">
        <v>0</v>
      </c>
      <c r="P48" s="190">
        <v>0</v>
      </c>
      <c r="Q48" s="190">
        <v>0</v>
      </c>
      <c r="R48" s="190">
        <v>0</v>
      </c>
      <c r="S48" s="190">
        <v>0</v>
      </c>
      <c r="T48" s="190">
        <v>0</v>
      </c>
      <c r="U48" s="190">
        <v>0</v>
      </c>
      <c r="V48" s="190">
        <v>0</v>
      </c>
      <c r="W48" s="190">
        <v>0</v>
      </c>
      <c r="X48" s="190">
        <v>0</v>
      </c>
      <c r="Y48" s="190">
        <v>0</v>
      </c>
      <c r="Z48" s="190">
        <v>0</v>
      </c>
      <c r="AA48" s="190">
        <v>0</v>
      </c>
      <c r="AB48" s="190">
        <v>0</v>
      </c>
      <c r="AC48" s="190">
        <v>0</v>
      </c>
      <c r="AD48" s="190">
        <v>0</v>
      </c>
      <c r="AE48" s="190">
        <v>0</v>
      </c>
      <c r="AF48" s="190">
        <v>0</v>
      </c>
      <c r="AG48" s="190">
        <v>0</v>
      </c>
      <c r="AH48" s="190">
        <v>0</v>
      </c>
      <c r="AI48" s="190">
        <v>0</v>
      </c>
      <c r="AJ48" s="190">
        <v>0</v>
      </c>
      <c r="AK48" s="190">
        <v>0</v>
      </c>
      <c r="AL48" s="190">
        <v>0</v>
      </c>
      <c r="AM48" s="190">
        <v>0</v>
      </c>
      <c r="AN48" s="190">
        <v>0</v>
      </c>
      <c r="AO48" s="190">
        <v>0</v>
      </c>
      <c r="AP48" s="190">
        <v>0</v>
      </c>
      <c r="AQ48" s="190">
        <v>0</v>
      </c>
      <c r="AR48" s="190">
        <v>0</v>
      </c>
      <c r="AS48" s="190">
        <v>0</v>
      </c>
      <c r="AT48" s="190">
        <v>0</v>
      </c>
      <c r="AU48" s="190">
        <v>0</v>
      </c>
      <c r="AV48" s="190">
        <v>0</v>
      </c>
      <c r="AW48" s="190">
        <v>0</v>
      </c>
      <c r="AX48" s="190">
        <v>0</v>
      </c>
      <c r="AY48" s="190">
        <v>0</v>
      </c>
      <c r="AZ48" s="190">
        <v>0</v>
      </c>
      <c r="BA48" s="190">
        <v>0</v>
      </c>
      <c r="BB48" s="190">
        <v>0</v>
      </c>
      <c r="BC48" s="190">
        <v>0</v>
      </c>
      <c r="BD48" s="190">
        <v>0</v>
      </c>
      <c r="BE48" s="190">
        <v>0</v>
      </c>
      <c r="BF48" s="190">
        <v>0</v>
      </c>
      <c r="BG48" s="190">
        <v>0</v>
      </c>
      <c r="BH48" s="190">
        <v>0</v>
      </c>
      <c r="BI48" s="190">
        <v>0</v>
      </c>
      <c r="BJ48" s="190">
        <v>0</v>
      </c>
      <c r="BK48" s="190">
        <v>0</v>
      </c>
      <c r="BL48" s="190">
        <v>0</v>
      </c>
      <c r="BM48" s="190">
        <v>0</v>
      </c>
      <c r="BN48" s="190">
        <v>0</v>
      </c>
      <c r="BO48" s="190">
        <v>0</v>
      </c>
      <c r="BP48" s="190">
        <v>0</v>
      </c>
      <c r="BQ48" s="190">
        <v>0</v>
      </c>
      <c r="BR48" s="190">
        <v>0</v>
      </c>
      <c r="BS48" s="190">
        <v>0</v>
      </c>
      <c r="BT48" s="190">
        <v>0</v>
      </c>
      <c r="BU48" s="190">
        <v>0</v>
      </c>
      <c r="BV48" s="190">
        <v>0</v>
      </c>
    </row>
    <row r="49" spans="1:74" s="193" customFormat="1" x14ac:dyDescent="0.25">
      <c r="A49" s="193" t="s">
        <v>599</v>
      </c>
      <c r="E49" s="193">
        <f>E44+E48-E45-E46-E47</f>
        <v>-173987920.38</v>
      </c>
      <c r="F49" s="193">
        <f t="shared" ref="F49:BQ49" si="85">F44+F48-F45-F46-F47</f>
        <v>-12170755.529999971</v>
      </c>
      <c r="G49" s="193">
        <f t="shared" si="85"/>
        <v>-17427004.390000105</v>
      </c>
      <c r="H49" s="193">
        <f t="shared" si="85"/>
        <v>10894520.499999993</v>
      </c>
      <c r="I49" s="193">
        <f t="shared" si="85"/>
        <v>378381072.91999996</v>
      </c>
      <c r="J49" s="193">
        <f t="shared" si="85"/>
        <v>224840756</v>
      </c>
      <c r="K49" s="193">
        <f t="shared" si="85"/>
        <v>170000000</v>
      </c>
      <c r="L49" s="193">
        <f t="shared" si="85"/>
        <v>0</v>
      </c>
      <c r="M49" s="193">
        <f t="shared" si="85"/>
        <v>97937496.310000002</v>
      </c>
      <c r="N49" s="193">
        <f t="shared" si="85"/>
        <v>0</v>
      </c>
      <c r="O49" s="193">
        <f t="shared" si="85"/>
        <v>0</v>
      </c>
      <c r="P49" s="193">
        <f t="shared" si="85"/>
        <v>0</v>
      </c>
      <c r="Q49" s="193">
        <f t="shared" si="85"/>
        <v>0</v>
      </c>
      <c r="R49" s="193">
        <f t="shared" si="85"/>
        <v>0</v>
      </c>
      <c r="S49" s="193">
        <f t="shared" si="85"/>
        <v>0</v>
      </c>
      <c r="T49" s="193">
        <f t="shared" si="85"/>
        <v>0</v>
      </c>
      <c r="U49" s="193">
        <f t="shared" si="85"/>
        <v>0</v>
      </c>
      <c r="V49" s="193">
        <f t="shared" si="85"/>
        <v>0</v>
      </c>
      <c r="W49" s="193">
        <f t="shared" si="85"/>
        <v>0</v>
      </c>
      <c r="X49" s="193">
        <f t="shared" si="85"/>
        <v>0</v>
      </c>
      <c r="Y49" s="193">
        <f t="shared" si="85"/>
        <v>0</v>
      </c>
      <c r="Z49" s="193">
        <f t="shared" si="85"/>
        <v>0</v>
      </c>
      <c r="AA49" s="193">
        <f t="shared" si="85"/>
        <v>0</v>
      </c>
      <c r="AB49" s="193">
        <f t="shared" si="85"/>
        <v>0</v>
      </c>
      <c r="AC49" s="193">
        <f t="shared" si="85"/>
        <v>0</v>
      </c>
      <c r="AD49" s="193">
        <f t="shared" si="85"/>
        <v>0</v>
      </c>
      <c r="AE49" s="193">
        <f t="shared" si="85"/>
        <v>0</v>
      </c>
      <c r="AF49" s="193">
        <f t="shared" si="85"/>
        <v>0</v>
      </c>
      <c r="AG49" s="193">
        <f t="shared" si="85"/>
        <v>-54135</v>
      </c>
      <c r="AH49" s="193">
        <f t="shared" si="85"/>
        <v>0</v>
      </c>
      <c r="AI49" s="193">
        <f t="shared" si="85"/>
        <v>0</v>
      </c>
      <c r="AJ49" s="193">
        <f t="shared" si="85"/>
        <v>0</v>
      </c>
      <c r="AK49" s="193">
        <f t="shared" si="85"/>
        <v>0</v>
      </c>
      <c r="AL49" s="193">
        <f t="shared" si="85"/>
        <v>0</v>
      </c>
      <c r="AM49" s="193">
        <f t="shared" si="85"/>
        <v>0</v>
      </c>
      <c r="AN49" s="193">
        <f t="shared" si="85"/>
        <v>0</v>
      </c>
      <c r="AO49" s="193">
        <f t="shared" si="85"/>
        <v>-6196809.9299999997</v>
      </c>
      <c r="AP49" s="193">
        <f t="shared" si="85"/>
        <v>9950978.5</v>
      </c>
      <c r="AQ49" s="193">
        <f t="shared" si="85"/>
        <v>-23000000</v>
      </c>
      <c r="AR49" s="193">
        <f t="shared" si="85"/>
        <v>13000000</v>
      </c>
      <c r="AS49" s="193">
        <f t="shared" si="85"/>
        <v>0</v>
      </c>
      <c r="AT49" s="193">
        <f t="shared" si="85"/>
        <v>0</v>
      </c>
      <c r="AU49" s="193">
        <f t="shared" si="85"/>
        <v>0</v>
      </c>
      <c r="AV49" s="193">
        <f t="shared" si="85"/>
        <v>0</v>
      </c>
      <c r="AW49" s="193">
        <f t="shared" si="85"/>
        <v>0</v>
      </c>
      <c r="AX49" s="193">
        <f t="shared" si="85"/>
        <v>0</v>
      </c>
      <c r="AY49" s="193">
        <f t="shared" si="85"/>
        <v>0</v>
      </c>
      <c r="AZ49" s="193">
        <f t="shared" si="85"/>
        <v>0</v>
      </c>
      <c r="BA49" s="193">
        <f t="shared" si="85"/>
        <v>0</v>
      </c>
      <c r="BB49" s="193">
        <f t="shared" si="85"/>
        <v>0</v>
      </c>
      <c r="BC49" s="193">
        <f t="shared" si="85"/>
        <v>0</v>
      </c>
      <c r="BD49" s="193">
        <f t="shared" si="85"/>
        <v>0</v>
      </c>
      <c r="BE49" s="193">
        <f t="shared" si="85"/>
        <v>0</v>
      </c>
      <c r="BF49" s="193">
        <f t="shared" si="85"/>
        <v>0</v>
      </c>
      <c r="BG49" s="193">
        <f t="shared" si="85"/>
        <v>0</v>
      </c>
      <c r="BH49" s="193">
        <f t="shared" si="85"/>
        <v>0</v>
      </c>
      <c r="BI49" s="193">
        <f t="shared" si="85"/>
        <v>0</v>
      </c>
      <c r="BJ49" s="193">
        <f t="shared" si="85"/>
        <v>0</v>
      </c>
      <c r="BK49" s="193">
        <f t="shared" si="85"/>
        <v>0</v>
      </c>
      <c r="BL49" s="193">
        <f t="shared" si="85"/>
        <v>0</v>
      </c>
      <c r="BM49" s="193">
        <f t="shared" si="85"/>
        <v>0</v>
      </c>
      <c r="BN49" s="193">
        <f t="shared" si="85"/>
        <v>0</v>
      </c>
      <c r="BO49" s="193">
        <f t="shared" si="85"/>
        <v>0</v>
      </c>
      <c r="BP49" s="193">
        <f t="shared" si="85"/>
        <v>0</v>
      </c>
      <c r="BQ49" s="193">
        <f t="shared" si="85"/>
        <v>0</v>
      </c>
      <c r="BR49" s="193">
        <f t="shared" ref="BR49:BV49" si="86">BR44+BR48-BR45-BR46-BR47</f>
        <v>-2814887.33</v>
      </c>
      <c r="BS49" s="193">
        <f t="shared" si="86"/>
        <v>0</v>
      </c>
      <c r="BT49" s="193">
        <f t="shared" si="86"/>
        <v>0</v>
      </c>
      <c r="BU49" s="193">
        <f t="shared" si="86"/>
        <v>-70000000</v>
      </c>
      <c r="BV49" s="193">
        <f t="shared" si="86"/>
        <v>0</v>
      </c>
    </row>
    <row r="50" spans="1:74" s="26" customFormat="1" x14ac:dyDescent="0.25"/>
    <row r="51" spans="1:74" s="16" customFormat="1" ht="120" customHeight="1" x14ac:dyDescent="0.25">
      <c r="A51" s="277" t="s">
        <v>667</v>
      </c>
      <c r="B51" s="278"/>
      <c r="C51" s="278"/>
      <c r="D51" s="278"/>
      <c r="E51" s="278"/>
      <c r="F51" s="278"/>
      <c r="G51" s="278"/>
      <c r="H51" s="278"/>
      <c r="I51" s="278"/>
      <c r="J51" s="278"/>
      <c r="K51" s="278"/>
      <c r="L51" s="278"/>
      <c r="M51" s="278"/>
      <c r="N51" s="278"/>
      <c r="O51" s="278"/>
      <c r="P51" s="278"/>
      <c r="Q51" s="278"/>
      <c r="R51" s="278"/>
      <c r="S51" s="278"/>
      <c r="T51" s="278"/>
      <c r="U51" s="278"/>
      <c r="V51" s="278"/>
      <c r="W51" s="278"/>
      <c r="X51" s="278"/>
      <c r="Y51" s="278"/>
      <c r="Z51" s="278"/>
      <c r="AA51" s="278"/>
      <c r="AB51" s="278"/>
      <c r="AC51" s="278"/>
      <c r="AD51" s="278"/>
      <c r="AE51" s="278"/>
      <c r="AF51" s="278"/>
      <c r="AG51" s="278"/>
      <c r="AH51" s="278"/>
      <c r="AI51" s="278"/>
      <c r="AJ51" s="278"/>
      <c r="AK51" s="278"/>
    </row>
  </sheetData>
  <mergeCells count="2">
    <mergeCell ref="A25:AK25"/>
    <mergeCell ref="A51:AK51"/>
  </mergeCells>
  <phoneticPr fontId="1" type="noConversion"/>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平均资本成本表"/>
  <dimension ref="A1:BV16"/>
  <sheetViews>
    <sheetView workbookViewId="0">
      <selection activeCell="E15" sqref="E15"/>
    </sheetView>
  </sheetViews>
  <sheetFormatPr defaultRowHeight="14.4" x14ac:dyDescent="0.25"/>
  <cols>
    <col min="1" max="1" width="63.6640625" style="17" bestFit="1" customWidth="1"/>
    <col min="2" max="4" width="9.5546875" hidden="1" customWidth="1"/>
    <col min="5" max="5" width="19.33203125" bestFit="1" customWidth="1"/>
    <col min="6" max="8" width="19.33203125" hidden="1" customWidth="1"/>
    <col min="9" max="9" width="19.33203125" bestFit="1" customWidth="1"/>
    <col min="10" max="12" width="19.33203125" hidden="1" customWidth="1"/>
    <col min="13" max="13" width="19.33203125" bestFit="1" customWidth="1"/>
    <col min="14" max="16" width="19.33203125" hidden="1" customWidth="1"/>
    <col min="17" max="17" width="19.33203125" bestFit="1" customWidth="1"/>
    <col min="18" max="20" width="19.33203125" hidden="1" customWidth="1"/>
    <col min="21" max="21" width="19.33203125" bestFit="1" customWidth="1"/>
    <col min="22" max="24" width="19.33203125" hidden="1" customWidth="1"/>
    <col min="25" max="25" width="19.33203125" bestFit="1" customWidth="1"/>
    <col min="26" max="28" width="19.33203125" hidden="1" customWidth="1"/>
    <col min="29" max="29" width="19.33203125" bestFit="1" customWidth="1"/>
    <col min="30" max="32" width="19.33203125" hidden="1" customWidth="1"/>
    <col min="33" max="33" width="19.33203125" bestFit="1" customWidth="1"/>
    <col min="34" max="36" width="19.33203125" hidden="1" customWidth="1"/>
    <col min="37" max="37" width="19.33203125" bestFit="1" customWidth="1"/>
    <col min="38" max="38" width="19.33203125" hidden="1" customWidth="1"/>
    <col min="39" max="40" width="17.21875" hidden="1" customWidth="1"/>
    <col min="41" max="41" width="17.21875" bestFit="1" customWidth="1"/>
    <col min="42" max="42" width="17.21875" hidden="1" customWidth="1"/>
    <col min="43" max="43" width="9.5546875" bestFit="1" customWidth="1"/>
    <col min="44" max="44" width="20.44140625" bestFit="1" customWidth="1"/>
    <col min="45" max="48" width="19.33203125" hidden="1" customWidth="1"/>
    <col min="49" max="49" width="19.33203125" bestFit="1" customWidth="1"/>
    <col min="50" max="52" width="19.33203125" hidden="1" customWidth="1"/>
    <col min="53" max="53" width="19.33203125" bestFit="1" customWidth="1"/>
    <col min="54" max="56" width="19.33203125" hidden="1" customWidth="1"/>
    <col min="57" max="57" width="19.33203125" bestFit="1" customWidth="1"/>
    <col min="58" max="60" width="19.33203125" hidden="1" customWidth="1"/>
    <col min="61" max="61" width="19.33203125" bestFit="1" customWidth="1"/>
    <col min="62" max="64" width="19.33203125" hidden="1" customWidth="1"/>
    <col min="65" max="65" width="19.33203125" bestFit="1" customWidth="1"/>
    <col min="66" max="66" width="19.33203125" hidden="1" customWidth="1"/>
    <col min="67" max="67" width="19.33203125" bestFit="1" customWidth="1"/>
    <col min="68" max="68" width="19.33203125" hidden="1" customWidth="1"/>
    <col min="69" max="69" width="19.33203125" bestFit="1" customWidth="1"/>
    <col min="70" max="70" width="19.33203125" hidden="1" customWidth="1"/>
    <col min="71" max="71" width="19.33203125" bestFit="1" customWidth="1"/>
    <col min="72" max="72" width="19.33203125" hidden="1" customWidth="1"/>
    <col min="73" max="73" width="19.33203125" bestFit="1" customWidth="1"/>
    <col min="74" max="74" width="9.5546875" hidden="1" customWidth="1"/>
  </cols>
  <sheetData>
    <row r="1" spans="1:74" x14ac:dyDescent="0.25">
      <c r="A1" s="17">
        <v>2293</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39447</v>
      </c>
      <c r="AR1" s="1">
        <v>39082</v>
      </c>
      <c r="AS1" s="1">
        <v>25569</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row>
    <row r="2" spans="1:74" s="48" customFormat="1" x14ac:dyDescent="0.25">
      <c r="A2" s="46" t="s">
        <v>327</v>
      </c>
    </row>
    <row r="3" spans="1:74" s="26" customFormat="1" x14ac:dyDescent="0.25">
      <c r="A3" s="17" t="s">
        <v>328</v>
      </c>
      <c r="B3" s="26">
        <f>平均资本成本表!E53</f>
        <v>0</v>
      </c>
      <c r="E3" s="26">
        <f>股权价值增加表!E53</f>
        <v>21110212.079999998</v>
      </c>
      <c r="F3" s="26">
        <f>股权价值增加表!F53</f>
        <v>0</v>
      </c>
      <c r="G3" s="26">
        <f>股权价值增加表!G53</f>
        <v>0</v>
      </c>
      <c r="H3" s="26">
        <f>股权价值增加表!H53</f>
        <v>0</v>
      </c>
      <c r="I3" s="26">
        <f>股权价值增加表!I53</f>
        <v>9305327.8499999996</v>
      </c>
      <c r="J3" s="26">
        <f>股权价值增加表!J53</f>
        <v>0</v>
      </c>
      <c r="K3" s="26">
        <f>股权价值增加表!K53</f>
        <v>0</v>
      </c>
      <c r="L3" s="26">
        <f>股权价值增加表!L53</f>
        <v>0</v>
      </c>
      <c r="M3" s="26">
        <f>股权价值增加表!M53</f>
        <v>1760420.36</v>
      </c>
      <c r="N3" s="26">
        <f>股权价值增加表!N53</f>
        <v>0</v>
      </c>
      <c r="O3" s="26">
        <f>股权价值增加表!O53</f>
        <v>0</v>
      </c>
      <c r="P3" s="26">
        <f>股权价值增加表!P53</f>
        <v>0</v>
      </c>
      <c r="Q3" s="26">
        <f>股权价值增加表!Q53</f>
        <v>0</v>
      </c>
      <c r="R3" s="26">
        <f>股权价值增加表!R53</f>
        <v>0</v>
      </c>
      <c r="S3" s="26">
        <f>股权价值增加表!S53</f>
        <v>0</v>
      </c>
      <c r="T3" s="26">
        <f>股权价值增加表!T53</f>
        <v>0</v>
      </c>
      <c r="U3" s="26">
        <f>股权价值增加表!U53</f>
        <v>0</v>
      </c>
      <c r="V3" s="26">
        <f>股权价值增加表!V53</f>
        <v>0</v>
      </c>
      <c r="W3" s="26">
        <f>股权价值增加表!W53</f>
        <v>0</v>
      </c>
      <c r="X3" s="26">
        <f>股权价值增加表!X53</f>
        <v>0</v>
      </c>
      <c r="Y3" s="26">
        <f>股权价值增加表!Y53</f>
        <v>0</v>
      </c>
      <c r="Z3" s="26">
        <f>股权价值增加表!Z53</f>
        <v>0</v>
      </c>
      <c r="AA3" s="26">
        <f>股权价值增加表!AA53</f>
        <v>0</v>
      </c>
      <c r="AB3" s="26">
        <f>股权价值增加表!AB53</f>
        <v>0</v>
      </c>
      <c r="AC3" s="26">
        <f>股权价值增加表!AC53</f>
        <v>0</v>
      </c>
      <c r="AD3" s="26">
        <f>股权价值增加表!AD53</f>
        <v>0</v>
      </c>
      <c r="AE3" s="26">
        <f>股权价值增加表!AE53</f>
        <v>0</v>
      </c>
      <c r="AF3" s="26">
        <f>股权价值增加表!AF53</f>
        <v>0</v>
      </c>
      <c r="AG3" s="26">
        <f>股权价值增加表!AG53</f>
        <v>54135</v>
      </c>
      <c r="AH3" s="26">
        <f>股权价值增加表!AH53</f>
        <v>0</v>
      </c>
      <c r="AI3" s="26">
        <f>股权价值增加表!AI53</f>
        <v>0</v>
      </c>
      <c r="AJ3" s="26">
        <f>股权价值增加表!AJ53</f>
        <v>0</v>
      </c>
      <c r="AK3" s="26">
        <f>股权价值增加表!AK53</f>
        <v>0</v>
      </c>
      <c r="AL3" s="26">
        <f>股权价值增加表!AL53</f>
        <v>0</v>
      </c>
      <c r="AM3" s="26">
        <f>股权价值增加表!AM53</f>
        <v>0</v>
      </c>
      <c r="AN3" s="26">
        <f>股权价值增加表!AN53</f>
        <v>0</v>
      </c>
      <c r="AO3" s="26">
        <f>股权价值增加表!AO53</f>
        <v>1186365.49</v>
      </c>
      <c r="AP3" s="26">
        <f>股权价值增加表!AP53</f>
        <v>0</v>
      </c>
      <c r="AQ3" s="26">
        <f>股权价值增加表!AQ53</f>
        <v>0</v>
      </c>
      <c r="AR3" s="26">
        <f>股权价值增加表!AR53</f>
        <v>0</v>
      </c>
      <c r="AS3" s="26">
        <f>股权价值增加表!AS53</f>
        <v>0</v>
      </c>
      <c r="AT3" s="26">
        <f>股权价值增加表!AT53</f>
        <v>0</v>
      </c>
      <c r="AU3" s="26">
        <f>股权价值增加表!AU53</f>
        <v>0</v>
      </c>
      <c r="AV3" s="26">
        <f>股权价值增加表!AV53</f>
        <v>0</v>
      </c>
      <c r="AW3" s="26">
        <f>股权价值增加表!AW53</f>
        <v>0</v>
      </c>
      <c r="AX3" s="26">
        <f>股权价值增加表!AX53</f>
        <v>0</v>
      </c>
      <c r="AY3" s="26">
        <f>股权价值增加表!AY53</f>
        <v>0</v>
      </c>
      <c r="AZ3" s="26">
        <f>股权价值增加表!AZ53</f>
        <v>0</v>
      </c>
      <c r="BA3" s="26">
        <f>股权价值增加表!BA53</f>
        <v>0</v>
      </c>
      <c r="BB3" s="26">
        <f>股权价值增加表!BB53</f>
        <v>0</v>
      </c>
      <c r="BC3" s="26">
        <f>股权价值增加表!BC53</f>
        <v>0</v>
      </c>
      <c r="BD3" s="26">
        <f>股权价值增加表!BD53</f>
        <v>0</v>
      </c>
      <c r="BE3" s="26">
        <f>股权价值增加表!BE53</f>
        <v>0</v>
      </c>
      <c r="BF3" s="26">
        <f>股权价值增加表!BF53</f>
        <v>0</v>
      </c>
      <c r="BG3" s="26">
        <f>股权价值增加表!BG53</f>
        <v>0</v>
      </c>
      <c r="BH3" s="26">
        <f>股权价值增加表!BH53</f>
        <v>0</v>
      </c>
      <c r="BI3" s="26">
        <f>股权价值增加表!BI53</f>
        <v>0</v>
      </c>
      <c r="BJ3" s="26">
        <f>股权价值增加表!BJ53</f>
        <v>0</v>
      </c>
      <c r="BK3" s="26">
        <f>股权价值增加表!BK53</f>
        <v>0</v>
      </c>
      <c r="BL3" s="26">
        <f>股权价值增加表!BL53</f>
        <v>0</v>
      </c>
      <c r="BM3" s="26">
        <f>股权价值增加表!BM53</f>
        <v>0</v>
      </c>
      <c r="BN3" s="26">
        <f>股权价值增加表!BN53</f>
        <v>0</v>
      </c>
      <c r="BO3" s="26">
        <f>股权价值增加表!BO53</f>
        <v>0</v>
      </c>
      <c r="BP3" s="26">
        <f>股权价值增加表!BP53</f>
        <v>0</v>
      </c>
      <c r="BQ3" s="26">
        <f>股权价值增加表!BQ53</f>
        <v>0</v>
      </c>
      <c r="BR3" s="26">
        <f>股权价值增加表!BR53</f>
        <v>0</v>
      </c>
      <c r="BS3" s="26">
        <f>股权价值增加表!BS53</f>
        <v>0</v>
      </c>
      <c r="BT3" s="26">
        <f>股权价值增加表!BT53</f>
        <v>0</v>
      </c>
      <c r="BU3" s="26">
        <f>股权价值增加表!BU53</f>
        <v>0</v>
      </c>
      <c r="BV3" s="26">
        <f>股权价值增加表!BV53</f>
        <v>0</v>
      </c>
    </row>
    <row r="4" spans="1:74" s="26" customFormat="1" x14ac:dyDescent="0.25">
      <c r="A4" s="17" t="s">
        <v>329</v>
      </c>
      <c r="E4" s="26">
        <f>资产资本表!E89</f>
        <v>253403062.44</v>
      </c>
      <c r="F4" s="26">
        <f>资产资本表!F89</f>
        <v>425684276.73000002</v>
      </c>
      <c r="G4" s="26">
        <f>资产资本表!G89</f>
        <v>429186159.48000002</v>
      </c>
      <c r="H4" s="26">
        <f>资产资本表!H89</f>
        <v>547061833.96000004</v>
      </c>
      <c r="I4" s="26">
        <f>资产资本表!I89</f>
        <v>498862452.37</v>
      </c>
      <c r="J4" s="26">
        <f>资产资本表!J89</f>
        <v>333090977.89999998</v>
      </c>
      <c r="K4" s="26">
        <f>资产资本表!K89</f>
        <v>287439146.66000003</v>
      </c>
      <c r="L4" s="26">
        <f>资产资本表!L89</f>
        <v>110690043.33</v>
      </c>
      <c r="M4" s="26">
        <f>资产资本表!M89</f>
        <v>114682220.78999999</v>
      </c>
      <c r="N4" s="26">
        <f>资产资本表!N89</f>
        <v>0</v>
      </c>
      <c r="O4" s="26">
        <f>资产资本表!O89</f>
        <v>3913327.12</v>
      </c>
      <c r="P4" s="26">
        <f>资产资本表!P89</f>
        <v>2666935.96</v>
      </c>
      <c r="Q4" s="26">
        <f>资产资本表!Q89</f>
        <v>5587351.7300000004</v>
      </c>
      <c r="R4" s="26">
        <f>资产资本表!R89</f>
        <v>4419412.5999999996</v>
      </c>
      <c r="S4" s="26">
        <f>资产资本表!S89</f>
        <v>7430086.4699999997</v>
      </c>
      <c r="T4" s="26">
        <f>资产资本表!T89</f>
        <v>5284150.0999999996</v>
      </c>
      <c r="U4" s="26">
        <f>资产资本表!U89</f>
        <v>7877039.8899999997</v>
      </c>
      <c r="V4" s="26">
        <f>资产资本表!V89</f>
        <v>0</v>
      </c>
      <c r="W4" s="26">
        <f>资产资本表!W89</f>
        <v>0</v>
      </c>
      <c r="X4" s="26">
        <f>资产资本表!X89</f>
        <v>0</v>
      </c>
      <c r="Y4" s="26">
        <f>资产资本表!Y89</f>
        <v>0</v>
      </c>
      <c r="Z4" s="26">
        <f>资产资本表!Z89</f>
        <v>0</v>
      </c>
      <c r="AA4" s="26">
        <f>资产资本表!AA89</f>
        <v>0</v>
      </c>
      <c r="AB4" s="26">
        <f>资产资本表!AB89</f>
        <v>0</v>
      </c>
      <c r="AC4" s="26">
        <f>资产资本表!AC89</f>
        <v>0</v>
      </c>
      <c r="AD4" s="26">
        <f>资产资本表!AD89</f>
        <v>0</v>
      </c>
      <c r="AE4" s="26">
        <f>资产资本表!AE89</f>
        <v>0</v>
      </c>
      <c r="AF4" s="26">
        <f>资产资本表!AF89</f>
        <v>0</v>
      </c>
      <c r="AG4" s="26">
        <f>资产资本表!AG89</f>
        <v>0</v>
      </c>
      <c r="AH4" s="26">
        <f>资产资本表!AH89</f>
        <v>0</v>
      </c>
      <c r="AI4" s="26">
        <f>资产资本表!AI89</f>
        <v>0</v>
      </c>
      <c r="AJ4" s="26">
        <f>资产资本表!AJ89</f>
        <v>0</v>
      </c>
      <c r="AK4" s="26">
        <f>资产资本表!AK89</f>
        <v>0</v>
      </c>
      <c r="AL4" s="26">
        <f>资产资本表!AL89</f>
        <v>0</v>
      </c>
      <c r="AM4" s="26">
        <f>资产资本表!AM89</f>
        <v>0</v>
      </c>
      <c r="AN4" s="26">
        <f>资产资本表!AN89</f>
        <v>0</v>
      </c>
      <c r="AO4" s="26">
        <f>资产资本表!AO89</f>
        <v>5010444.4400000004</v>
      </c>
      <c r="AP4" s="26">
        <f>资产资本表!AP89</f>
        <v>28049021.5</v>
      </c>
      <c r="AQ4" s="26">
        <f>资产资本表!AQ89</f>
        <v>0</v>
      </c>
      <c r="AR4" s="26">
        <f>资产资本表!AR89</f>
        <v>0</v>
      </c>
      <c r="AS4" s="26">
        <f>资产资本表!AS89</f>
        <v>0</v>
      </c>
      <c r="AT4" s="26">
        <f>资产资本表!AT89</f>
        <v>0</v>
      </c>
      <c r="AU4" s="26">
        <f>资产资本表!AU89</f>
        <v>0</v>
      </c>
      <c r="AV4" s="26">
        <f>资产资本表!AV89</f>
        <v>0</v>
      </c>
      <c r="AW4" s="26">
        <f>资产资本表!AW89</f>
        <v>0</v>
      </c>
      <c r="AX4" s="26">
        <f>资产资本表!AX89</f>
        <v>0</v>
      </c>
      <c r="AY4" s="26">
        <f>资产资本表!AY89</f>
        <v>0</v>
      </c>
      <c r="AZ4" s="26">
        <f>资产资本表!AZ89</f>
        <v>0</v>
      </c>
      <c r="BA4" s="26">
        <f>资产资本表!BA89</f>
        <v>0</v>
      </c>
      <c r="BB4" s="26">
        <f>资产资本表!BB89</f>
        <v>0</v>
      </c>
      <c r="BC4" s="26">
        <f>资产资本表!BC89</f>
        <v>0</v>
      </c>
      <c r="BD4" s="26">
        <f>资产资本表!BD89</f>
        <v>0</v>
      </c>
      <c r="BE4" s="26">
        <f>资产资本表!BE89</f>
        <v>0</v>
      </c>
      <c r="BF4" s="26">
        <f>资产资本表!BF89</f>
        <v>0</v>
      </c>
      <c r="BG4" s="26">
        <f>资产资本表!BG89</f>
        <v>0</v>
      </c>
      <c r="BH4" s="26">
        <f>资产资本表!BH89</f>
        <v>0</v>
      </c>
      <c r="BI4" s="26">
        <f>资产资本表!BI89</f>
        <v>0</v>
      </c>
      <c r="BJ4" s="26">
        <f>资产资本表!BJ89</f>
        <v>0</v>
      </c>
      <c r="BK4" s="26">
        <f>资产资本表!BK89</f>
        <v>0</v>
      </c>
      <c r="BL4" s="26">
        <f>资产资本表!BL89</f>
        <v>0</v>
      </c>
      <c r="BM4" s="26">
        <f>资产资本表!BM89</f>
        <v>0</v>
      </c>
      <c r="BN4" s="26">
        <f>资产资本表!BN89</f>
        <v>0</v>
      </c>
      <c r="BO4" s="26">
        <f>资产资本表!BO89</f>
        <v>0</v>
      </c>
      <c r="BP4" s="26">
        <f>资产资本表!BP89</f>
        <v>0</v>
      </c>
      <c r="BQ4" s="26">
        <f>资产资本表!BQ89</f>
        <v>0</v>
      </c>
      <c r="BR4" s="26">
        <f>资产资本表!BR89</f>
        <v>0</v>
      </c>
      <c r="BS4" s="26">
        <f>资产资本表!BS89</f>
        <v>0</v>
      </c>
      <c r="BT4" s="26">
        <f>资产资本表!BT89</f>
        <v>0</v>
      </c>
      <c r="BU4" s="26">
        <f>资产资本表!BU89</f>
        <v>0</v>
      </c>
      <c r="BV4" s="26">
        <f>资产资本表!BV89</f>
        <v>0</v>
      </c>
    </row>
    <row r="5" spans="1:74" s="63" customFormat="1" x14ac:dyDescent="0.25">
      <c r="A5" s="63" t="s">
        <v>333</v>
      </c>
      <c r="E5" s="63">
        <f>IF(E4+I4=0,0,E3/((E4+I4)/2))</f>
        <v>5.6124364773870603E-2</v>
      </c>
      <c r="F5" s="63">
        <f t="shared" ref="F5:BQ5" si="0">IF(F4+J4=0,0,F3/((F4+J4)/2))</f>
        <v>0</v>
      </c>
      <c r="G5" s="63">
        <f t="shared" si="0"/>
        <v>0</v>
      </c>
      <c r="H5" s="63">
        <f t="shared" si="0"/>
        <v>0</v>
      </c>
      <c r="I5" s="63">
        <f t="shared" si="0"/>
        <v>3.0333008359680957E-2</v>
      </c>
      <c r="J5" s="63">
        <f t="shared" si="0"/>
        <v>0</v>
      </c>
      <c r="K5" s="63">
        <f t="shared" si="0"/>
        <v>0</v>
      </c>
      <c r="L5" s="63">
        <f t="shared" si="0"/>
        <v>0</v>
      </c>
      <c r="M5" s="63">
        <f t="shared" si="0"/>
        <v>2.9274575823527674E-2</v>
      </c>
      <c r="N5" s="63">
        <f t="shared" si="0"/>
        <v>0</v>
      </c>
      <c r="O5" s="63">
        <f t="shared" si="0"/>
        <v>0</v>
      </c>
      <c r="P5" s="63">
        <f t="shared" si="0"/>
        <v>0</v>
      </c>
      <c r="Q5" s="63">
        <f t="shared" si="0"/>
        <v>0</v>
      </c>
      <c r="R5" s="63">
        <f t="shared" si="0"/>
        <v>0</v>
      </c>
      <c r="S5" s="63">
        <f t="shared" si="0"/>
        <v>0</v>
      </c>
      <c r="T5" s="63">
        <f t="shared" si="0"/>
        <v>0</v>
      </c>
      <c r="U5" s="63">
        <f t="shared" si="0"/>
        <v>0</v>
      </c>
      <c r="V5" s="63">
        <f t="shared" si="0"/>
        <v>0</v>
      </c>
      <c r="W5" s="63">
        <f t="shared" si="0"/>
        <v>0</v>
      </c>
      <c r="X5" s="63">
        <f t="shared" si="0"/>
        <v>0</v>
      </c>
      <c r="Y5" s="63">
        <f t="shared" si="0"/>
        <v>0</v>
      </c>
      <c r="Z5" s="63">
        <f t="shared" si="0"/>
        <v>0</v>
      </c>
      <c r="AA5" s="63">
        <f t="shared" si="0"/>
        <v>0</v>
      </c>
      <c r="AB5" s="63">
        <f t="shared" si="0"/>
        <v>0</v>
      </c>
      <c r="AC5" s="63">
        <f t="shared" si="0"/>
        <v>0</v>
      </c>
      <c r="AD5" s="63">
        <f t="shared" si="0"/>
        <v>0</v>
      </c>
      <c r="AE5" s="63">
        <f t="shared" si="0"/>
        <v>0</v>
      </c>
      <c r="AF5" s="63">
        <f t="shared" si="0"/>
        <v>0</v>
      </c>
      <c r="AG5" s="63">
        <f t="shared" si="0"/>
        <v>0</v>
      </c>
      <c r="AH5" s="63">
        <f t="shared" si="0"/>
        <v>0</v>
      </c>
      <c r="AI5" s="63">
        <f t="shared" si="0"/>
        <v>0</v>
      </c>
      <c r="AJ5" s="63">
        <f t="shared" si="0"/>
        <v>0</v>
      </c>
      <c r="AK5" s="63">
        <f t="shared" si="0"/>
        <v>0</v>
      </c>
      <c r="AL5" s="63">
        <f t="shared" si="0"/>
        <v>0</v>
      </c>
      <c r="AM5" s="63">
        <f t="shared" si="0"/>
        <v>0</v>
      </c>
      <c r="AN5" s="63">
        <f t="shared" si="0"/>
        <v>0</v>
      </c>
      <c r="AO5" s="63">
        <f t="shared" si="0"/>
        <v>0.47355698848942823</v>
      </c>
      <c r="AP5" s="63">
        <f t="shared" si="0"/>
        <v>0</v>
      </c>
      <c r="AQ5" s="63">
        <f t="shared" si="0"/>
        <v>0</v>
      </c>
      <c r="AR5" s="63">
        <f t="shared" si="0"/>
        <v>0</v>
      </c>
      <c r="AS5" s="63">
        <f t="shared" si="0"/>
        <v>0</v>
      </c>
      <c r="AT5" s="63">
        <f t="shared" si="0"/>
        <v>0</v>
      </c>
      <c r="AU5" s="63">
        <f t="shared" si="0"/>
        <v>0</v>
      </c>
      <c r="AV5" s="63">
        <f t="shared" si="0"/>
        <v>0</v>
      </c>
      <c r="AW5" s="63">
        <f t="shared" si="0"/>
        <v>0</v>
      </c>
      <c r="AX5" s="63">
        <f t="shared" si="0"/>
        <v>0</v>
      </c>
      <c r="AY5" s="63">
        <f t="shared" si="0"/>
        <v>0</v>
      </c>
      <c r="AZ5" s="63">
        <f t="shared" si="0"/>
        <v>0</v>
      </c>
      <c r="BA5" s="63">
        <f t="shared" si="0"/>
        <v>0</v>
      </c>
      <c r="BB5" s="63">
        <f t="shared" si="0"/>
        <v>0</v>
      </c>
      <c r="BC5" s="63">
        <f t="shared" si="0"/>
        <v>0</v>
      </c>
      <c r="BD5" s="63">
        <f t="shared" si="0"/>
        <v>0</v>
      </c>
      <c r="BE5" s="63">
        <f t="shared" si="0"/>
        <v>0</v>
      </c>
      <c r="BF5" s="63">
        <f t="shared" si="0"/>
        <v>0</v>
      </c>
      <c r="BG5" s="63">
        <f t="shared" si="0"/>
        <v>0</v>
      </c>
      <c r="BH5" s="63">
        <f t="shared" si="0"/>
        <v>0</v>
      </c>
      <c r="BI5" s="63">
        <f t="shared" si="0"/>
        <v>0</v>
      </c>
      <c r="BJ5" s="63">
        <f t="shared" si="0"/>
        <v>0</v>
      </c>
      <c r="BK5" s="63">
        <f t="shared" si="0"/>
        <v>0</v>
      </c>
      <c r="BL5" s="63">
        <f t="shared" si="0"/>
        <v>0</v>
      </c>
      <c r="BM5" s="63">
        <f t="shared" si="0"/>
        <v>0</v>
      </c>
      <c r="BN5" s="63">
        <f t="shared" si="0"/>
        <v>0</v>
      </c>
      <c r="BO5" s="63">
        <f t="shared" si="0"/>
        <v>0</v>
      </c>
      <c r="BP5" s="63">
        <f t="shared" si="0"/>
        <v>0</v>
      </c>
      <c r="BQ5" s="63">
        <f t="shared" si="0"/>
        <v>0</v>
      </c>
      <c r="BR5" s="63">
        <f t="shared" ref="BR5:BV5" si="1">IF(BR4+BV4=0,0,BR3/((BR4+BV4)/2))</f>
        <v>0</v>
      </c>
      <c r="BS5" s="63">
        <f t="shared" si="1"/>
        <v>0</v>
      </c>
      <c r="BT5" s="63">
        <f t="shared" si="1"/>
        <v>0</v>
      </c>
      <c r="BU5" s="63">
        <f t="shared" si="1"/>
        <v>0</v>
      </c>
      <c r="BV5" s="63">
        <f t="shared" si="1"/>
        <v>0</v>
      </c>
    </row>
    <row r="6" spans="1:74" s="63" customFormat="1" x14ac:dyDescent="0.25">
      <c r="A6" s="63" t="s">
        <v>346</v>
      </c>
      <c r="E6" s="63">
        <f>股权价值增加表!E41</f>
        <v>0.18164803354749867</v>
      </c>
      <c r="F6" s="63">
        <f>股权价值增加表!F41</f>
        <v>0.22546703507762034</v>
      </c>
      <c r="G6" s="63">
        <f>股权价值增加表!G41</f>
        <v>0.21120747006595628</v>
      </c>
      <c r="H6" s="63">
        <f>股权价值增加表!H41</f>
        <v>0.14919107551967287</v>
      </c>
      <c r="I6" s="63">
        <f>股权价值增加表!I41</f>
        <v>0.18868734339860857</v>
      </c>
      <c r="J6" s="63">
        <f>股权价值增加表!J41</f>
        <v>0.18929170558724998</v>
      </c>
      <c r="K6" s="63">
        <f>股权价值增加表!K41</f>
        <v>0.21637124685948239</v>
      </c>
      <c r="L6" s="63">
        <f>股权价值增加表!L41</f>
        <v>0.16887578829307417</v>
      </c>
      <c r="M6" s="63">
        <f>股权价值增加表!M41</f>
        <v>0.17271293697664791</v>
      </c>
      <c r="N6" s="63">
        <f>股权价值增加表!N41</f>
        <v>0.12826363295525423</v>
      </c>
      <c r="O6" s="63">
        <f>股权价值增加表!O41</f>
        <v>0.13836229530269112</v>
      </c>
      <c r="P6" s="63">
        <f>股权价值增加表!P41</f>
        <v>0.1517306865567328</v>
      </c>
      <c r="Q6" s="63">
        <f>股权价值增加表!Q41</f>
        <v>0.11905469539985003</v>
      </c>
      <c r="R6" s="63">
        <f>股权价值增加表!R41</f>
        <v>0.12709755980629805</v>
      </c>
      <c r="S6" s="63">
        <f>股权价值增加表!S41</f>
        <v>0.13848237148802525</v>
      </c>
      <c r="T6" s="63">
        <f>股权价值增加表!T41</f>
        <v>0.15173175637397632</v>
      </c>
      <c r="U6" s="63">
        <f>股权价值增加表!U41</f>
        <v>0.15332220534611532</v>
      </c>
      <c r="V6" s="63">
        <f>股权价值增加表!V41</f>
        <v>0.13812266847290694</v>
      </c>
      <c r="W6" s="63">
        <f>股权价值增加表!W41</f>
        <v>0.15588724823943437</v>
      </c>
      <c r="X6" s="63">
        <f>股权价值增加表!X41</f>
        <v>0.18554166485136664</v>
      </c>
      <c r="Y6" s="63">
        <f>股权价值增加表!Y41</f>
        <v>0.13983380839095075</v>
      </c>
      <c r="Z6" s="63">
        <f>股权价值增加表!Z41</f>
        <v>0.14288563619077771</v>
      </c>
      <c r="AA6" s="63">
        <f>股权价值增加表!AA41</f>
        <v>0.15786650531411367</v>
      </c>
      <c r="AB6" s="63">
        <f>股权价值增加表!AB41</f>
        <v>0.17775303416152666</v>
      </c>
      <c r="AC6" s="63">
        <f>股权价值增加表!AC41</f>
        <v>0.15938577988311911</v>
      </c>
      <c r="AD6" s="63">
        <f>股权价值增加表!AD41</f>
        <v>0.14636807825946443</v>
      </c>
      <c r="AE6" s="63">
        <f>股权价值增加表!AE41</f>
        <v>0.13490178462743299</v>
      </c>
      <c r="AF6" s="63">
        <f>股权价值增加表!AF41</f>
        <v>0.24934101101669059</v>
      </c>
      <c r="AG6" s="63">
        <f>股权价值增加表!AG41</f>
        <v>0.25297442216995653</v>
      </c>
      <c r="AH6" s="63">
        <f>股权价值增加表!AH41</f>
        <v>0.32615940130561177</v>
      </c>
      <c r="AI6" s="63">
        <f>股权价值增加表!AI41</f>
        <v>0.31745742238108354</v>
      </c>
      <c r="AJ6" s="63">
        <f>股权价值增加表!AJ41</f>
        <v>0.27861177692076217</v>
      </c>
      <c r="AK6" s="63">
        <f>股权价值增加表!AK41</f>
        <v>0.25934275451686561</v>
      </c>
      <c r="AL6" s="63">
        <f>股权价值增加表!AL41</f>
        <v>0.24043040427877729</v>
      </c>
      <c r="AM6" s="63">
        <f>股权价值增加表!AM41</f>
        <v>0.24135559535712536</v>
      </c>
      <c r="AN6" s="63">
        <f>股权价值增加表!AN41</f>
        <v>0.24818052352343017</v>
      </c>
      <c r="AO6" s="63">
        <f>股权价值增加表!AO41</f>
        <v>0.19181069550708496</v>
      </c>
      <c r="AP6" s="63">
        <f>股权价值增加表!AP41</f>
        <v>0.19844715877888316</v>
      </c>
      <c r="AQ6" s="63">
        <f>股权价值增加表!AQ41</f>
        <v>0.23411029698131777</v>
      </c>
      <c r="AR6" s="63">
        <f>股权价值增加表!AR41</f>
        <v>7.5682131528702401E-2</v>
      </c>
      <c r="AS6" s="63" t="e">
        <f>股权价值增加表!AS41</f>
        <v>#DIV/0!</v>
      </c>
      <c r="AT6" s="63">
        <f>股权价值增加表!AT41</f>
        <v>15.592366512196667</v>
      </c>
      <c r="AU6" s="63">
        <f>股权价值增加表!AU41</f>
        <v>15.376416082794156</v>
      </c>
      <c r="AV6" s="63">
        <f>股权价值增加表!AV41</f>
        <v>92.644454630179325</v>
      </c>
      <c r="AW6" s="63">
        <f>股权价值增加表!AW41</f>
        <v>10.916220541131098</v>
      </c>
      <c r="AX6" s="63">
        <f>股权价值增加表!AX41</f>
        <v>18.231369460204579</v>
      </c>
      <c r="AY6" s="63">
        <f>股权价值增加表!AY41</f>
        <v>16.021387764306059</v>
      </c>
      <c r="AZ6" s="63">
        <f>股权价值增加表!AZ41</f>
        <v>93.098322439196252</v>
      </c>
      <c r="BA6" s="63">
        <f>股权价值增加表!BA41</f>
        <v>18.631308838172576</v>
      </c>
      <c r="BB6" s="63">
        <f>股权价值增加表!BB41</f>
        <v>55.304324722487436</v>
      </c>
      <c r="BC6" s="63">
        <f>股权价值增加表!BC41</f>
        <v>67.277250227328935</v>
      </c>
      <c r="BD6" s="63">
        <f>股权价值增加表!BD41</f>
        <v>39.372760490940244</v>
      </c>
      <c r="BE6" s="63">
        <f>股权价值增加表!BE41</f>
        <v>16.764297507062913</v>
      </c>
      <c r="BF6" s="63">
        <f>股权价值增加表!BF41</f>
        <v>27.049077122304052</v>
      </c>
      <c r="BG6" s="63">
        <f>股权价值增加表!BG41</f>
        <v>24.303157252166653</v>
      </c>
      <c r="BH6" s="63">
        <f>股权价值增加表!BH41</f>
        <v>70.000749015543192</v>
      </c>
      <c r="BI6" s="63">
        <f>股权价值增加表!BI41</f>
        <v>13.790967082937895</v>
      </c>
      <c r="BJ6" s="63">
        <f>股权价值增加表!BJ41</f>
        <v>15.67040258955069</v>
      </c>
      <c r="BK6" s="63">
        <f>股权价值增加表!BK41</f>
        <v>20.530470057823827</v>
      </c>
      <c r="BL6" s="63">
        <f>股权价值增加表!BL41</f>
        <v>76.496332781702776</v>
      </c>
      <c r="BM6" s="63">
        <f>股权价值增加表!BM41</f>
        <v>9.3062959249435355</v>
      </c>
      <c r="BN6" s="63">
        <f>股权价值增加表!BN41</f>
        <v>8.0800067537645504</v>
      </c>
      <c r="BO6" s="63">
        <f>股权价值增加表!BO41</f>
        <v>9.6301249443167141</v>
      </c>
      <c r="BP6" s="63">
        <f>股权价值增加表!BP41</f>
        <v>16.511200920697274</v>
      </c>
      <c r="BQ6" s="63">
        <f>股权价值增加表!BQ41</f>
        <v>3.0916829946917983</v>
      </c>
      <c r="BR6" s="63">
        <f>股权价值增加表!BR41</f>
        <v>12.625</v>
      </c>
      <c r="BS6" s="63">
        <f>股权价值增加表!BS41</f>
        <v>6.8283566880658215</v>
      </c>
      <c r="BT6" s="63">
        <f>股权价值增加表!BT41</f>
        <v>12.853075776272602</v>
      </c>
      <c r="BU6" s="63">
        <f>股权价值增加表!BU41</f>
        <v>14.285141378045161</v>
      </c>
    </row>
    <row r="7" spans="1:74" s="63" customFormat="1" x14ac:dyDescent="0.25">
      <c r="A7" s="63" t="s">
        <v>330</v>
      </c>
      <c r="E7" s="63">
        <f>E5*(1-E6)</f>
        <v>4.5929484278594501E-2</v>
      </c>
      <c r="F7" s="63">
        <f t="shared" ref="F7:BQ7" si="2">F5*(1-F6)</f>
        <v>0</v>
      </c>
      <c r="G7" s="63">
        <f t="shared" si="2"/>
        <v>0</v>
      </c>
      <c r="H7" s="63">
        <f t="shared" si="2"/>
        <v>0</v>
      </c>
      <c r="I7" s="63">
        <f t="shared" si="2"/>
        <v>2.4609553595004972E-2</v>
      </c>
      <c r="J7" s="63">
        <f t="shared" si="2"/>
        <v>0</v>
      </c>
      <c r="K7" s="63">
        <f t="shared" si="2"/>
        <v>0</v>
      </c>
      <c r="L7" s="63">
        <f t="shared" si="2"/>
        <v>0</v>
      </c>
      <c r="M7" s="63">
        <f t="shared" si="2"/>
        <v>2.4218477854300639E-2</v>
      </c>
      <c r="N7" s="63">
        <f t="shared" si="2"/>
        <v>0</v>
      </c>
      <c r="O7" s="63">
        <f t="shared" si="2"/>
        <v>0</v>
      </c>
      <c r="P7" s="63">
        <f t="shared" si="2"/>
        <v>0</v>
      </c>
      <c r="Q7" s="63">
        <f t="shared" si="2"/>
        <v>0</v>
      </c>
      <c r="R7" s="63">
        <f t="shared" si="2"/>
        <v>0</v>
      </c>
      <c r="S7" s="63">
        <f t="shared" si="2"/>
        <v>0</v>
      </c>
      <c r="T7" s="63">
        <f t="shared" si="2"/>
        <v>0</v>
      </c>
      <c r="U7" s="63">
        <f t="shared" si="2"/>
        <v>0</v>
      </c>
      <c r="V7" s="63">
        <f t="shared" si="2"/>
        <v>0</v>
      </c>
      <c r="W7" s="63">
        <f t="shared" si="2"/>
        <v>0</v>
      </c>
      <c r="X7" s="63">
        <f t="shared" si="2"/>
        <v>0</v>
      </c>
      <c r="Y7" s="63">
        <f t="shared" si="2"/>
        <v>0</v>
      </c>
      <c r="Z7" s="63">
        <f t="shared" si="2"/>
        <v>0</v>
      </c>
      <c r="AA7" s="63">
        <f t="shared" si="2"/>
        <v>0</v>
      </c>
      <c r="AB7" s="63">
        <f t="shared" si="2"/>
        <v>0</v>
      </c>
      <c r="AC7" s="63">
        <f t="shared" si="2"/>
        <v>0</v>
      </c>
      <c r="AD7" s="63">
        <f t="shared" si="2"/>
        <v>0</v>
      </c>
      <c r="AE7" s="63">
        <f t="shared" si="2"/>
        <v>0</v>
      </c>
      <c r="AF7" s="63">
        <f t="shared" si="2"/>
        <v>0</v>
      </c>
      <c r="AG7" s="63">
        <f t="shared" si="2"/>
        <v>0</v>
      </c>
      <c r="AH7" s="63">
        <f t="shared" si="2"/>
        <v>0</v>
      </c>
      <c r="AI7" s="63">
        <f t="shared" si="2"/>
        <v>0</v>
      </c>
      <c r="AJ7" s="63">
        <f t="shared" si="2"/>
        <v>0</v>
      </c>
      <c r="AK7" s="63">
        <f t="shared" si="2"/>
        <v>0</v>
      </c>
      <c r="AL7" s="63">
        <f t="shared" si="2"/>
        <v>0</v>
      </c>
      <c r="AM7" s="63">
        <f t="shared" si="2"/>
        <v>0</v>
      </c>
      <c r="AN7" s="63">
        <f t="shared" si="2"/>
        <v>0</v>
      </c>
      <c r="AO7" s="63">
        <f t="shared" si="2"/>
        <v>0.38272369316503035</v>
      </c>
      <c r="AP7" s="63">
        <f t="shared" si="2"/>
        <v>0</v>
      </c>
      <c r="AQ7" s="63">
        <f t="shared" si="2"/>
        <v>0</v>
      </c>
      <c r="AR7" s="63">
        <f t="shared" si="2"/>
        <v>0</v>
      </c>
      <c r="AS7" s="63" t="e">
        <f t="shared" si="2"/>
        <v>#DIV/0!</v>
      </c>
      <c r="AT7" s="63">
        <f t="shared" si="2"/>
        <v>0</v>
      </c>
      <c r="AU7" s="63">
        <f t="shared" si="2"/>
        <v>0</v>
      </c>
      <c r="AV7" s="63">
        <f t="shared" si="2"/>
        <v>0</v>
      </c>
      <c r="AW7" s="63">
        <f t="shared" si="2"/>
        <v>0</v>
      </c>
      <c r="AX7" s="63">
        <f t="shared" si="2"/>
        <v>0</v>
      </c>
      <c r="AY7" s="63">
        <f t="shared" si="2"/>
        <v>0</v>
      </c>
      <c r="AZ7" s="63">
        <f t="shared" si="2"/>
        <v>0</v>
      </c>
      <c r="BA7" s="63">
        <f t="shared" si="2"/>
        <v>0</v>
      </c>
      <c r="BB7" s="63">
        <f t="shared" si="2"/>
        <v>0</v>
      </c>
      <c r="BC7" s="63">
        <f t="shared" si="2"/>
        <v>0</v>
      </c>
      <c r="BD7" s="63">
        <f t="shared" si="2"/>
        <v>0</v>
      </c>
      <c r="BE7" s="63">
        <f t="shared" si="2"/>
        <v>0</v>
      </c>
      <c r="BF7" s="63">
        <f t="shared" si="2"/>
        <v>0</v>
      </c>
      <c r="BG7" s="63">
        <f t="shared" si="2"/>
        <v>0</v>
      </c>
      <c r="BH7" s="63">
        <f t="shared" si="2"/>
        <v>0</v>
      </c>
      <c r="BI7" s="63">
        <f t="shared" si="2"/>
        <v>0</v>
      </c>
      <c r="BJ7" s="63">
        <f t="shared" si="2"/>
        <v>0</v>
      </c>
      <c r="BK7" s="63">
        <f t="shared" si="2"/>
        <v>0</v>
      </c>
      <c r="BL7" s="63">
        <f t="shared" si="2"/>
        <v>0</v>
      </c>
      <c r="BM7" s="63">
        <f t="shared" si="2"/>
        <v>0</v>
      </c>
      <c r="BN7" s="63">
        <f t="shared" si="2"/>
        <v>0</v>
      </c>
      <c r="BO7" s="63">
        <f t="shared" si="2"/>
        <v>0</v>
      </c>
      <c r="BP7" s="63">
        <f t="shared" si="2"/>
        <v>0</v>
      </c>
      <c r="BQ7" s="63">
        <f t="shared" si="2"/>
        <v>0</v>
      </c>
      <c r="BR7" s="63">
        <f>BR5*(1-BR6)</f>
        <v>0</v>
      </c>
      <c r="BS7" s="63">
        <f>BS5*(1-BS6)</f>
        <v>0</v>
      </c>
      <c r="BT7" s="63">
        <f>BT5*(1-BT6)</f>
        <v>0</v>
      </c>
      <c r="BU7" s="63">
        <f>BU5*(1-BU6)</f>
        <v>0</v>
      </c>
      <c r="BV7" s="63">
        <f>BV5*(1-BV6)</f>
        <v>0</v>
      </c>
    </row>
    <row r="8" spans="1:74" s="26" customFormat="1" x14ac:dyDescent="0.25">
      <c r="A8" s="17" t="s">
        <v>331</v>
      </c>
      <c r="E8" s="26">
        <f>资产资本表!E107</f>
        <v>3152725257.1299996</v>
      </c>
      <c r="F8" s="26">
        <f>资产资本表!F107</f>
        <v>3043549912.8300004</v>
      </c>
      <c r="G8" s="26">
        <f>资产资本表!G107</f>
        <v>2904942506.0999999</v>
      </c>
      <c r="H8" s="26">
        <f>资产资本表!H107</f>
        <v>3006042763.3599997</v>
      </c>
      <c r="I8" s="26">
        <f>资产资本表!I107</f>
        <v>2880258171.6600003</v>
      </c>
      <c r="J8" s="26">
        <f>资产资本表!J107</f>
        <v>2810039902.6100001</v>
      </c>
      <c r="K8" s="26">
        <f>资产资本表!K107</f>
        <v>2676242325.2400002</v>
      </c>
      <c r="L8" s="26">
        <f>资产资本表!L107</f>
        <v>2770792599.6999998</v>
      </c>
      <c r="M8" s="26">
        <f>资产资本表!M107</f>
        <v>2655459613.3900003</v>
      </c>
      <c r="N8" s="26">
        <f>资产资本表!N107</f>
        <v>2546401388.6300001</v>
      </c>
      <c r="O8" s="26">
        <f>资产资本表!O107</f>
        <v>2398957888.52</v>
      </c>
      <c r="P8" s="26">
        <f>资产资本表!P107</f>
        <v>2605733811.6999998</v>
      </c>
      <c r="Q8" s="26">
        <f>资产资本表!Q107</f>
        <v>2487328254.04</v>
      </c>
      <c r="R8" s="26">
        <f>资产资本表!R107</f>
        <v>2304068739.1300001</v>
      </c>
      <c r="S8" s="26">
        <f>资产资本表!S107</f>
        <v>2184782308.8099999</v>
      </c>
      <c r="T8" s="26">
        <f>资产资本表!T107</f>
        <v>2224397084.98</v>
      </c>
      <c r="U8" s="26">
        <f>资产资本表!U107</f>
        <v>2125429369.46</v>
      </c>
      <c r="V8" s="26">
        <f>资产资本表!V107</f>
        <v>2030685494.9300001</v>
      </c>
      <c r="W8" s="26">
        <f>资产资本表!W107</f>
        <v>1930708956.6900001</v>
      </c>
      <c r="X8" s="26">
        <f>资产资本表!X107</f>
        <v>1977896014.0699999</v>
      </c>
      <c r="Y8" s="26">
        <f>资产资本表!Y107</f>
        <v>1892220602.73</v>
      </c>
      <c r="Z8" s="26">
        <f>资产资本表!Z107</f>
        <v>1763420146.3699999</v>
      </c>
      <c r="AA8" s="26">
        <f>资产资本表!AA107</f>
        <v>1643908869.0699999</v>
      </c>
      <c r="AB8" s="26">
        <f>资产资本表!AB107</f>
        <v>1756834966.6400001</v>
      </c>
      <c r="AC8" s="26">
        <f>资产资本表!AC107</f>
        <v>1650493578.27</v>
      </c>
      <c r="AD8" s="26">
        <f>资产资本表!AD107</f>
        <v>1556751168.1600001</v>
      </c>
      <c r="AE8" s="26">
        <f>资产资本表!AE107</f>
        <v>1439317961.3</v>
      </c>
      <c r="AF8" s="26">
        <f>资产资本表!AF107</f>
        <v>1533876742.3699999</v>
      </c>
      <c r="AG8" s="26">
        <f>资产资本表!AG107</f>
        <v>1476505584.9100001</v>
      </c>
      <c r="AH8" s="26">
        <f>资产资本表!AH107</f>
        <v>1378242583.3099999</v>
      </c>
      <c r="AI8" s="26">
        <f>资产资本表!AI107</f>
        <v>1311332115.0699999</v>
      </c>
      <c r="AJ8" s="26">
        <f>资产资本表!AJ107</f>
        <v>1382399929.6200001</v>
      </c>
      <c r="AK8" s="26">
        <f>资产资本表!AK107</f>
        <v>1332248508.1299999</v>
      </c>
      <c r="AL8" s="26">
        <f>资产资本表!AL107</f>
        <v>1288752066.0799999</v>
      </c>
      <c r="AM8" s="26">
        <f>资产资本表!AM107</f>
        <v>331008478.93000001</v>
      </c>
      <c r="AN8" s="26">
        <f>资产资本表!AN107</f>
        <v>301337851.48000002</v>
      </c>
      <c r="AO8" s="26">
        <f>资产资本表!AO107</f>
        <v>233287089.20999998</v>
      </c>
      <c r="AP8" s="26">
        <f>资产资本表!AP107</f>
        <v>127707873.51000001</v>
      </c>
      <c r="AQ8" s="26">
        <f>资产资本表!AQ107</f>
        <v>0</v>
      </c>
      <c r="AR8" s="26">
        <f>资产资本表!AR107</f>
        <v>10641944677.480001</v>
      </c>
      <c r="AS8" s="26">
        <f>资产资本表!AS107</f>
        <v>9626236984.1700001</v>
      </c>
      <c r="AT8" s="26">
        <f>资产资本表!AT107</f>
        <v>9485588152.4899998</v>
      </c>
      <c r="AU8" s="26">
        <f>资产资本表!AU107</f>
        <v>9304015150.3199997</v>
      </c>
      <c r="AV8" s="26">
        <f>资产资本表!AV107</f>
        <v>9051649388.7700005</v>
      </c>
      <c r="AW8" s="26">
        <f>资产资本表!AW107</f>
        <v>8295168514.6399994</v>
      </c>
      <c r="AX8" s="26">
        <f>资产资本表!AX107</f>
        <v>8139685182.96</v>
      </c>
      <c r="AY8" s="26">
        <f>资产资本表!AY107</f>
        <v>7938750364.1499996</v>
      </c>
      <c r="AZ8" s="26">
        <f>资产资本表!AZ107</f>
        <v>7934784508.5</v>
      </c>
      <c r="BA8" s="26">
        <f>资产资本表!BA107</f>
        <v>7385968978.54</v>
      </c>
      <c r="BB8" s="26">
        <f>资产资本表!BB107</f>
        <v>7360716151.5900002</v>
      </c>
      <c r="BC8" s="26">
        <f>资产资本表!BC107</f>
        <v>7179425965.6500006</v>
      </c>
      <c r="BD8" s="26">
        <f>资产资本表!BD107</f>
        <v>7003465589.3699999</v>
      </c>
      <c r="BE8" s="26">
        <f>资产资本表!BE107</f>
        <v>6586961901.7700005</v>
      </c>
      <c r="BF8" s="26">
        <f>资产资本表!BF107</f>
        <v>6433916281.1799994</v>
      </c>
      <c r="BG8" s="26">
        <f>资产资本表!BG107</f>
        <v>6292714866.6600008</v>
      </c>
      <c r="BH8" s="26">
        <f>资产资本表!BH107</f>
        <v>6409286809.8599997</v>
      </c>
      <c r="BI8" s="26">
        <f>资产资本表!BI107</f>
        <v>6025892686.6600008</v>
      </c>
      <c r="BJ8" s="26">
        <f>资产资本表!BJ107</f>
        <v>5870405150.8400002</v>
      </c>
      <c r="BK8" s="26">
        <f>资产资本表!BK107</f>
        <v>5711754634.1499996</v>
      </c>
      <c r="BL8" s="26">
        <f>资产资本表!BL107</f>
        <v>5611611741.0699997</v>
      </c>
      <c r="BM8" s="26">
        <f>资产资本表!BM107</f>
        <v>5322099955.71</v>
      </c>
      <c r="BN8" s="26">
        <f>资产资本表!BN107</f>
        <v>5214293132.5199995</v>
      </c>
      <c r="BO8" s="26">
        <f>资产资本表!BO107</f>
        <v>5075362101.0900002</v>
      </c>
      <c r="BP8" s="26">
        <f>资产资本表!BP107</f>
        <v>4954980669.5600004</v>
      </c>
      <c r="BQ8" s="26">
        <f>资产资本表!BQ107</f>
        <v>4702243132.8000002</v>
      </c>
      <c r="BR8" s="26">
        <f>资产资本表!BR107</f>
        <v>4561780000</v>
      </c>
      <c r="BS8" s="26">
        <f>资产资本表!BS107</f>
        <v>4385655821.6400003</v>
      </c>
      <c r="BT8" s="26">
        <f>资产资本表!BT107</f>
        <v>4238623191.5</v>
      </c>
      <c r="BU8" s="26">
        <f>资产资本表!BU107</f>
        <v>3191216198.9499998</v>
      </c>
    </row>
    <row r="9" spans="1:74" s="63" customFormat="1" x14ac:dyDescent="0.25">
      <c r="A9" s="63" t="s">
        <v>741</v>
      </c>
      <c r="E9" s="63">
        <f>根据DCF测算价值表!$D$1</f>
        <v>0.08</v>
      </c>
      <c r="F9" s="63">
        <f>根据DCF测算价值表!$D$1</f>
        <v>0.08</v>
      </c>
      <c r="G9" s="63">
        <f>根据DCF测算价值表!$D$1</f>
        <v>0.08</v>
      </c>
      <c r="H9" s="63">
        <f>根据DCF测算价值表!$D$1</f>
        <v>0.08</v>
      </c>
      <c r="I9" s="63">
        <f>根据DCF测算价值表!$D$1</f>
        <v>0.08</v>
      </c>
      <c r="J9" s="63">
        <f>根据DCF测算价值表!$D$1</f>
        <v>0.08</v>
      </c>
      <c r="K9" s="63">
        <f>根据DCF测算价值表!$D$1</f>
        <v>0.08</v>
      </c>
      <c r="L9" s="63">
        <f>根据DCF测算价值表!$D$1</f>
        <v>0.08</v>
      </c>
      <c r="M9" s="63">
        <f>根据DCF测算价值表!$D$1</f>
        <v>0.08</v>
      </c>
      <c r="N9" s="63">
        <f>根据DCF测算价值表!$D$1</f>
        <v>0.08</v>
      </c>
      <c r="O9" s="63">
        <f>根据DCF测算价值表!$D$1</f>
        <v>0.08</v>
      </c>
      <c r="P9" s="63">
        <f>根据DCF测算价值表!$D$1</f>
        <v>0.08</v>
      </c>
      <c r="Q9" s="63">
        <f>根据DCF测算价值表!$D$1</f>
        <v>0.08</v>
      </c>
      <c r="R9" s="63">
        <f>根据DCF测算价值表!$D$1</f>
        <v>0.08</v>
      </c>
      <c r="S9" s="63">
        <f>根据DCF测算价值表!$D$1</f>
        <v>0.08</v>
      </c>
      <c r="T9" s="63">
        <f>根据DCF测算价值表!$D$1</f>
        <v>0.08</v>
      </c>
      <c r="U9" s="63">
        <f>根据DCF测算价值表!$D$1</f>
        <v>0.08</v>
      </c>
      <c r="V9" s="63">
        <f>根据DCF测算价值表!$D$1</f>
        <v>0.08</v>
      </c>
      <c r="W9" s="63">
        <f>根据DCF测算价值表!$D$1</f>
        <v>0.08</v>
      </c>
      <c r="X9" s="63">
        <f>根据DCF测算价值表!$D$1</f>
        <v>0.08</v>
      </c>
      <c r="Y9" s="63">
        <f>根据DCF测算价值表!$D$1</f>
        <v>0.08</v>
      </c>
      <c r="Z9" s="63">
        <f>根据DCF测算价值表!$D$1</f>
        <v>0.08</v>
      </c>
      <c r="AA9" s="63">
        <f>根据DCF测算价值表!$D$1</f>
        <v>0.08</v>
      </c>
      <c r="AB9" s="63">
        <f>根据DCF测算价值表!$D$1</f>
        <v>0.08</v>
      </c>
      <c r="AC9" s="63">
        <f>根据DCF测算价值表!$D$1</f>
        <v>0.08</v>
      </c>
      <c r="AD9" s="63">
        <f>根据DCF测算价值表!$D$1</f>
        <v>0.08</v>
      </c>
      <c r="AE9" s="63">
        <f>根据DCF测算价值表!$D$1</f>
        <v>0.08</v>
      </c>
      <c r="AF9" s="63">
        <f>根据DCF测算价值表!$D$1</f>
        <v>0.08</v>
      </c>
      <c r="AG9" s="63">
        <f>根据DCF测算价值表!$D$1</f>
        <v>0.08</v>
      </c>
      <c r="AH9" s="63">
        <f>根据DCF测算价值表!$D$1</f>
        <v>0.08</v>
      </c>
      <c r="AI9" s="63">
        <f>根据DCF测算价值表!$D$1</f>
        <v>0.08</v>
      </c>
      <c r="AJ9" s="63">
        <f>根据DCF测算价值表!$D$1</f>
        <v>0.08</v>
      </c>
      <c r="AK9" s="63">
        <f>根据DCF测算价值表!$D$1</f>
        <v>0.08</v>
      </c>
      <c r="AL9" s="63">
        <f>根据DCF测算价值表!$D$1</f>
        <v>0.08</v>
      </c>
      <c r="AM9" s="63">
        <f>根据DCF测算价值表!$D$1</f>
        <v>0.08</v>
      </c>
      <c r="AN9" s="63">
        <f>根据DCF测算价值表!$D$1</f>
        <v>0.08</v>
      </c>
      <c r="AO9" s="63">
        <f>根据DCF测算价值表!$D$1</f>
        <v>0.08</v>
      </c>
      <c r="AP9" s="63">
        <f>根据DCF测算价值表!$D$1</f>
        <v>0.08</v>
      </c>
      <c r="AQ9" s="63">
        <f>根据DCF测算价值表!$D$1</f>
        <v>0.08</v>
      </c>
      <c r="AR9" s="63">
        <f>根据DCF测算价值表!$D$1</f>
        <v>0.08</v>
      </c>
      <c r="AS9" s="63">
        <f>根据DCF测算价值表!$D$1</f>
        <v>0.08</v>
      </c>
      <c r="AT9" s="63">
        <f>根据DCF测算价值表!$D$1</f>
        <v>0.08</v>
      </c>
      <c r="AU9" s="63">
        <f>根据DCF测算价值表!$D$1</f>
        <v>0.08</v>
      </c>
      <c r="AV9" s="63">
        <f>根据DCF测算价值表!$D$1</f>
        <v>0.08</v>
      </c>
      <c r="AW9" s="63">
        <f>根据DCF测算价值表!$D$1</f>
        <v>0.08</v>
      </c>
      <c r="AX9" s="63">
        <f>根据DCF测算价值表!$D$1</f>
        <v>0.08</v>
      </c>
      <c r="AY9" s="63">
        <f>根据DCF测算价值表!$D$1</f>
        <v>0.08</v>
      </c>
      <c r="AZ9" s="63">
        <f>根据DCF测算价值表!$D$1</f>
        <v>0.08</v>
      </c>
      <c r="BA9" s="63">
        <f>根据DCF测算价值表!$D$1</f>
        <v>0.08</v>
      </c>
      <c r="BB9" s="63">
        <f>根据DCF测算价值表!$D$1</f>
        <v>0.08</v>
      </c>
      <c r="BC9" s="63">
        <f>根据DCF测算价值表!$D$1</f>
        <v>0.08</v>
      </c>
      <c r="BD9" s="63">
        <f>根据DCF测算价值表!$D$1</f>
        <v>0.08</v>
      </c>
      <c r="BE9" s="63">
        <f>根据DCF测算价值表!$D$1</f>
        <v>0.08</v>
      </c>
      <c r="BF9" s="63">
        <f>根据DCF测算价值表!$D$1</f>
        <v>0.08</v>
      </c>
      <c r="BG9" s="63">
        <f>根据DCF测算价值表!$D$1</f>
        <v>0.08</v>
      </c>
      <c r="BH9" s="63">
        <f>根据DCF测算价值表!$D$1</f>
        <v>0.08</v>
      </c>
      <c r="BI9" s="63">
        <f>根据DCF测算价值表!$D$1</f>
        <v>0.08</v>
      </c>
      <c r="BJ9" s="63">
        <f>根据DCF测算价值表!$D$1</f>
        <v>0.08</v>
      </c>
      <c r="BK9" s="63">
        <f>根据DCF测算价值表!$D$1</f>
        <v>0.08</v>
      </c>
      <c r="BL9" s="63">
        <f>根据DCF测算价值表!$D$1</f>
        <v>0.08</v>
      </c>
      <c r="BM9" s="63">
        <f>根据DCF测算价值表!$D$1</f>
        <v>0.08</v>
      </c>
      <c r="BN9" s="63">
        <f>根据DCF测算价值表!$D$1</f>
        <v>0.08</v>
      </c>
      <c r="BO9" s="63">
        <f>根据DCF测算价值表!$D$1</f>
        <v>0.08</v>
      </c>
      <c r="BP9" s="63">
        <f>根据DCF测算价值表!$D$1</f>
        <v>0.08</v>
      </c>
      <c r="BQ9" s="63">
        <f>根据DCF测算价值表!$D$1</f>
        <v>0.08</v>
      </c>
      <c r="BR9" s="63">
        <f>根据DCF测算价值表!$D$1</f>
        <v>0.08</v>
      </c>
      <c r="BS9" s="63">
        <f>根据DCF测算价值表!$D$1</f>
        <v>0.08</v>
      </c>
      <c r="BT9" s="63">
        <f>根据DCF测算价值表!$D$1</f>
        <v>0.08</v>
      </c>
      <c r="BU9" s="63">
        <f>根据DCF测算价值表!$D$1</f>
        <v>0.08</v>
      </c>
      <c r="BV9" s="63">
        <f>根据DCF测算价值表!$D$1</f>
        <v>0.08</v>
      </c>
    </row>
    <row r="10" spans="1:74" s="26" customFormat="1" x14ac:dyDescent="0.25">
      <c r="A10" s="17" t="s">
        <v>332</v>
      </c>
      <c r="E10" s="26">
        <f>资产资本表!E70</f>
        <v>3415975678.7199993</v>
      </c>
      <c r="F10" s="26">
        <f>资产资本表!F70</f>
        <v>3469234189.5599999</v>
      </c>
      <c r="G10" s="26">
        <f>资产资本表!G70</f>
        <v>3334128665.5799999</v>
      </c>
      <c r="H10" s="26">
        <f>资产资本表!H70</f>
        <v>3553104597.3199997</v>
      </c>
      <c r="I10" s="26">
        <f>资产资本表!I70</f>
        <v>3379120624.0300002</v>
      </c>
      <c r="J10" s="26">
        <f>资产资本表!J70</f>
        <v>3143130880.5099998</v>
      </c>
      <c r="K10" s="26">
        <f>资产资本表!K70</f>
        <v>2963681471.9000001</v>
      </c>
      <c r="L10" s="26">
        <f>资产资本表!L70</f>
        <v>2881482643.0299997</v>
      </c>
      <c r="M10" s="26">
        <f>资产资本表!M70</f>
        <v>2770141834.1799998</v>
      </c>
      <c r="N10" s="26">
        <f>资产资本表!N70</f>
        <v>2546401388.6300001</v>
      </c>
      <c r="O10" s="26">
        <f>资产资本表!O70</f>
        <v>2402871215.6399999</v>
      </c>
      <c r="P10" s="26">
        <f>资产资本表!P70</f>
        <v>2608400747.6599998</v>
      </c>
      <c r="Q10" s="26">
        <f>资产资本表!Q70</f>
        <v>2492915605.7700005</v>
      </c>
      <c r="R10" s="26">
        <f>资产资本表!R70</f>
        <v>2308488151.73</v>
      </c>
      <c r="S10" s="26">
        <f>资产资本表!S70</f>
        <v>2192212395.2799997</v>
      </c>
      <c r="T10" s="26">
        <f>资产资本表!T70</f>
        <v>2229681235.0799999</v>
      </c>
      <c r="U10" s="26">
        <f>资产资本表!U70</f>
        <v>2133306409.3499999</v>
      </c>
      <c r="V10" s="26">
        <f>资产资本表!V70</f>
        <v>2030685494.9299998</v>
      </c>
      <c r="W10" s="26">
        <f>资产资本表!W70</f>
        <v>1930708956.6900001</v>
      </c>
      <c r="X10" s="26">
        <f>资产资本表!X70</f>
        <v>1977896014.0700002</v>
      </c>
      <c r="Y10" s="26">
        <f>资产资本表!Y70</f>
        <v>1892220602.73</v>
      </c>
      <c r="Z10" s="26">
        <f>资产资本表!Z70</f>
        <v>1763420146.3699999</v>
      </c>
      <c r="AA10" s="26">
        <f>资产资本表!AA70</f>
        <v>1643908869.0700002</v>
      </c>
      <c r="AB10" s="26">
        <f>资产资本表!AB70</f>
        <v>1756834966.6400001</v>
      </c>
      <c r="AC10" s="26">
        <f>资产资本表!AC70</f>
        <v>1650493578.27</v>
      </c>
      <c r="AD10" s="26">
        <f>资产资本表!AD70</f>
        <v>1556751168.1599998</v>
      </c>
      <c r="AE10" s="26">
        <f>资产资本表!AE70</f>
        <v>1439317961.3000002</v>
      </c>
      <c r="AF10" s="26">
        <f>资产资本表!AF70</f>
        <v>1533876742.3699999</v>
      </c>
      <c r="AG10" s="26">
        <f>资产资本表!AG70</f>
        <v>1476505584.9100001</v>
      </c>
      <c r="AH10" s="26">
        <f>资产资本表!AH70</f>
        <v>1378242583.3099999</v>
      </c>
      <c r="AI10" s="26">
        <f>资产资本表!AI70</f>
        <v>1311332115.0699999</v>
      </c>
      <c r="AJ10" s="26">
        <f>资产资本表!AJ70</f>
        <v>1382399929.6199999</v>
      </c>
      <c r="AK10" s="26">
        <f>资产资本表!AK70</f>
        <v>1332248508.1300001</v>
      </c>
      <c r="AL10" s="26">
        <f>资产资本表!AL70</f>
        <v>1288752066.0799999</v>
      </c>
      <c r="AM10" s="26">
        <f>资产资本表!AM70</f>
        <v>331008478.93000001</v>
      </c>
      <c r="AN10" s="26">
        <f>资产资本表!AN70</f>
        <v>301337851.48000002</v>
      </c>
      <c r="AO10" s="26">
        <f>资产资本表!AO70</f>
        <v>238297533.64999998</v>
      </c>
      <c r="AP10" s="26">
        <f>资产资本表!AP70</f>
        <v>155756895.01000002</v>
      </c>
      <c r="AQ10" s="26">
        <f>资产资本表!AQ70</f>
        <v>0</v>
      </c>
      <c r="AR10" s="26">
        <f>资产资本表!AR70</f>
        <v>0</v>
      </c>
      <c r="AS10" s="26">
        <f>资产资本表!AS70</f>
        <v>0</v>
      </c>
      <c r="AT10" s="26">
        <f>资产资本表!AT70</f>
        <v>0</v>
      </c>
      <c r="AU10" s="26">
        <f>资产资本表!AU70</f>
        <v>0</v>
      </c>
      <c r="AV10" s="26">
        <f>资产资本表!AV70</f>
        <v>0</v>
      </c>
      <c r="AW10" s="26">
        <f>资产资本表!AW70</f>
        <v>0</v>
      </c>
      <c r="AX10" s="26">
        <f>资产资本表!AX70</f>
        <v>0</v>
      </c>
      <c r="AY10" s="26">
        <f>资产资本表!AY70</f>
        <v>0</v>
      </c>
      <c r="AZ10" s="26">
        <f>资产资本表!AZ70</f>
        <v>0</v>
      </c>
      <c r="BA10" s="26">
        <f>资产资本表!BA70</f>
        <v>0</v>
      </c>
      <c r="BB10" s="26">
        <f>资产资本表!BB70</f>
        <v>0</v>
      </c>
      <c r="BC10" s="26">
        <f>资产资本表!BC70</f>
        <v>0</v>
      </c>
      <c r="BD10" s="26">
        <f>资产资本表!BD70</f>
        <v>0</v>
      </c>
      <c r="BE10" s="26">
        <f>资产资本表!BE70</f>
        <v>0</v>
      </c>
      <c r="BF10" s="26">
        <f>资产资本表!BF70</f>
        <v>0</v>
      </c>
      <c r="BG10" s="26">
        <f>资产资本表!BG70</f>
        <v>0</v>
      </c>
      <c r="BH10" s="26">
        <f>资产资本表!BH70</f>
        <v>0</v>
      </c>
      <c r="BI10" s="26">
        <f>资产资本表!BI70</f>
        <v>0</v>
      </c>
      <c r="BJ10" s="26">
        <f>资产资本表!BJ70</f>
        <v>0</v>
      </c>
      <c r="BK10" s="26">
        <f>资产资本表!BK70</f>
        <v>0</v>
      </c>
      <c r="BL10" s="26">
        <f>资产资本表!BL70</f>
        <v>0</v>
      </c>
      <c r="BM10" s="26">
        <f>资产资本表!BM70</f>
        <v>0</v>
      </c>
      <c r="BN10" s="26">
        <f>资产资本表!BN70</f>
        <v>0</v>
      </c>
      <c r="BO10" s="26">
        <f>资产资本表!BO70</f>
        <v>0</v>
      </c>
      <c r="BP10" s="26">
        <f>资产资本表!BP70</f>
        <v>0</v>
      </c>
      <c r="BQ10" s="26">
        <f>资产资本表!BQ70</f>
        <v>0</v>
      </c>
      <c r="BR10" s="26">
        <f>资产资本表!BR70</f>
        <v>0</v>
      </c>
      <c r="BS10" s="26">
        <f>资产资本表!BS70</f>
        <v>0</v>
      </c>
      <c r="BT10" s="26">
        <f>资产资本表!BT70</f>
        <v>0</v>
      </c>
      <c r="BU10" s="26">
        <f>资产资本表!BU70</f>
        <v>0</v>
      </c>
    </row>
    <row r="11" spans="1:74" s="63" customFormat="1" x14ac:dyDescent="0.25">
      <c r="A11" s="17" t="s">
        <v>347</v>
      </c>
      <c r="E11" s="63">
        <f>E4/E10</f>
        <v>7.4181752527861286E-2</v>
      </c>
      <c r="F11" s="63">
        <f t="shared" ref="F11:BQ11" si="3">F4/F10</f>
        <v>0.12270266389366732</v>
      </c>
      <c r="G11" s="63">
        <f t="shared" si="3"/>
        <v>0.12872513406897554</v>
      </c>
      <c r="H11" s="63">
        <f t="shared" si="3"/>
        <v>0.15396727537169391</v>
      </c>
      <c r="I11" s="63">
        <f t="shared" si="3"/>
        <v>0.14763085070785301</v>
      </c>
      <c r="J11" s="63">
        <f t="shared" si="3"/>
        <v>0.10597426278537696</v>
      </c>
      <c r="K11" s="63">
        <f t="shared" si="3"/>
        <v>9.6987192917099938E-2</v>
      </c>
      <c r="L11" s="63">
        <f t="shared" si="3"/>
        <v>3.8414266904486634E-2</v>
      </c>
      <c r="M11" s="63">
        <f t="shared" si="3"/>
        <v>4.1399403949273779E-2</v>
      </c>
      <c r="N11" s="63">
        <f t="shared" si="3"/>
        <v>0</v>
      </c>
      <c r="O11" s="63">
        <f t="shared" si="3"/>
        <v>1.6286046020813035E-3</v>
      </c>
      <c r="P11" s="63">
        <f t="shared" si="3"/>
        <v>1.022441034949293E-3</v>
      </c>
      <c r="Q11" s="63">
        <f t="shared" si="3"/>
        <v>2.2412919703610284E-3</v>
      </c>
      <c r="R11" s="63">
        <f t="shared" si="3"/>
        <v>1.9144185759359673E-3</v>
      </c>
      <c r="S11" s="63">
        <f t="shared" si="3"/>
        <v>3.3893095787604988E-3</v>
      </c>
      <c r="T11" s="63">
        <f t="shared" si="3"/>
        <v>2.3699128004772427E-3</v>
      </c>
      <c r="U11" s="63">
        <f t="shared" si="3"/>
        <v>3.6924090489186059E-3</v>
      </c>
      <c r="V11" s="63">
        <f t="shared" si="3"/>
        <v>0</v>
      </c>
      <c r="W11" s="63">
        <f t="shared" si="3"/>
        <v>0</v>
      </c>
      <c r="X11" s="63">
        <f t="shared" si="3"/>
        <v>0</v>
      </c>
      <c r="Y11" s="63">
        <f t="shared" si="3"/>
        <v>0</v>
      </c>
      <c r="Z11" s="63">
        <f t="shared" si="3"/>
        <v>0</v>
      </c>
      <c r="AA11" s="63">
        <f t="shared" si="3"/>
        <v>0</v>
      </c>
      <c r="AB11" s="63">
        <f t="shared" si="3"/>
        <v>0</v>
      </c>
      <c r="AC11" s="63">
        <f t="shared" si="3"/>
        <v>0</v>
      </c>
      <c r="AD11" s="63">
        <f t="shared" si="3"/>
        <v>0</v>
      </c>
      <c r="AE11" s="63">
        <f t="shared" si="3"/>
        <v>0</v>
      </c>
      <c r="AF11" s="63">
        <f t="shared" si="3"/>
        <v>0</v>
      </c>
      <c r="AG11" s="63">
        <f t="shared" si="3"/>
        <v>0</v>
      </c>
      <c r="AH11" s="63">
        <f t="shared" si="3"/>
        <v>0</v>
      </c>
      <c r="AI11" s="63">
        <f t="shared" si="3"/>
        <v>0</v>
      </c>
      <c r="AJ11" s="63">
        <f t="shared" si="3"/>
        <v>0</v>
      </c>
      <c r="AK11" s="63">
        <f t="shared" si="3"/>
        <v>0</v>
      </c>
      <c r="AL11" s="63">
        <f t="shared" si="3"/>
        <v>0</v>
      </c>
      <c r="AM11" s="63">
        <f t="shared" si="3"/>
        <v>0</v>
      </c>
      <c r="AN11" s="63">
        <f t="shared" si="3"/>
        <v>0</v>
      </c>
      <c r="AO11" s="63">
        <f t="shared" si="3"/>
        <v>2.1026002087621693E-2</v>
      </c>
      <c r="AP11" s="63">
        <f t="shared" si="3"/>
        <v>0.18008205349881415</v>
      </c>
      <c r="AQ11" s="63" t="e">
        <f t="shared" si="3"/>
        <v>#DIV/0!</v>
      </c>
      <c r="AR11" s="63" t="e">
        <f t="shared" si="3"/>
        <v>#DIV/0!</v>
      </c>
      <c r="AS11" s="63" t="e">
        <f t="shared" si="3"/>
        <v>#DIV/0!</v>
      </c>
      <c r="AT11" s="63" t="e">
        <f t="shared" si="3"/>
        <v>#DIV/0!</v>
      </c>
      <c r="AU11" s="63" t="e">
        <f t="shared" si="3"/>
        <v>#DIV/0!</v>
      </c>
      <c r="AV11" s="63" t="e">
        <f t="shared" si="3"/>
        <v>#DIV/0!</v>
      </c>
      <c r="AW11" s="63" t="e">
        <f t="shared" si="3"/>
        <v>#DIV/0!</v>
      </c>
      <c r="AX11" s="63" t="e">
        <f t="shared" si="3"/>
        <v>#DIV/0!</v>
      </c>
      <c r="AY11" s="63" t="e">
        <f t="shared" si="3"/>
        <v>#DIV/0!</v>
      </c>
      <c r="AZ11" s="63" t="e">
        <f t="shared" si="3"/>
        <v>#DIV/0!</v>
      </c>
      <c r="BA11" s="63" t="e">
        <f t="shared" si="3"/>
        <v>#DIV/0!</v>
      </c>
      <c r="BB11" s="63" t="e">
        <f t="shared" si="3"/>
        <v>#DIV/0!</v>
      </c>
      <c r="BC11" s="63" t="e">
        <f t="shared" si="3"/>
        <v>#DIV/0!</v>
      </c>
      <c r="BD11" s="63" t="e">
        <f t="shared" si="3"/>
        <v>#DIV/0!</v>
      </c>
      <c r="BE11" s="63" t="e">
        <f t="shared" si="3"/>
        <v>#DIV/0!</v>
      </c>
      <c r="BF11" s="63" t="e">
        <f t="shared" si="3"/>
        <v>#DIV/0!</v>
      </c>
      <c r="BG11" s="63" t="e">
        <f t="shared" si="3"/>
        <v>#DIV/0!</v>
      </c>
      <c r="BH11" s="63" t="e">
        <f t="shared" si="3"/>
        <v>#DIV/0!</v>
      </c>
      <c r="BI11" s="63" t="e">
        <f t="shared" si="3"/>
        <v>#DIV/0!</v>
      </c>
      <c r="BJ11" s="63" t="e">
        <f t="shared" si="3"/>
        <v>#DIV/0!</v>
      </c>
      <c r="BK11" s="63" t="e">
        <f t="shared" si="3"/>
        <v>#DIV/0!</v>
      </c>
      <c r="BL11" s="63" t="e">
        <f t="shared" si="3"/>
        <v>#DIV/0!</v>
      </c>
      <c r="BM11" s="63" t="e">
        <f t="shared" si="3"/>
        <v>#DIV/0!</v>
      </c>
      <c r="BN11" s="63" t="e">
        <f t="shared" si="3"/>
        <v>#DIV/0!</v>
      </c>
      <c r="BO11" s="63" t="e">
        <f t="shared" si="3"/>
        <v>#DIV/0!</v>
      </c>
      <c r="BP11" s="63" t="e">
        <f t="shared" si="3"/>
        <v>#DIV/0!</v>
      </c>
      <c r="BQ11" s="63" t="e">
        <f t="shared" si="3"/>
        <v>#DIV/0!</v>
      </c>
      <c r="BR11" s="63" t="e">
        <f>BR4/BR10</f>
        <v>#DIV/0!</v>
      </c>
      <c r="BS11" s="63" t="e">
        <f>BS4/BS10</f>
        <v>#DIV/0!</v>
      </c>
      <c r="BT11" s="63" t="e">
        <f>BT4/BT10</f>
        <v>#DIV/0!</v>
      </c>
      <c r="BU11" s="63" t="e">
        <f>BU4/BU10</f>
        <v>#DIV/0!</v>
      </c>
      <c r="BV11" s="63" t="e">
        <f>BV4/BV10*100</f>
        <v>#DIV/0!</v>
      </c>
    </row>
    <row r="12" spans="1:74" s="63" customFormat="1" x14ac:dyDescent="0.25">
      <c r="A12" s="17" t="s">
        <v>348</v>
      </c>
      <c r="E12" s="63">
        <f>E8/E10</f>
        <v>0.92293551056878653</v>
      </c>
      <c r="F12" s="63">
        <f t="shared" ref="F12:BQ12" si="4">F8/F10</f>
        <v>0.87729733610633287</v>
      </c>
      <c r="G12" s="63">
        <f t="shared" si="4"/>
        <v>0.87127486593102443</v>
      </c>
      <c r="H12" s="63">
        <f t="shared" si="4"/>
        <v>0.84603272462830603</v>
      </c>
      <c r="I12" s="63">
        <f t="shared" si="4"/>
        <v>0.85236914929214702</v>
      </c>
      <c r="J12" s="63">
        <f t="shared" si="4"/>
        <v>0.8940257372146232</v>
      </c>
      <c r="K12" s="63">
        <f t="shared" si="4"/>
        <v>0.9030128070829001</v>
      </c>
      <c r="L12" s="63">
        <f t="shared" si="4"/>
        <v>0.96158573309551343</v>
      </c>
      <c r="M12" s="63">
        <f t="shared" si="4"/>
        <v>0.95860059605072645</v>
      </c>
      <c r="N12" s="63">
        <f t="shared" si="4"/>
        <v>1</v>
      </c>
      <c r="O12" s="63">
        <f t="shared" si="4"/>
        <v>0.99837139539791875</v>
      </c>
      <c r="P12" s="63">
        <f t="shared" si="4"/>
        <v>0.99897755896505069</v>
      </c>
      <c r="Q12" s="63">
        <f t="shared" si="4"/>
        <v>0.99775870802963873</v>
      </c>
      <c r="R12" s="63">
        <f t="shared" si="4"/>
        <v>0.99808558142406412</v>
      </c>
      <c r="S12" s="63">
        <f t="shared" si="4"/>
        <v>0.99661069042123962</v>
      </c>
      <c r="T12" s="63">
        <f t="shared" si="4"/>
        <v>0.99763008719952284</v>
      </c>
      <c r="U12" s="63">
        <f t="shared" si="4"/>
        <v>0.99630759095108146</v>
      </c>
      <c r="V12" s="63">
        <f t="shared" si="4"/>
        <v>1.0000000000000002</v>
      </c>
      <c r="W12" s="63">
        <f t="shared" si="4"/>
        <v>1</v>
      </c>
      <c r="X12" s="63">
        <f t="shared" si="4"/>
        <v>0.99999999999999989</v>
      </c>
      <c r="Y12" s="63">
        <f t="shared" si="4"/>
        <v>1</v>
      </c>
      <c r="Z12" s="63">
        <f t="shared" si="4"/>
        <v>1</v>
      </c>
      <c r="AA12" s="63">
        <f t="shared" si="4"/>
        <v>0.99999999999999989</v>
      </c>
      <c r="AB12" s="63">
        <f t="shared" si="4"/>
        <v>1</v>
      </c>
      <c r="AC12" s="63">
        <f t="shared" si="4"/>
        <v>1</v>
      </c>
      <c r="AD12" s="63">
        <f t="shared" si="4"/>
        <v>1.0000000000000002</v>
      </c>
      <c r="AE12" s="63">
        <f t="shared" si="4"/>
        <v>0.99999999999999989</v>
      </c>
      <c r="AF12" s="63">
        <f t="shared" si="4"/>
        <v>1</v>
      </c>
      <c r="AG12" s="63">
        <f t="shared" si="4"/>
        <v>1</v>
      </c>
      <c r="AH12" s="63">
        <f t="shared" si="4"/>
        <v>1</v>
      </c>
      <c r="AI12" s="63">
        <f t="shared" si="4"/>
        <v>1</v>
      </c>
      <c r="AJ12" s="63">
        <f t="shared" si="4"/>
        <v>1.0000000000000002</v>
      </c>
      <c r="AK12" s="63">
        <f t="shared" si="4"/>
        <v>0.99999999999999978</v>
      </c>
      <c r="AL12" s="63">
        <f t="shared" si="4"/>
        <v>1</v>
      </c>
      <c r="AM12" s="63">
        <f t="shared" si="4"/>
        <v>1</v>
      </c>
      <c r="AN12" s="63">
        <f t="shared" si="4"/>
        <v>1</v>
      </c>
      <c r="AO12" s="63">
        <f t="shared" si="4"/>
        <v>0.97897399791237827</v>
      </c>
      <c r="AP12" s="63">
        <f t="shared" si="4"/>
        <v>0.81991794650118577</v>
      </c>
      <c r="AQ12" s="63" t="e">
        <f t="shared" si="4"/>
        <v>#DIV/0!</v>
      </c>
      <c r="AR12" s="63" t="e">
        <f t="shared" si="4"/>
        <v>#DIV/0!</v>
      </c>
      <c r="AS12" s="63" t="e">
        <f t="shared" si="4"/>
        <v>#DIV/0!</v>
      </c>
      <c r="AT12" s="63" t="e">
        <f t="shared" si="4"/>
        <v>#DIV/0!</v>
      </c>
      <c r="AU12" s="63" t="e">
        <f t="shared" si="4"/>
        <v>#DIV/0!</v>
      </c>
      <c r="AV12" s="63" t="e">
        <f t="shared" si="4"/>
        <v>#DIV/0!</v>
      </c>
      <c r="AW12" s="63" t="e">
        <f t="shared" si="4"/>
        <v>#DIV/0!</v>
      </c>
      <c r="AX12" s="63" t="e">
        <f t="shared" si="4"/>
        <v>#DIV/0!</v>
      </c>
      <c r="AY12" s="63" t="e">
        <f t="shared" si="4"/>
        <v>#DIV/0!</v>
      </c>
      <c r="AZ12" s="63" t="e">
        <f t="shared" si="4"/>
        <v>#DIV/0!</v>
      </c>
      <c r="BA12" s="63" t="e">
        <f t="shared" si="4"/>
        <v>#DIV/0!</v>
      </c>
      <c r="BB12" s="63" t="e">
        <f t="shared" si="4"/>
        <v>#DIV/0!</v>
      </c>
      <c r="BC12" s="63" t="e">
        <f t="shared" si="4"/>
        <v>#DIV/0!</v>
      </c>
      <c r="BD12" s="63" t="e">
        <f t="shared" si="4"/>
        <v>#DIV/0!</v>
      </c>
      <c r="BE12" s="63" t="e">
        <f t="shared" si="4"/>
        <v>#DIV/0!</v>
      </c>
      <c r="BF12" s="63" t="e">
        <f t="shared" si="4"/>
        <v>#DIV/0!</v>
      </c>
      <c r="BG12" s="63" t="e">
        <f t="shared" si="4"/>
        <v>#DIV/0!</v>
      </c>
      <c r="BH12" s="63" t="e">
        <f t="shared" si="4"/>
        <v>#DIV/0!</v>
      </c>
      <c r="BI12" s="63" t="e">
        <f t="shared" si="4"/>
        <v>#DIV/0!</v>
      </c>
      <c r="BJ12" s="63" t="e">
        <f t="shared" si="4"/>
        <v>#DIV/0!</v>
      </c>
      <c r="BK12" s="63" t="e">
        <f t="shared" si="4"/>
        <v>#DIV/0!</v>
      </c>
      <c r="BL12" s="63" t="e">
        <f t="shared" si="4"/>
        <v>#DIV/0!</v>
      </c>
      <c r="BM12" s="63" t="e">
        <f t="shared" si="4"/>
        <v>#DIV/0!</v>
      </c>
      <c r="BN12" s="63" t="e">
        <f t="shared" si="4"/>
        <v>#DIV/0!</v>
      </c>
      <c r="BO12" s="63" t="e">
        <f t="shared" si="4"/>
        <v>#DIV/0!</v>
      </c>
      <c r="BP12" s="63" t="e">
        <f t="shared" si="4"/>
        <v>#DIV/0!</v>
      </c>
      <c r="BQ12" s="63" t="e">
        <f t="shared" si="4"/>
        <v>#DIV/0!</v>
      </c>
      <c r="BR12" s="63" t="e">
        <f>BR8/BR10</f>
        <v>#DIV/0!</v>
      </c>
      <c r="BS12" s="63" t="e">
        <f>BS8/BS10</f>
        <v>#DIV/0!</v>
      </c>
      <c r="BT12" s="63" t="e">
        <f>BT8/BT10</f>
        <v>#DIV/0!</v>
      </c>
      <c r="BU12" s="63" t="e">
        <f>BU8/BU10</f>
        <v>#DIV/0!</v>
      </c>
      <c r="BV12" s="63" t="e">
        <f>BV8/BV10*100</f>
        <v>#DIV/0!</v>
      </c>
    </row>
    <row r="13" spans="1:74" s="63" customFormat="1" x14ac:dyDescent="0.25">
      <c r="A13" s="63" t="s">
        <v>349</v>
      </c>
      <c r="E13" s="63">
        <f>E5*E11*(1-E6)+E9*E12</f>
        <v>7.7241970481989927E-2</v>
      </c>
      <c r="F13" s="63">
        <f t="shared" ref="F13:J13" si="5">F5*F11*(1-F6)+F9*F12</f>
        <v>7.0183786888506627E-2</v>
      </c>
      <c r="G13" s="63">
        <f t="shared" si="5"/>
        <v>6.9701989274481957E-2</v>
      </c>
      <c r="H13" s="63">
        <f t="shared" si="5"/>
        <v>6.768261797026448E-2</v>
      </c>
      <c r="I13" s="63">
        <f t="shared" si="5"/>
        <v>7.1822661276142855E-2</v>
      </c>
      <c r="J13" s="63">
        <f t="shared" si="5"/>
        <v>7.1522058977169858E-2</v>
      </c>
      <c r="K13" s="63">
        <f t="shared" ref="K13" si="6">K5*K11*(1-K6)+K9*K12</f>
        <v>7.2241024566632006E-2</v>
      </c>
      <c r="L13" s="63">
        <f t="shared" ref="L13" si="7">L5*L11*(1-L6)+L9*L12</f>
        <v>7.692685864764108E-2</v>
      </c>
      <c r="M13" s="63">
        <f t="shared" ref="M13" si="8">M5*M11*(1-M6)+M9*M12</f>
        <v>7.769067823178484E-2</v>
      </c>
      <c r="N13" s="63">
        <f t="shared" ref="N13:O13" si="9">N5*N11*(1-N6)+N9*N12</f>
        <v>0.08</v>
      </c>
      <c r="O13" s="63">
        <f t="shared" si="9"/>
        <v>7.9869711631833498E-2</v>
      </c>
      <c r="P13" s="63">
        <f t="shared" ref="P13" si="10">P5*P11*(1-P6)+P9*P12</f>
        <v>7.9918204717204053E-2</v>
      </c>
      <c r="Q13" s="63">
        <f t="shared" ref="Q13" si="11">Q5*Q11*(1-Q6)+Q9*Q12</f>
        <v>7.9820696642371097E-2</v>
      </c>
      <c r="R13" s="63">
        <f t="shared" ref="R13" si="12">R5*R11*(1-R6)+R9*R12</f>
        <v>7.9846846513925138E-2</v>
      </c>
      <c r="S13" s="63">
        <f t="shared" ref="S13:T13" si="13">S5*S11*(1-S6)+S9*S12</f>
        <v>7.9728855233699172E-2</v>
      </c>
      <c r="T13" s="63">
        <f t="shared" si="13"/>
        <v>7.9810406975961826E-2</v>
      </c>
      <c r="U13" s="63">
        <f t="shared" ref="U13" si="14">U5*U11*(1-U6)+U9*U12</f>
        <v>7.9704607276086512E-2</v>
      </c>
      <c r="V13" s="63">
        <f t="shared" ref="V13" si="15">V5*V11*(1-V6)+V9*V12</f>
        <v>8.0000000000000016E-2</v>
      </c>
      <c r="W13" s="63">
        <f t="shared" ref="W13" si="16">W5*W11*(1-W6)+W9*W12</f>
        <v>0.08</v>
      </c>
      <c r="X13" s="63">
        <f t="shared" ref="X13:Y13" si="17">X5*X11*(1-X6)+X9*X12</f>
        <v>7.9999999999999988E-2</v>
      </c>
      <c r="Y13" s="63">
        <f t="shared" si="17"/>
        <v>0.08</v>
      </c>
      <c r="Z13" s="63">
        <f t="shared" ref="Z13" si="18">Z5*Z11*(1-Z6)+Z9*Z12</f>
        <v>0.08</v>
      </c>
      <c r="AA13" s="63">
        <f t="shared" ref="AA13" si="19">AA5*AA11*(1-AA6)+AA9*AA12</f>
        <v>7.9999999999999988E-2</v>
      </c>
      <c r="AB13" s="63">
        <f t="shared" ref="AB13" si="20">AB5*AB11*(1-AB6)+AB9*AB12</f>
        <v>0.08</v>
      </c>
      <c r="AC13" s="63">
        <f t="shared" ref="AC13:AD13" si="21">AC5*AC11*(1-AC6)+AC9*AC12</f>
        <v>0.08</v>
      </c>
      <c r="AD13" s="63">
        <f t="shared" si="21"/>
        <v>8.0000000000000016E-2</v>
      </c>
      <c r="AE13" s="63">
        <f t="shared" ref="AE13" si="22">AE5*AE11*(1-AE6)+AE9*AE12</f>
        <v>7.9999999999999988E-2</v>
      </c>
      <c r="AF13" s="63">
        <f t="shared" ref="AF13" si="23">AF5*AF11*(1-AF6)+AF9*AF12</f>
        <v>0.08</v>
      </c>
      <c r="AG13" s="63">
        <f t="shared" ref="AG13" si="24">AG5*AG11*(1-AG6)+AG9*AG12</f>
        <v>0.08</v>
      </c>
      <c r="AH13" s="63">
        <f t="shared" ref="AH13:AI13" si="25">AH5*AH11*(1-AH6)+AH9*AH12</f>
        <v>0.08</v>
      </c>
      <c r="AI13" s="63">
        <f t="shared" si="25"/>
        <v>0.08</v>
      </c>
      <c r="AJ13" s="63">
        <f t="shared" ref="AJ13" si="26">AJ5*AJ11*(1-AJ6)+AJ9*AJ12</f>
        <v>8.0000000000000016E-2</v>
      </c>
      <c r="AK13" s="63">
        <f t="shared" ref="AK13" si="27">AK5*AK11*(1-AK6)+AK9*AK12</f>
        <v>7.9999999999999988E-2</v>
      </c>
      <c r="AL13" s="63">
        <f t="shared" ref="AL13" si="28">AL5*AL11*(1-AL6)+AL9*AL12</f>
        <v>0.08</v>
      </c>
      <c r="AM13" s="63">
        <f t="shared" ref="AM13:AN13" si="29">AM5*AM11*(1-AM6)+AM9*AM12</f>
        <v>0.08</v>
      </c>
      <c r="AN13" s="63">
        <f t="shared" si="29"/>
        <v>0.08</v>
      </c>
      <c r="AO13" s="63">
        <f t="shared" ref="AO13" si="30">AO5*AO11*(1-AO6)+AO9*AO12</f>
        <v>8.6365069004460476E-2</v>
      </c>
      <c r="AP13" s="63">
        <f t="shared" ref="AP13" si="31">AP5*AP11*(1-AP6)+AP9*AP12</f>
        <v>6.5593435720094864E-2</v>
      </c>
      <c r="AQ13" s="63" t="e">
        <f t="shared" ref="AQ13" si="32">AQ5*AQ11*(1-AQ6)+AQ9*AQ12</f>
        <v>#DIV/0!</v>
      </c>
      <c r="AR13" s="63" t="e">
        <f t="shared" ref="AR13:AS13" si="33">AR5*AR11*(1-AR6)+AR9*AR12</f>
        <v>#DIV/0!</v>
      </c>
      <c r="AS13" s="63" t="e">
        <f t="shared" si="33"/>
        <v>#DIV/0!</v>
      </c>
      <c r="AT13" s="63" t="e">
        <f t="shared" ref="AT13" si="34">AT5*AT11*(1-AT6)+AT9*AT12</f>
        <v>#DIV/0!</v>
      </c>
      <c r="AU13" s="63" t="e">
        <f t="shared" ref="AU13" si="35">AU5*AU11*(1-AU6)+AU9*AU12</f>
        <v>#DIV/0!</v>
      </c>
      <c r="AV13" s="63" t="e">
        <f t="shared" ref="AV13" si="36">AV5*AV11*(1-AV6)+AV9*AV12</f>
        <v>#DIV/0!</v>
      </c>
      <c r="AW13" s="63" t="e">
        <f t="shared" ref="AW13:AX13" si="37">AW5*AW11*(1-AW6)+AW9*AW12</f>
        <v>#DIV/0!</v>
      </c>
      <c r="AX13" s="63" t="e">
        <f t="shared" si="37"/>
        <v>#DIV/0!</v>
      </c>
      <c r="AY13" s="63" t="e">
        <f t="shared" ref="AY13" si="38">AY5*AY11*(1-AY6)+AY9*AY12</f>
        <v>#DIV/0!</v>
      </c>
      <c r="AZ13" s="63" t="e">
        <f t="shared" ref="AZ13" si="39">AZ5*AZ11*(1-AZ6)+AZ9*AZ12</f>
        <v>#DIV/0!</v>
      </c>
      <c r="BA13" s="63" t="e">
        <f t="shared" ref="BA13" si="40">BA5*BA11*(1-BA6)+BA9*BA12</f>
        <v>#DIV/0!</v>
      </c>
      <c r="BB13" s="63" t="e">
        <f t="shared" ref="BB13:BC13" si="41">BB5*BB11*(1-BB6)+BB9*BB12</f>
        <v>#DIV/0!</v>
      </c>
      <c r="BC13" s="63" t="e">
        <f t="shared" si="41"/>
        <v>#DIV/0!</v>
      </c>
      <c r="BD13" s="63" t="e">
        <f t="shared" ref="BD13" si="42">BD5*BD11*(1-BD6)+BD9*BD12</f>
        <v>#DIV/0!</v>
      </c>
      <c r="BE13" s="63" t="e">
        <f t="shared" ref="BE13" si="43">BE5*BE11*(1-BE6)+BE9*BE12</f>
        <v>#DIV/0!</v>
      </c>
      <c r="BF13" s="63" t="e">
        <f t="shared" ref="BF13" si="44">BF5*BF11*(1-BF6)+BF9*BF12</f>
        <v>#DIV/0!</v>
      </c>
      <c r="BG13" s="63" t="e">
        <f t="shared" ref="BG13:BH13" si="45">BG5*BG11*(1-BG6)+BG9*BG12</f>
        <v>#DIV/0!</v>
      </c>
      <c r="BH13" s="63" t="e">
        <f t="shared" si="45"/>
        <v>#DIV/0!</v>
      </c>
      <c r="BI13" s="63" t="e">
        <f t="shared" ref="BI13" si="46">BI5*BI11*(1-BI6)+BI9*BI12</f>
        <v>#DIV/0!</v>
      </c>
      <c r="BJ13" s="63" t="e">
        <f t="shared" ref="BJ13" si="47">BJ5*BJ11*(1-BJ6)+BJ9*BJ12</f>
        <v>#DIV/0!</v>
      </c>
      <c r="BK13" s="63" t="e">
        <f t="shared" ref="BK13" si="48">BK5*BK11*(1-BK6)+BK9*BK12</f>
        <v>#DIV/0!</v>
      </c>
      <c r="BL13" s="63" t="e">
        <f t="shared" ref="BL13:BM13" si="49">BL5*BL11*(1-BL6)+BL9*BL12</f>
        <v>#DIV/0!</v>
      </c>
      <c r="BM13" s="63" t="e">
        <f t="shared" si="49"/>
        <v>#DIV/0!</v>
      </c>
      <c r="BN13" s="63" t="e">
        <f t="shared" ref="BN13" si="50">BN5*BN11*(1-BN6)+BN9*BN12</f>
        <v>#DIV/0!</v>
      </c>
      <c r="BO13" s="63" t="e">
        <f t="shared" ref="BO13" si="51">BO5*BO11*(1-BO6)+BO9*BO12</f>
        <v>#DIV/0!</v>
      </c>
      <c r="BP13" s="63" t="e">
        <f t="shared" ref="BP13" si="52">BP5*BP11*(1-BP6)+BP9*BP12</f>
        <v>#DIV/0!</v>
      </c>
      <c r="BQ13" s="63" t="e">
        <f t="shared" ref="BQ13:BR13" si="53">BQ5*BQ11*(1-BQ6)+BQ9*BQ12</f>
        <v>#DIV/0!</v>
      </c>
      <c r="BR13" s="63" t="e">
        <f t="shared" si="53"/>
        <v>#DIV/0!</v>
      </c>
      <c r="BS13" s="63" t="e">
        <f t="shared" ref="BS13" si="54">BS5*BS11*(1-BS6)+BS9*BS12</f>
        <v>#DIV/0!</v>
      </c>
      <c r="BT13" s="63" t="e">
        <f t="shared" ref="BT13" si="55">BT5*BT11*(1-BT6)+BT9*BT12</f>
        <v>#DIV/0!</v>
      </c>
      <c r="BU13" s="63" t="e">
        <f t="shared" ref="BU13" si="56">BU5*BU11*(1-BU6)+BU9*BU12</f>
        <v>#DIV/0!</v>
      </c>
      <c r="BV13" s="63" t="e">
        <f t="shared" ref="BV13" si="57">BV5*BV11*(1-BV6)+BV9*BV12</f>
        <v>#DIV/0!</v>
      </c>
    </row>
    <row r="14" spans="1:74" s="16" customFormat="1" ht="56.4" customHeight="1" x14ac:dyDescent="0.25">
      <c r="A14" s="279" t="s">
        <v>668</v>
      </c>
      <c r="B14" s="278"/>
      <c r="C14" s="278"/>
      <c r="D14" s="278"/>
      <c r="E14" s="278"/>
      <c r="F14" s="278"/>
      <c r="G14" s="278"/>
      <c r="H14" s="278"/>
      <c r="I14" s="278"/>
      <c r="J14" s="278"/>
      <c r="K14" s="278"/>
      <c r="L14" s="278"/>
      <c r="M14" s="278"/>
      <c r="N14" s="278"/>
      <c r="O14" s="278"/>
      <c r="P14" s="278"/>
      <c r="Q14" s="278"/>
      <c r="R14" s="278"/>
      <c r="S14" s="278"/>
      <c r="T14" s="278"/>
      <c r="U14" s="278"/>
      <c r="V14" s="278"/>
      <c r="W14" s="278"/>
      <c r="X14" s="278"/>
      <c r="Y14" s="278"/>
      <c r="Z14" s="278"/>
      <c r="AA14" s="278"/>
      <c r="AB14" s="278"/>
      <c r="AC14" s="278"/>
      <c r="AD14" s="278"/>
      <c r="AE14" s="278"/>
      <c r="AF14" s="278"/>
      <c r="AG14" s="278"/>
    </row>
    <row r="16" spans="1:74" s="45" customFormat="1" x14ac:dyDescent="0.25">
      <c r="A16" s="46"/>
    </row>
  </sheetData>
  <mergeCells count="1">
    <mergeCell ref="A14:AG14"/>
  </mergeCells>
  <phoneticPr fontId="1" type="noConversion"/>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资产资本结构分析表"/>
  <dimension ref="A1:CL87"/>
  <sheetViews>
    <sheetView workbookViewId="0">
      <selection activeCell="E45" sqref="E45"/>
    </sheetView>
  </sheetViews>
  <sheetFormatPr defaultRowHeight="14.4" x14ac:dyDescent="0.25"/>
  <cols>
    <col min="1" max="1" width="37.33203125" style="17" bestFit="1" customWidth="1"/>
    <col min="2" max="4" width="9.5546875" hidden="1" customWidth="1"/>
    <col min="5" max="5" width="21.44140625" bestFit="1" customWidth="1"/>
    <col min="6" max="8" width="21.44140625" hidden="1" customWidth="1"/>
    <col min="9" max="9" width="21.44140625" bestFit="1" customWidth="1"/>
    <col min="10" max="12" width="21.44140625" hidden="1" customWidth="1"/>
    <col min="13" max="13" width="21.44140625" bestFit="1" customWidth="1"/>
    <col min="14" max="16" width="21.44140625" hidden="1" customWidth="1"/>
    <col min="17" max="17" width="21.44140625" bestFit="1" customWidth="1"/>
    <col min="18" max="20" width="21.44140625" hidden="1" customWidth="1"/>
    <col min="21" max="21" width="21.44140625" bestFit="1" customWidth="1"/>
    <col min="22" max="24" width="21.44140625" hidden="1" customWidth="1"/>
    <col min="25" max="25" width="21.44140625" bestFit="1" customWidth="1"/>
    <col min="26" max="28" width="21.44140625" hidden="1" customWidth="1"/>
    <col min="29" max="29" width="21.44140625" bestFit="1" customWidth="1"/>
    <col min="30" max="32" width="21.44140625" hidden="1" customWidth="1"/>
    <col min="33" max="33" width="21.44140625" bestFit="1" customWidth="1"/>
    <col min="34" max="36" width="21.44140625" hidden="1" customWidth="1"/>
    <col min="37" max="37" width="21.44140625" bestFit="1" customWidth="1"/>
    <col min="38" max="38" width="21.44140625" hidden="1" customWidth="1"/>
    <col min="39" max="39" width="19" hidden="1" customWidth="1"/>
    <col min="40" max="42" width="19" bestFit="1" customWidth="1"/>
    <col min="43" max="43" width="9.5546875" hidden="1" customWidth="1"/>
    <col min="44" max="90" width="8.5546875" bestFit="1" customWidth="1"/>
  </cols>
  <sheetData>
    <row r="1" spans="1:90" s="26" customFormat="1" x14ac:dyDescent="0.25">
      <c r="A1" s="17">
        <v>2293</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39813</v>
      </c>
      <c r="AO1" s="1">
        <v>39447</v>
      </c>
      <c r="AP1" s="1">
        <v>39082</v>
      </c>
      <c r="AQ1" s="1">
        <v>25569</v>
      </c>
      <c r="AR1" s="190"/>
      <c r="AS1" s="190"/>
      <c r="AT1" s="190"/>
      <c r="AU1" s="190"/>
      <c r="AV1" s="190"/>
      <c r="AW1" s="190"/>
      <c r="AX1" s="190"/>
      <c r="AY1" s="190"/>
      <c r="AZ1" s="190"/>
      <c r="BA1" s="190"/>
      <c r="BB1" s="190"/>
      <c r="BC1" s="190"/>
      <c r="BD1" s="190"/>
      <c r="BE1" s="190"/>
      <c r="BF1" s="190"/>
      <c r="BG1" s="190"/>
      <c r="BH1" s="190"/>
      <c r="BI1" s="190"/>
      <c r="BJ1" s="190"/>
      <c r="BK1" s="190"/>
      <c r="BL1" s="190"/>
      <c r="BM1" s="190"/>
      <c r="BN1" s="190"/>
      <c r="BO1" s="190"/>
      <c r="BP1" s="190"/>
      <c r="BQ1" s="190"/>
      <c r="BR1" s="190"/>
      <c r="BS1" s="190"/>
      <c r="BT1" s="190"/>
      <c r="BU1" s="190"/>
      <c r="BV1" s="190"/>
      <c r="BW1" s="190"/>
      <c r="BX1" s="190"/>
      <c r="BY1" s="190"/>
      <c r="BZ1" s="190"/>
      <c r="CA1" s="190"/>
      <c r="CB1" s="190"/>
      <c r="CC1" s="190"/>
      <c r="CD1" s="190"/>
      <c r="CE1" s="190"/>
      <c r="CF1" s="190"/>
      <c r="CG1" s="190"/>
      <c r="CH1" s="190"/>
      <c r="CI1" s="190"/>
      <c r="CJ1" s="190"/>
      <c r="CK1" s="190"/>
      <c r="CL1" s="190"/>
    </row>
    <row r="2" spans="1:90" s="26" customFormat="1" x14ac:dyDescent="0.25">
      <c r="A2" s="41" t="s">
        <v>552</v>
      </c>
      <c r="E2" s="26">
        <f>资产资本表!E17</f>
        <v>733176594.04999995</v>
      </c>
      <c r="F2" s="26">
        <f>资产资本表!F17</f>
        <v>542119136.30999994</v>
      </c>
      <c r="G2" s="26">
        <f>资产资本表!G17</f>
        <v>792389362.92999995</v>
      </c>
      <c r="H2" s="26">
        <f>资产资本表!H17</f>
        <v>1064862608.49</v>
      </c>
      <c r="I2" s="26">
        <f>资产资本表!I17</f>
        <v>1547342145.5699999</v>
      </c>
      <c r="J2" s="26">
        <f>资产资本表!J17</f>
        <v>935254236.98000002</v>
      </c>
      <c r="K2" s="26">
        <f>资产资本表!K17</f>
        <v>726701245.64999998</v>
      </c>
      <c r="L2" s="26">
        <f>资产资本表!L17</f>
        <v>796484046.78999996</v>
      </c>
      <c r="M2" s="26">
        <f>资产资本表!M17</f>
        <v>693588693.25999999</v>
      </c>
      <c r="N2" s="26">
        <f>资产资本表!N17</f>
        <v>797669458.75</v>
      </c>
      <c r="O2" s="26">
        <f>资产资本表!O17</f>
        <v>619994822.77999997</v>
      </c>
      <c r="P2" s="26">
        <f>资产资本表!P17</f>
        <v>669893756.87</v>
      </c>
      <c r="Q2" s="26">
        <f>资产资本表!Q17</f>
        <v>647204677.45000005</v>
      </c>
      <c r="R2" s="26">
        <f>资产资本表!R17</f>
        <v>629117054.61000001</v>
      </c>
      <c r="S2" s="26">
        <f>资产资本表!S17</f>
        <v>835542721.87</v>
      </c>
      <c r="T2" s="26">
        <f>资产资本表!T17</f>
        <v>884858061.70000005</v>
      </c>
      <c r="U2" s="26">
        <f>资产资本表!U17</f>
        <v>932276706.14999998</v>
      </c>
      <c r="V2" s="26">
        <f>资产资本表!V17</f>
        <v>952923862.08000004</v>
      </c>
      <c r="W2" s="26">
        <f>资产资本表!W17</f>
        <v>769157162.38</v>
      </c>
      <c r="X2" s="26">
        <f>资产资本表!X17</f>
        <v>991763885.86000001</v>
      </c>
      <c r="Y2" s="26">
        <f>资产资本表!Y17</f>
        <v>956043885.24000001</v>
      </c>
      <c r="Z2" s="26">
        <f>资产资本表!Z17</f>
        <v>803173622.38</v>
      </c>
      <c r="AA2" s="26">
        <f>资产资本表!AA17</f>
        <v>667828913.97000003</v>
      </c>
      <c r="AB2" s="26">
        <f>资产资本表!AB17</f>
        <v>1014024416.74</v>
      </c>
      <c r="AC2" s="26">
        <f>资产资本表!AC17</f>
        <v>1002302902.5700001</v>
      </c>
      <c r="AD2" s="26">
        <f>资产资本表!AD17</f>
        <v>982362386.38999999</v>
      </c>
      <c r="AE2" s="26">
        <f>资产资本表!AE17</f>
        <v>862194779.22000003</v>
      </c>
      <c r="AF2" s="26">
        <f>资产资本表!AF17</f>
        <v>1151874426.3</v>
      </c>
      <c r="AG2" s="26">
        <f>资产资本表!AG17</f>
        <v>1057191976.45</v>
      </c>
      <c r="AH2" s="26">
        <f>资产资本表!AH17</f>
        <v>960610001.01999998</v>
      </c>
      <c r="AI2" s="26">
        <f>资产资本表!AI17</f>
        <v>930790908.42999995</v>
      </c>
      <c r="AJ2" s="26">
        <f>资产资本表!AJ17</f>
        <v>1127355392.73</v>
      </c>
      <c r="AK2" s="26">
        <f>资产资本表!AK17</f>
        <v>1066884381.7</v>
      </c>
      <c r="AL2" s="26">
        <f>资产资本表!AL17</f>
        <v>1057983159.11</v>
      </c>
      <c r="AM2" s="26">
        <f>资产资本表!AM17</f>
        <v>74808751.980000004</v>
      </c>
      <c r="AN2" s="26">
        <f>资产资本表!AN17</f>
        <v>78505801.079999998</v>
      </c>
      <c r="AO2" s="26">
        <f>资产资本表!AO17</f>
        <v>50145116.420000002</v>
      </c>
      <c r="AP2" s="26">
        <f>资产资本表!AP17</f>
        <v>52609626.460000001</v>
      </c>
      <c r="AQ2" s="26">
        <f>资产资本表!AQ17</f>
        <v>0</v>
      </c>
      <c r="AR2" s="26">
        <f>资产资本表!AR17</f>
        <v>0</v>
      </c>
      <c r="AS2" s="26">
        <f>资产资本表!AS17</f>
        <v>0</v>
      </c>
      <c r="AT2" s="26">
        <f>资产资本表!AT17</f>
        <v>0</v>
      </c>
      <c r="AU2" s="26">
        <f>资产资本表!AU17</f>
        <v>0</v>
      </c>
      <c r="AV2" s="26">
        <f>资产资本表!AV17</f>
        <v>0</v>
      </c>
      <c r="AW2" s="26">
        <f>资产资本表!AW17</f>
        <v>0</v>
      </c>
      <c r="AX2" s="26">
        <f>资产资本表!AX17</f>
        <v>0</v>
      </c>
      <c r="AY2" s="26">
        <f>资产资本表!AY17</f>
        <v>0</v>
      </c>
      <c r="AZ2" s="26">
        <f>资产资本表!AZ17</f>
        <v>0</v>
      </c>
      <c r="BA2" s="26">
        <f>资产资本表!BA17</f>
        <v>0</v>
      </c>
      <c r="BB2" s="26">
        <f>资产资本表!BB17</f>
        <v>0</v>
      </c>
      <c r="BC2" s="26">
        <f>资产资本表!BC17</f>
        <v>0</v>
      </c>
      <c r="BD2" s="26">
        <f>资产资本表!BD17</f>
        <v>0</v>
      </c>
      <c r="BE2" s="26">
        <f>资产资本表!BE17</f>
        <v>0</v>
      </c>
      <c r="BF2" s="26">
        <f>资产资本表!BF17</f>
        <v>0</v>
      </c>
      <c r="BG2" s="26">
        <f>资产资本表!BG17</f>
        <v>0</v>
      </c>
      <c r="BH2" s="26">
        <f>资产资本表!BH17</f>
        <v>0</v>
      </c>
      <c r="BI2" s="26">
        <f>资产资本表!BI17</f>
        <v>0</v>
      </c>
      <c r="BJ2" s="26">
        <f>资产资本表!BJ17</f>
        <v>0</v>
      </c>
      <c r="BK2" s="26">
        <f>资产资本表!BK17</f>
        <v>0</v>
      </c>
      <c r="BL2" s="26">
        <f>资产资本表!BL17</f>
        <v>0</v>
      </c>
      <c r="BM2" s="26">
        <f>资产资本表!BM17</f>
        <v>0</v>
      </c>
      <c r="BN2" s="26">
        <f>资产资本表!BN17</f>
        <v>0</v>
      </c>
      <c r="BO2" s="26">
        <f>资产资本表!BO17</f>
        <v>0</v>
      </c>
      <c r="BP2" s="26">
        <f>资产资本表!BP17</f>
        <v>0</v>
      </c>
      <c r="BQ2" s="26">
        <f>资产资本表!BQ17</f>
        <v>0</v>
      </c>
      <c r="BR2" s="26">
        <f>资产资本表!BR17</f>
        <v>0</v>
      </c>
      <c r="BS2" s="26">
        <f>资产资本表!BS17</f>
        <v>0</v>
      </c>
      <c r="BT2" s="26">
        <f>资产资本表!BT17</f>
        <v>0</v>
      </c>
      <c r="BU2" s="26">
        <f>资产资本表!BU17</f>
        <v>0</v>
      </c>
      <c r="BV2" s="26">
        <f>资产资本表!BV17</f>
        <v>0</v>
      </c>
      <c r="BW2" s="26">
        <f>资产资本表!BW17</f>
        <v>0</v>
      </c>
      <c r="BX2" s="26">
        <f>资产资本表!BX17</f>
        <v>0</v>
      </c>
      <c r="BY2" s="26">
        <f>资产资本表!BY17</f>
        <v>0</v>
      </c>
      <c r="BZ2" s="26">
        <f>资产资本表!BZ17</f>
        <v>0</v>
      </c>
      <c r="CA2" s="26">
        <f>资产资本表!CA17</f>
        <v>0</v>
      </c>
      <c r="CB2" s="26">
        <f>资产资本表!CB17</f>
        <v>0</v>
      </c>
      <c r="CC2" s="26">
        <f>资产资本表!CC17</f>
        <v>0</v>
      </c>
      <c r="CD2" s="26">
        <f>资产资本表!CD17</f>
        <v>0</v>
      </c>
      <c r="CE2" s="26">
        <f>资产资本表!CE17</f>
        <v>0</v>
      </c>
      <c r="CF2" s="26">
        <f>资产资本表!CF17</f>
        <v>0</v>
      </c>
      <c r="CG2" s="26">
        <f>资产资本表!CG17</f>
        <v>0</v>
      </c>
      <c r="CH2" s="26">
        <f>资产资本表!CH17</f>
        <v>0</v>
      </c>
      <c r="CI2" s="26">
        <f>资产资本表!CI17</f>
        <v>0</v>
      </c>
      <c r="CJ2" s="26">
        <f>资产资本表!CJ17</f>
        <v>0</v>
      </c>
      <c r="CK2" s="26">
        <f>资产资本表!CK17</f>
        <v>0</v>
      </c>
      <c r="CL2" s="26">
        <f>资产资本表!CL17</f>
        <v>0</v>
      </c>
    </row>
    <row r="3" spans="1:90" s="26" customFormat="1" x14ac:dyDescent="0.25">
      <c r="A3" s="41" t="s">
        <v>553</v>
      </c>
      <c r="E3" s="26">
        <f>资产资本表!E19</f>
        <v>2681764.62</v>
      </c>
      <c r="F3" s="26">
        <f>资产资本表!F19</f>
        <v>36554845.829999998</v>
      </c>
      <c r="G3" s="26">
        <f>资产资本表!G19</f>
        <v>37301246.560000002</v>
      </c>
      <c r="H3" s="26">
        <f>资产资本表!H19</f>
        <v>44582193.149999999</v>
      </c>
      <c r="I3" s="26">
        <f>资产资本表!I19</f>
        <v>44208476.719999999</v>
      </c>
      <c r="J3" s="26">
        <f>资产资本表!J19</f>
        <v>46497065.140000001</v>
      </c>
      <c r="K3" s="26">
        <f>资产资本表!K19</f>
        <v>48418056.219999999</v>
      </c>
      <c r="L3" s="26">
        <f>资产资本表!L19</f>
        <v>47013607.68</v>
      </c>
      <c r="M3" s="26">
        <f>资产资本表!M19</f>
        <v>48378901.780000001</v>
      </c>
      <c r="N3" s="26">
        <f>资产资本表!N19</f>
        <v>0</v>
      </c>
      <c r="O3" s="26">
        <f>资产资本表!O19</f>
        <v>0</v>
      </c>
      <c r="P3" s="26">
        <f>资产资本表!P19</f>
        <v>0</v>
      </c>
      <c r="Q3" s="26">
        <f>资产资本表!Q19</f>
        <v>0</v>
      </c>
      <c r="R3" s="26">
        <f>资产资本表!R19</f>
        <v>0</v>
      </c>
      <c r="S3" s="26">
        <f>资产资本表!S19</f>
        <v>0</v>
      </c>
      <c r="T3" s="26">
        <f>资产资本表!T19</f>
        <v>0</v>
      </c>
      <c r="U3" s="26">
        <f>资产资本表!U19</f>
        <v>0</v>
      </c>
      <c r="V3" s="26">
        <f>资产资本表!V19</f>
        <v>0</v>
      </c>
      <c r="W3" s="26">
        <f>资产资本表!W19</f>
        <v>0</v>
      </c>
      <c r="X3" s="26">
        <f>资产资本表!X19</f>
        <v>0</v>
      </c>
      <c r="Y3" s="26">
        <f>资产资本表!Y19</f>
        <v>0</v>
      </c>
      <c r="Z3" s="26">
        <f>资产资本表!Z19</f>
        <v>0</v>
      </c>
      <c r="AA3" s="26">
        <f>资产资本表!AA19</f>
        <v>0</v>
      </c>
      <c r="AB3" s="26">
        <f>资产资本表!AB19</f>
        <v>0</v>
      </c>
      <c r="AC3" s="26">
        <f>资产资本表!AC19</f>
        <v>0</v>
      </c>
      <c r="AD3" s="26">
        <f>资产资本表!AD19</f>
        <v>0</v>
      </c>
      <c r="AE3" s="26">
        <f>资产资本表!AE19</f>
        <v>0</v>
      </c>
      <c r="AF3" s="26">
        <f>资产资本表!AF19</f>
        <v>0</v>
      </c>
      <c r="AG3" s="26">
        <f>资产资本表!AG19</f>
        <v>0</v>
      </c>
      <c r="AH3" s="26">
        <f>资产资本表!AH19</f>
        <v>0</v>
      </c>
      <c r="AI3" s="26">
        <f>资产资本表!AI19</f>
        <v>0</v>
      </c>
      <c r="AJ3" s="26">
        <f>资产资本表!AJ19</f>
        <v>0</v>
      </c>
      <c r="AK3" s="26">
        <f>资产资本表!AK19</f>
        <v>0</v>
      </c>
      <c r="AL3" s="26">
        <f>资产资本表!AL19</f>
        <v>0</v>
      </c>
      <c r="AM3" s="26">
        <f>资产资本表!AM19</f>
        <v>0</v>
      </c>
      <c r="AN3" s="26">
        <f>资产资本表!AN19</f>
        <v>0</v>
      </c>
      <c r="AO3" s="26">
        <f>资产资本表!AO19</f>
        <v>0</v>
      </c>
      <c r="AP3" s="26">
        <f>资产资本表!AP19</f>
        <v>0</v>
      </c>
      <c r="AQ3" s="26">
        <f>资产资本表!AQ19</f>
        <v>0</v>
      </c>
      <c r="AR3" s="26">
        <f>资产资本表!AR19</f>
        <v>0</v>
      </c>
      <c r="AS3" s="26">
        <f>资产资本表!AS19</f>
        <v>0</v>
      </c>
      <c r="AT3" s="26">
        <f>资产资本表!AT19</f>
        <v>0</v>
      </c>
      <c r="AU3" s="26">
        <f>资产资本表!AU19</f>
        <v>0</v>
      </c>
      <c r="AV3" s="26">
        <f>资产资本表!AV19</f>
        <v>0</v>
      </c>
      <c r="AW3" s="26">
        <f>资产资本表!AW19</f>
        <v>0</v>
      </c>
      <c r="AX3" s="26">
        <f>资产资本表!AX19</f>
        <v>0</v>
      </c>
      <c r="AY3" s="26">
        <f>资产资本表!AY19</f>
        <v>0</v>
      </c>
      <c r="AZ3" s="26">
        <f>资产资本表!AZ19</f>
        <v>0</v>
      </c>
      <c r="BA3" s="26">
        <f>资产资本表!BA19</f>
        <v>0</v>
      </c>
      <c r="BB3" s="26">
        <f>资产资本表!BB19</f>
        <v>0</v>
      </c>
      <c r="BC3" s="26">
        <f>资产资本表!BC19</f>
        <v>0</v>
      </c>
      <c r="BD3" s="26">
        <f>资产资本表!BD19</f>
        <v>0</v>
      </c>
      <c r="BE3" s="26">
        <f>资产资本表!BE19</f>
        <v>0</v>
      </c>
      <c r="BF3" s="26">
        <f>资产资本表!BF19</f>
        <v>0</v>
      </c>
      <c r="BG3" s="26">
        <f>资产资本表!BG19</f>
        <v>0</v>
      </c>
      <c r="BH3" s="26">
        <f>资产资本表!BH19</f>
        <v>0</v>
      </c>
      <c r="BI3" s="26">
        <f>资产资本表!BI19</f>
        <v>0</v>
      </c>
      <c r="BJ3" s="26">
        <f>资产资本表!BJ19</f>
        <v>0</v>
      </c>
      <c r="BK3" s="26">
        <f>资产资本表!BK19</f>
        <v>0</v>
      </c>
      <c r="BL3" s="26">
        <f>资产资本表!BL19</f>
        <v>0</v>
      </c>
      <c r="BM3" s="26">
        <f>资产资本表!BM19</f>
        <v>0</v>
      </c>
      <c r="BN3" s="26">
        <f>资产资本表!BN19</f>
        <v>0</v>
      </c>
      <c r="BO3" s="26">
        <f>资产资本表!BO19</f>
        <v>0</v>
      </c>
      <c r="BP3" s="26">
        <f>资产资本表!BP19</f>
        <v>0</v>
      </c>
      <c r="BQ3" s="26">
        <f>资产资本表!BQ19</f>
        <v>0</v>
      </c>
      <c r="BR3" s="26">
        <f>资产资本表!BR19</f>
        <v>0</v>
      </c>
      <c r="BS3" s="26">
        <f>资产资本表!BS19</f>
        <v>0</v>
      </c>
      <c r="BT3" s="26">
        <f>资产资本表!BT19</f>
        <v>0</v>
      </c>
      <c r="BU3" s="26">
        <f>资产资本表!BU19</f>
        <v>0</v>
      </c>
      <c r="BV3" s="26">
        <f>资产资本表!BV19</f>
        <v>0</v>
      </c>
      <c r="BW3" s="26">
        <f>资产资本表!BW19</f>
        <v>0</v>
      </c>
      <c r="BX3" s="26">
        <f>资产资本表!BX19</f>
        <v>0</v>
      </c>
      <c r="BY3" s="26">
        <f>资产资本表!BY19</f>
        <v>0</v>
      </c>
      <c r="BZ3" s="26">
        <f>资产资本表!BZ19</f>
        <v>0</v>
      </c>
      <c r="CA3" s="26">
        <f>资产资本表!CA19</f>
        <v>0</v>
      </c>
      <c r="CB3" s="26">
        <f>资产资本表!CB19</f>
        <v>0</v>
      </c>
      <c r="CC3" s="26">
        <f>资产资本表!CC19</f>
        <v>0</v>
      </c>
      <c r="CD3" s="26">
        <f>资产资本表!CD19</f>
        <v>0</v>
      </c>
      <c r="CE3" s="26">
        <f>资产资本表!CE19</f>
        <v>0</v>
      </c>
      <c r="CF3" s="26">
        <f>资产资本表!CF19</f>
        <v>0</v>
      </c>
      <c r="CG3" s="26">
        <f>资产资本表!CG19</f>
        <v>0</v>
      </c>
      <c r="CH3" s="26">
        <f>资产资本表!CH19</f>
        <v>0</v>
      </c>
      <c r="CI3" s="26">
        <f>资产资本表!CI19</f>
        <v>0</v>
      </c>
      <c r="CJ3" s="26">
        <f>资产资本表!CJ19</f>
        <v>0</v>
      </c>
      <c r="CK3" s="26">
        <f>资产资本表!CK19</f>
        <v>0</v>
      </c>
    </row>
    <row r="4" spans="1:90" s="26" customFormat="1" x14ac:dyDescent="0.25">
      <c r="A4" s="17" t="s">
        <v>558</v>
      </c>
      <c r="E4" s="26">
        <f>资产资本表!E50</f>
        <v>1597100710.9399998</v>
      </c>
      <c r="F4" s="26">
        <f>资产资本表!F50</f>
        <v>1754650310.4399998</v>
      </c>
      <c r="G4" s="26">
        <f>资产资本表!G50</f>
        <v>1349137181.4500003</v>
      </c>
      <c r="H4" s="26">
        <f>资产资本表!H50</f>
        <v>1278750158.9299998</v>
      </c>
      <c r="I4" s="26">
        <f>资产资本表!I50</f>
        <v>949049399.85000014</v>
      </c>
      <c r="J4" s="26">
        <f>资产资本表!J50</f>
        <v>1300496511.9699998</v>
      </c>
      <c r="K4" s="26">
        <f>资产资本表!K50</f>
        <v>1335104250.45</v>
      </c>
      <c r="L4" s="26">
        <f>资产资本表!L50</f>
        <v>1169926680.3800001</v>
      </c>
      <c r="M4" s="26">
        <f>资产资本表!M50</f>
        <v>1157095856.3699999</v>
      </c>
      <c r="N4" s="26">
        <f>资产资本表!N50</f>
        <v>919351714.72000003</v>
      </c>
      <c r="O4" s="26">
        <f>资产资本表!O50</f>
        <v>960746978.13</v>
      </c>
      <c r="P4" s="26">
        <f>资产资本表!P50</f>
        <v>1113176673.5599999</v>
      </c>
      <c r="Q4" s="26">
        <f>资产资本表!Q50</f>
        <v>1020208913.4599999</v>
      </c>
      <c r="R4" s="26">
        <f>资产资本表!R50</f>
        <v>1020629371.64</v>
      </c>
      <c r="S4" s="26">
        <f>资产资本表!S50</f>
        <v>713919009.73999977</v>
      </c>
      <c r="T4" s="26">
        <f>资产资本表!T50</f>
        <v>706716177.13999999</v>
      </c>
      <c r="U4" s="26">
        <f>资产资本表!U50</f>
        <v>554743546.35000014</v>
      </c>
      <c r="V4" s="26">
        <f>资产资本表!V50</f>
        <v>440012245.28999996</v>
      </c>
      <c r="W4" s="26">
        <f>资产资本表!W50</f>
        <v>605557151.28999996</v>
      </c>
      <c r="X4" s="26">
        <f>资产资本表!X50</f>
        <v>461092421.37</v>
      </c>
      <c r="Y4" s="26">
        <f>资产资本表!Y50</f>
        <v>421625578.88000011</v>
      </c>
      <c r="Z4" s="26">
        <f>资产资本表!Z50</f>
        <v>463458176.65999985</v>
      </c>
      <c r="AA4" s="26">
        <f>资产资本表!AA50</f>
        <v>538043845.96000004</v>
      </c>
      <c r="AB4" s="26">
        <f>资产资本表!AB50</f>
        <v>318249727.29000002</v>
      </c>
      <c r="AC4" s="26">
        <f>资产资本表!AC50</f>
        <v>241941336.04999995</v>
      </c>
      <c r="AD4" s="26">
        <f>资产资本表!AD50</f>
        <v>261233161.02999997</v>
      </c>
      <c r="AE4" s="26">
        <f>资产资本表!AE50</f>
        <v>321419707.1500001</v>
      </c>
      <c r="AF4" s="26">
        <f>资产资本表!AF50</f>
        <v>148020334.52999997</v>
      </c>
      <c r="AG4" s="26">
        <f>资产资本表!AG50</f>
        <v>204497911.35999995</v>
      </c>
      <c r="AH4" s="26">
        <f>资产资本表!AH50</f>
        <v>282006776.60000002</v>
      </c>
      <c r="AI4" s="26">
        <f>资产资本表!AI50</f>
        <v>252834625.30000001</v>
      </c>
      <c r="AJ4" s="26">
        <f>资产资本表!AJ50</f>
        <v>126923235.34999999</v>
      </c>
      <c r="AK4" s="26">
        <f>资产资本表!AK50</f>
        <v>137423752.91000006</v>
      </c>
      <c r="AL4" s="26">
        <f>资产资本表!AL50</f>
        <v>133608740.93999997</v>
      </c>
      <c r="AM4" s="26">
        <f>资产资本表!AM50</f>
        <v>157946398.67999998</v>
      </c>
      <c r="AN4" s="26">
        <f>资产资本表!AN50</f>
        <v>120859525.39000002</v>
      </c>
      <c r="AO4" s="26">
        <f>资产资本表!AO50</f>
        <v>110265855.45999999</v>
      </c>
      <c r="AP4" s="26">
        <f>资产资本表!AP50</f>
        <v>38950841.790000021</v>
      </c>
      <c r="AQ4" s="26">
        <f>资产资本表!AQ50</f>
        <v>0</v>
      </c>
      <c r="AR4" s="26">
        <f>资产资本表!AR50</f>
        <v>0</v>
      </c>
      <c r="AS4" s="26">
        <f>资产资本表!AS50</f>
        <v>0</v>
      </c>
      <c r="AT4" s="26">
        <f>资产资本表!AT50</f>
        <v>0</v>
      </c>
      <c r="AU4" s="26">
        <f>资产资本表!AU50</f>
        <v>0</v>
      </c>
      <c r="AV4" s="26">
        <f>资产资本表!AV50</f>
        <v>0</v>
      </c>
      <c r="AW4" s="26">
        <f>资产资本表!AW50</f>
        <v>0</v>
      </c>
      <c r="AX4" s="26">
        <f>资产资本表!AX50</f>
        <v>0</v>
      </c>
      <c r="AY4" s="26">
        <f>资产资本表!AY50</f>
        <v>0</v>
      </c>
      <c r="AZ4" s="26">
        <f>资产资本表!AZ50</f>
        <v>0</v>
      </c>
      <c r="BA4" s="26">
        <f>资产资本表!BA50</f>
        <v>0</v>
      </c>
      <c r="BB4" s="26">
        <f>资产资本表!BB50</f>
        <v>0</v>
      </c>
      <c r="BC4" s="26">
        <f>资产资本表!BC50</f>
        <v>0</v>
      </c>
      <c r="BD4" s="26">
        <f>资产资本表!BD50</f>
        <v>0</v>
      </c>
      <c r="BE4" s="26">
        <f>资产资本表!BE50</f>
        <v>0</v>
      </c>
      <c r="BF4" s="26">
        <f>资产资本表!BF50</f>
        <v>0</v>
      </c>
      <c r="BG4" s="26">
        <f>资产资本表!BG50</f>
        <v>0</v>
      </c>
      <c r="BH4" s="26">
        <f>资产资本表!BH50</f>
        <v>0</v>
      </c>
      <c r="BI4" s="26">
        <f>资产资本表!BI50</f>
        <v>0</v>
      </c>
      <c r="BJ4" s="26">
        <f>资产资本表!BJ50</f>
        <v>0</v>
      </c>
      <c r="BK4" s="26">
        <f>资产资本表!BK50</f>
        <v>0</v>
      </c>
      <c r="BL4" s="26">
        <f>资产资本表!BL50</f>
        <v>0</v>
      </c>
      <c r="BM4" s="26">
        <f>资产资本表!BM50</f>
        <v>0</v>
      </c>
      <c r="BN4" s="26">
        <f>资产资本表!BN50</f>
        <v>0</v>
      </c>
      <c r="BO4" s="26">
        <f>资产资本表!BO50</f>
        <v>0</v>
      </c>
      <c r="BP4" s="26">
        <f>资产资本表!BP50</f>
        <v>0</v>
      </c>
      <c r="BQ4" s="26">
        <f>资产资本表!BQ50</f>
        <v>0</v>
      </c>
      <c r="BR4" s="26">
        <f>资产资本表!BR50</f>
        <v>0</v>
      </c>
      <c r="BS4" s="26">
        <f>资产资本表!BS50</f>
        <v>0</v>
      </c>
      <c r="BT4" s="26">
        <f>资产资本表!BT50</f>
        <v>0</v>
      </c>
      <c r="BU4" s="26">
        <f>资产资本表!BU50</f>
        <v>0</v>
      </c>
      <c r="BV4" s="26">
        <f>资产资本表!BV50</f>
        <v>0</v>
      </c>
      <c r="BW4" s="26">
        <f>资产资本表!BW50</f>
        <v>0</v>
      </c>
      <c r="BX4" s="26">
        <f>资产资本表!BX50</f>
        <v>0</v>
      </c>
      <c r="BY4" s="26">
        <f>资产资本表!BY50</f>
        <v>0</v>
      </c>
      <c r="BZ4" s="26">
        <f>资产资本表!BZ50</f>
        <v>0</v>
      </c>
      <c r="CA4" s="26">
        <f>资产资本表!CA50</f>
        <v>0</v>
      </c>
      <c r="CB4" s="26">
        <f>资产资本表!CB50</f>
        <v>0</v>
      </c>
      <c r="CC4" s="26">
        <f>资产资本表!CC50</f>
        <v>0</v>
      </c>
      <c r="CD4" s="26">
        <f>资产资本表!CD50</f>
        <v>0</v>
      </c>
      <c r="CE4" s="26">
        <f>资产资本表!CE50</f>
        <v>0</v>
      </c>
      <c r="CF4" s="26">
        <f>资产资本表!CF50</f>
        <v>0</v>
      </c>
      <c r="CG4" s="26">
        <f>资产资本表!CG50</f>
        <v>0</v>
      </c>
      <c r="CH4" s="26">
        <f>资产资本表!CH50</f>
        <v>0</v>
      </c>
      <c r="CI4" s="26">
        <f>资产资本表!CI50</f>
        <v>0</v>
      </c>
      <c r="CJ4" s="26">
        <f>资产资本表!CJ50</f>
        <v>0</v>
      </c>
      <c r="CK4" s="26">
        <f>资产资本表!CK50</f>
        <v>0</v>
      </c>
    </row>
    <row r="5" spans="1:90" s="26" customFormat="1" x14ac:dyDescent="0.25">
      <c r="A5" s="17" t="s">
        <v>334</v>
      </c>
      <c r="E5" s="26">
        <f>资产资本表!E33</f>
        <v>2716056483.8699999</v>
      </c>
      <c r="F5" s="26">
        <f>资产资本表!F33</f>
        <v>2787785560.4099998</v>
      </c>
      <c r="G5" s="26">
        <f>资产资本表!G33</f>
        <v>2274370138.5900002</v>
      </c>
      <c r="H5" s="26">
        <f>资产资本表!H33</f>
        <v>2213433032.04</v>
      </c>
      <c r="I5" s="26">
        <f>资产资本表!I33</f>
        <v>1777091019.6100001</v>
      </c>
      <c r="J5" s="26">
        <f>资产资本表!J33</f>
        <v>2007928718.1599998</v>
      </c>
      <c r="K5" s="26">
        <f>资产资本表!K33</f>
        <v>1930230312.4100001</v>
      </c>
      <c r="L5" s="26">
        <f>资产资本表!L33</f>
        <v>1873119976.4200001</v>
      </c>
      <c r="M5" s="26">
        <f>资产资本表!M33</f>
        <v>1870553325.99</v>
      </c>
      <c r="N5" s="26">
        <f>资产资本表!N33</f>
        <v>1564390149.26</v>
      </c>
      <c r="O5" s="26">
        <f>资产资本表!O33</f>
        <v>1544032524.98</v>
      </c>
      <c r="P5" s="26">
        <f>资产资本表!P33</f>
        <v>1685316108.52</v>
      </c>
      <c r="Q5" s="26">
        <f>资产资本表!Q33</f>
        <v>1642148868.9099998</v>
      </c>
      <c r="R5" s="26">
        <f>资产资本表!R33</f>
        <v>1607358838.27</v>
      </c>
      <c r="S5" s="26">
        <f>资产资本表!S33</f>
        <v>1182478761.1399999</v>
      </c>
      <c r="T5" s="26">
        <f>资产资本表!T33</f>
        <v>1204713256.28</v>
      </c>
      <c r="U5" s="26">
        <f>资产资本表!U33</f>
        <v>1066887402.4800001</v>
      </c>
      <c r="V5" s="26">
        <f>资产资本表!V33</f>
        <v>874497035.46000004</v>
      </c>
      <c r="W5" s="26">
        <f>资产资本表!W33</f>
        <v>927780347.90999997</v>
      </c>
      <c r="X5" s="26">
        <f>资产资本表!X33</f>
        <v>892723373.31999993</v>
      </c>
      <c r="Y5" s="26">
        <f>资产资本表!Y33</f>
        <v>869175587.6500001</v>
      </c>
      <c r="Z5" s="26">
        <f>资产资本表!Z33</f>
        <v>970757332.57999992</v>
      </c>
      <c r="AA5" s="26">
        <f>资产资本表!AA33</f>
        <v>1032028190.25</v>
      </c>
      <c r="AB5" s="26">
        <f>资产资本表!AB33</f>
        <v>832409477.94999993</v>
      </c>
      <c r="AC5" s="26">
        <f>资产资本表!AC33</f>
        <v>744626813.02999997</v>
      </c>
      <c r="AD5" s="26">
        <f>资产资本表!AD33</f>
        <v>692878267.76999998</v>
      </c>
      <c r="AE5" s="26">
        <f>资产资本表!AE33</f>
        <v>654993533.83000004</v>
      </c>
      <c r="AF5" s="26">
        <f>资产资本表!AF33</f>
        <v>567415081.98000002</v>
      </c>
      <c r="AG5" s="26">
        <f>资产资本表!AG33</f>
        <v>604045284.30999994</v>
      </c>
      <c r="AH5" s="26">
        <f>资产资本表!AH33</f>
        <v>572535010.73000002</v>
      </c>
      <c r="AI5" s="26">
        <f>资产资本表!AI33</f>
        <v>471817114.37</v>
      </c>
      <c r="AJ5" s="26">
        <f>资产资本表!AJ33</f>
        <v>367562369.32999998</v>
      </c>
      <c r="AK5" s="26">
        <f>资产资本表!AK33</f>
        <v>352695752.78000003</v>
      </c>
      <c r="AL5" s="26">
        <f>资产资本表!AL33</f>
        <v>317211485.96999997</v>
      </c>
      <c r="AM5" s="26">
        <f>资产资本表!AM33</f>
        <v>299769568.27999997</v>
      </c>
      <c r="AN5" s="26">
        <f>资产资本表!AN33</f>
        <v>277963668.50999999</v>
      </c>
      <c r="AO5" s="26">
        <f>资产资本表!AO33</f>
        <v>229950173.69</v>
      </c>
      <c r="AP5" s="26">
        <f>资产资本表!AP33</f>
        <v>183168688.04000002</v>
      </c>
      <c r="AQ5" s="26">
        <f>资产资本表!AQ33</f>
        <v>0</v>
      </c>
      <c r="AR5" s="26">
        <f>资产资本表!AR33</f>
        <v>0</v>
      </c>
      <c r="AS5" s="26">
        <f>资产资本表!AS33</f>
        <v>0</v>
      </c>
      <c r="AT5" s="26">
        <f>资产资本表!AT33</f>
        <v>0</v>
      </c>
      <c r="AU5" s="26">
        <f>资产资本表!AU33</f>
        <v>0</v>
      </c>
      <c r="AV5" s="26">
        <f>资产资本表!AV33</f>
        <v>0</v>
      </c>
      <c r="AW5" s="26">
        <f>资产资本表!AW33</f>
        <v>0</v>
      </c>
      <c r="AX5" s="26">
        <f>资产资本表!AX33</f>
        <v>0</v>
      </c>
      <c r="AY5" s="26">
        <f>资产资本表!AY33</f>
        <v>0</v>
      </c>
      <c r="AZ5" s="26">
        <f>资产资本表!AZ33</f>
        <v>0</v>
      </c>
      <c r="BA5" s="26">
        <f>资产资本表!BA33</f>
        <v>0</v>
      </c>
      <c r="BB5" s="26">
        <f>资产资本表!BB33</f>
        <v>0</v>
      </c>
      <c r="BC5" s="26">
        <f>资产资本表!BC33</f>
        <v>0</v>
      </c>
      <c r="BD5" s="26">
        <f>资产资本表!BD33</f>
        <v>0</v>
      </c>
      <c r="BE5" s="26">
        <f>资产资本表!BE33</f>
        <v>0</v>
      </c>
      <c r="BF5" s="26">
        <f>资产资本表!BF33</f>
        <v>0</v>
      </c>
      <c r="BG5" s="26">
        <f>资产资本表!BG33</f>
        <v>0</v>
      </c>
      <c r="BH5" s="26">
        <f>资产资本表!BH33</f>
        <v>0</v>
      </c>
      <c r="BI5" s="26">
        <f>资产资本表!BI33</f>
        <v>0</v>
      </c>
      <c r="BJ5" s="26">
        <f>资产资本表!BJ33</f>
        <v>0</v>
      </c>
      <c r="BK5" s="26">
        <f>资产资本表!BK33</f>
        <v>0</v>
      </c>
      <c r="BL5" s="26">
        <f>资产资本表!BL33</f>
        <v>0</v>
      </c>
      <c r="BM5" s="26">
        <f>资产资本表!BM33</f>
        <v>0</v>
      </c>
      <c r="BN5" s="26">
        <f>资产资本表!BN33</f>
        <v>0</v>
      </c>
      <c r="BO5" s="26">
        <f>资产资本表!BO33</f>
        <v>0</v>
      </c>
      <c r="BP5" s="26">
        <f>资产资本表!BP33</f>
        <v>0</v>
      </c>
      <c r="BQ5" s="26">
        <f>资产资本表!BQ33</f>
        <v>0</v>
      </c>
      <c r="BR5" s="26">
        <f>资产资本表!BR33</f>
        <v>0</v>
      </c>
      <c r="BS5" s="26">
        <f>资产资本表!BS33</f>
        <v>0</v>
      </c>
      <c r="BT5" s="26">
        <f>资产资本表!BT33</f>
        <v>0</v>
      </c>
      <c r="BU5" s="26">
        <f>资产资本表!BU33</f>
        <v>0</v>
      </c>
      <c r="BV5" s="26">
        <f>资产资本表!BV33</f>
        <v>0</v>
      </c>
      <c r="BW5" s="26">
        <f>资产资本表!BW33</f>
        <v>0</v>
      </c>
      <c r="BX5" s="26">
        <f>资产资本表!BX33</f>
        <v>0</v>
      </c>
      <c r="BY5" s="26">
        <f>资产资本表!BY33</f>
        <v>0</v>
      </c>
      <c r="BZ5" s="26">
        <f>资产资本表!BZ33</f>
        <v>0</v>
      </c>
      <c r="CA5" s="26">
        <f>资产资本表!CA33</f>
        <v>0</v>
      </c>
      <c r="CB5" s="26">
        <f>资产资本表!CB33</f>
        <v>0</v>
      </c>
      <c r="CC5" s="26">
        <f>资产资本表!CC33</f>
        <v>0</v>
      </c>
      <c r="CD5" s="26">
        <f>资产资本表!CD33</f>
        <v>0</v>
      </c>
      <c r="CE5" s="26">
        <f>资产资本表!CE33</f>
        <v>0</v>
      </c>
      <c r="CF5" s="26">
        <f>资产资本表!CF33</f>
        <v>0</v>
      </c>
      <c r="CG5" s="26">
        <f>资产资本表!CG33</f>
        <v>0</v>
      </c>
      <c r="CH5" s="26">
        <f>资产资本表!CH33</f>
        <v>0</v>
      </c>
      <c r="CI5" s="26">
        <f>资产资本表!CI33</f>
        <v>0</v>
      </c>
      <c r="CJ5" s="26">
        <f>资产资本表!CJ33</f>
        <v>0</v>
      </c>
      <c r="CK5" s="26">
        <f>资产资本表!CK33</f>
        <v>0</v>
      </c>
      <c r="CL5" s="26">
        <f>资产资本表!CL33</f>
        <v>0</v>
      </c>
    </row>
    <row r="6" spans="1:90" s="26" customFormat="1" x14ac:dyDescent="0.25">
      <c r="A6" s="17" t="s">
        <v>335</v>
      </c>
      <c r="E6" s="26">
        <f>资产资本表!E49</f>
        <v>1118955772.9300001</v>
      </c>
      <c r="F6" s="26">
        <f>资产资本表!F49</f>
        <v>1033135249.97</v>
      </c>
      <c r="G6" s="26">
        <f>资产资本表!G49</f>
        <v>925232957.13999999</v>
      </c>
      <c r="H6" s="26">
        <f>资产资本表!H49</f>
        <v>934682873.11000013</v>
      </c>
      <c r="I6" s="26">
        <f>资产资本表!I49</f>
        <v>828041619.75999999</v>
      </c>
      <c r="J6" s="26">
        <f>资产资本表!J49</f>
        <v>707432206.19000006</v>
      </c>
      <c r="K6" s="26">
        <f>资产资本表!K49</f>
        <v>595126061.96000004</v>
      </c>
      <c r="L6" s="26">
        <f>资产资本表!L49</f>
        <v>703193296.03999996</v>
      </c>
      <c r="M6" s="26">
        <f>资产资本表!M49</f>
        <v>713457469.62</v>
      </c>
      <c r="N6" s="26">
        <f>资产资本表!N49</f>
        <v>645038434.53999996</v>
      </c>
      <c r="O6" s="26">
        <f>资产资本表!O49</f>
        <v>583285546.85000002</v>
      </c>
      <c r="P6" s="26">
        <f>资产资本表!P49</f>
        <v>572139434.96000004</v>
      </c>
      <c r="Q6" s="26">
        <f>资产资本表!Q49</f>
        <v>621939955.44999993</v>
      </c>
      <c r="R6" s="26">
        <f>资产资本表!R49</f>
        <v>586729466.63</v>
      </c>
      <c r="S6" s="26">
        <f>资产资本表!S49</f>
        <v>468559751.40000004</v>
      </c>
      <c r="T6" s="26">
        <f>资产资本表!T49</f>
        <v>497997079.13999999</v>
      </c>
      <c r="U6" s="26">
        <f>资产资本表!U49</f>
        <v>512143856.13000005</v>
      </c>
      <c r="V6" s="26">
        <f>资产资本表!V49</f>
        <v>434484790.17000008</v>
      </c>
      <c r="W6" s="26">
        <f>资产资本表!W49</f>
        <v>322223196.62</v>
      </c>
      <c r="X6" s="26">
        <f>资产资本表!X49</f>
        <v>431630951.94999993</v>
      </c>
      <c r="Y6" s="26">
        <f>资产资本表!Y49</f>
        <v>447550008.76999998</v>
      </c>
      <c r="Z6" s="26">
        <f>资产资本表!Z49</f>
        <v>507299155.92000008</v>
      </c>
      <c r="AA6" s="26">
        <f>资产资本表!AA49</f>
        <v>493984344.29000002</v>
      </c>
      <c r="AB6" s="26">
        <f>资产资本表!AB49</f>
        <v>514159750.65999991</v>
      </c>
      <c r="AC6" s="26">
        <f>资产资本表!AC49</f>
        <v>502685476.98000002</v>
      </c>
      <c r="AD6" s="26">
        <f>资产资本表!AD49</f>
        <v>431645106.74000001</v>
      </c>
      <c r="AE6" s="26">
        <f>资产资本表!AE49</f>
        <v>333573826.67999995</v>
      </c>
      <c r="AF6" s="26">
        <f>资产资本表!AF49</f>
        <v>419394747.45000005</v>
      </c>
      <c r="AG6" s="26">
        <f>资产资本表!AG49</f>
        <v>399547372.94999999</v>
      </c>
      <c r="AH6" s="26">
        <f>资产资本表!AH49</f>
        <v>290528234.13</v>
      </c>
      <c r="AI6" s="26">
        <f>资产资本表!AI49</f>
        <v>218982489.06999999</v>
      </c>
      <c r="AJ6" s="26">
        <f>资产资本表!AJ49</f>
        <v>240639133.97999999</v>
      </c>
      <c r="AK6" s="26">
        <f>资产资本表!AK49</f>
        <v>215271999.86999997</v>
      </c>
      <c r="AL6" s="26">
        <f>资产资本表!AL49</f>
        <v>183602745.03</v>
      </c>
      <c r="AM6" s="26">
        <f>资产资本表!AM49</f>
        <v>141823169.59999999</v>
      </c>
      <c r="AN6" s="26">
        <f>资产资本表!AN49</f>
        <v>157104143.11999997</v>
      </c>
      <c r="AO6" s="26">
        <f>资产资本表!AO49</f>
        <v>119684318.23</v>
      </c>
      <c r="AP6" s="26">
        <f>资产资本表!AP49</f>
        <v>144217846.25</v>
      </c>
      <c r="AQ6" s="26">
        <f>资产资本表!AQ49</f>
        <v>0</v>
      </c>
      <c r="AR6" s="26">
        <f>资产资本表!AR49</f>
        <v>0</v>
      </c>
      <c r="AS6" s="26">
        <f>资产资本表!AS49</f>
        <v>0</v>
      </c>
      <c r="AT6" s="26">
        <f>资产资本表!AT49</f>
        <v>0</v>
      </c>
      <c r="AU6" s="26">
        <f>资产资本表!AU49</f>
        <v>0</v>
      </c>
      <c r="AV6" s="26">
        <f>资产资本表!AV49</f>
        <v>0</v>
      </c>
      <c r="AW6" s="26">
        <f>资产资本表!AW49</f>
        <v>0</v>
      </c>
      <c r="AX6" s="26">
        <f>资产资本表!AX49</f>
        <v>0</v>
      </c>
      <c r="AY6" s="26">
        <f>资产资本表!AY49</f>
        <v>0</v>
      </c>
      <c r="AZ6" s="26">
        <f>资产资本表!AZ49</f>
        <v>0</v>
      </c>
      <c r="BA6" s="26">
        <f>资产资本表!BA49</f>
        <v>0</v>
      </c>
      <c r="BB6" s="26">
        <f>资产资本表!BB49</f>
        <v>0</v>
      </c>
      <c r="BC6" s="26">
        <f>资产资本表!BC49</f>
        <v>0</v>
      </c>
      <c r="BD6" s="26">
        <f>资产资本表!BD49</f>
        <v>0</v>
      </c>
      <c r="BE6" s="26">
        <f>资产资本表!BE49</f>
        <v>0</v>
      </c>
      <c r="BF6" s="26">
        <f>资产资本表!BF49</f>
        <v>0</v>
      </c>
      <c r="BG6" s="26">
        <f>资产资本表!BG49</f>
        <v>0</v>
      </c>
      <c r="BH6" s="26">
        <f>资产资本表!BH49</f>
        <v>0</v>
      </c>
      <c r="BI6" s="26">
        <f>资产资本表!BI49</f>
        <v>0</v>
      </c>
      <c r="BJ6" s="26">
        <f>资产资本表!BJ49</f>
        <v>0</v>
      </c>
      <c r="BK6" s="26">
        <f>资产资本表!BK49</f>
        <v>0</v>
      </c>
      <c r="BL6" s="26">
        <f>资产资本表!BL49</f>
        <v>0</v>
      </c>
      <c r="BM6" s="26">
        <f>资产资本表!BM49</f>
        <v>0</v>
      </c>
      <c r="BN6" s="26">
        <f>资产资本表!BN49</f>
        <v>0</v>
      </c>
      <c r="BO6" s="26">
        <f>资产资本表!BO49</f>
        <v>0</v>
      </c>
      <c r="BP6" s="26">
        <f>资产资本表!BP49</f>
        <v>0</v>
      </c>
      <c r="BQ6" s="26">
        <f>资产资本表!BQ49</f>
        <v>0</v>
      </c>
      <c r="BR6" s="26">
        <f>资产资本表!BR49</f>
        <v>0</v>
      </c>
      <c r="BS6" s="26">
        <f>资产资本表!BS49</f>
        <v>0</v>
      </c>
      <c r="BT6" s="26">
        <f>资产资本表!BT49</f>
        <v>0</v>
      </c>
      <c r="BU6" s="26">
        <f>资产资本表!BU49</f>
        <v>0</v>
      </c>
      <c r="BV6" s="26">
        <f>资产资本表!BV49</f>
        <v>0</v>
      </c>
      <c r="BW6" s="26">
        <f>资产资本表!BW49</f>
        <v>0</v>
      </c>
      <c r="BX6" s="26">
        <f>资产资本表!BX49</f>
        <v>0</v>
      </c>
      <c r="BY6" s="26">
        <f>资产资本表!BY49</f>
        <v>0</v>
      </c>
      <c r="BZ6" s="26">
        <f>资产资本表!BZ49</f>
        <v>0</v>
      </c>
      <c r="CA6" s="26">
        <f>资产资本表!CA49</f>
        <v>0</v>
      </c>
      <c r="CB6" s="26">
        <f>资产资本表!CB49</f>
        <v>0</v>
      </c>
      <c r="CC6" s="26">
        <f>资产资本表!CC49</f>
        <v>0</v>
      </c>
      <c r="CD6" s="26">
        <f>资产资本表!CD49</f>
        <v>0</v>
      </c>
      <c r="CE6" s="26">
        <f>资产资本表!CE49</f>
        <v>0</v>
      </c>
      <c r="CF6" s="26">
        <f>资产资本表!CF49</f>
        <v>0</v>
      </c>
      <c r="CG6" s="26">
        <f>资产资本表!CG49</f>
        <v>0</v>
      </c>
      <c r="CH6" s="26">
        <f>资产资本表!CH49</f>
        <v>0</v>
      </c>
      <c r="CI6" s="26">
        <f>资产资本表!CI49</f>
        <v>0</v>
      </c>
      <c r="CJ6" s="26">
        <f>资产资本表!CJ49</f>
        <v>0</v>
      </c>
      <c r="CK6" s="26">
        <f>资产资本表!CK49</f>
        <v>0</v>
      </c>
      <c r="CL6" s="26">
        <f>资产资本表!CL49</f>
        <v>0</v>
      </c>
    </row>
    <row r="7" spans="1:90" s="26" customFormat="1" x14ac:dyDescent="0.25">
      <c r="A7" s="17" t="s">
        <v>336</v>
      </c>
      <c r="E7" s="26">
        <f>资产资本表!E68</f>
        <v>1083016609.1099997</v>
      </c>
      <c r="F7" s="26">
        <f>资产资本表!F68</f>
        <v>1135909896.98</v>
      </c>
      <c r="G7" s="26">
        <f>资产资本表!G68</f>
        <v>1155300874.6399999</v>
      </c>
      <c r="H7" s="26">
        <f>资产资本表!H68</f>
        <v>1164909636.75</v>
      </c>
      <c r="I7" s="26">
        <f>资产资本表!I68</f>
        <v>838520601.88999999</v>
      </c>
      <c r="J7" s="26">
        <f>资产资本表!J68</f>
        <v>860883066.41999996</v>
      </c>
      <c r="K7" s="26">
        <f>资产资本表!K68</f>
        <v>853457919.58000004</v>
      </c>
      <c r="L7" s="26">
        <f>资产资本表!L68</f>
        <v>868058308.17999995</v>
      </c>
      <c r="M7" s="26">
        <f>资产资本表!M68</f>
        <v>871078382.76999986</v>
      </c>
      <c r="N7" s="26">
        <f>资产资本表!N68</f>
        <v>829380215.16000009</v>
      </c>
      <c r="O7" s="26">
        <f>资产资本表!O68</f>
        <v>822129414.7299999</v>
      </c>
      <c r="P7" s="26">
        <f>资产资本表!P68</f>
        <v>825330317.23000002</v>
      </c>
      <c r="Q7" s="26">
        <f>资产资本表!Q68</f>
        <v>825502014.86000013</v>
      </c>
      <c r="R7" s="26">
        <f>资产资本表!R68</f>
        <v>658741725.48000002</v>
      </c>
      <c r="S7" s="26">
        <f>资产资本表!S68</f>
        <v>642750663.67000008</v>
      </c>
      <c r="T7" s="26">
        <f>资产资本表!T68</f>
        <v>638106996.24000001</v>
      </c>
      <c r="U7" s="26">
        <f>资产资本表!U68</f>
        <v>646286156.8499999</v>
      </c>
      <c r="V7" s="26">
        <f>资产资本表!V68</f>
        <v>637749387.55999994</v>
      </c>
      <c r="W7" s="26">
        <f>资产资本表!W68</f>
        <v>555994643.0200001</v>
      </c>
      <c r="X7" s="26">
        <f>资产资本表!X68</f>
        <v>525039706.84000003</v>
      </c>
      <c r="Y7" s="26">
        <f>资产资本表!Y68</f>
        <v>514551138.60999995</v>
      </c>
      <c r="Z7" s="26">
        <f>资产资本表!Z68</f>
        <v>496788347.33000004</v>
      </c>
      <c r="AA7" s="26">
        <f>资产资本表!AA68</f>
        <v>438036109.13999999</v>
      </c>
      <c r="AB7" s="26">
        <f>资产资本表!AB68</f>
        <v>424560822.61000007</v>
      </c>
      <c r="AC7" s="26">
        <f>资产资本表!AC68</f>
        <v>406249339.64999998</v>
      </c>
      <c r="AD7" s="26">
        <f>资产资本表!AD68</f>
        <v>313155620.74000001</v>
      </c>
      <c r="AE7" s="26">
        <f>资产资本表!AE68</f>
        <v>255703474.93000001</v>
      </c>
      <c r="AF7" s="26">
        <f>资产资本表!AF68</f>
        <v>233981981.54000002</v>
      </c>
      <c r="AG7" s="26">
        <f>资产资本表!AG68</f>
        <v>214815697.10000002</v>
      </c>
      <c r="AH7" s="26">
        <f>资产资本表!AH68</f>
        <v>135625805.69</v>
      </c>
      <c r="AI7" s="26">
        <f>资产资本表!AI68</f>
        <v>127706581.34</v>
      </c>
      <c r="AJ7" s="26">
        <f>资产资本表!AJ68</f>
        <v>128121301.53999999</v>
      </c>
      <c r="AK7" s="26">
        <f>资产资本表!AK68</f>
        <v>127940373.52</v>
      </c>
      <c r="AL7" s="26">
        <f>资产资本表!AL68</f>
        <v>97160166.030000001</v>
      </c>
      <c r="AM7" s="26">
        <f>资产资本表!AM68</f>
        <v>98253328.269999996</v>
      </c>
      <c r="AN7" s="26">
        <f>资产资本表!AN68</f>
        <v>101972525.01000001</v>
      </c>
      <c r="AO7" s="26">
        <f>资产资本表!AO68</f>
        <v>77886561.769999996</v>
      </c>
      <c r="AP7" s="26">
        <f>资产资本表!AP68</f>
        <v>64196426.760000005</v>
      </c>
      <c r="AQ7" s="26">
        <f>资产资本表!AQ68</f>
        <v>0</v>
      </c>
      <c r="AR7" s="26">
        <f>资产资本表!AR68</f>
        <v>0</v>
      </c>
      <c r="AS7" s="26">
        <f>资产资本表!AS68</f>
        <v>0</v>
      </c>
      <c r="AT7" s="26">
        <f>资产资本表!AT68</f>
        <v>0</v>
      </c>
      <c r="AU7" s="26">
        <f>资产资本表!AU68</f>
        <v>0</v>
      </c>
      <c r="AV7" s="26">
        <f>资产资本表!AV68</f>
        <v>0</v>
      </c>
      <c r="AW7" s="26">
        <f>资产资本表!AW68</f>
        <v>0</v>
      </c>
      <c r="AX7" s="26">
        <f>资产资本表!AX68</f>
        <v>0</v>
      </c>
      <c r="AY7" s="26">
        <f>资产资本表!AY68</f>
        <v>0</v>
      </c>
      <c r="AZ7" s="26">
        <f>资产资本表!AZ68</f>
        <v>0</v>
      </c>
      <c r="BA7" s="26">
        <f>资产资本表!BA68</f>
        <v>0</v>
      </c>
      <c r="BB7" s="26">
        <f>资产资本表!BB68</f>
        <v>0</v>
      </c>
      <c r="BC7" s="26">
        <f>资产资本表!BC68</f>
        <v>0</v>
      </c>
      <c r="BD7" s="26">
        <f>资产资本表!BD68</f>
        <v>0</v>
      </c>
      <c r="BE7" s="26">
        <f>资产资本表!BE68</f>
        <v>0</v>
      </c>
      <c r="BF7" s="26">
        <f>资产资本表!BF68</f>
        <v>0</v>
      </c>
      <c r="BG7" s="26">
        <f>资产资本表!BG68</f>
        <v>0</v>
      </c>
      <c r="BH7" s="26">
        <f>资产资本表!BH68</f>
        <v>0</v>
      </c>
      <c r="BI7" s="26">
        <f>资产资本表!BI68</f>
        <v>0</v>
      </c>
      <c r="BJ7" s="26">
        <f>资产资本表!BJ68</f>
        <v>0</v>
      </c>
      <c r="BK7" s="26">
        <f>资产资本表!BK68</f>
        <v>0</v>
      </c>
      <c r="BL7" s="26">
        <f>资产资本表!BL68</f>
        <v>0</v>
      </c>
      <c r="BM7" s="26">
        <f>资产资本表!BM68</f>
        <v>0</v>
      </c>
      <c r="BN7" s="26">
        <f>资产资本表!BN68</f>
        <v>0</v>
      </c>
      <c r="BO7" s="26">
        <f>资产资本表!BO68</f>
        <v>0</v>
      </c>
      <c r="BP7" s="26">
        <f>资产资本表!BP68</f>
        <v>0</v>
      </c>
      <c r="BQ7" s="26">
        <f>资产资本表!BQ68</f>
        <v>0</v>
      </c>
      <c r="BR7" s="26">
        <f>资产资本表!BR68</f>
        <v>0</v>
      </c>
      <c r="BS7" s="26">
        <f>资产资本表!BS68</f>
        <v>0</v>
      </c>
      <c r="BT7" s="26">
        <f>资产资本表!BT68</f>
        <v>0</v>
      </c>
      <c r="BU7" s="26">
        <f>资产资本表!BU68</f>
        <v>0</v>
      </c>
      <c r="BV7" s="26">
        <f>资产资本表!BV68</f>
        <v>0</v>
      </c>
      <c r="BW7" s="26">
        <f>资产资本表!BW68</f>
        <v>0</v>
      </c>
      <c r="BX7" s="26">
        <f>资产资本表!BX68</f>
        <v>0</v>
      </c>
      <c r="BY7" s="26">
        <f>资产资本表!BY68</f>
        <v>0</v>
      </c>
      <c r="BZ7" s="26">
        <f>资产资本表!BZ68</f>
        <v>0</v>
      </c>
      <c r="CA7" s="26">
        <f>资产资本表!CA68</f>
        <v>0</v>
      </c>
      <c r="CB7" s="26">
        <f>资产资本表!CB68</f>
        <v>0</v>
      </c>
      <c r="CC7" s="26">
        <f>资产资本表!CC68</f>
        <v>0</v>
      </c>
      <c r="CD7" s="26">
        <f>资产资本表!CD68</f>
        <v>0</v>
      </c>
      <c r="CE7" s="26">
        <f>资产资本表!CE68</f>
        <v>0</v>
      </c>
      <c r="CF7" s="26">
        <f>资产资本表!CF68</f>
        <v>0</v>
      </c>
      <c r="CG7" s="26">
        <f>资产资本表!CG68</f>
        <v>0</v>
      </c>
      <c r="CH7" s="26">
        <f>资产资本表!CH68</f>
        <v>0</v>
      </c>
      <c r="CI7" s="26">
        <f>资产资本表!CI68</f>
        <v>0</v>
      </c>
      <c r="CJ7" s="26">
        <f>资产资本表!CJ68</f>
        <v>0</v>
      </c>
      <c r="CK7" s="26">
        <f>资产资本表!CK68</f>
        <v>0</v>
      </c>
    </row>
    <row r="8" spans="1:90" s="26" customFormat="1" x14ac:dyDescent="0.25">
      <c r="A8" s="41" t="s">
        <v>637</v>
      </c>
      <c r="E8" s="26">
        <f>资产资本表!E69</f>
        <v>2680117320.0499992</v>
      </c>
      <c r="F8" s="26">
        <f>资产资本表!F69</f>
        <v>2890560207.4200001</v>
      </c>
      <c r="G8" s="26">
        <f>资产资本表!G69</f>
        <v>2504438056.0900002</v>
      </c>
      <c r="H8" s="26">
        <f>资产资本表!H69</f>
        <v>2443659795.6799998</v>
      </c>
      <c r="I8" s="26">
        <f>资产资本表!I69</f>
        <v>1787570001.7400002</v>
      </c>
      <c r="J8" s="26">
        <f>资产资本表!J69</f>
        <v>2161379578.3899999</v>
      </c>
      <c r="K8" s="26">
        <f>资产资本表!K69</f>
        <v>2188562170.0300002</v>
      </c>
      <c r="L8" s="26">
        <f>资产资本表!L69</f>
        <v>2037984988.5599999</v>
      </c>
      <c r="M8" s="26">
        <f>资产资本表!M69</f>
        <v>2028174239.1399999</v>
      </c>
      <c r="N8" s="26">
        <f>资产资本表!N69</f>
        <v>1748731929.8800001</v>
      </c>
      <c r="O8" s="26">
        <f>资产资本表!O69</f>
        <v>1782876392.8599999</v>
      </c>
      <c r="P8" s="26">
        <f>资产资本表!P69</f>
        <v>1938506990.79</v>
      </c>
      <c r="Q8" s="26">
        <f>资产资本表!Q69</f>
        <v>1845710928.3200002</v>
      </c>
      <c r="R8" s="26">
        <f>资产资本表!R69</f>
        <v>1679371097.1199999</v>
      </c>
      <c r="S8" s="26">
        <f>资产资本表!S69</f>
        <v>1356669673.4099998</v>
      </c>
      <c r="T8" s="26">
        <f>资产资本表!T69</f>
        <v>1344823173.3800001</v>
      </c>
      <c r="U8" s="26">
        <f>资产资本表!U69</f>
        <v>1201029703.2</v>
      </c>
      <c r="V8" s="26">
        <f>资产资本表!V69</f>
        <v>1077761632.8499999</v>
      </c>
      <c r="W8" s="26">
        <f>资产资本表!W69</f>
        <v>1161551794.3099999</v>
      </c>
      <c r="X8" s="26">
        <f>资产资本表!X69</f>
        <v>986132128.21000004</v>
      </c>
      <c r="Y8" s="26">
        <f>资产资本表!Y69</f>
        <v>936176717.49000001</v>
      </c>
      <c r="Z8" s="26">
        <f>资产资本表!Z69</f>
        <v>960246523.98999989</v>
      </c>
      <c r="AA8" s="26">
        <f>资产资本表!AA69</f>
        <v>976079955.10000002</v>
      </c>
      <c r="AB8" s="26">
        <f>资产资本表!AB69</f>
        <v>742810549.9000001</v>
      </c>
      <c r="AC8" s="26">
        <f>资产资本表!AC69</f>
        <v>648190675.69999993</v>
      </c>
      <c r="AD8" s="26">
        <f>资产资本表!AD69</f>
        <v>574388781.76999998</v>
      </c>
      <c r="AE8" s="26">
        <f>资产资本表!AE69</f>
        <v>577123182.08000016</v>
      </c>
      <c r="AF8" s="26">
        <f>资产资本表!AF69</f>
        <v>382002316.06999999</v>
      </c>
      <c r="AG8" s="26">
        <f>资产资本表!AG69</f>
        <v>419313608.45999998</v>
      </c>
      <c r="AH8" s="26">
        <f>资产资本表!AH69</f>
        <v>417632582.29000002</v>
      </c>
      <c r="AI8" s="26">
        <f>资产资本表!AI69</f>
        <v>380541206.63999999</v>
      </c>
      <c r="AJ8" s="26">
        <f>资产资本表!AJ69</f>
        <v>255044536.88999999</v>
      </c>
      <c r="AK8" s="26">
        <f>资产资本表!AK69</f>
        <v>265364126.43000007</v>
      </c>
      <c r="AL8" s="26">
        <f>资产资本表!AL69</f>
        <v>230768906.96999997</v>
      </c>
      <c r="AM8" s="26">
        <f>资产资本表!AM69</f>
        <v>256199726.94999999</v>
      </c>
      <c r="AN8" s="26">
        <f>资产资本表!AN69</f>
        <v>222832050.40000004</v>
      </c>
      <c r="AO8" s="26">
        <f>资产资本表!AO69</f>
        <v>188152417.22999999</v>
      </c>
      <c r="AP8" s="26">
        <f>资产资本表!AP69</f>
        <v>103147268.55000003</v>
      </c>
      <c r="AQ8" s="26">
        <f>资产资本表!AQ69</f>
        <v>0</v>
      </c>
      <c r="AR8" s="26">
        <f>资产资本表!AR69</f>
        <v>0</v>
      </c>
      <c r="AS8" s="26">
        <f>资产资本表!AS69</f>
        <v>0</v>
      </c>
      <c r="AT8" s="26">
        <f>资产资本表!AT69</f>
        <v>0</v>
      </c>
      <c r="AU8" s="26">
        <f>资产资本表!AU69</f>
        <v>0</v>
      </c>
      <c r="AV8" s="26">
        <f>资产资本表!AV69</f>
        <v>0</v>
      </c>
      <c r="AW8" s="26">
        <f>资产资本表!AW69</f>
        <v>0</v>
      </c>
      <c r="AX8" s="26">
        <f>资产资本表!AX69</f>
        <v>0</v>
      </c>
      <c r="AY8" s="26">
        <f>资产资本表!AY69</f>
        <v>0</v>
      </c>
      <c r="AZ8" s="26">
        <f>资产资本表!AZ69</f>
        <v>0</v>
      </c>
      <c r="BA8" s="26">
        <f>资产资本表!BA69</f>
        <v>0</v>
      </c>
      <c r="BB8" s="26">
        <f>资产资本表!BB69</f>
        <v>0</v>
      </c>
      <c r="BC8" s="26">
        <f>资产资本表!BC69</f>
        <v>0</v>
      </c>
      <c r="BD8" s="26">
        <f>资产资本表!BD69</f>
        <v>0</v>
      </c>
      <c r="BE8" s="26">
        <f>资产资本表!BE69</f>
        <v>0</v>
      </c>
      <c r="BF8" s="26">
        <f>资产资本表!BF69</f>
        <v>0</v>
      </c>
      <c r="BG8" s="26">
        <f>资产资本表!BG69</f>
        <v>0</v>
      </c>
      <c r="BH8" s="26">
        <f>资产资本表!BH69</f>
        <v>0</v>
      </c>
      <c r="BI8" s="26">
        <f>资产资本表!BI69</f>
        <v>0</v>
      </c>
      <c r="BJ8" s="26">
        <f>资产资本表!BJ69</f>
        <v>0</v>
      </c>
      <c r="BK8" s="26">
        <f>资产资本表!BK69</f>
        <v>0</v>
      </c>
      <c r="BL8" s="26">
        <f>资产资本表!BL69</f>
        <v>0</v>
      </c>
      <c r="BM8" s="26">
        <f>资产资本表!BM69</f>
        <v>0</v>
      </c>
      <c r="BN8" s="26">
        <f>资产资本表!BN69</f>
        <v>0</v>
      </c>
      <c r="BO8" s="26">
        <f>资产资本表!BO69</f>
        <v>0</v>
      </c>
      <c r="BP8" s="26">
        <f>资产资本表!BP69</f>
        <v>0</v>
      </c>
      <c r="BQ8" s="26">
        <f>资产资本表!BQ69</f>
        <v>0</v>
      </c>
      <c r="BR8" s="26">
        <f>资产资本表!BR69</f>
        <v>0</v>
      </c>
      <c r="BS8" s="26">
        <f>资产资本表!BS69</f>
        <v>0</v>
      </c>
      <c r="BT8" s="26">
        <f>资产资本表!BT69</f>
        <v>0</v>
      </c>
      <c r="BU8" s="26">
        <f>资产资本表!BU69</f>
        <v>0</v>
      </c>
      <c r="BV8" s="26">
        <f>资产资本表!BV69</f>
        <v>0</v>
      </c>
      <c r="BW8" s="26">
        <f>资产资本表!BW69</f>
        <v>0</v>
      </c>
      <c r="BX8" s="26">
        <f>资产资本表!BX69</f>
        <v>0</v>
      </c>
      <c r="BY8" s="26">
        <f>资产资本表!BY69</f>
        <v>0</v>
      </c>
      <c r="BZ8" s="26">
        <f>资产资本表!BZ69</f>
        <v>0</v>
      </c>
      <c r="CA8" s="26">
        <f>资产资本表!CA69</f>
        <v>0</v>
      </c>
      <c r="CB8" s="26">
        <f>资产资本表!CB69</f>
        <v>0</v>
      </c>
      <c r="CC8" s="26">
        <f>资产资本表!CC69</f>
        <v>0</v>
      </c>
      <c r="CD8" s="26">
        <f>资产资本表!CD69</f>
        <v>0</v>
      </c>
      <c r="CE8" s="26">
        <f>资产资本表!CE69</f>
        <v>0</v>
      </c>
      <c r="CF8" s="26">
        <f>资产资本表!CF69</f>
        <v>0</v>
      </c>
      <c r="CG8" s="26">
        <f>资产资本表!CG69</f>
        <v>0</v>
      </c>
      <c r="CH8" s="26">
        <f>资产资本表!CH69</f>
        <v>0</v>
      </c>
      <c r="CI8" s="26">
        <f>资产资本表!CI69</f>
        <v>0</v>
      </c>
      <c r="CJ8" s="26">
        <f>资产资本表!CJ69</f>
        <v>0</v>
      </c>
      <c r="CK8" s="26">
        <f>资产资本表!CK69</f>
        <v>0</v>
      </c>
      <c r="CL8" s="26">
        <f>资产资本表!CL69</f>
        <v>0</v>
      </c>
    </row>
    <row r="9" spans="1:90" s="48" customFormat="1" x14ac:dyDescent="0.25">
      <c r="A9" s="46" t="s">
        <v>639</v>
      </c>
      <c r="E9" s="48">
        <f>资产资本表!E70</f>
        <v>3415975678.7199993</v>
      </c>
      <c r="F9" s="48">
        <f>资产资本表!F70</f>
        <v>3469234189.5599999</v>
      </c>
      <c r="G9" s="48">
        <f>资产资本表!G70</f>
        <v>3334128665.5799999</v>
      </c>
      <c r="H9" s="48">
        <f>资产资本表!H70</f>
        <v>3553104597.3199997</v>
      </c>
      <c r="I9" s="48">
        <f>资产资本表!I70</f>
        <v>3379120624.0300002</v>
      </c>
      <c r="J9" s="48">
        <f>资产资本表!J70</f>
        <v>3143130880.5099998</v>
      </c>
      <c r="K9" s="48">
        <f>资产资本表!K70</f>
        <v>2963681471.9000001</v>
      </c>
      <c r="L9" s="48">
        <f>资产资本表!L70</f>
        <v>2881482643.0299997</v>
      </c>
      <c r="M9" s="48">
        <f>资产资本表!M70</f>
        <v>2770141834.1799998</v>
      </c>
      <c r="N9" s="48">
        <f>资产资本表!N70</f>
        <v>2546401388.6300001</v>
      </c>
      <c r="O9" s="48">
        <f>资产资本表!O70</f>
        <v>2402871215.6399999</v>
      </c>
      <c r="P9" s="48">
        <f>资产资本表!P70</f>
        <v>2608400747.6599998</v>
      </c>
      <c r="Q9" s="48">
        <f>资产资本表!Q70</f>
        <v>2492915605.7700005</v>
      </c>
      <c r="R9" s="48">
        <f>资产资本表!R70</f>
        <v>2308488151.73</v>
      </c>
      <c r="S9" s="48">
        <f>资产资本表!S70</f>
        <v>2192212395.2799997</v>
      </c>
      <c r="T9" s="48">
        <f>资产资本表!T70</f>
        <v>2229681235.0799999</v>
      </c>
      <c r="U9" s="48">
        <f>资产资本表!U70</f>
        <v>2133306409.3499999</v>
      </c>
      <c r="V9" s="48">
        <f>资产资本表!V70</f>
        <v>2030685494.9299998</v>
      </c>
      <c r="W9" s="48">
        <f>资产资本表!W70</f>
        <v>1930708956.6900001</v>
      </c>
      <c r="X9" s="48">
        <f>资产资本表!X70</f>
        <v>1977896014.0700002</v>
      </c>
      <c r="Y9" s="48">
        <f>资产资本表!Y70</f>
        <v>1892220602.73</v>
      </c>
      <c r="Z9" s="48">
        <f>资产资本表!Z70</f>
        <v>1763420146.3699999</v>
      </c>
      <c r="AA9" s="48">
        <f>资产资本表!AA70</f>
        <v>1643908869.0700002</v>
      </c>
      <c r="AB9" s="48">
        <f>资产资本表!AB70</f>
        <v>1756834966.6400001</v>
      </c>
      <c r="AC9" s="48">
        <f>资产资本表!AC70</f>
        <v>1650493578.27</v>
      </c>
      <c r="AD9" s="48">
        <f>资产资本表!AD70</f>
        <v>1556751168.1599998</v>
      </c>
      <c r="AE9" s="48">
        <f>资产资本表!AE70</f>
        <v>1439317961.3000002</v>
      </c>
      <c r="AF9" s="48">
        <f>资产资本表!AF70</f>
        <v>1533876742.3699999</v>
      </c>
      <c r="AG9" s="48">
        <f>资产资本表!AG70</f>
        <v>1476505584.9100001</v>
      </c>
      <c r="AH9" s="48">
        <f>资产资本表!AH70</f>
        <v>1378242583.3099999</v>
      </c>
      <c r="AI9" s="48">
        <f>资产资本表!AI70</f>
        <v>1311332115.0699999</v>
      </c>
      <c r="AJ9" s="48">
        <f>资产资本表!AJ70</f>
        <v>1382399929.6199999</v>
      </c>
      <c r="AK9" s="48">
        <f>资产资本表!AK70</f>
        <v>1332248508.1300001</v>
      </c>
      <c r="AL9" s="48">
        <f>资产资本表!AL70</f>
        <v>1288752066.0799999</v>
      </c>
      <c r="AM9" s="48">
        <f>资产资本表!AM70</f>
        <v>331008478.93000001</v>
      </c>
      <c r="AN9" s="48">
        <f>资产资本表!AN70</f>
        <v>301337851.48000002</v>
      </c>
      <c r="AO9" s="48">
        <f>资产资本表!AO70</f>
        <v>238297533.64999998</v>
      </c>
      <c r="AP9" s="48">
        <f>资产资本表!AP70</f>
        <v>155756895.01000002</v>
      </c>
      <c r="AQ9" s="48">
        <f>资产资本表!AQ70</f>
        <v>0</v>
      </c>
      <c r="AR9" s="48">
        <f>资产资本表!AR70</f>
        <v>0</v>
      </c>
      <c r="AS9" s="48">
        <f>资产资本表!AS70</f>
        <v>0</v>
      </c>
      <c r="AT9" s="48">
        <f>资产资本表!AT70</f>
        <v>0</v>
      </c>
      <c r="AU9" s="48">
        <f>资产资本表!AU70</f>
        <v>0</v>
      </c>
      <c r="AV9" s="48">
        <f>资产资本表!AV70</f>
        <v>0</v>
      </c>
      <c r="AW9" s="48">
        <f>资产资本表!AW70</f>
        <v>0</v>
      </c>
      <c r="AX9" s="48">
        <f>资产资本表!AX70</f>
        <v>0</v>
      </c>
      <c r="AY9" s="48">
        <f>资产资本表!AY70</f>
        <v>0</v>
      </c>
      <c r="AZ9" s="48">
        <f>资产资本表!AZ70</f>
        <v>0</v>
      </c>
      <c r="BA9" s="48">
        <f>资产资本表!BA70</f>
        <v>0</v>
      </c>
      <c r="BB9" s="48">
        <f>资产资本表!BB70</f>
        <v>0</v>
      </c>
      <c r="BC9" s="48">
        <f>资产资本表!BC70</f>
        <v>0</v>
      </c>
      <c r="BD9" s="48">
        <f>资产资本表!BD70</f>
        <v>0</v>
      </c>
      <c r="BE9" s="48">
        <f>资产资本表!BE70</f>
        <v>0</v>
      </c>
      <c r="BF9" s="48">
        <f>资产资本表!BF70</f>
        <v>0</v>
      </c>
      <c r="BG9" s="48">
        <f>资产资本表!BG70</f>
        <v>0</v>
      </c>
      <c r="BH9" s="48">
        <f>资产资本表!BH70</f>
        <v>0</v>
      </c>
      <c r="BI9" s="48">
        <f>资产资本表!BI70</f>
        <v>0</v>
      </c>
      <c r="BJ9" s="48">
        <f>资产资本表!BJ70</f>
        <v>0</v>
      </c>
      <c r="BK9" s="48">
        <f>资产资本表!BK70</f>
        <v>0</v>
      </c>
      <c r="BL9" s="48">
        <f>资产资本表!BL70</f>
        <v>0</v>
      </c>
      <c r="BM9" s="48">
        <f>资产资本表!BM70</f>
        <v>0</v>
      </c>
      <c r="BN9" s="48">
        <f>资产资本表!BN70</f>
        <v>0</v>
      </c>
      <c r="BO9" s="48">
        <f>资产资本表!BO70</f>
        <v>0</v>
      </c>
      <c r="BP9" s="48">
        <f>资产资本表!BP70</f>
        <v>0</v>
      </c>
      <c r="BQ9" s="48">
        <f>资产资本表!BQ70</f>
        <v>0</v>
      </c>
      <c r="BR9" s="48">
        <f>资产资本表!BR70</f>
        <v>0</v>
      </c>
      <c r="BS9" s="48">
        <f>资产资本表!BS70</f>
        <v>0</v>
      </c>
      <c r="BT9" s="48">
        <f>资产资本表!BT70</f>
        <v>0</v>
      </c>
      <c r="BU9" s="48">
        <f>资产资本表!BU70</f>
        <v>0</v>
      </c>
      <c r="BV9" s="48">
        <f>资产资本表!BV70</f>
        <v>0</v>
      </c>
      <c r="BW9" s="48">
        <f>资产资本表!BW70</f>
        <v>0</v>
      </c>
      <c r="BX9" s="48">
        <f>资产资本表!BX70</f>
        <v>0</v>
      </c>
      <c r="BY9" s="48">
        <f>资产资本表!BY70</f>
        <v>0</v>
      </c>
      <c r="BZ9" s="48">
        <f>资产资本表!BZ70</f>
        <v>0</v>
      </c>
      <c r="CA9" s="48">
        <f>资产资本表!CA70</f>
        <v>0</v>
      </c>
      <c r="CB9" s="48">
        <f>资产资本表!CB70</f>
        <v>0</v>
      </c>
      <c r="CC9" s="48">
        <f>资产资本表!CC70</f>
        <v>0</v>
      </c>
      <c r="CD9" s="48">
        <f>资产资本表!CD70</f>
        <v>0</v>
      </c>
      <c r="CE9" s="48">
        <f>资产资本表!CE70</f>
        <v>0</v>
      </c>
      <c r="CF9" s="48">
        <f>资产资本表!CF70</f>
        <v>0</v>
      </c>
      <c r="CG9" s="48">
        <f>资产资本表!CG70</f>
        <v>0</v>
      </c>
      <c r="CH9" s="48">
        <f>资产资本表!CH70</f>
        <v>0</v>
      </c>
      <c r="CI9" s="48">
        <f>资产资本表!CI70</f>
        <v>0</v>
      </c>
      <c r="CJ9" s="48">
        <f>资产资本表!CJ70</f>
        <v>0</v>
      </c>
      <c r="CK9" s="48">
        <f>资产资本表!CK70</f>
        <v>0</v>
      </c>
      <c r="CL9" s="48">
        <f>资产资本表!CL70</f>
        <v>0</v>
      </c>
    </row>
    <row r="10" spans="1:90" s="26" customFormat="1" x14ac:dyDescent="0.25">
      <c r="A10" s="17" t="s">
        <v>339</v>
      </c>
      <c r="E10" s="26">
        <f>资产资本表!E72</f>
        <v>197566288.30000001</v>
      </c>
      <c r="F10" s="26">
        <f>资产资本表!F72</f>
        <v>362613245.42000002</v>
      </c>
      <c r="G10" s="26">
        <f>资产资本表!G72</f>
        <v>361565942.50999999</v>
      </c>
      <c r="H10" s="26">
        <f>资产资本表!H72</f>
        <v>391766634.35000002</v>
      </c>
      <c r="I10" s="26">
        <f>资产资本表!I72</f>
        <v>400690979.23000002</v>
      </c>
      <c r="J10" s="26">
        <f>资产资本表!J72</f>
        <v>240000000</v>
      </c>
      <c r="K10" s="26">
        <f>资产资本表!K72</f>
        <v>270000000</v>
      </c>
      <c r="L10" s="26">
        <f>资产资本表!L72</f>
        <v>100000000</v>
      </c>
      <c r="M10" s="26">
        <f>资产资本表!M72</f>
        <v>100302083.33</v>
      </c>
      <c r="N10" s="26">
        <f>资产资本表!N72</f>
        <v>0</v>
      </c>
      <c r="O10" s="26">
        <f>资产资本表!O72</f>
        <v>0</v>
      </c>
      <c r="P10" s="26">
        <f>资产资本表!P72</f>
        <v>0</v>
      </c>
      <c r="Q10" s="26">
        <f>资产资本表!Q72</f>
        <v>0</v>
      </c>
      <c r="R10" s="26">
        <f>资产资本表!R72</f>
        <v>0</v>
      </c>
      <c r="S10" s="26">
        <f>资产资本表!S72</f>
        <v>0</v>
      </c>
      <c r="T10" s="26">
        <f>资产资本表!T72</f>
        <v>0</v>
      </c>
      <c r="U10" s="26">
        <f>资产资本表!U72</f>
        <v>0</v>
      </c>
      <c r="V10" s="26">
        <f>资产资本表!V72</f>
        <v>0</v>
      </c>
      <c r="W10" s="26">
        <f>资产资本表!W72</f>
        <v>0</v>
      </c>
      <c r="X10" s="26">
        <f>资产资本表!X72</f>
        <v>0</v>
      </c>
      <c r="Y10" s="26">
        <f>资产资本表!Y72</f>
        <v>0</v>
      </c>
      <c r="Z10" s="26">
        <f>资产资本表!Z72</f>
        <v>0</v>
      </c>
      <c r="AA10" s="26">
        <f>资产资本表!AA72</f>
        <v>0</v>
      </c>
      <c r="AB10" s="26">
        <f>资产资本表!AB72</f>
        <v>0</v>
      </c>
      <c r="AC10" s="26">
        <f>资产资本表!AC72</f>
        <v>0</v>
      </c>
      <c r="AD10" s="26">
        <f>资产资本表!AD72</f>
        <v>0</v>
      </c>
      <c r="AE10" s="26">
        <f>资产资本表!AE72</f>
        <v>0</v>
      </c>
      <c r="AF10" s="26">
        <f>资产资本表!AF72</f>
        <v>0</v>
      </c>
      <c r="AG10" s="26">
        <f>资产资本表!AG72</f>
        <v>0</v>
      </c>
      <c r="AH10" s="26">
        <f>资产资本表!AH72</f>
        <v>0</v>
      </c>
      <c r="AI10" s="26">
        <f>资产资本表!AI72</f>
        <v>0</v>
      </c>
      <c r="AJ10" s="26">
        <f>资产资本表!AJ72</f>
        <v>0</v>
      </c>
      <c r="AK10" s="26">
        <f>资产资本表!AK72</f>
        <v>0</v>
      </c>
      <c r="AL10" s="26">
        <f>资产资本表!AL72</f>
        <v>0</v>
      </c>
      <c r="AM10" s="26">
        <f>资产资本表!AM72</f>
        <v>0</v>
      </c>
      <c r="AN10" s="26">
        <f>资产资本表!AN72</f>
        <v>0</v>
      </c>
      <c r="AO10" s="26">
        <f>资产资本表!AO72</f>
        <v>5010444.4400000004</v>
      </c>
      <c r="AP10" s="26">
        <f>资产资本表!AP72</f>
        <v>28049021.5</v>
      </c>
      <c r="AQ10" s="26">
        <f>资产资本表!AQ72</f>
        <v>0</v>
      </c>
      <c r="AR10" s="26">
        <f>资产资本表!AR72</f>
        <v>0</v>
      </c>
      <c r="AS10" s="26">
        <f>资产资本表!AS72</f>
        <v>0</v>
      </c>
      <c r="AT10" s="26">
        <f>资产资本表!AT72</f>
        <v>0</v>
      </c>
      <c r="AU10" s="26">
        <f>资产资本表!AU72</f>
        <v>0</v>
      </c>
      <c r="AV10" s="26">
        <f>资产资本表!AV72</f>
        <v>0</v>
      </c>
      <c r="AW10" s="26">
        <f>资产资本表!AW72</f>
        <v>0</v>
      </c>
      <c r="AX10" s="26">
        <f>资产资本表!AX72</f>
        <v>0</v>
      </c>
      <c r="AY10" s="26">
        <f>资产资本表!AY72</f>
        <v>0</v>
      </c>
      <c r="AZ10" s="26">
        <f>资产资本表!AZ72</f>
        <v>0</v>
      </c>
      <c r="BA10" s="26">
        <f>资产资本表!BA72</f>
        <v>0</v>
      </c>
      <c r="BB10" s="26">
        <f>资产资本表!BB72</f>
        <v>0</v>
      </c>
      <c r="BC10" s="26">
        <f>资产资本表!BC72</f>
        <v>0</v>
      </c>
      <c r="BD10" s="26">
        <f>资产资本表!BD72</f>
        <v>0</v>
      </c>
      <c r="BE10" s="26">
        <f>资产资本表!BE72</f>
        <v>0</v>
      </c>
      <c r="BF10" s="26">
        <f>资产资本表!BF72</f>
        <v>0</v>
      </c>
      <c r="BG10" s="26">
        <f>资产资本表!BG72</f>
        <v>0</v>
      </c>
      <c r="BH10" s="26">
        <f>资产资本表!BH72</f>
        <v>0</v>
      </c>
      <c r="BI10" s="26">
        <f>资产资本表!BI72</f>
        <v>0</v>
      </c>
      <c r="BJ10" s="26">
        <f>资产资本表!BJ72</f>
        <v>0</v>
      </c>
      <c r="BK10" s="26">
        <f>资产资本表!BK72</f>
        <v>0</v>
      </c>
      <c r="BL10" s="26">
        <f>资产资本表!BL72</f>
        <v>0</v>
      </c>
      <c r="BM10" s="26">
        <f>资产资本表!BM72</f>
        <v>0</v>
      </c>
      <c r="BN10" s="26">
        <f>资产资本表!BN72</f>
        <v>0</v>
      </c>
      <c r="BO10" s="26">
        <f>资产资本表!BO72</f>
        <v>0</v>
      </c>
      <c r="BP10" s="26">
        <f>资产资本表!BP72</f>
        <v>0</v>
      </c>
      <c r="BQ10" s="26">
        <f>资产资本表!BQ72</f>
        <v>0</v>
      </c>
      <c r="BR10" s="26">
        <f>资产资本表!BR72</f>
        <v>0</v>
      </c>
      <c r="BS10" s="26">
        <f>资产资本表!BS72</f>
        <v>0</v>
      </c>
      <c r="BT10" s="26">
        <f>资产资本表!BT72</f>
        <v>0</v>
      </c>
      <c r="BU10" s="26">
        <f>资产资本表!BU72</f>
        <v>0</v>
      </c>
      <c r="BV10" s="26">
        <f>资产资本表!BV72</f>
        <v>0</v>
      </c>
      <c r="BW10" s="26">
        <f>资产资本表!BW72</f>
        <v>0</v>
      </c>
      <c r="BX10" s="26">
        <f>资产资本表!BX72</f>
        <v>0</v>
      </c>
      <c r="BY10" s="26">
        <f>资产资本表!BY72</f>
        <v>0</v>
      </c>
      <c r="BZ10" s="26">
        <f>资产资本表!BZ72</f>
        <v>0</v>
      </c>
      <c r="CA10" s="26">
        <f>资产资本表!CA72</f>
        <v>0</v>
      </c>
      <c r="CB10" s="26">
        <f>资产资本表!CB72</f>
        <v>0</v>
      </c>
      <c r="CC10" s="26">
        <f>资产资本表!CC72</f>
        <v>0</v>
      </c>
      <c r="CD10" s="26">
        <f>资产资本表!CD72</f>
        <v>0</v>
      </c>
      <c r="CE10" s="26">
        <f>资产资本表!CE72</f>
        <v>0</v>
      </c>
      <c r="CF10" s="26">
        <f>资产资本表!CF72</f>
        <v>0</v>
      </c>
      <c r="CG10" s="26">
        <f>资产资本表!CG72</f>
        <v>0</v>
      </c>
      <c r="CH10" s="26">
        <f>资产资本表!CH72</f>
        <v>0</v>
      </c>
      <c r="CI10" s="26">
        <f>资产资本表!CI72</f>
        <v>0</v>
      </c>
      <c r="CJ10" s="26">
        <f>资产资本表!CJ72</f>
        <v>0</v>
      </c>
      <c r="CK10" s="26">
        <f>资产资本表!CK72</f>
        <v>0</v>
      </c>
    </row>
    <row r="11" spans="1:90" s="26" customFormat="1" x14ac:dyDescent="0.25">
      <c r="A11" s="17" t="s">
        <v>340</v>
      </c>
      <c r="E11" s="26">
        <f>资产资本表!E81</f>
        <v>55836774.140000001</v>
      </c>
      <c r="F11" s="26">
        <f>资产资本表!F81</f>
        <v>63071031.310000002</v>
      </c>
      <c r="G11" s="26">
        <f>资产资本表!G81</f>
        <v>67620216.969999999</v>
      </c>
      <c r="H11" s="26">
        <f>资产资本表!H81</f>
        <v>155295199.61000001</v>
      </c>
      <c r="I11" s="26">
        <f>资产资本表!I81</f>
        <v>98171473.140000001</v>
      </c>
      <c r="J11" s="26">
        <f>资产资本表!J81</f>
        <v>93090977.900000006</v>
      </c>
      <c r="K11" s="26">
        <f>资产资本表!K81</f>
        <v>17439146.66</v>
      </c>
      <c r="L11" s="26">
        <f>资产资本表!L81</f>
        <v>10690043.33</v>
      </c>
      <c r="M11" s="26">
        <f>资产资本表!M81</f>
        <v>14380137.460000001</v>
      </c>
      <c r="N11" s="26">
        <f>资产资本表!N81</f>
        <v>0</v>
      </c>
      <c r="O11" s="26">
        <f>资产资本表!O81</f>
        <v>3913327.12</v>
      </c>
      <c r="P11" s="26">
        <f>资产资本表!P81</f>
        <v>2666935.96</v>
      </c>
      <c r="Q11" s="26">
        <f>资产资本表!Q81</f>
        <v>5587351.7300000004</v>
      </c>
      <c r="R11" s="26">
        <f>资产资本表!R81</f>
        <v>4419412.5999999996</v>
      </c>
      <c r="S11" s="26">
        <f>资产资本表!S81</f>
        <v>7430086.4699999997</v>
      </c>
      <c r="T11" s="26">
        <f>资产资本表!T81</f>
        <v>5284150.0999999996</v>
      </c>
      <c r="U11" s="26">
        <f>资产资本表!U81</f>
        <v>7877039.8899999997</v>
      </c>
      <c r="V11" s="26">
        <f>资产资本表!V81</f>
        <v>0</v>
      </c>
      <c r="W11" s="26">
        <f>资产资本表!W81</f>
        <v>0</v>
      </c>
      <c r="X11" s="26">
        <f>资产资本表!X81</f>
        <v>0</v>
      </c>
      <c r="Y11" s="26">
        <f>资产资本表!Y81</f>
        <v>0</v>
      </c>
      <c r="Z11" s="26">
        <f>资产资本表!Z81</f>
        <v>0</v>
      </c>
      <c r="AA11" s="26">
        <f>资产资本表!AA81</f>
        <v>0</v>
      </c>
      <c r="AB11" s="26">
        <f>资产资本表!AB81</f>
        <v>0</v>
      </c>
      <c r="AC11" s="26">
        <f>资产资本表!AC81</f>
        <v>0</v>
      </c>
      <c r="AD11" s="26">
        <f>资产资本表!AD81</f>
        <v>0</v>
      </c>
      <c r="AE11" s="26">
        <f>资产资本表!AE81</f>
        <v>0</v>
      </c>
      <c r="AF11" s="26">
        <f>资产资本表!AF81</f>
        <v>0</v>
      </c>
      <c r="AG11" s="26">
        <f>资产资本表!AG81</f>
        <v>0</v>
      </c>
      <c r="AH11" s="26">
        <f>资产资本表!AH81</f>
        <v>0</v>
      </c>
      <c r="AI11" s="26">
        <f>资产资本表!AI81</f>
        <v>0</v>
      </c>
      <c r="AJ11" s="26">
        <f>资产资本表!AJ81</f>
        <v>0</v>
      </c>
      <c r="AK11" s="26">
        <f>资产资本表!AK81</f>
        <v>0</v>
      </c>
      <c r="AL11" s="26">
        <f>资产资本表!AL81</f>
        <v>0</v>
      </c>
      <c r="AM11" s="26">
        <f>资产资本表!AM81</f>
        <v>0</v>
      </c>
      <c r="AN11" s="26">
        <f>资产资本表!AN81</f>
        <v>0</v>
      </c>
      <c r="AO11" s="26">
        <f>资产资本表!AO81</f>
        <v>0</v>
      </c>
      <c r="AP11" s="26">
        <f>资产资本表!AP81</f>
        <v>0</v>
      </c>
      <c r="AQ11" s="26">
        <f>资产资本表!AQ81</f>
        <v>0</v>
      </c>
      <c r="AR11" s="26">
        <f>资产资本表!AR81</f>
        <v>0</v>
      </c>
      <c r="AS11" s="26">
        <f>资产资本表!AS81</f>
        <v>0</v>
      </c>
      <c r="AT11" s="26">
        <f>资产资本表!AT81</f>
        <v>0</v>
      </c>
      <c r="AU11" s="26">
        <f>资产资本表!AU81</f>
        <v>0</v>
      </c>
      <c r="AV11" s="26">
        <f>资产资本表!AV81</f>
        <v>0</v>
      </c>
      <c r="AW11" s="26">
        <f>资产资本表!AW81</f>
        <v>0</v>
      </c>
      <c r="AX11" s="26">
        <f>资产资本表!AX81</f>
        <v>0</v>
      </c>
      <c r="AY11" s="26">
        <f>资产资本表!AY81</f>
        <v>0</v>
      </c>
      <c r="AZ11" s="26">
        <f>资产资本表!AZ81</f>
        <v>0</v>
      </c>
      <c r="BA11" s="26">
        <f>资产资本表!BA81</f>
        <v>0</v>
      </c>
      <c r="BB11" s="26">
        <f>资产资本表!BB81</f>
        <v>0</v>
      </c>
      <c r="BC11" s="26">
        <f>资产资本表!BC81</f>
        <v>0</v>
      </c>
      <c r="BD11" s="26">
        <f>资产资本表!BD81</f>
        <v>0</v>
      </c>
      <c r="BE11" s="26">
        <f>资产资本表!BE81</f>
        <v>0</v>
      </c>
      <c r="BF11" s="26">
        <f>资产资本表!BF81</f>
        <v>0</v>
      </c>
      <c r="BG11" s="26">
        <f>资产资本表!BG81</f>
        <v>0</v>
      </c>
      <c r="BH11" s="26">
        <f>资产资本表!BH81</f>
        <v>0</v>
      </c>
      <c r="BI11" s="26">
        <f>资产资本表!BI81</f>
        <v>0</v>
      </c>
      <c r="BJ11" s="26">
        <f>资产资本表!BJ81</f>
        <v>0</v>
      </c>
      <c r="BK11" s="26">
        <f>资产资本表!BK81</f>
        <v>0</v>
      </c>
      <c r="BL11" s="26">
        <f>资产资本表!BL81</f>
        <v>0</v>
      </c>
      <c r="BM11" s="26">
        <f>资产资本表!BM81</f>
        <v>0</v>
      </c>
      <c r="BN11" s="26">
        <f>资产资本表!BN81</f>
        <v>0</v>
      </c>
      <c r="BO11" s="26">
        <f>资产资本表!BO81</f>
        <v>0</v>
      </c>
      <c r="BP11" s="26">
        <f>资产资本表!BP81</f>
        <v>0</v>
      </c>
      <c r="BQ11" s="26">
        <f>资产资本表!BQ81</f>
        <v>0</v>
      </c>
      <c r="BR11" s="26">
        <f>资产资本表!BR81</f>
        <v>0</v>
      </c>
      <c r="BS11" s="26">
        <f>资产资本表!BS81</f>
        <v>0</v>
      </c>
      <c r="BT11" s="26">
        <f>资产资本表!BT81</f>
        <v>0</v>
      </c>
      <c r="BU11" s="26">
        <f>资产资本表!BU81</f>
        <v>0</v>
      </c>
      <c r="BV11" s="26">
        <f>资产资本表!BV81</f>
        <v>0</v>
      </c>
      <c r="BW11" s="26">
        <f>资产资本表!BW81</f>
        <v>0</v>
      </c>
      <c r="BX11" s="26">
        <f>资产资本表!BX81</f>
        <v>0</v>
      </c>
      <c r="BY11" s="26">
        <f>资产资本表!BY81</f>
        <v>0</v>
      </c>
      <c r="BZ11" s="26">
        <f>资产资本表!BZ81</f>
        <v>0</v>
      </c>
      <c r="CA11" s="26">
        <f>资产资本表!CA81</f>
        <v>0</v>
      </c>
      <c r="CB11" s="26">
        <f>资产资本表!CB81</f>
        <v>0</v>
      </c>
      <c r="CC11" s="26">
        <f>资产资本表!CC81</f>
        <v>0</v>
      </c>
      <c r="CD11" s="26">
        <f>资产资本表!CD81</f>
        <v>0</v>
      </c>
      <c r="CE11" s="26">
        <f>资产资本表!CE81</f>
        <v>0</v>
      </c>
      <c r="CF11" s="26">
        <f>资产资本表!CF81</f>
        <v>0</v>
      </c>
      <c r="CG11" s="26">
        <f>资产资本表!CG81</f>
        <v>0</v>
      </c>
      <c r="CH11" s="26">
        <f>资产资本表!CH81</f>
        <v>0</v>
      </c>
      <c r="CI11" s="26">
        <f>资产资本表!CI81</f>
        <v>0</v>
      </c>
      <c r="CJ11" s="26">
        <f>资产资本表!CJ81</f>
        <v>0</v>
      </c>
      <c r="CK11" s="26">
        <f>资产资本表!CK81</f>
        <v>0</v>
      </c>
    </row>
    <row r="12" spans="1:90" s="26" customFormat="1" x14ac:dyDescent="0.25">
      <c r="A12" s="41" t="s">
        <v>638</v>
      </c>
      <c r="E12" s="26">
        <f>资产资本表!E89</f>
        <v>253403062.44</v>
      </c>
      <c r="F12" s="26">
        <f>资产资本表!F89</f>
        <v>425684276.73000002</v>
      </c>
      <c r="G12" s="26">
        <f>资产资本表!G89</f>
        <v>429186159.48000002</v>
      </c>
      <c r="H12" s="26">
        <f>资产资本表!H89</f>
        <v>547061833.96000004</v>
      </c>
      <c r="I12" s="26">
        <f>资产资本表!I89</f>
        <v>498862452.37</v>
      </c>
      <c r="J12" s="26">
        <f>资产资本表!J89</f>
        <v>333090977.89999998</v>
      </c>
      <c r="K12" s="26">
        <f>资产资本表!K89</f>
        <v>287439146.66000003</v>
      </c>
      <c r="L12" s="26">
        <f>资产资本表!L89</f>
        <v>110690043.33</v>
      </c>
      <c r="M12" s="26">
        <f>资产资本表!M89</f>
        <v>114682220.78999999</v>
      </c>
      <c r="N12" s="26">
        <f>资产资本表!N89</f>
        <v>0</v>
      </c>
      <c r="O12" s="26">
        <f>资产资本表!O89</f>
        <v>3913327.12</v>
      </c>
      <c r="P12" s="26">
        <f>资产资本表!P89</f>
        <v>2666935.96</v>
      </c>
      <c r="Q12" s="26">
        <f>资产资本表!Q89</f>
        <v>5587351.7300000004</v>
      </c>
      <c r="R12" s="26">
        <f>资产资本表!R89</f>
        <v>4419412.5999999996</v>
      </c>
      <c r="S12" s="26">
        <f>资产资本表!S89</f>
        <v>7430086.4699999997</v>
      </c>
      <c r="T12" s="26">
        <f>资产资本表!T89</f>
        <v>5284150.0999999996</v>
      </c>
      <c r="U12" s="26">
        <f>资产资本表!U89</f>
        <v>7877039.8899999997</v>
      </c>
      <c r="V12" s="26">
        <f>资产资本表!V89</f>
        <v>0</v>
      </c>
      <c r="W12" s="26">
        <f>资产资本表!W89</f>
        <v>0</v>
      </c>
      <c r="X12" s="26">
        <f>资产资本表!X89</f>
        <v>0</v>
      </c>
      <c r="Y12" s="26">
        <f>资产资本表!Y89</f>
        <v>0</v>
      </c>
      <c r="Z12" s="26">
        <f>资产资本表!Z89</f>
        <v>0</v>
      </c>
      <c r="AA12" s="26">
        <f>资产资本表!AA89</f>
        <v>0</v>
      </c>
      <c r="AB12" s="26">
        <f>资产资本表!AB89</f>
        <v>0</v>
      </c>
      <c r="AC12" s="26">
        <f>资产资本表!AC89</f>
        <v>0</v>
      </c>
      <c r="AD12" s="26">
        <f>资产资本表!AD89</f>
        <v>0</v>
      </c>
      <c r="AE12" s="26">
        <f>资产资本表!AE89</f>
        <v>0</v>
      </c>
      <c r="AF12" s="26">
        <f>资产资本表!AF89</f>
        <v>0</v>
      </c>
      <c r="AG12" s="26">
        <f>资产资本表!AG89</f>
        <v>0</v>
      </c>
      <c r="AH12" s="26">
        <f>资产资本表!AH89</f>
        <v>0</v>
      </c>
      <c r="AI12" s="26">
        <f>资产资本表!AI89</f>
        <v>0</v>
      </c>
      <c r="AJ12" s="26">
        <f>资产资本表!AJ89</f>
        <v>0</v>
      </c>
      <c r="AK12" s="26">
        <f>资产资本表!AK89</f>
        <v>0</v>
      </c>
      <c r="AL12" s="26">
        <f>资产资本表!AL89</f>
        <v>0</v>
      </c>
      <c r="AM12" s="26">
        <f>资产资本表!AM89</f>
        <v>0</v>
      </c>
      <c r="AN12" s="26">
        <f>资产资本表!AN89</f>
        <v>0</v>
      </c>
      <c r="AO12" s="26">
        <f>资产资本表!AO89</f>
        <v>5010444.4400000004</v>
      </c>
      <c r="AP12" s="26">
        <f>资产资本表!AP89</f>
        <v>28049021.5</v>
      </c>
      <c r="AQ12" s="26">
        <f>资产资本表!AQ89</f>
        <v>0</v>
      </c>
      <c r="AR12" s="26">
        <f>资产资本表!AR89</f>
        <v>0</v>
      </c>
      <c r="AS12" s="26">
        <f>资产资本表!AS89</f>
        <v>0</v>
      </c>
      <c r="AT12" s="26">
        <f>资产资本表!AT89</f>
        <v>0</v>
      </c>
      <c r="AU12" s="26">
        <f>资产资本表!AU89</f>
        <v>0</v>
      </c>
      <c r="AV12" s="26">
        <f>资产资本表!AV89</f>
        <v>0</v>
      </c>
      <c r="AW12" s="26">
        <f>资产资本表!AW89</f>
        <v>0</v>
      </c>
      <c r="AX12" s="26">
        <f>资产资本表!AX89</f>
        <v>0</v>
      </c>
      <c r="AY12" s="26">
        <f>资产资本表!AY89</f>
        <v>0</v>
      </c>
      <c r="AZ12" s="26">
        <f>资产资本表!AZ89</f>
        <v>0</v>
      </c>
      <c r="BA12" s="26">
        <f>资产资本表!BA89</f>
        <v>0</v>
      </c>
      <c r="BB12" s="26">
        <f>资产资本表!BB89</f>
        <v>0</v>
      </c>
      <c r="BC12" s="26">
        <f>资产资本表!BC89</f>
        <v>0</v>
      </c>
      <c r="BD12" s="26">
        <f>资产资本表!BD89</f>
        <v>0</v>
      </c>
      <c r="BE12" s="26">
        <f>资产资本表!BE89</f>
        <v>0</v>
      </c>
      <c r="BF12" s="26">
        <f>资产资本表!BF89</f>
        <v>0</v>
      </c>
      <c r="BG12" s="26">
        <f>资产资本表!BG89</f>
        <v>0</v>
      </c>
      <c r="BH12" s="26">
        <f>资产资本表!BH89</f>
        <v>0</v>
      </c>
      <c r="BI12" s="26">
        <f>资产资本表!BI89</f>
        <v>0</v>
      </c>
      <c r="BJ12" s="26">
        <f>资产资本表!BJ89</f>
        <v>0</v>
      </c>
      <c r="BK12" s="26">
        <f>资产资本表!BK89</f>
        <v>0</v>
      </c>
      <c r="BL12" s="26">
        <f>资产资本表!BL89</f>
        <v>0</v>
      </c>
      <c r="BM12" s="26">
        <f>资产资本表!BM89</f>
        <v>0</v>
      </c>
      <c r="BN12" s="26">
        <f>资产资本表!BN89</f>
        <v>0</v>
      </c>
      <c r="BO12" s="26">
        <f>资产资本表!BO89</f>
        <v>0</v>
      </c>
      <c r="BP12" s="26">
        <f>资产资本表!BP89</f>
        <v>0</v>
      </c>
      <c r="BQ12" s="26">
        <f>资产资本表!BQ89</f>
        <v>0</v>
      </c>
      <c r="BR12" s="26">
        <f>资产资本表!BR89</f>
        <v>0</v>
      </c>
      <c r="BS12" s="26">
        <f>资产资本表!BS89</f>
        <v>0</v>
      </c>
      <c r="BT12" s="26">
        <f>资产资本表!BT89</f>
        <v>0</v>
      </c>
      <c r="BU12" s="26">
        <f>资产资本表!BU89</f>
        <v>0</v>
      </c>
      <c r="BV12" s="26">
        <f>资产资本表!BV89</f>
        <v>0</v>
      </c>
      <c r="BW12" s="26">
        <f>资产资本表!BW89</f>
        <v>0</v>
      </c>
      <c r="BX12" s="26">
        <f>资产资本表!BX89</f>
        <v>0</v>
      </c>
      <c r="BY12" s="26">
        <f>资产资本表!BY89</f>
        <v>0</v>
      </c>
      <c r="BZ12" s="26">
        <f>资产资本表!BZ89</f>
        <v>0</v>
      </c>
      <c r="CA12" s="26">
        <f>资产资本表!CA89</f>
        <v>0</v>
      </c>
      <c r="CB12" s="26">
        <f>资产资本表!CB89</f>
        <v>0</v>
      </c>
      <c r="CC12" s="26">
        <f>资产资本表!CC89</f>
        <v>0</v>
      </c>
      <c r="CD12" s="26">
        <f>资产资本表!CD89</f>
        <v>0</v>
      </c>
      <c r="CE12" s="26">
        <f>资产资本表!CE89</f>
        <v>0</v>
      </c>
      <c r="CF12" s="26">
        <f>资产资本表!CF89</f>
        <v>0</v>
      </c>
      <c r="CG12" s="26">
        <f>资产资本表!CG89</f>
        <v>0</v>
      </c>
      <c r="CH12" s="26">
        <f>资产资本表!CH89</f>
        <v>0</v>
      </c>
      <c r="CI12" s="26">
        <f>资产资本表!CI89</f>
        <v>0</v>
      </c>
      <c r="CJ12" s="26">
        <f>资产资本表!CJ89</f>
        <v>0</v>
      </c>
      <c r="CK12" s="26">
        <f>资产资本表!CK89</f>
        <v>0</v>
      </c>
      <c r="CL12" s="26">
        <f>资产资本表!CL89</f>
        <v>0</v>
      </c>
    </row>
    <row r="13" spans="1:90" s="26" customFormat="1" x14ac:dyDescent="0.25">
      <c r="A13" s="41" t="s">
        <v>345</v>
      </c>
      <c r="E13" s="26">
        <f>E9-E12</f>
        <v>3162572616.2799993</v>
      </c>
      <c r="F13" s="26">
        <f t="shared" ref="F13:BQ13" si="0">F9-F12</f>
        <v>3043549912.8299999</v>
      </c>
      <c r="G13" s="26">
        <f t="shared" si="0"/>
        <v>2904942506.0999999</v>
      </c>
      <c r="H13" s="26">
        <f t="shared" si="0"/>
        <v>3006042763.3599997</v>
      </c>
      <c r="I13" s="26">
        <f t="shared" si="0"/>
        <v>2880258171.6600003</v>
      </c>
      <c r="J13" s="26">
        <f t="shared" si="0"/>
        <v>2810039902.6099997</v>
      </c>
      <c r="K13" s="26">
        <f t="shared" si="0"/>
        <v>2676242325.2400002</v>
      </c>
      <c r="L13" s="26">
        <f t="shared" si="0"/>
        <v>2770792599.6999998</v>
      </c>
      <c r="M13" s="26">
        <f t="shared" si="0"/>
        <v>2655459613.3899999</v>
      </c>
      <c r="N13" s="26">
        <f t="shared" si="0"/>
        <v>2546401388.6300001</v>
      </c>
      <c r="O13" s="26">
        <f t="shared" si="0"/>
        <v>2398957888.52</v>
      </c>
      <c r="P13" s="26">
        <f t="shared" si="0"/>
        <v>2605733811.6999998</v>
      </c>
      <c r="Q13" s="26">
        <f t="shared" si="0"/>
        <v>2487328254.0400004</v>
      </c>
      <c r="R13" s="26">
        <f t="shared" si="0"/>
        <v>2304068739.1300001</v>
      </c>
      <c r="S13" s="26">
        <f t="shared" si="0"/>
        <v>2184782308.8099999</v>
      </c>
      <c r="T13" s="26">
        <f t="shared" si="0"/>
        <v>2224397084.98</v>
      </c>
      <c r="U13" s="26">
        <f t="shared" si="0"/>
        <v>2125429369.4599998</v>
      </c>
      <c r="V13" s="26">
        <f t="shared" si="0"/>
        <v>2030685494.9299998</v>
      </c>
      <c r="W13" s="26">
        <f t="shared" si="0"/>
        <v>1930708956.6900001</v>
      </c>
      <c r="X13" s="26">
        <f t="shared" si="0"/>
        <v>1977896014.0700002</v>
      </c>
      <c r="Y13" s="26">
        <f t="shared" si="0"/>
        <v>1892220602.73</v>
      </c>
      <c r="Z13" s="26">
        <f t="shared" si="0"/>
        <v>1763420146.3699999</v>
      </c>
      <c r="AA13" s="26">
        <f t="shared" si="0"/>
        <v>1643908869.0700002</v>
      </c>
      <c r="AB13" s="26">
        <f t="shared" si="0"/>
        <v>1756834966.6400001</v>
      </c>
      <c r="AC13" s="26">
        <f t="shared" si="0"/>
        <v>1650493578.27</v>
      </c>
      <c r="AD13" s="26">
        <f t="shared" si="0"/>
        <v>1556751168.1599998</v>
      </c>
      <c r="AE13" s="26">
        <f t="shared" si="0"/>
        <v>1439317961.3000002</v>
      </c>
      <c r="AF13" s="26">
        <f t="shared" si="0"/>
        <v>1533876742.3699999</v>
      </c>
      <c r="AG13" s="26">
        <f t="shared" si="0"/>
        <v>1476505584.9100001</v>
      </c>
      <c r="AH13" s="26">
        <f t="shared" si="0"/>
        <v>1378242583.3099999</v>
      </c>
      <c r="AI13" s="26">
        <f t="shared" si="0"/>
        <v>1311332115.0699999</v>
      </c>
      <c r="AJ13" s="26">
        <f t="shared" si="0"/>
        <v>1382399929.6199999</v>
      </c>
      <c r="AK13" s="26">
        <f t="shared" si="0"/>
        <v>1332248508.1300001</v>
      </c>
      <c r="AL13" s="26">
        <f t="shared" si="0"/>
        <v>1288752066.0799999</v>
      </c>
      <c r="AM13" s="26">
        <f t="shared" si="0"/>
        <v>331008478.93000001</v>
      </c>
      <c r="AN13" s="26">
        <f t="shared" si="0"/>
        <v>301337851.48000002</v>
      </c>
      <c r="AO13" s="26">
        <f t="shared" si="0"/>
        <v>233287089.20999998</v>
      </c>
      <c r="AP13" s="26">
        <f t="shared" si="0"/>
        <v>127707873.51000002</v>
      </c>
      <c r="AQ13" s="26">
        <f t="shared" si="0"/>
        <v>0</v>
      </c>
      <c r="AR13" s="26">
        <f t="shared" si="0"/>
        <v>0</v>
      </c>
      <c r="AS13" s="26">
        <f t="shared" si="0"/>
        <v>0</v>
      </c>
      <c r="AT13" s="26">
        <f t="shared" si="0"/>
        <v>0</v>
      </c>
      <c r="AU13" s="26">
        <f t="shared" si="0"/>
        <v>0</v>
      </c>
      <c r="AV13" s="26">
        <f t="shared" si="0"/>
        <v>0</v>
      </c>
      <c r="AW13" s="26">
        <f t="shared" si="0"/>
        <v>0</v>
      </c>
      <c r="AX13" s="26">
        <f t="shared" si="0"/>
        <v>0</v>
      </c>
      <c r="AY13" s="26">
        <f t="shared" si="0"/>
        <v>0</v>
      </c>
      <c r="AZ13" s="26">
        <f t="shared" si="0"/>
        <v>0</v>
      </c>
      <c r="BA13" s="26">
        <f t="shared" si="0"/>
        <v>0</v>
      </c>
      <c r="BB13" s="26">
        <f t="shared" si="0"/>
        <v>0</v>
      </c>
      <c r="BC13" s="26">
        <f t="shared" si="0"/>
        <v>0</v>
      </c>
      <c r="BD13" s="26">
        <f t="shared" si="0"/>
        <v>0</v>
      </c>
      <c r="BE13" s="26">
        <f t="shared" si="0"/>
        <v>0</v>
      </c>
      <c r="BF13" s="26">
        <f t="shared" si="0"/>
        <v>0</v>
      </c>
      <c r="BG13" s="26">
        <f t="shared" si="0"/>
        <v>0</v>
      </c>
      <c r="BH13" s="26">
        <f t="shared" si="0"/>
        <v>0</v>
      </c>
      <c r="BI13" s="26">
        <f t="shared" si="0"/>
        <v>0</v>
      </c>
      <c r="BJ13" s="26">
        <f t="shared" si="0"/>
        <v>0</v>
      </c>
      <c r="BK13" s="26">
        <f t="shared" si="0"/>
        <v>0</v>
      </c>
      <c r="BL13" s="26">
        <f t="shared" si="0"/>
        <v>0</v>
      </c>
      <c r="BM13" s="26">
        <f t="shared" si="0"/>
        <v>0</v>
      </c>
      <c r="BN13" s="26">
        <f t="shared" si="0"/>
        <v>0</v>
      </c>
      <c r="BO13" s="26">
        <f t="shared" si="0"/>
        <v>0</v>
      </c>
      <c r="BP13" s="26">
        <f t="shared" si="0"/>
        <v>0</v>
      </c>
      <c r="BQ13" s="26">
        <f t="shared" si="0"/>
        <v>0</v>
      </c>
      <c r="BR13" s="26">
        <f t="shared" ref="BR13:CL13" si="1">BR9-BR12</f>
        <v>0</v>
      </c>
      <c r="BS13" s="26">
        <f t="shared" si="1"/>
        <v>0</v>
      </c>
      <c r="BT13" s="26">
        <f t="shared" si="1"/>
        <v>0</v>
      </c>
      <c r="BU13" s="26">
        <f t="shared" si="1"/>
        <v>0</v>
      </c>
      <c r="BV13" s="26">
        <f t="shared" si="1"/>
        <v>0</v>
      </c>
      <c r="BW13" s="26">
        <f t="shared" si="1"/>
        <v>0</v>
      </c>
      <c r="BX13" s="26">
        <f t="shared" si="1"/>
        <v>0</v>
      </c>
      <c r="BY13" s="26">
        <f t="shared" si="1"/>
        <v>0</v>
      </c>
      <c r="BZ13" s="26">
        <f t="shared" si="1"/>
        <v>0</v>
      </c>
      <c r="CA13" s="26">
        <f t="shared" si="1"/>
        <v>0</v>
      </c>
      <c r="CB13" s="26">
        <f t="shared" si="1"/>
        <v>0</v>
      </c>
      <c r="CC13" s="26">
        <f t="shared" si="1"/>
        <v>0</v>
      </c>
      <c r="CD13" s="26">
        <f t="shared" si="1"/>
        <v>0</v>
      </c>
      <c r="CE13" s="26">
        <f t="shared" si="1"/>
        <v>0</v>
      </c>
      <c r="CF13" s="26">
        <f t="shared" si="1"/>
        <v>0</v>
      </c>
      <c r="CG13" s="26">
        <f t="shared" si="1"/>
        <v>0</v>
      </c>
      <c r="CH13" s="26">
        <f t="shared" si="1"/>
        <v>0</v>
      </c>
      <c r="CI13" s="26">
        <f t="shared" si="1"/>
        <v>0</v>
      </c>
      <c r="CJ13" s="26">
        <f t="shared" si="1"/>
        <v>0</v>
      </c>
      <c r="CK13" s="26">
        <f t="shared" si="1"/>
        <v>0</v>
      </c>
      <c r="CL13" s="26">
        <f t="shared" si="1"/>
        <v>0</v>
      </c>
    </row>
    <row r="14" spans="1:90" s="48" customFormat="1" x14ac:dyDescent="0.25">
      <c r="A14" s="46" t="s">
        <v>640</v>
      </c>
      <c r="E14" s="48">
        <f>E9</f>
        <v>3415975678.7199993</v>
      </c>
      <c r="F14" s="48">
        <f t="shared" ref="F14:BQ14" si="2">F9</f>
        <v>3469234189.5599999</v>
      </c>
      <c r="G14" s="48">
        <f t="shared" si="2"/>
        <v>3334128665.5799999</v>
      </c>
      <c r="H14" s="48">
        <f t="shared" si="2"/>
        <v>3553104597.3199997</v>
      </c>
      <c r="I14" s="48">
        <f t="shared" si="2"/>
        <v>3379120624.0300002</v>
      </c>
      <c r="J14" s="48">
        <f t="shared" si="2"/>
        <v>3143130880.5099998</v>
      </c>
      <c r="K14" s="48">
        <f t="shared" si="2"/>
        <v>2963681471.9000001</v>
      </c>
      <c r="L14" s="48">
        <f t="shared" si="2"/>
        <v>2881482643.0299997</v>
      </c>
      <c r="M14" s="48">
        <f t="shared" si="2"/>
        <v>2770141834.1799998</v>
      </c>
      <c r="N14" s="48">
        <f t="shared" si="2"/>
        <v>2546401388.6300001</v>
      </c>
      <c r="O14" s="48">
        <f t="shared" si="2"/>
        <v>2402871215.6399999</v>
      </c>
      <c r="P14" s="48">
        <f t="shared" si="2"/>
        <v>2608400747.6599998</v>
      </c>
      <c r="Q14" s="48">
        <f t="shared" si="2"/>
        <v>2492915605.7700005</v>
      </c>
      <c r="R14" s="48">
        <f t="shared" si="2"/>
        <v>2308488151.73</v>
      </c>
      <c r="S14" s="48">
        <f t="shared" si="2"/>
        <v>2192212395.2799997</v>
      </c>
      <c r="T14" s="48">
        <f t="shared" si="2"/>
        <v>2229681235.0799999</v>
      </c>
      <c r="U14" s="48">
        <f t="shared" si="2"/>
        <v>2133306409.3499999</v>
      </c>
      <c r="V14" s="48">
        <f t="shared" si="2"/>
        <v>2030685494.9299998</v>
      </c>
      <c r="W14" s="48">
        <f t="shared" si="2"/>
        <v>1930708956.6900001</v>
      </c>
      <c r="X14" s="48">
        <f t="shared" si="2"/>
        <v>1977896014.0700002</v>
      </c>
      <c r="Y14" s="48">
        <f t="shared" si="2"/>
        <v>1892220602.73</v>
      </c>
      <c r="Z14" s="48">
        <f t="shared" si="2"/>
        <v>1763420146.3699999</v>
      </c>
      <c r="AA14" s="48">
        <f t="shared" si="2"/>
        <v>1643908869.0700002</v>
      </c>
      <c r="AB14" s="48">
        <f t="shared" si="2"/>
        <v>1756834966.6400001</v>
      </c>
      <c r="AC14" s="48">
        <f t="shared" si="2"/>
        <v>1650493578.27</v>
      </c>
      <c r="AD14" s="48">
        <f t="shared" si="2"/>
        <v>1556751168.1599998</v>
      </c>
      <c r="AE14" s="48">
        <f t="shared" si="2"/>
        <v>1439317961.3000002</v>
      </c>
      <c r="AF14" s="48">
        <f t="shared" si="2"/>
        <v>1533876742.3699999</v>
      </c>
      <c r="AG14" s="48">
        <f t="shared" si="2"/>
        <v>1476505584.9100001</v>
      </c>
      <c r="AH14" s="48">
        <f t="shared" si="2"/>
        <v>1378242583.3099999</v>
      </c>
      <c r="AI14" s="48">
        <f t="shared" si="2"/>
        <v>1311332115.0699999</v>
      </c>
      <c r="AJ14" s="48">
        <f t="shared" si="2"/>
        <v>1382399929.6199999</v>
      </c>
      <c r="AK14" s="48">
        <f t="shared" si="2"/>
        <v>1332248508.1300001</v>
      </c>
      <c r="AL14" s="48">
        <f t="shared" si="2"/>
        <v>1288752066.0799999</v>
      </c>
      <c r="AM14" s="48">
        <f t="shared" si="2"/>
        <v>331008478.93000001</v>
      </c>
      <c r="AN14" s="48">
        <f t="shared" si="2"/>
        <v>301337851.48000002</v>
      </c>
      <c r="AO14" s="48">
        <f t="shared" si="2"/>
        <v>238297533.64999998</v>
      </c>
      <c r="AP14" s="48">
        <f t="shared" si="2"/>
        <v>155756895.01000002</v>
      </c>
      <c r="AQ14" s="48">
        <f t="shared" si="2"/>
        <v>0</v>
      </c>
      <c r="AR14" s="48">
        <f t="shared" si="2"/>
        <v>0</v>
      </c>
      <c r="AS14" s="48">
        <f t="shared" si="2"/>
        <v>0</v>
      </c>
      <c r="AT14" s="48">
        <f t="shared" si="2"/>
        <v>0</v>
      </c>
      <c r="AU14" s="48">
        <f t="shared" si="2"/>
        <v>0</v>
      </c>
      <c r="AV14" s="48">
        <f t="shared" si="2"/>
        <v>0</v>
      </c>
      <c r="AW14" s="48">
        <f t="shared" si="2"/>
        <v>0</v>
      </c>
      <c r="AX14" s="48">
        <f t="shared" si="2"/>
        <v>0</v>
      </c>
      <c r="AY14" s="48">
        <f t="shared" si="2"/>
        <v>0</v>
      </c>
      <c r="AZ14" s="48">
        <f t="shared" si="2"/>
        <v>0</v>
      </c>
      <c r="BA14" s="48">
        <f t="shared" si="2"/>
        <v>0</v>
      </c>
      <c r="BB14" s="48">
        <f t="shared" si="2"/>
        <v>0</v>
      </c>
      <c r="BC14" s="48">
        <f t="shared" si="2"/>
        <v>0</v>
      </c>
      <c r="BD14" s="48">
        <f t="shared" si="2"/>
        <v>0</v>
      </c>
      <c r="BE14" s="48">
        <f t="shared" si="2"/>
        <v>0</v>
      </c>
      <c r="BF14" s="48">
        <f t="shared" si="2"/>
        <v>0</v>
      </c>
      <c r="BG14" s="48">
        <f t="shared" si="2"/>
        <v>0</v>
      </c>
      <c r="BH14" s="48">
        <f t="shared" si="2"/>
        <v>0</v>
      </c>
      <c r="BI14" s="48">
        <f t="shared" si="2"/>
        <v>0</v>
      </c>
      <c r="BJ14" s="48">
        <f t="shared" si="2"/>
        <v>0</v>
      </c>
      <c r="BK14" s="48">
        <f t="shared" si="2"/>
        <v>0</v>
      </c>
      <c r="BL14" s="48">
        <f t="shared" si="2"/>
        <v>0</v>
      </c>
      <c r="BM14" s="48">
        <f t="shared" si="2"/>
        <v>0</v>
      </c>
      <c r="BN14" s="48">
        <f t="shared" si="2"/>
        <v>0</v>
      </c>
      <c r="BO14" s="48">
        <f t="shared" si="2"/>
        <v>0</v>
      </c>
      <c r="BP14" s="48">
        <f t="shared" si="2"/>
        <v>0</v>
      </c>
      <c r="BQ14" s="48">
        <f t="shared" si="2"/>
        <v>0</v>
      </c>
      <c r="BR14" s="48">
        <f t="shared" ref="BR14:CL14" si="3">BR9</f>
        <v>0</v>
      </c>
      <c r="BS14" s="48">
        <f t="shared" si="3"/>
        <v>0</v>
      </c>
      <c r="BT14" s="48">
        <f t="shared" si="3"/>
        <v>0</v>
      </c>
      <c r="BU14" s="48">
        <f t="shared" si="3"/>
        <v>0</v>
      </c>
      <c r="BV14" s="48">
        <f t="shared" si="3"/>
        <v>0</v>
      </c>
      <c r="BW14" s="48">
        <f t="shared" si="3"/>
        <v>0</v>
      </c>
      <c r="BX14" s="48">
        <f t="shared" si="3"/>
        <v>0</v>
      </c>
      <c r="BY14" s="48">
        <f t="shared" si="3"/>
        <v>0</v>
      </c>
      <c r="BZ14" s="48">
        <f t="shared" si="3"/>
        <v>0</v>
      </c>
      <c r="CA14" s="48">
        <f t="shared" si="3"/>
        <v>0</v>
      </c>
      <c r="CB14" s="48">
        <f t="shared" si="3"/>
        <v>0</v>
      </c>
      <c r="CC14" s="48">
        <f t="shared" si="3"/>
        <v>0</v>
      </c>
      <c r="CD14" s="48">
        <f t="shared" si="3"/>
        <v>0</v>
      </c>
      <c r="CE14" s="48">
        <f t="shared" si="3"/>
        <v>0</v>
      </c>
      <c r="CF14" s="48">
        <f t="shared" si="3"/>
        <v>0</v>
      </c>
      <c r="CG14" s="48">
        <f t="shared" si="3"/>
        <v>0</v>
      </c>
      <c r="CH14" s="48">
        <f t="shared" si="3"/>
        <v>0</v>
      </c>
      <c r="CI14" s="48">
        <f t="shared" si="3"/>
        <v>0</v>
      </c>
      <c r="CJ14" s="48">
        <f t="shared" si="3"/>
        <v>0</v>
      </c>
      <c r="CK14" s="48">
        <f t="shared" si="3"/>
        <v>0</v>
      </c>
      <c r="CL14" s="48">
        <f t="shared" si="3"/>
        <v>0</v>
      </c>
    </row>
    <row r="15" spans="1:90" s="58" customFormat="1" x14ac:dyDescent="0.25">
      <c r="A15" s="46" t="s">
        <v>343</v>
      </c>
      <c r="E15" s="58">
        <f>E11+E13-E3-E4-E7</f>
        <v>535610305.74999976</v>
      </c>
      <c r="F15" s="58">
        <f t="shared" ref="F15:BQ15" si="4">F11+F13-F3-F4-F7</f>
        <v>179505890.8900001</v>
      </c>
      <c r="G15" s="58">
        <f t="shared" si="4"/>
        <v>430823420.4199996</v>
      </c>
      <c r="H15" s="58">
        <f t="shared" si="4"/>
        <v>673095974.13999987</v>
      </c>
      <c r="I15" s="58">
        <f t="shared" si="4"/>
        <v>1146651166.3400002</v>
      </c>
      <c r="J15" s="58">
        <f t="shared" si="4"/>
        <v>695254236.98000014</v>
      </c>
      <c r="K15" s="58">
        <f t="shared" si="4"/>
        <v>456701245.65000021</v>
      </c>
      <c r="L15" s="58">
        <f t="shared" si="4"/>
        <v>696484046.78999984</v>
      </c>
      <c r="M15" s="58">
        <f t="shared" si="4"/>
        <v>593286609.92999995</v>
      </c>
      <c r="N15" s="58">
        <f t="shared" si="4"/>
        <v>797669458.75</v>
      </c>
      <c r="O15" s="58">
        <f t="shared" si="4"/>
        <v>619994822.77999985</v>
      </c>
      <c r="P15" s="58">
        <f t="shared" si="4"/>
        <v>669893756.86999989</v>
      </c>
      <c r="Q15" s="58">
        <f t="shared" si="4"/>
        <v>647204677.45000029</v>
      </c>
      <c r="R15" s="58">
        <f t="shared" si="4"/>
        <v>629117054.61000013</v>
      </c>
      <c r="S15" s="58">
        <f t="shared" si="4"/>
        <v>835542721.86999989</v>
      </c>
      <c r="T15" s="58">
        <f t="shared" si="4"/>
        <v>884858061.70000005</v>
      </c>
      <c r="U15" s="58">
        <f t="shared" si="4"/>
        <v>932276706.14999986</v>
      </c>
      <c r="V15" s="58">
        <f t="shared" si="4"/>
        <v>952923862.07999992</v>
      </c>
      <c r="W15" s="58">
        <f t="shared" si="4"/>
        <v>769157162.38</v>
      </c>
      <c r="X15" s="58">
        <f t="shared" si="4"/>
        <v>991763885.86000025</v>
      </c>
      <c r="Y15" s="58">
        <f t="shared" si="4"/>
        <v>956043885.24000001</v>
      </c>
      <c r="Z15" s="58">
        <f t="shared" si="4"/>
        <v>803173622.38</v>
      </c>
      <c r="AA15" s="58">
        <f t="shared" si="4"/>
        <v>667828913.97000015</v>
      </c>
      <c r="AB15" s="58">
        <f t="shared" si="4"/>
        <v>1014024416.74</v>
      </c>
      <c r="AC15" s="58">
        <f t="shared" si="4"/>
        <v>1002302902.5700001</v>
      </c>
      <c r="AD15" s="58">
        <f t="shared" si="4"/>
        <v>982362386.38999987</v>
      </c>
      <c r="AE15" s="58">
        <f t="shared" si="4"/>
        <v>862194779.22000003</v>
      </c>
      <c r="AF15" s="58">
        <f t="shared" si="4"/>
        <v>1151874426.3</v>
      </c>
      <c r="AG15" s="58">
        <f t="shared" si="4"/>
        <v>1057191976.4500002</v>
      </c>
      <c r="AH15" s="58">
        <f t="shared" si="4"/>
        <v>960610001.01999998</v>
      </c>
      <c r="AI15" s="58">
        <f t="shared" si="4"/>
        <v>930790908.42999995</v>
      </c>
      <c r="AJ15" s="58">
        <f t="shared" si="4"/>
        <v>1127355392.73</v>
      </c>
      <c r="AK15" s="58">
        <f t="shared" si="4"/>
        <v>1066884381.7</v>
      </c>
      <c r="AL15" s="58">
        <f t="shared" si="4"/>
        <v>1057983159.1099999</v>
      </c>
      <c r="AM15" s="58">
        <f t="shared" si="4"/>
        <v>74808751.980000034</v>
      </c>
      <c r="AN15" s="58">
        <f t="shared" si="4"/>
        <v>78505801.079999998</v>
      </c>
      <c r="AO15" s="58">
        <f t="shared" si="4"/>
        <v>45134671.979999989</v>
      </c>
      <c r="AP15" s="58">
        <f t="shared" si="4"/>
        <v>24560604.959999993</v>
      </c>
      <c r="AQ15" s="58">
        <f t="shared" si="4"/>
        <v>0</v>
      </c>
      <c r="AR15" s="58">
        <f t="shared" si="4"/>
        <v>0</v>
      </c>
      <c r="AS15" s="58">
        <f t="shared" si="4"/>
        <v>0</v>
      </c>
      <c r="AT15" s="58">
        <f t="shared" si="4"/>
        <v>0</v>
      </c>
      <c r="AU15" s="58">
        <f t="shared" si="4"/>
        <v>0</v>
      </c>
      <c r="AV15" s="58">
        <f t="shared" si="4"/>
        <v>0</v>
      </c>
      <c r="AW15" s="58">
        <f t="shared" si="4"/>
        <v>0</v>
      </c>
      <c r="AX15" s="58">
        <f t="shared" si="4"/>
        <v>0</v>
      </c>
      <c r="AY15" s="58">
        <f t="shared" si="4"/>
        <v>0</v>
      </c>
      <c r="AZ15" s="58">
        <f t="shared" si="4"/>
        <v>0</v>
      </c>
      <c r="BA15" s="58">
        <f t="shared" si="4"/>
        <v>0</v>
      </c>
      <c r="BB15" s="58">
        <f t="shared" si="4"/>
        <v>0</v>
      </c>
      <c r="BC15" s="58">
        <f t="shared" si="4"/>
        <v>0</v>
      </c>
      <c r="BD15" s="58">
        <f t="shared" si="4"/>
        <v>0</v>
      </c>
      <c r="BE15" s="58">
        <f t="shared" si="4"/>
        <v>0</v>
      </c>
      <c r="BF15" s="58">
        <f t="shared" si="4"/>
        <v>0</v>
      </c>
      <c r="BG15" s="58">
        <f t="shared" si="4"/>
        <v>0</v>
      </c>
      <c r="BH15" s="58">
        <f t="shared" si="4"/>
        <v>0</v>
      </c>
      <c r="BI15" s="58">
        <f t="shared" si="4"/>
        <v>0</v>
      </c>
      <c r="BJ15" s="58">
        <f t="shared" si="4"/>
        <v>0</v>
      </c>
      <c r="BK15" s="58">
        <f t="shared" si="4"/>
        <v>0</v>
      </c>
      <c r="BL15" s="58">
        <f t="shared" si="4"/>
        <v>0</v>
      </c>
      <c r="BM15" s="58">
        <f t="shared" si="4"/>
        <v>0</v>
      </c>
      <c r="BN15" s="58">
        <f t="shared" si="4"/>
        <v>0</v>
      </c>
      <c r="BO15" s="58">
        <f t="shared" si="4"/>
        <v>0</v>
      </c>
      <c r="BP15" s="58">
        <f t="shared" si="4"/>
        <v>0</v>
      </c>
      <c r="BQ15" s="58">
        <f t="shared" si="4"/>
        <v>0</v>
      </c>
      <c r="BR15" s="58">
        <f t="shared" ref="BR15:CL15" si="5">BR11+BR13-BR3-BR4-BR7</f>
        <v>0</v>
      </c>
      <c r="BS15" s="58">
        <f t="shared" si="5"/>
        <v>0</v>
      </c>
      <c r="BT15" s="58">
        <f t="shared" si="5"/>
        <v>0</v>
      </c>
      <c r="BU15" s="58">
        <f t="shared" si="5"/>
        <v>0</v>
      </c>
      <c r="BV15" s="58">
        <f t="shared" si="5"/>
        <v>0</v>
      </c>
      <c r="BW15" s="58">
        <f t="shared" si="5"/>
        <v>0</v>
      </c>
      <c r="BX15" s="58">
        <f t="shared" si="5"/>
        <v>0</v>
      </c>
      <c r="BY15" s="58">
        <f t="shared" si="5"/>
        <v>0</v>
      </c>
      <c r="BZ15" s="58">
        <f t="shared" si="5"/>
        <v>0</v>
      </c>
      <c r="CA15" s="58">
        <f t="shared" si="5"/>
        <v>0</v>
      </c>
      <c r="CB15" s="58">
        <f t="shared" si="5"/>
        <v>0</v>
      </c>
      <c r="CC15" s="58">
        <f t="shared" si="5"/>
        <v>0</v>
      </c>
      <c r="CD15" s="58">
        <f t="shared" si="5"/>
        <v>0</v>
      </c>
      <c r="CE15" s="58">
        <f t="shared" si="5"/>
        <v>0</v>
      </c>
      <c r="CF15" s="58">
        <f t="shared" si="5"/>
        <v>0</v>
      </c>
      <c r="CG15" s="58">
        <f t="shared" si="5"/>
        <v>0</v>
      </c>
      <c r="CH15" s="58">
        <f t="shared" si="5"/>
        <v>0</v>
      </c>
      <c r="CI15" s="58">
        <f t="shared" si="5"/>
        <v>0</v>
      </c>
      <c r="CJ15" s="58">
        <f t="shared" si="5"/>
        <v>0</v>
      </c>
      <c r="CK15" s="58">
        <f t="shared" si="5"/>
        <v>0</v>
      </c>
      <c r="CL15" s="58">
        <f t="shared" si="5"/>
        <v>0</v>
      </c>
    </row>
    <row r="16" spans="1:90" s="58" customFormat="1" x14ac:dyDescent="0.25">
      <c r="A16" s="46" t="s">
        <v>344</v>
      </c>
      <c r="E16" s="58">
        <f>E10-E2</f>
        <v>-535610305.74999994</v>
      </c>
      <c r="F16" s="58">
        <f t="shared" ref="F16:BQ16" si="6">F10-F2</f>
        <v>-179505890.88999993</v>
      </c>
      <c r="G16" s="58">
        <f t="shared" si="6"/>
        <v>-430823420.41999996</v>
      </c>
      <c r="H16" s="58">
        <f t="shared" si="6"/>
        <v>-673095974.13999999</v>
      </c>
      <c r="I16" s="58">
        <f t="shared" si="6"/>
        <v>-1146651166.3399999</v>
      </c>
      <c r="J16" s="58">
        <f t="shared" si="6"/>
        <v>-695254236.98000002</v>
      </c>
      <c r="K16" s="58">
        <f t="shared" si="6"/>
        <v>-456701245.64999998</v>
      </c>
      <c r="L16" s="58">
        <f t="shared" si="6"/>
        <v>-696484046.78999996</v>
      </c>
      <c r="M16" s="58">
        <f t="shared" si="6"/>
        <v>-593286609.92999995</v>
      </c>
      <c r="N16" s="58">
        <f t="shared" si="6"/>
        <v>-797669458.75</v>
      </c>
      <c r="O16" s="58">
        <f t="shared" si="6"/>
        <v>-619994822.77999997</v>
      </c>
      <c r="P16" s="58">
        <f t="shared" si="6"/>
        <v>-669893756.87</v>
      </c>
      <c r="Q16" s="58">
        <f t="shared" si="6"/>
        <v>-647204677.45000005</v>
      </c>
      <c r="R16" s="58">
        <f t="shared" si="6"/>
        <v>-629117054.61000001</v>
      </c>
      <c r="S16" s="58">
        <f t="shared" si="6"/>
        <v>-835542721.87</v>
      </c>
      <c r="T16" s="58">
        <f t="shared" si="6"/>
        <v>-884858061.70000005</v>
      </c>
      <c r="U16" s="58">
        <f t="shared" si="6"/>
        <v>-932276706.14999998</v>
      </c>
      <c r="V16" s="58">
        <f t="shared" si="6"/>
        <v>-952923862.08000004</v>
      </c>
      <c r="W16" s="58">
        <f t="shared" si="6"/>
        <v>-769157162.38</v>
      </c>
      <c r="X16" s="58">
        <f t="shared" si="6"/>
        <v>-991763885.86000001</v>
      </c>
      <c r="Y16" s="58">
        <f t="shared" si="6"/>
        <v>-956043885.24000001</v>
      </c>
      <c r="Z16" s="58">
        <f t="shared" si="6"/>
        <v>-803173622.38</v>
      </c>
      <c r="AA16" s="58">
        <f t="shared" si="6"/>
        <v>-667828913.97000003</v>
      </c>
      <c r="AB16" s="58">
        <f t="shared" si="6"/>
        <v>-1014024416.74</v>
      </c>
      <c r="AC16" s="58">
        <f t="shared" si="6"/>
        <v>-1002302902.5700001</v>
      </c>
      <c r="AD16" s="58">
        <f t="shared" si="6"/>
        <v>-982362386.38999999</v>
      </c>
      <c r="AE16" s="58">
        <f t="shared" si="6"/>
        <v>-862194779.22000003</v>
      </c>
      <c r="AF16" s="58">
        <f t="shared" si="6"/>
        <v>-1151874426.3</v>
      </c>
      <c r="AG16" s="58">
        <f t="shared" si="6"/>
        <v>-1057191976.45</v>
      </c>
      <c r="AH16" s="58">
        <f t="shared" si="6"/>
        <v>-960610001.01999998</v>
      </c>
      <c r="AI16" s="58">
        <f t="shared" si="6"/>
        <v>-930790908.42999995</v>
      </c>
      <c r="AJ16" s="58">
        <f t="shared" si="6"/>
        <v>-1127355392.73</v>
      </c>
      <c r="AK16" s="58">
        <f t="shared" si="6"/>
        <v>-1066884381.7</v>
      </c>
      <c r="AL16" s="58">
        <f t="shared" si="6"/>
        <v>-1057983159.11</v>
      </c>
      <c r="AM16" s="58">
        <f t="shared" si="6"/>
        <v>-74808751.980000004</v>
      </c>
      <c r="AN16" s="58">
        <f t="shared" si="6"/>
        <v>-78505801.079999998</v>
      </c>
      <c r="AO16" s="58">
        <f t="shared" si="6"/>
        <v>-45134671.980000004</v>
      </c>
      <c r="AP16" s="58">
        <f t="shared" si="6"/>
        <v>-24560604.960000001</v>
      </c>
      <c r="AQ16" s="58">
        <f t="shared" si="6"/>
        <v>0</v>
      </c>
      <c r="AR16" s="58">
        <f t="shared" si="6"/>
        <v>0</v>
      </c>
      <c r="AS16" s="58">
        <f t="shared" si="6"/>
        <v>0</v>
      </c>
      <c r="AT16" s="58">
        <f t="shared" si="6"/>
        <v>0</v>
      </c>
      <c r="AU16" s="58">
        <f t="shared" si="6"/>
        <v>0</v>
      </c>
      <c r="AV16" s="58">
        <f t="shared" si="6"/>
        <v>0</v>
      </c>
      <c r="AW16" s="58">
        <f t="shared" si="6"/>
        <v>0</v>
      </c>
      <c r="AX16" s="58">
        <f t="shared" si="6"/>
        <v>0</v>
      </c>
      <c r="AY16" s="58">
        <f t="shared" si="6"/>
        <v>0</v>
      </c>
      <c r="AZ16" s="58">
        <f t="shared" si="6"/>
        <v>0</v>
      </c>
      <c r="BA16" s="58">
        <f t="shared" si="6"/>
        <v>0</v>
      </c>
      <c r="BB16" s="58">
        <f t="shared" si="6"/>
        <v>0</v>
      </c>
      <c r="BC16" s="58">
        <f t="shared" si="6"/>
        <v>0</v>
      </c>
      <c r="BD16" s="58">
        <f t="shared" si="6"/>
        <v>0</v>
      </c>
      <c r="BE16" s="58">
        <f t="shared" si="6"/>
        <v>0</v>
      </c>
      <c r="BF16" s="58">
        <f t="shared" si="6"/>
        <v>0</v>
      </c>
      <c r="BG16" s="58">
        <f t="shared" si="6"/>
        <v>0</v>
      </c>
      <c r="BH16" s="58">
        <f t="shared" si="6"/>
        <v>0</v>
      </c>
      <c r="BI16" s="58">
        <f t="shared" si="6"/>
        <v>0</v>
      </c>
      <c r="BJ16" s="58">
        <f t="shared" si="6"/>
        <v>0</v>
      </c>
      <c r="BK16" s="58">
        <f t="shared" si="6"/>
        <v>0</v>
      </c>
      <c r="BL16" s="58">
        <f t="shared" si="6"/>
        <v>0</v>
      </c>
      <c r="BM16" s="58">
        <f t="shared" si="6"/>
        <v>0</v>
      </c>
      <c r="BN16" s="58">
        <f t="shared" si="6"/>
        <v>0</v>
      </c>
      <c r="BO16" s="58">
        <f t="shared" si="6"/>
        <v>0</v>
      </c>
      <c r="BP16" s="58">
        <f t="shared" si="6"/>
        <v>0</v>
      </c>
      <c r="BQ16" s="58">
        <f t="shared" si="6"/>
        <v>0</v>
      </c>
      <c r="BR16" s="58">
        <f t="shared" ref="BR16:CL16" si="7">BR10-BR2</f>
        <v>0</v>
      </c>
      <c r="BS16" s="58">
        <f t="shared" si="7"/>
        <v>0</v>
      </c>
      <c r="BT16" s="58">
        <f t="shared" si="7"/>
        <v>0</v>
      </c>
      <c r="BU16" s="58">
        <f t="shared" si="7"/>
        <v>0</v>
      </c>
      <c r="BV16" s="58">
        <f t="shared" si="7"/>
        <v>0</v>
      </c>
      <c r="BW16" s="58">
        <f t="shared" si="7"/>
        <v>0</v>
      </c>
      <c r="BX16" s="58">
        <f t="shared" si="7"/>
        <v>0</v>
      </c>
      <c r="BY16" s="58">
        <f t="shared" si="7"/>
        <v>0</v>
      </c>
      <c r="BZ16" s="58">
        <f t="shared" si="7"/>
        <v>0</v>
      </c>
      <c r="CA16" s="58">
        <f t="shared" si="7"/>
        <v>0</v>
      </c>
      <c r="CB16" s="58">
        <f t="shared" si="7"/>
        <v>0</v>
      </c>
      <c r="CC16" s="58">
        <f t="shared" si="7"/>
        <v>0</v>
      </c>
      <c r="CD16" s="58">
        <f t="shared" si="7"/>
        <v>0</v>
      </c>
      <c r="CE16" s="58">
        <f t="shared" si="7"/>
        <v>0</v>
      </c>
      <c r="CF16" s="58">
        <f t="shared" si="7"/>
        <v>0</v>
      </c>
      <c r="CG16" s="58">
        <f t="shared" si="7"/>
        <v>0</v>
      </c>
      <c r="CH16" s="58">
        <f t="shared" si="7"/>
        <v>0</v>
      </c>
      <c r="CI16" s="58">
        <f t="shared" si="7"/>
        <v>0</v>
      </c>
      <c r="CJ16" s="58">
        <f t="shared" si="7"/>
        <v>0</v>
      </c>
      <c r="CK16" s="58">
        <f t="shared" si="7"/>
        <v>0</v>
      </c>
      <c r="CL16" s="58">
        <f t="shared" si="7"/>
        <v>0</v>
      </c>
    </row>
    <row r="17" spans="1:90" s="59" customFormat="1" x14ac:dyDescent="0.25">
      <c r="A17" s="66" t="s">
        <v>665</v>
      </c>
      <c r="E17" s="59">
        <f>(E11+E13-E7-E3)/E4</f>
        <v>1.3353641395818787</v>
      </c>
      <c r="F17" s="59">
        <f t="shared" ref="F17:BQ17" si="8">(F11+F13-F7-F3)/F4</f>
        <v>1.1023029431117741</v>
      </c>
      <c r="G17" s="59">
        <f t="shared" si="8"/>
        <v>1.3193325529409599</v>
      </c>
      <c r="H17" s="59">
        <f t="shared" si="8"/>
        <v>1.5263701978369379</v>
      </c>
      <c r="I17" s="59">
        <f t="shared" si="8"/>
        <v>2.2082102011984115</v>
      </c>
      <c r="J17" s="59">
        <f t="shared" si="8"/>
        <v>1.5346067679388271</v>
      </c>
      <c r="K17" s="59">
        <f t="shared" si="8"/>
        <v>1.3420715989002865</v>
      </c>
      <c r="L17" s="59">
        <f t="shared" si="8"/>
        <v>1.5953228167800884</v>
      </c>
      <c r="M17" s="59">
        <f t="shared" si="8"/>
        <v>1.5127376497494665</v>
      </c>
      <c r="N17" s="59">
        <f t="shared" si="8"/>
        <v>1.8676434121765251</v>
      </c>
      <c r="O17" s="59">
        <f t="shared" si="8"/>
        <v>1.645325810950516</v>
      </c>
      <c r="P17" s="59">
        <f t="shared" si="8"/>
        <v>1.6017856579114642</v>
      </c>
      <c r="Q17" s="59">
        <f t="shared" si="8"/>
        <v>1.6343844568609289</v>
      </c>
      <c r="R17" s="59">
        <f t="shared" si="8"/>
        <v>1.6164010874967298</v>
      </c>
      <c r="S17" s="59">
        <f t="shared" si="8"/>
        <v>2.1703606578206873</v>
      </c>
      <c r="T17" s="59">
        <f t="shared" si="8"/>
        <v>2.2520699119707714</v>
      </c>
      <c r="U17" s="59">
        <f t="shared" si="8"/>
        <v>2.680554397223768</v>
      </c>
      <c r="V17" s="59">
        <f t="shared" si="8"/>
        <v>3.1656757789819099</v>
      </c>
      <c r="W17" s="59">
        <f t="shared" si="8"/>
        <v>2.2701644440024991</v>
      </c>
      <c r="X17" s="59">
        <f t="shared" si="8"/>
        <v>3.1509004266720897</v>
      </c>
      <c r="Y17" s="59">
        <f t="shared" si="8"/>
        <v>3.2675187017344172</v>
      </c>
      <c r="Z17" s="59">
        <f t="shared" si="8"/>
        <v>2.7330012994230133</v>
      </c>
      <c r="AA17" s="59">
        <f t="shared" si="8"/>
        <v>2.2412165272115181</v>
      </c>
      <c r="AB17" s="59">
        <f t="shared" si="8"/>
        <v>4.1862538434038825</v>
      </c>
      <c r="AC17" s="59">
        <f t="shared" si="8"/>
        <v>5.1427517882387095</v>
      </c>
      <c r="AD17" s="59">
        <f t="shared" si="8"/>
        <v>4.7604811828509996</v>
      </c>
      <c r="AE17" s="59">
        <f t="shared" si="8"/>
        <v>3.6824577337370017</v>
      </c>
      <c r="AF17" s="59">
        <f t="shared" si="8"/>
        <v>8.781866119661716</v>
      </c>
      <c r="AG17" s="59">
        <f t="shared" si="8"/>
        <v>6.169695716788568</v>
      </c>
      <c r="AH17" s="59">
        <f t="shared" si="8"/>
        <v>4.4063365873740485</v>
      </c>
      <c r="AI17" s="59">
        <f t="shared" si="8"/>
        <v>4.6814218279065747</v>
      </c>
      <c r="AJ17" s="59">
        <f t="shared" si="8"/>
        <v>9.882182916478893</v>
      </c>
      <c r="AK17" s="59">
        <f t="shared" si="8"/>
        <v>8.7634641690997288</v>
      </c>
      <c r="AL17" s="59">
        <f t="shared" si="8"/>
        <v>8.9185175435872956</v>
      </c>
      <c r="AM17" s="59">
        <f t="shared" si="8"/>
        <v>1.4736337935223385</v>
      </c>
      <c r="AN17" s="59">
        <f t="shared" si="8"/>
        <v>1.6495623810094462</v>
      </c>
      <c r="AO17" s="59">
        <f t="shared" si="8"/>
        <v>1.4093259131914415</v>
      </c>
      <c r="AP17" s="59">
        <f t="shared" si="8"/>
        <v>1.6305538938648951</v>
      </c>
      <c r="AQ17" s="59" t="e">
        <f t="shared" si="8"/>
        <v>#DIV/0!</v>
      </c>
      <c r="AR17" s="59" t="e">
        <f t="shared" si="8"/>
        <v>#DIV/0!</v>
      </c>
      <c r="AS17" s="59" t="e">
        <f t="shared" si="8"/>
        <v>#DIV/0!</v>
      </c>
      <c r="AT17" s="59" t="e">
        <f t="shared" si="8"/>
        <v>#DIV/0!</v>
      </c>
      <c r="AU17" s="59" t="e">
        <f t="shared" si="8"/>
        <v>#DIV/0!</v>
      </c>
      <c r="AV17" s="59" t="e">
        <f t="shared" si="8"/>
        <v>#DIV/0!</v>
      </c>
      <c r="AW17" s="59" t="e">
        <f t="shared" si="8"/>
        <v>#DIV/0!</v>
      </c>
      <c r="AX17" s="59" t="e">
        <f t="shared" si="8"/>
        <v>#DIV/0!</v>
      </c>
      <c r="AY17" s="59" t="e">
        <f t="shared" si="8"/>
        <v>#DIV/0!</v>
      </c>
      <c r="AZ17" s="59" t="e">
        <f t="shared" si="8"/>
        <v>#DIV/0!</v>
      </c>
      <c r="BA17" s="59" t="e">
        <f t="shared" si="8"/>
        <v>#DIV/0!</v>
      </c>
      <c r="BB17" s="59" t="e">
        <f t="shared" si="8"/>
        <v>#DIV/0!</v>
      </c>
      <c r="BC17" s="59" t="e">
        <f t="shared" si="8"/>
        <v>#DIV/0!</v>
      </c>
      <c r="BD17" s="59" t="e">
        <f t="shared" si="8"/>
        <v>#DIV/0!</v>
      </c>
      <c r="BE17" s="59" t="e">
        <f t="shared" si="8"/>
        <v>#DIV/0!</v>
      </c>
      <c r="BF17" s="59" t="e">
        <f t="shared" si="8"/>
        <v>#DIV/0!</v>
      </c>
      <c r="BG17" s="59" t="e">
        <f t="shared" si="8"/>
        <v>#DIV/0!</v>
      </c>
      <c r="BH17" s="59" t="e">
        <f t="shared" si="8"/>
        <v>#DIV/0!</v>
      </c>
      <c r="BI17" s="59" t="e">
        <f t="shared" si="8"/>
        <v>#DIV/0!</v>
      </c>
      <c r="BJ17" s="59" t="e">
        <f t="shared" si="8"/>
        <v>#DIV/0!</v>
      </c>
      <c r="BK17" s="59" t="e">
        <f t="shared" si="8"/>
        <v>#DIV/0!</v>
      </c>
      <c r="BL17" s="59" t="e">
        <f t="shared" si="8"/>
        <v>#DIV/0!</v>
      </c>
      <c r="BM17" s="59" t="e">
        <f t="shared" si="8"/>
        <v>#DIV/0!</v>
      </c>
      <c r="BN17" s="59" t="e">
        <f t="shared" si="8"/>
        <v>#DIV/0!</v>
      </c>
      <c r="BO17" s="59" t="e">
        <f t="shared" si="8"/>
        <v>#DIV/0!</v>
      </c>
      <c r="BP17" s="59" t="e">
        <f t="shared" si="8"/>
        <v>#DIV/0!</v>
      </c>
      <c r="BQ17" s="59" t="e">
        <f t="shared" si="8"/>
        <v>#DIV/0!</v>
      </c>
      <c r="BR17" s="59" t="e">
        <f t="shared" ref="BR17:CL17" si="9">(BR11+BR13-BR7-BR3)/BR4</f>
        <v>#DIV/0!</v>
      </c>
      <c r="BS17" s="59" t="e">
        <f t="shared" si="9"/>
        <v>#DIV/0!</v>
      </c>
      <c r="BT17" s="59" t="e">
        <f t="shared" si="9"/>
        <v>#DIV/0!</v>
      </c>
      <c r="BU17" s="59" t="e">
        <f t="shared" si="9"/>
        <v>#DIV/0!</v>
      </c>
      <c r="BV17" s="59" t="e">
        <f t="shared" si="9"/>
        <v>#DIV/0!</v>
      </c>
      <c r="BW17" s="59" t="e">
        <f t="shared" si="9"/>
        <v>#DIV/0!</v>
      </c>
      <c r="BX17" s="59" t="e">
        <f t="shared" si="9"/>
        <v>#DIV/0!</v>
      </c>
      <c r="BY17" s="59" t="e">
        <f t="shared" si="9"/>
        <v>#DIV/0!</v>
      </c>
      <c r="BZ17" s="59" t="e">
        <f t="shared" si="9"/>
        <v>#DIV/0!</v>
      </c>
      <c r="CA17" s="59" t="e">
        <f t="shared" si="9"/>
        <v>#DIV/0!</v>
      </c>
      <c r="CB17" s="59" t="e">
        <f t="shared" si="9"/>
        <v>#DIV/0!</v>
      </c>
      <c r="CC17" s="59" t="e">
        <f t="shared" si="9"/>
        <v>#DIV/0!</v>
      </c>
      <c r="CD17" s="59" t="e">
        <f t="shared" si="9"/>
        <v>#DIV/0!</v>
      </c>
      <c r="CE17" s="59" t="e">
        <f t="shared" si="9"/>
        <v>#DIV/0!</v>
      </c>
      <c r="CF17" s="59" t="e">
        <f t="shared" si="9"/>
        <v>#DIV/0!</v>
      </c>
      <c r="CG17" s="59" t="e">
        <f t="shared" si="9"/>
        <v>#DIV/0!</v>
      </c>
      <c r="CH17" s="59" t="e">
        <f t="shared" si="9"/>
        <v>#DIV/0!</v>
      </c>
      <c r="CI17" s="59" t="e">
        <f t="shared" si="9"/>
        <v>#DIV/0!</v>
      </c>
      <c r="CJ17" s="59" t="e">
        <f t="shared" si="9"/>
        <v>#DIV/0!</v>
      </c>
      <c r="CK17" s="59" t="e">
        <f t="shared" si="9"/>
        <v>#DIV/0!</v>
      </c>
      <c r="CL17" s="59" t="e">
        <f t="shared" si="9"/>
        <v>#DIV/0!</v>
      </c>
    </row>
    <row r="18" spans="1:90" s="16" customFormat="1" ht="258" customHeight="1" x14ac:dyDescent="0.25">
      <c r="A18" s="277" t="s">
        <v>744</v>
      </c>
      <c r="B18" s="279"/>
      <c r="C18" s="279"/>
      <c r="D18" s="279"/>
      <c r="E18" s="279"/>
      <c r="F18" s="279"/>
      <c r="G18" s="279"/>
      <c r="H18" s="279"/>
      <c r="I18" s="279"/>
      <c r="J18" s="279"/>
      <c r="K18" s="279"/>
      <c r="L18" s="279"/>
      <c r="M18" s="279"/>
      <c r="N18" s="279"/>
      <c r="O18" s="279"/>
      <c r="P18" s="279"/>
      <c r="Q18" s="279"/>
      <c r="R18" s="279"/>
      <c r="S18" s="279"/>
      <c r="T18" s="279"/>
      <c r="U18" s="279"/>
      <c r="V18" s="279"/>
      <c r="W18" s="279"/>
      <c r="X18" s="279"/>
      <c r="Y18" s="279"/>
      <c r="Z18" s="279"/>
      <c r="AA18" s="279"/>
      <c r="AB18" s="279"/>
      <c r="AC18" s="279"/>
      <c r="AD18" s="279"/>
      <c r="AE18" s="279"/>
      <c r="AF18" s="279"/>
      <c r="AG18" s="279"/>
    </row>
    <row r="19" spans="1:90" x14ac:dyDescent="0.25">
      <c r="A19" s="113" t="s">
        <v>574</v>
      </c>
      <c r="B19" s="114"/>
      <c r="C19" s="114"/>
      <c r="D19" s="114"/>
      <c r="E19" s="114" t="s">
        <v>567</v>
      </c>
      <c r="F19" s="114"/>
      <c r="G19" s="114"/>
      <c r="H19" s="114"/>
      <c r="I19" s="114" t="s">
        <v>602</v>
      </c>
      <c r="M19" s="114" t="s">
        <v>569</v>
      </c>
      <c r="N19" s="63"/>
      <c r="O19" s="63"/>
      <c r="P19" s="63"/>
      <c r="Q19" s="63"/>
      <c r="R19" s="63"/>
      <c r="S19" s="63"/>
      <c r="T19" s="63"/>
      <c r="U19" s="63"/>
    </row>
    <row r="20" spans="1:90" s="63" customFormat="1" ht="14.25" customHeight="1" x14ac:dyDescent="0.25">
      <c r="A20" s="113" t="s">
        <v>575</v>
      </c>
      <c r="B20" s="115"/>
      <c r="C20" s="115"/>
      <c r="D20" s="115"/>
      <c r="E20" s="115">
        <f>POWER(E9/U9,1/5)-1</f>
        <v>9.8733348570232859E-2</v>
      </c>
      <c r="F20" s="115"/>
      <c r="G20" s="115"/>
      <c r="H20" s="115"/>
      <c r="I20" s="115">
        <f>POWER(E9/Y9,1/6)-1</f>
        <v>0.10346145437546461</v>
      </c>
      <c r="M20" s="115">
        <f>POWER(E9/AC9,1/7)-1</f>
        <v>0.10950357114226428</v>
      </c>
    </row>
    <row r="21" spans="1:90" s="63" customFormat="1" ht="14.25" customHeight="1" x14ac:dyDescent="0.25">
      <c r="A21" s="113" t="s">
        <v>573</v>
      </c>
      <c r="B21" s="115"/>
      <c r="C21" s="115"/>
      <c r="D21" s="115"/>
      <c r="E21" s="115">
        <f>POWER(E4/U4,1/5)-1</f>
        <v>0.23551496156743967</v>
      </c>
      <c r="F21" s="115"/>
      <c r="G21" s="115"/>
      <c r="H21" s="115"/>
      <c r="I21" s="115">
        <f>POWER(E4/Y4,1/6)-1</f>
        <v>0.24853549078698123</v>
      </c>
      <c r="M21" s="115">
        <f>POWER(E4/AC4,1/7)-1</f>
        <v>0.30944990889658497</v>
      </c>
    </row>
    <row r="22" spans="1:90" s="63" customFormat="1" ht="14.25" customHeight="1" x14ac:dyDescent="0.25">
      <c r="A22" s="113" t="s">
        <v>576</v>
      </c>
      <c r="B22" s="115"/>
      <c r="C22" s="115"/>
      <c r="D22" s="115"/>
      <c r="E22" s="115">
        <f>POWER(E5/U5,1/5)-1</f>
        <v>0.20549119347935996</v>
      </c>
      <c r="F22" s="115"/>
      <c r="G22" s="115"/>
      <c r="H22" s="115"/>
      <c r="I22" s="115">
        <f>POWER(E5/Y5,1/6)-1</f>
        <v>0.2091268898762928</v>
      </c>
      <c r="M22" s="115">
        <f>POWER(E5/AC5,1/7)-1</f>
        <v>0.20305569253420619</v>
      </c>
    </row>
    <row r="23" spans="1:90" s="63" customFormat="1" ht="14.25" customHeight="1" x14ac:dyDescent="0.25">
      <c r="A23" s="113" t="s">
        <v>577</v>
      </c>
      <c r="B23" s="115"/>
      <c r="C23" s="115"/>
      <c r="D23" s="115"/>
      <c r="E23" s="115">
        <f>POWER(E6/U6,1/5)-1</f>
        <v>0.169187573325007</v>
      </c>
      <c r="F23" s="115"/>
      <c r="G23" s="115"/>
      <c r="H23" s="115"/>
      <c r="I23" s="115">
        <f>POWER(E6/Y6,1/6)-1</f>
        <v>0.16500706356551809</v>
      </c>
      <c r="M23" s="115">
        <f>POWER(E6/AC6,1/7)-1</f>
        <v>0.12110225506243233</v>
      </c>
    </row>
    <row r="24" spans="1:90" s="63" customFormat="1" ht="14.25" customHeight="1" x14ac:dyDescent="0.25">
      <c r="A24" s="113" t="s">
        <v>578</v>
      </c>
      <c r="B24" s="115"/>
      <c r="C24" s="115"/>
      <c r="D24" s="115"/>
      <c r="E24" s="115">
        <f>POWER(E7/U7,1/5)-1</f>
        <v>0.10877149597004898</v>
      </c>
      <c r="F24" s="115"/>
      <c r="G24" s="115"/>
      <c r="H24" s="115"/>
      <c r="I24" s="115">
        <f>POWER(E7/Y7,1/6)-1</f>
        <v>0.13205561261986909</v>
      </c>
      <c r="M24" s="115">
        <f>POWER(E7/AC7,1/7)-1</f>
        <v>0.15036228705993127</v>
      </c>
    </row>
    <row r="25" spans="1:90" s="107" customFormat="1" x14ac:dyDescent="0.25">
      <c r="A25" s="143" t="s">
        <v>554</v>
      </c>
      <c r="B25" s="108"/>
      <c r="C25" s="108"/>
      <c r="D25" s="108"/>
      <c r="E25" s="108">
        <f>(E2-I2)/I2</f>
        <v>-0.52617034561550247</v>
      </c>
      <c r="F25" s="108">
        <f t="shared" ref="F25:BQ25" si="10">(F2-J2)/J2</f>
        <v>-0.42035105014809687</v>
      </c>
      <c r="G25" s="108">
        <f t="shared" si="10"/>
        <v>9.0392190288933721E-2</v>
      </c>
      <c r="H25" s="108">
        <f t="shared" si="10"/>
        <v>0.33695409566785767</v>
      </c>
      <c r="I25" s="108">
        <f t="shared" si="10"/>
        <v>1.2309218137585185</v>
      </c>
      <c r="J25" s="107">
        <f t="shared" si="10"/>
        <v>0.17248344752424685</v>
      </c>
      <c r="K25" s="107">
        <f t="shared" si="10"/>
        <v>0.17210857082892755</v>
      </c>
      <c r="L25" s="107">
        <f t="shared" si="10"/>
        <v>0.18897069665416533</v>
      </c>
      <c r="M25" s="108">
        <f t="shared" si="10"/>
        <v>7.1668233290207259E-2</v>
      </c>
      <c r="N25" s="108">
        <f t="shared" si="10"/>
        <v>0.2679189872614221</v>
      </c>
      <c r="O25" s="108">
        <f t="shared" si="10"/>
        <v>-0.25797352241617227</v>
      </c>
      <c r="P25" s="108">
        <f t="shared" si="10"/>
        <v>-0.24293648228395864</v>
      </c>
      <c r="Q25" s="108">
        <f t="shared" si="10"/>
        <v>-0.30578049072710917</v>
      </c>
      <c r="R25" s="108">
        <f t="shared" si="10"/>
        <v>-0.33980344113034261</v>
      </c>
      <c r="S25" s="108">
        <f t="shared" si="10"/>
        <v>8.6309486197311658E-2</v>
      </c>
      <c r="T25" s="108">
        <f t="shared" si="10"/>
        <v>-0.10779362475706347</v>
      </c>
      <c r="U25" s="108">
        <f t="shared" si="10"/>
        <v>-2.4859924797315816E-2</v>
      </c>
      <c r="V25" s="107">
        <f t="shared" si="10"/>
        <v>0.1864481545798945</v>
      </c>
      <c r="W25" s="107">
        <f t="shared" si="10"/>
        <v>0.15172785468008623</v>
      </c>
      <c r="X25" s="107">
        <f t="shared" si="10"/>
        <v>-2.1952657660419716E-2</v>
      </c>
      <c r="Y25" s="107">
        <f t="shared" si="10"/>
        <v>-4.6152732084669731E-2</v>
      </c>
      <c r="Z25" s="107">
        <f t="shared" si="10"/>
        <v>-0.18240597002953823</v>
      </c>
      <c r="AA25" s="107">
        <f t="shared" si="10"/>
        <v>-0.225431503338302</v>
      </c>
      <c r="AB25" s="107">
        <f t="shared" si="10"/>
        <v>-0.11967451174586421</v>
      </c>
      <c r="AC25" s="107">
        <f t="shared" si="10"/>
        <v>-5.1919684506417534E-2</v>
      </c>
      <c r="AD25" s="107">
        <f t="shared" si="10"/>
        <v>2.264434614141303E-2</v>
      </c>
      <c r="AE25" s="107">
        <f t="shared" si="10"/>
        <v>-7.3696604241336644E-2</v>
      </c>
      <c r="AF25" s="107">
        <f t="shared" si="10"/>
        <v>2.1749160671174619E-2</v>
      </c>
      <c r="AG25" s="107">
        <f t="shared" si="10"/>
        <v>-9.0847756479065529E-3</v>
      </c>
      <c r="AH25" s="107">
        <f t="shared" si="10"/>
        <v>-9.2036586075635266E-2</v>
      </c>
      <c r="AI25" s="107">
        <f t="shared" si="10"/>
        <v>11.442272913185951</v>
      </c>
      <c r="AJ25" s="107">
        <f t="shared" si="10"/>
        <v>13.360153991438004</v>
      </c>
      <c r="AK25" s="107">
        <f t="shared" si="10"/>
        <v>20.275937875267974</v>
      </c>
      <c r="AL25" s="107">
        <f t="shared" si="10"/>
        <v>19.110067877300036</v>
      </c>
      <c r="AM25" s="107" t="e">
        <f t="shared" si="10"/>
        <v>#DIV/0!</v>
      </c>
      <c r="AN25" s="107" t="e">
        <f t="shared" si="10"/>
        <v>#DIV/0!</v>
      </c>
      <c r="AO25" s="107" t="e">
        <f t="shared" si="10"/>
        <v>#DIV/0!</v>
      </c>
      <c r="AP25" s="107" t="e">
        <f t="shared" si="10"/>
        <v>#DIV/0!</v>
      </c>
      <c r="AQ25" s="107" t="e">
        <f t="shared" si="10"/>
        <v>#DIV/0!</v>
      </c>
      <c r="AR25" s="107" t="e">
        <f t="shared" si="10"/>
        <v>#DIV/0!</v>
      </c>
      <c r="AS25" s="107" t="e">
        <f t="shared" si="10"/>
        <v>#DIV/0!</v>
      </c>
      <c r="AT25" s="107" t="e">
        <f t="shared" si="10"/>
        <v>#DIV/0!</v>
      </c>
      <c r="AU25" s="107" t="e">
        <f t="shared" si="10"/>
        <v>#DIV/0!</v>
      </c>
      <c r="AV25" s="107" t="e">
        <f t="shared" si="10"/>
        <v>#DIV/0!</v>
      </c>
      <c r="AW25" s="107" t="e">
        <f t="shared" si="10"/>
        <v>#DIV/0!</v>
      </c>
      <c r="AX25" s="107" t="e">
        <f t="shared" si="10"/>
        <v>#DIV/0!</v>
      </c>
      <c r="AY25" s="107" t="e">
        <f t="shared" si="10"/>
        <v>#DIV/0!</v>
      </c>
      <c r="AZ25" s="107" t="e">
        <f t="shared" si="10"/>
        <v>#DIV/0!</v>
      </c>
      <c r="BA25" s="107" t="e">
        <f t="shared" si="10"/>
        <v>#DIV/0!</v>
      </c>
      <c r="BB25" s="107" t="e">
        <f t="shared" si="10"/>
        <v>#DIV/0!</v>
      </c>
      <c r="BC25" s="107" t="e">
        <f t="shared" si="10"/>
        <v>#DIV/0!</v>
      </c>
      <c r="BD25" s="107" t="e">
        <f t="shared" si="10"/>
        <v>#DIV/0!</v>
      </c>
      <c r="BE25" s="107" t="e">
        <f t="shared" si="10"/>
        <v>#DIV/0!</v>
      </c>
      <c r="BF25" s="107" t="e">
        <f t="shared" si="10"/>
        <v>#DIV/0!</v>
      </c>
      <c r="BG25" s="107" t="e">
        <f t="shared" si="10"/>
        <v>#DIV/0!</v>
      </c>
      <c r="BH25" s="107" t="e">
        <f t="shared" si="10"/>
        <v>#DIV/0!</v>
      </c>
      <c r="BI25" s="107" t="e">
        <f t="shared" si="10"/>
        <v>#DIV/0!</v>
      </c>
      <c r="BJ25" s="107" t="e">
        <f t="shared" si="10"/>
        <v>#DIV/0!</v>
      </c>
      <c r="BK25" s="107" t="e">
        <f t="shared" si="10"/>
        <v>#DIV/0!</v>
      </c>
      <c r="BL25" s="107" t="e">
        <f t="shared" si="10"/>
        <v>#DIV/0!</v>
      </c>
      <c r="BM25" s="107" t="e">
        <f t="shared" si="10"/>
        <v>#DIV/0!</v>
      </c>
      <c r="BN25" s="107" t="e">
        <f t="shared" si="10"/>
        <v>#DIV/0!</v>
      </c>
      <c r="BO25" s="107" t="e">
        <f t="shared" si="10"/>
        <v>#DIV/0!</v>
      </c>
      <c r="BP25" s="107" t="e">
        <f t="shared" si="10"/>
        <v>#DIV/0!</v>
      </c>
      <c r="BQ25" s="107" t="e">
        <f t="shared" si="10"/>
        <v>#DIV/0!</v>
      </c>
      <c r="BR25" s="107" t="e">
        <f t="shared" ref="BR25:CK25" si="11">(BR2-BV2)/BV2</f>
        <v>#DIV/0!</v>
      </c>
      <c r="BS25" s="107" t="e">
        <f t="shared" si="11"/>
        <v>#DIV/0!</v>
      </c>
      <c r="BT25" s="107" t="e">
        <f t="shared" si="11"/>
        <v>#DIV/0!</v>
      </c>
      <c r="BU25" s="107" t="e">
        <f t="shared" si="11"/>
        <v>#DIV/0!</v>
      </c>
      <c r="BV25" s="107" t="e">
        <f t="shared" si="11"/>
        <v>#DIV/0!</v>
      </c>
      <c r="BW25" s="107" t="e">
        <f t="shared" si="11"/>
        <v>#DIV/0!</v>
      </c>
      <c r="BX25" s="107" t="e">
        <f t="shared" si="11"/>
        <v>#DIV/0!</v>
      </c>
      <c r="BY25" s="107" t="e">
        <f t="shared" si="11"/>
        <v>#DIV/0!</v>
      </c>
      <c r="BZ25" s="107" t="e">
        <f t="shared" si="11"/>
        <v>#DIV/0!</v>
      </c>
      <c r="CA25" s="107" t="e">
        <f t="shared" si="11"/>
        <v>#DIV/0!</v>
      </c>
      <c r="CB25" s="107" t="e">
        <f t="shared" si="11"/>
        <v>#DIV/0!</v>
      </c>
      <c r="CC25" s="107" t="e">
        <f t="shared" si="11"/>
        <v>#DIV/0!</v>
      </c>
      <c r="CD25" s="107" t="e">
        <f t="shared" si="11"/>
        <v>#DIV/0!</v>
      </c>
      <c r="CE25" s="107" t="e">
        <f t="shared" si="11"/>
        <v>#DIV/0!</v>
      </c>
      <c r="CF25" s="107" t="e">
        <f t="shared" si="11"/>
        <v>#DIV/0!</v>
      </c>
      <c r="CG25" s="107" t="e">
        <f t="shared" si="11"/>
        <v>#DIV/0!</v>
      </c>
      <c r="CH25" s="107" t="e">
        <f t="shared" si="11"/>
        <v>#DIV/0!</v>
      </c>
      <c r="CI25" s="107" t="e">
        <f t="shared" si="11"/>
        <v>#DIV/0!</v>
      </c>
      <c r="CJ25" s="107" t="e">
        <f t="shared" si="11"/>
        <v>#DIV/0!</v>
      </c>
      <c r="CK25" s="107" t="e">
        <f t="shared" si="11"/>
        <v>#DIV/0!</v>
      </c>
    </row>
    <row r="26" spans="1:90" s="108" customFormat="1" x14ac:dyDescent="0.25">
      <c r="A26" s="143" t="s">
        <v>562</v>
      </c>
      <c r="E26" s="108">
        <f>E2/E9</f>
        <v>0.21463167862036087</v>
      </c>
      <c r="F26" s="108">
        <f t="shared" ref="F26:BQ26" si="12">F2/F9</f>
        <v>0.15626478545075001</v>
      </c>
      <c r="G26" s="108">
        <f t="shared" si="12"/>
        <v>0.23766010325584033</v>
      </c>
      <c r="H26" s="108">
        <f t="shared" si="12"/>
        <v>0.29969920088848329</v>
      </c>
      <c r="I26" s="108">
        <f t="shared" si="12"/>
        <v>0.45791266951713955</v>
      </c>
      <c r="J26" s="108">
        <f t="shared" si="12"/>
        <v>0.29755497703876937</v>
      </c>
      <c r="K26" s="108">
        <f t="shared" si="12"/>
        <v>0.24520220966395412</v>
      </c>
      <c r="L26" s="108">
        <f t="shared" si="12"/>
        <v>0.27641466059724851</v>
      </c>
      <c r="M26" s="108">
        <f t="shared" si="12"/>
        <v>0.25038020967085672</v>
      </c>
      <c r="N26" s="108">
        <f t="shared" si="12"/>
        <v>0.31325362227325732</v>
      </c>
      <c r="O26" s="108">
        <f t="shared" si="12"/>
        <v>0.25802249356708268</v>
      </c>
      <c r="P26" s="108">
        <f t="shared" si="12"/>
        <v>0.2568216396468076</v>
      </c>
      <c r="Q26" s="108">
        <f t="shared" si="12"/>
        <v>0.25961756424967081</v>
      </c>
      <c r="R26" s="108">
        <f t="shared" si="12"/>
        <v>0.27252340634217009</v>
      </c>
      <c r="S26" s="108">
        <f t="shared" si="12"/>
        <v>0.38114131808988361</v>
      </c>
      <c r="T26" s="108">
        <f t="shared" si="12"/>
        <v>0.39685406495707076</v>
      </c>
      <c r="U26" s="108">
        <f t="shared" si="12"/>
        <v>0.43701022134652312</v>
      </c>
      <c r="V26" s="108">
        <f t="shared" si="12"/>
        <v>0.46926216022085115</v>
      </c>
      <c r="W26" s="108">
        <f t="shared" si="12"/>
        <v>0.39838068794099346</v>
      </c>
      <c r="X26" s="108">
        <f t="shared" si="12"/>
        <v>0.50142367384582853</v>
      </c>
      <c r="Y26" s="108">
        <f t="shared" si="12"/>
        <v>0.50524969649979945</v>
      </c>
      <c r="Z26" s="108">
        <f t="shared" si="12"/>
        <v>0.45546356268716381</v>
      </c>
      <c r="AA26" s="108">
        <f t="shared" si="12"/>
        <v>0.40624448625781023</v>
      </c>
      <c r="AB26" s="108">
        <f t="shared" si="12"/>
        <v>0.57718820264566584</v>
      </c>
      <c r="AC26" s="108">
        <f t="shared" si="12"/>
        <v>0.60727464545520082</v>
      </c>
      <c r="AD26" s="108">
        <f t="shared" si="12"/>
        <v>0.63103365938122402</v>
      </c>
      <c r="AE26" s="108">
        <f t="shared" si="12"/>
        <v>0.59903009786750716</v>
      </c>
      <c r="AF26" s="108">
        <f t="shared" si="12"/>
        <v>0.75095631512101391</v>
      </c>
      <c r="AG26" s="108">
        <f t="shared" si="12"/>
        <v>0.71600946671288135</v>
      </c>
      <c r="AH26" s="108">
        <f t="shared" si="12"/>
        <v>0.69698180324177061</v>
      </c>
      <c r="AI26" s="108">
        <f t="shared" si="12"/>
        <v>0.70980562264374469</v>
      </c>
      <c r="AJ26" s="108">
        <f t="shared" si="12"/>
        <v>0.81550596797259123</v>
      </c>
      <c r="AK26" s="108">
        <f t="shared" si="12"/>
        <v>0.80081484436978179</v>
      </c>
      <c r="AL26" s="108">
        <f t="shared" si="12"/>
        <v>0.82093614974994356</v>
      </c>
      <c r="AM26" s="108">
        <f t="shared" si="12"/>
        <v>0.22600252483508187</v>
      </c>
      <c r="AN26" s="108">
        <f t="shared" si="12"/>
        <v>0.26052419466862259</v>
      </c>
      <c r="AO26" s="108">
        <f t="shared" si="12"/>
        <v>0.21043069834558487</v>
      </c>
      <c r="AP26" s="108">
        <f t="shared" si="12"/>
        <v>0.33776756050910184</v>
      </c>
      <c r="AQ26" s="108" t="e">
        <f t="shared" si="12"/>
        <v>#DIV/0!</v>
      </c>
      <c r="AR26" s="108" t="e">
        <f t="shared" si="12"/>
        <v>#DIV/0!</v>
      </c>
      <c r="AS26" s="108" t="e">
        <f t="shared" si="12"/>
        <v>#DIV/0!</v>
      </c>
      <c r="AT26" s="108" t="e">
        <f t="shared" si="12"/>
        <v>#DIV/0!</v>
      </c>
      <c r="AU26" s="108" t="e">
        <f t="shared" si="12"/>
        <v>#DIV/0!</v>
      </c>
      <c r="AV26" s="108" t="e">
        <f t="shared" si="12"/>
        <v>#DIV/0!</v>
      </c>
      <c r="AW26" s="108" t="e">
        <f t="shared" si="12"/>
        <v>#DIV/0!</v>
      </c>
      <c r="AX26" s="108" t="e">
        <f t="shared" si="12"/>
        <v>#DIV/0!</v>
      </c>
      <c r="AY26" s="108" t="e">
        <f t="shared" si="12"/>
        <v>#DIV/0!</v>
      </c>
      <c r="AZ26" s="108" t="e">
        <f t="shared" si="12"/>
        <v>#DIV/0!</v>
      </c>
      <c r="BA26" s="108" t="e">
        <f t="shared" si="12"/>
        <v>#DIV/0!</v>
      </c>
      <c r="BB26" s="108" t="e">
        <f t="shared" si="12"/>
        <v>#DIV/0!</v>
      </c>
      <c r="BC26" s="108" t="e">
        <f t="shared" si="12"/>
        <v>#DIV/0!</v>
      </c>
      <c r="BD26" s="108" t="e">
        <f t="shared" si="12"/>
        <v>#DIV/0!</v>
      </c>
      <c r="BE26" s="108" t="e">
        <f t="shared" si="12"/>
        <v>#DIV/0!</v>
      </c>
      <c r="BF26" s="108" t="e">
        <f t="shared" si="12"/>
        <v>#DIV/0!</v>
      </c>
      <c r="BG26" s="108" t="e">
        <f t="shared" si="12"/>
        <v>#DIV/0!</v>
      </c>
      <c r="BH26" s="108" t="e">
        <f t="shared" si="12"/>
        <v>#DIV/0!</v>
      </c>
      <c r="BI26" s="108" t="e">
        <f t="shared" si="12"/>
        <v>#DIV/0!</v>
      </c>
      <c r="BJ26" s="108" t="e">
        <f t="shared" si="12"/>
        <v>#DIV/0!</v>
      </c>
      <c r="BK26" s="108" t="e">
        <f t="shared" si="12"/>
        <v>#DIV/0!</v>
      </c>
      <c r="BL26" s="108" t="e">
        <f t="shared" si="12"/>
        <v>#DIV/0!</v>
      </c>
      <c r="BM26" s="108" t="e">
        <f t="shared" si="12"/>
        <v>#DIV/0!</v>
      </c>
      <c r="BN26" s="108" t="e">
        <f t="shared" si="12"/>
        <v>#DIV/0!</v>
      </c>
      <c r="BO26" s="108" t="e">
        <f t="shared" si="12"/>
        <v>#DIV/0!</v>
      </c>
      <c r="BP26" s="108" t="e">
        <f t="shared" si="12"/>
        <v>#DIV/0!</v>
      </c>
      <c r="BQ26" s="108" t="e">
        <f t="shared" si="12"/>
        <v>#DIV/0!</v>
      </c>
      <c r="BR26" s="108" t="e">
        <f t="shared" ref="BR26:CK26" si="13">BR2/BR9</f>
        <v>#DIV/0!</v>
      </c>
      <c r="BS26" s="108" t="e">
        <f t="shared" si="13"/>
        <v>#DIV/0!</v>
      </c>
      <c r="BT26" s="108" t="e">
        <f t="shared" si="13"/>
        <v>#DIV/0!</v>
      </c>
      <c r="BU26" s="108" t="e">
        <f t="shared" si="13"/>
        <v>#DIV/0!</v>
      </c>
      <c r="BV26" s="108" t="e">
        <f t="shared" si="13"/>
        <v>#DIV/0!</v>
      </c>
      <c r="BW26" s="108" t="e">
        <f t="shared" si="13"/>
        <v>#DIV/0!</v>
      </c>
      <c r="BX26" s="108" t="e">
        <f t="shared" si="13"/>
        <v>#DIV/0!</v>
      </c>
      <c r="BY26" s="108" t="e">
        <f t="shared" si="13"/>
        <v>#DIV/0!</v>
      </c>
      <c r="BZ26" s="108" t="e">
        <f t="shared" si="13"/>
        <v>#DIV/0!</v>
      </c>
      <c r="CA26" s="108" t="e">
        <f t="shared" si="13"/>
        <v>#DIV/0!</v>
      </c>
      <c r="CB26" s="108" t="e">
        <f t="shared" si="13"/>
        <v>#DIV/0!</v>
      </c>
      <c r="CC26" s="108" t="e">
        <f t="shared" si="13"/>
        <v>#DIV/0!</v>
      </c>
      <c r="CD26" s="108" t="e">
        <f t="shared" si="13"/>
        <v>#DIV/0!</v>
      </c>
      <c r="CE26" s="108" t="e">
        <f t="shared" si="13"/>
        <v>#DIV/0!</v>
      </c>
      <c r="CF26" s="108" t="e">
        <f t="shared" si="13"/>
        <v>#DIV/0!</v>
      </c>
      <c r="CG26" s="108" t="e">
        <f t="shared" si="13"/>
        <v>#DIV/0!</v>
      </c>
      <c r="CH26" s="108" t="e">
        <f t="shared" si="13"/>
        <v>#DIV/0!</v>
      </c>
      <c r="CI26" s="108" t="e">
        <f t="shared" si="13"/>
        <v>#DIV/0!</v>
      </c>
      <c r="CJ26" s="108" t="e">
        <f t="shared" si="13"/>
        <v>#DIV/0!</v>
      </c>
      <c r="CK26" s="108" t="e">
        <f t="shared" si="13"/>
        <v>#DIV/0!</v>
      </c>
    </row>
    <row r="27" spans="1:90" s="109" customFormat="1" x14ac:dyDescent="0.25">
      <c r="A27" s="144" t="s">
        <v>555</v>
      </c>
      <c r="E27" s="109">
        <f>(E3-I3)/I3</f>
        <v>-0.93933822608308148</v>
      </c>
      <c r="F27" s="109">
        <f t="shared" ref="F27:BQ27" si="14">(F3-J3)/J3</f>
        <v>-0.2138246635581095</v>
      </c>
      <c r="G27" s="109">
        <f t="shared" si="14"/>
        <v>-0.22960049468916902</v>
      </c>
      <c r="H27" s="109">
        <f t="shared" si="14"/>
        <v>-5.1717250600071395E-2</v>
      </c>
      <c r="I27" s="109">
        <f t="shared" si="14"/>
        <v>-8.6203384255491095E-2</v>
      </c>
      <c r="J27" s="109" t="e">
        <f t="shared" si="14"/>
        <v>#DIV/0!</v>
      </c>
      <c r="K27" s="109" t="e">
        <f t="shared" si="14"/>
        <v>#DIV/0!</v>
      </c>
      <c r="L27" s="109" t="e">
        <f t="shared" si="14"/>
        <v>#DIV/0!</v>
      </c>
      <c r="M27" s="109" t="e">
        <f t="shared" si="14"/>
        <v>#DIV/0!</v>
      </c>
      <c r="N27" s="109" t="e">
        <f t="shared" si="14"/>
        <v>#DIV/0!</v>
      </c>
      <c r="O27" s="109" t="e">
        <f t="shared" si="14"/>
        <v>#DIV/0!</v>
      </c>
      <c r="P27" s="109" t="e">
        <f t="shared" si="14"/>
        <v>#DIV/0!</v>
      </c>
      <c r="Q27" s="109" t="e">
        <f t="shared" si="14"/>
        <v>#DIV/0!</v>
      </c>
      <c r="R27" s="109" t="e">
        <f t="shared" si="14"/>
        <v>#DIV/0!</v>
      </c>
      <c r="S27" s="109" t="e">
        <f t="shared" si="14"/>
        <v>#DIV/0!</v>
      </c>
      <c r="T27" s="109" t="e">
        <f t="shared" si="14"/>
        <v>#DIV/0!</v>
      </c>
      <c r="U27" s="109" t="e">
        <f t="shared" si="14"/>
        <v>#DIV/0!</v>
      </c>
      <c r="V27" s="109" t="e">
        <f t="shared" si="14"/>
        <v>#DIV/0!</v>
      </c>
      <c r="W27" s="109" t="e">
        <f t="shared" si="14"/>
        <v>#DIV/0!</v>
      </c>
      <c r="X27" s="109" t="e">
        <f t="shared" si="14"/>
        <v>#DIV/0!</v>
      </c>
      <c r="Y27" s="109" t="e">
        <f t="shared" si="14"/>
        <v>#DIV/0!</v>
      </c>
      <c r="Z27" s="109" t="e">
        <f t="shared" si="14"/>
        <v>#DIV/0!</v>
      </c>
      <c r="AA27" s="109" t="e">
        <f t="shared" si="14"/>
        <v>#DIV/0!</v>
      </c>
      <c r="AB27" s="109" t="e">
        <f t="shared" si="14"/>
        <v>#DIV/0!</v>
      </c>
      <c r="AC27" s="109" t="e">
        <f t="shared" si="14"/>
        <v>#DIV/0!</v>
      </c>
      <c r="AD27" s="109" t="e">
        <f t="shared" si="14"/>
        <v>#DIV/0!</v>
      </c>
      <c r="AE27" s="109" t="e">
        <f t="shared" si="14"/>
        <v>#DIV/0!</v>
      </c>
      <c r="AF27" s="109" t="e">
        <f t="shared" si="14"/>
        <v>#DIV/0!</v>
      </c>
      <c r="AG27" s="109" t="e">
        <f t="shared" si="14"/>
        <v>#DIV/0!</v>
      </c>
      <c r="AH27" s="109" t="e">
        <f t="shared" si="14"/>
        <v>#DIV/0!</v>
      </c>
      <c r="AI27" s="109" t="e">
        <f t="shared" si="14"/>
        <v>#DIV/0!</v>
      </c>
      <c r="AJ27" s="109" t="e">
        <f t="shared" si="14"/>
        <v>#DIV/0!</v>
      </c>
      <c r="AK27" s="109" t="e">
        <f t="shared" si="14"/>
        <v>#DIV/0!</v>
      </c>
      <c r="AL27" s="109" t="e">
        <f t="shared" si="14"/>
        <v>#DIV/0!</v>
      </c>
      <c r="AM27" s="109" t="e">
        <f t="shared" si="14"/>
        <v>#DIV/0!</v>
      </c>
      <c r="AN27" s="109" t="e">
        <f t="shared" si="14"/>
        <v>#DIV/0!</v>
      </c>
      <c r="AO27" s="109" t="e">
        <f t="shared" si="14"/>
        <v>#DIV/0!</v>
      </c>
      <c r="AP27" s="109" t="e">
        <f t="shared" si="14"/>
        <v>#DIV/0!</v>
      </c>
      <c r="AQ27" s="109" t="e">
        <f t="shared" si="14"/>
        <v>#DIV/0!</v>
      </c>
      <c r="AR27" s="109" t="e">
        <f t="shared" si="14"/>
        <v>#DIV/0!</v>
      </c>
      <c r="AS27" s="109" t="e">
        <f t="shared" si="14"/>
        <v>#DIV/0!</v>
      </c>
      <c r="AT27" s="109" t="e">
        <f t="shared" si="14"/>
        <v>#DIV/0!</v>
      </c>
      <c r="AU27" s="109" t="e">
        <f t="shared" si="14"/>
        <v>#DIV/0!</v>
      </c>
      <c r="AV27" s="109" t="e">
        <f t="shared" si="14"/>
        <v>#DIV/0!</v>
      </c>
      <c r="AW27" s="109" t="e">
        <f t="shared" si="14"/>
        <v>#DIV/0!</v>
      </c>
      <c r="AX27" s="109" t="e">
        <f t="shared" si="14"/>
        <v>#DIV/0!</v>
      </c>
      <c r="AY27" s="109" t="e">
        <f t="shared" si="14"/>
        <v>#DIV/0!</v>
      </c>
      <c r="AZ27" s="109" t="e">
        <f t="shared" si="14"/>
        <v>#DIV/0!</v>
      </c>
      <c r="BA27" s="109" t="e">
        <f t="shared" si="14"/>
        <v>#DIV/0!</v>
      </c>
      <c r="BB27" s="109" t="e">
        <f t="shared" si="14"/>
        <v>#DIV/0!</v>
      </c>
      <c r="BC27" s="109" t="e">
        <f t="shared" si="14"/>
        <v>#DIV/0!</v>
      </c>
      <c r="BD27" s="109" t="e">
        <f t="shared" si="14"/>
        <v>#DIV/0!</v>
      </c>
      <c r="BE27" s="109" t="e">
        <f t="shared" si="14"/>
        <v>#DIV/0!</v>
      </c>
      <c r="BF27" s="109" t="e">
        <f t="shared" si="14"/>
        <v>#DIV/0!</v>
      </c>
      <c r="BG27" s="109" t="e">
        <f t="shared" si="14"/>
        <v>#DIV/0!</v>
      </c>
      <c r="BH27" s="109" t="e">
        <f t="shared" si="14"/>
        <v>#DIV/0!</v>
      </c>
      <c r="BI27" s="109" t="e">
        <f t="shared" si="14"/>
        <v>#DIV/0!</v>
      </c>
      <c r="BJ27" s="109" t="e">
        <f t="shared" si="14"/>
        <v>#DIV/0!</v>
      </c>
      <c r="BK27" s="109" t="e">
        <f t="shared" si="14"/>
        <v>#DIV/0!</v>
      </c>
      <c r="BL27" s="109" t="e">
        <f t="shared" si="14"/>
        <v>#DIV/0!</v>
      </c>
      <c r="BM27" s="109" t="e">
        <f t="shared" si="14"/>
        <v>#DIV/0!</v>
      </c>
      <c r="BN27" s="109" t="e">
        <f t="shared" si="14"/>
        <v>#DIV/0!</v>
      </c>
      <c r="BO27" s="109" t="e">
        <f t="shared" si="14"/>
        <v>#DIV/0!</v>
      </c>
      <c r="BP27" s="109" t="e">
        <f t="shared" si="14"/>
        <v>#DIV/0!</v>
      </c>
      <c r="BQ27" s="109" t="e">
        <f t="shared" si="14"/>
        <v>#DIV/0!</v>
      </c>
      <c r="BR27" s="109" t="e">
        <f t="shared" ref="BR27:CL27" si="15">(BR3-BV3)/BV3</f>
        <v>#DIV/0!</v>
      </c>
      <c r="BS27" s="109" t="e">
        <f t="shared" si="15"/>
        <v>#DIV/0!</v>
      </c>
      <c r="BT27" s="109" t="e">
        <f t="shared" si="15"/>
        <v>#DIV/0!</v>
      </c>
      <c r="BU27" s="109" t="e">
        <f t="shared" si="15"/>
        <v>#DIV/0!</v>
      </c>
      <c r="BV27" s="109" t="e">
        <f t="shared" si="15"/>
        <v>#DIV/0!</v>
      </c>
      <c r="BW27" s="109" t="e">
        <f t="shared" si="15"/>
        <v>#DIV/0!</v>
      </c>
      <c r="BX27" s="109" t="e">
        <f t="shared" si="15"/>
        <v>#DIV/0!</v>
      </c>
      <c r="BY27" s="109" t="e">
        <f t="shared" si="15"/>
        <v>#DIV/0!</v>
      </c>
      <c r="BZ27" s="109" t="e">
        <f t="shared" si="15"/>
        <v>#DIV/0!</v>
      </c>
      <c r="CA27" s="109" t="e">
        <f t="shared" si="15"/>
        <v>#DIV/0!</v>
      </c>
      <c r="CB27" s="109" t="e">
        <f t="shared" si="15"/>
        <v>#DIV/0!</v>
      </c>
      <c r="CC27" s="109" t="e">
        <f t="shared" si="15"/>
        <v>#DIV/0!</v>
      </c>
      <c r="CD27" s="109" t="e">
        <f t="shared" si="15"/>
        <v>#DIV/0!</v>
      </c>
      <c r="CE27" s="109" t="e">
        <f t="shared" si="15"/>
        <v>#DIV/0!</v>
      </c>
      <c r="CF27" s="109" t="e">
        <f t="shared" si="15"/>
        <v>#DIV/0!</v>
      </c>
      <c r="CG27" s="109" t="e">
        <f t="shared" si="15"/>
        <v>#DIV/0!</v>
      </c>
      <c r="CH27" s="109" t="e">
        <f t="shared" si="15"/>
        <v>#DIV/0!</v>
      </c>
      <c r="CI27" s="109" t="e">
        <f t="shared" si="15"/>
        <v>#DIV/0!</v>
      </c>
      <c r="CJ27" s="109" t="e">
        <f t="shared" si="15"/>
        <v>#DIV/0!</v>
      </c>
      <c r="CK27" s="109" t="e">
        <f t="shared" si="15"/>
        <v>#DIV/0!</v>
      </c>
      <c r="CL27" s="109" t="e">
        <f t="shared" si="15"/>
        <v>#DIV/0!</v>
      </c>
    </row>
    <row r="28" spans="1:90" s="109" customFormat="1" x14ac:dyDescent="0.25">
      <c r="A28" s="144" t="s">
        <v>563</v>
      </c>
      <c r="E28" s="109">
        <f>E3/E9</f>
        <v>7.8506548998758809E-4</v>
      </c>
      <c r="F28" s="109">
        <f t="shared" ref="F28:BQ28" si="16">F3/F9</f>
        <v>1.0536863132504818E-2</v>
      </c>
      <c r="G28" s="109">
        <f t="shared" si="16"/>
        <v>1.1187704585333132E-2</v>
      </c>
      <c r="H28" s="109">
        <f t="shared" si="16"/>
        <v>1.2547391141715054E-2</v>
      </c>
      <c r="I28" s="109">
        <f t="shared" si="16"/>
        <v>1.3082834748667886E-2</v>
      </c>
      <c r="J28" s="109">
        <f t="shared" si="16"/>
        <v>1.4793232260330011E-2</v>
      </c>
      <c r="K28" s="109">
        <f t="shared" si="16"/>
        <v>1.6337132272504117E-2</v>
      </c>
      <c r="L28" s="109">
        <f t="shared" si="16"/>
        <v>1.6315769867196985E-2</v>
      </c>
      <c r="M28" s="109">
        <f t="shared" si="16"/>
        <v>1.7464413259662866E-2</v>
      </c>
      <c r="N28" s="109">
        <f t="shared" si="16"/>
        <v>0</v>
      </c>
      <c r="O28" s="109">
        <f t="shared" si="16"/>
        <v>0</v>
      </c>
      <c r="P28" s="109">
        <f t="shared" si="16"/>
        <v>0</v>
      </c>
      <c r="Q28" s="109">
        <f t="shared" si="16"/>
        <v>0</v>
      </c>
      <c r="R28" s="109">
        <f t="shared" si="16"/>
        <v>0</v>
      </c>
      <c r="S28" s="109">
        <f t="shared" si="16"/>
        <v>0</v>
      </c>
      <c r="T28" s="109">
        <f t="shared" si="16"/>
        <v>0</v>
      </c>
      <c r="U28" s="109">
        <f t="shared" si="16"/>
        <v>0</v>
      </c>
      <c r="V28" s="109">
        <f t="shared" si="16"/>
        <v>0</v>
      </c>
      <c r="W28" s="109">
        <f t="shared" si="16"/>
        <v>0</v>
      </c>
      <c r="X28" s="109">
        <f t="shared" si="16"/>
        <v>0</v>
      </c>
      <c r="Y28" s="109">
        <f t="shared" si="16"/>
        <v>0</v>
      </c>
      <c r="Z28" s="109">
        <f t="shared" si="16"/>
        <v>0</v>
      </c>
      <c r="AA28" s="109">
        <f t="shared" si="16"/>
        <v>0</v>
      </c>
      <c r="AB28" s="109">
        <f t="shared" si="16"/>
        <v>0</v>
      </c>
      <c r="AC28" s="109">
        <f t="shared" si="16"/>
        <v>0</v>
      </c>
      <c r="AD28" s="109">
        <f t="shared" si="16"/>
        <v>0</v>
      </c>
      <c r="AE28" s="109">
        <f t="shared" si="16"/>
        <v>0</v>
      </c>
      <c r="AF28" s="109">
        <f t="shared" si="16"/>
        <v>0</v>
      </c>
      <c r="AG28" s="109">
        <f t="shared" si="16"/>
        <v>0</v>
      </c>
      <c r="AH28" s="109">
        <f t="shared" si="16"/>
        <v>0</v>
      </c>
      <c r="AI28" s="109">
        <f t="shared" si="16"/>
        <v>0</v>
      </c>
      <c r="AJ28" s="109">
        <f t="shared" si="16"/>
        <v>0</v>
      </c>
      <c r="AK28" s="109">
        <f t="shared" si="16"/>
        <v>0</v>
      </c>
      <c r="AL28" s="109">
        <f t="shared" si="16"/>
        <v>0</v>
      </c>
      <c r="AM28" s="109">
        <f t="shared" si="16"/>
        <v>0</v>
      </c>
      <c r="AN28" s="109">
        <f t="shared" si="16"/>
        <v>0</v>
      </c>
      <c r="AO28" s="109">
        <f t="shared" si="16"/>
        <v>0</v>
      </c>
      <c r="AP28" s="109">
        <f t="shared" si="16"/>
        <v>0</v>
      </c>
      <c r="AQ28" s="109" t="e">
        <f t="shared" si="16"/>
        <v>#DIV/0!</v>
      </c>
      <c r="AR28" s="109" t="e">
        <f t="shared" si="16"/>
        <v>#DIV/0!</v>
      </c>
      <c r="AS28" s="109" t="e">
        <f t="shared" si="16"/>
        <v>#DIV/0!</v>
      </c>
      <c r="AT28" s="109" t="e">
        <f t="shared" si="16"/>
        <v>#DIV/0!</v>
      </c>
      <c r="AU28" s="109" t="e">
        <f t="shared" si="16"/>
        <v>#DIV/0!</v>
      </c>
      <c r="AV28" s="109" t="e">
        <f t="shared" si="16"/>
        <v>#DIV/0!</v>
      </c>
      <c r="AW28" s="109" t="e">
        <f t="shared" si="16"/>
        <v>#DIV/0!</v>
      </c>
      <c r="AX28" s="109" t="e">
        <f t="shared" si="16"/>
        <v>#DIV/0!</v>
      </c>
      <c r="AY28" s="109" t="e">
        <f t="shared" si="16"/>
        <v>#DIV/0!</v>
      </c>
      <c r="AZ28" s="109" t="e">
        <f t="shared" si="16"/>
        <v>#DIV/0!</v>
      </c>
      <c r="BA28" s="109" t="e">
        <f t="shared" si="16"/>
        <v>#DIV/0!</v>
      </c>
      <c r="BB28" s="109" t="e">
        <f t="shared" si="16"/>
        <v>#DIV/0!</v>
      </c>
      <c r="BC28" s="109" t="e">
        <f t="shared" si="16"/>
        <v>#DIV/0!</v>
      </c>
      <c r="BD28" s="109" t="e">
        <f t="shared" si="16"/>
        <v>#DIV/0!</v>
      </c>
      <c r="BE28" s="109" t="e">
        <f t="shared" si="16"/>
        <v>#DIV/0!</v>
      </c>
      <c r="BF28" s="109" t="e">
        <f t="shared" si="16"/>
        <v>#DIV/0!</v>
      </c>
      <c r="BG28" s="109" t="e">
        <f t="shared" si="16"/>
        <v>#DIV/0!</v>
      </c>
      <c r="BH28" s="109" t="e">
        <f t="shared" si="16"/>
        <v>#DIV/0!</v>
      </c>
      <c r="BI28" s="109" t="e">
        <f t="shared" si="16"/>
        <v>#DIV/0!</v>
      </c>
      <c r="BJ28" s="109" t="e">
        <f t="shared" si="16"/>
        <v>#DIV/0!</v>
      </c>
      <c r="BK28" s="109" t="e">
        <f t="shared" si="16"/>
        <v>#DIV/0!</v>
      </c>
      <c r="BL28" s="109" t="e">
        <f t="shared" si="16"/>
        <v>#DIV/0!</v>
      </c>
      <c r="BM28" s="109" t="e">
        <f t="shared" si="16"/>
        <v>#DIV/0!</v>
      </c>
      <c r="BN28" s="109" t="e">
        <f t="shared" si="16"/>
        <v>#DIV/0!</v>
      </c>
      <c r="BO28" s="109" t="e">
        <f t="shared" si="16"/>
        <v>#DIV/0!</v>
      </c>
      <c r="BP28" s="109" t="e">
        <f t="shared" si="16"/>
        <v>#DIV/0!</v>
      </c>
      <c r="BQ28" s="109" t="e">
        <f t="shared" si="16"/>
        <v>#DIV/0!</v>
      </c>
      <c r="BR28" s="109" t="e">
        <f t="shared" ref="BR28:CK28" si="17">BR3/BR9</f>
        <v>#DIV/0!</v>
      </c>
      <c r="BS28" s="109" t="e">
        <f t="shared" si="17"/>
        <v>#DIV/0!</v>
      </c>
      <c r="BT28" s="109" t="e">
        <f t="shared" si="17"/>
        <v>#DIV/0!</v>
      </c>
      <c r="BU28" s="109" t="e">
        <f t="shared" si="17"/>
        <v>#DIV/0!</v>
      </c>
      <c r="BV28" s="109" t="e">
        <f t="shared" si="17"/>
        <v>#DIV/0!</v>
      </c>
      <c r="BW28" s="109" t="e">
        <f t="shared" si="17"/>
        <v>#DIV/0!</v>
      </c>
      <c r="BX28" s="109" t="e">
        <f t="shared" si="17"/>
        <v>#DIV/0!</v>
      </c>
      <c r="BY28" s="109" t="e">
        <f t="shared" si="17"/>
        <v>#DIV/0!</v>
      </c>
      <c r="BZ28" s="109" t="e">
        <f t="shared" si="17"/>
        <v>#DIV/0!</v>
      </c>
      <c r="CA28" s="109" t="e">
        <f t="shared" si="17"/>
        <v>#DIV/0!</v>
      </c>
      <c r="CB28" s="109" t="e">
        <f t="shared" si="17"/>
        <v>#DIV/0!</v>
      </c>
      <c r="CC28" s="109" t="e">
        <f t="shared" si="17"/>
        <v>#DIV/0!</v>
      </c>
      <c r="CD28" s="109" t="e">
        <f t="shared" si="17"/>
        <v>#DIV/0!</v>
      </c>
      <c r="CE28" s="109" t="e">
        <f t="shared" si="17"/>
        <v>#DIV/0!</v>
      </c>
      <c r="CF28" s="109" t="e">
        <f t="shared" si="17"/>
        <v>#DIV/0!</v>
      </c>
      <c r="CG28" s="109" t="e">
        <f t="shared" si="17"/>
        <v>#DIV/0!</v>
      </c>
      <c r="CH28" s="109" t="e">
        <f t="shared" si="17"/>
        <v>#DIV/0!</v>
      </c>
      <c r="CI28" s="109" t="e">
        <f t="shared" si="17"/>
        <v>#DIV/0!</v>
      </c>
      <c r="CJ28" s="109" t="e">
        <f t="shared" si="17"/>
        <v>#DIV/0!</v>
      </c>
      <c r="CK28" s="109" t="e">
        <f t="shared" si="17"/>
        <v>#DIV/0!</v>
      </c>
    </row>
    <row r="29" spans="1:90" s="108" customFormat="1" x14ac:dyDescent="0.25">
      <c r="A29" s="143" t="s">
        <v>572</v>
      </c>
      <c r="E29" s="108">
        <f>(E4-I4)/I4</f>
        <v>0.68284254875713102</v>
      </c>
      <c r="F29" s="108">
        <f t="shared" ref="F29:BQ29" si="18">(F4-J4)/J4</f>
        <v>0.34921569899641269</v>
      </c>
      <c r="G29" s="108">
        <f t="shared" si="18"/>
        <v>1.0510738015604704E-2</v>
      </c>
      <c r="H29" s="108">
        <f t="shared" si="18"/>
        <v>9.3017349185209722E-2</v>
      </c>
      <c r="I29" s="108">
        <f t="shared" si="18"/>
        <v>-0.1798005371591907</v>
      </c>
      <c r="J29" s="108">
        <f t="shared" si="18"/>
        <v>0.41457996014733289</v>
      </c>
      <c r="K29" s="108">
        <f t="shared" si="18"/>
        <v>0.38965230267874468</v>
      </c>
      <c r="L29" s="108">
        <f t="shared" si="18"/>
        <v>5.0980233567516776E-2</v>
      </c>
      <c r="M29" s="108">
        <f t="shared" si="18"/>
        <v>0.13417540378641968</v>
      </c>
      <c r="N29" s="108">
        <f t="shared" si="18"/>
        <v>-9.9230592156349356E-2</v>
      </c>
      <c r="O29" s="108">
        <f t="shared" si="18"/>
        <v>0.34573665222878969</v>
      </c>
      <c r="P29" s="108">
        <f t="shared" si="18"/>
        <v>0.57513965233525488</v>
      </c>
      <c r="Q29" s="108">
        <f t="shared" si="18"/>
        <v>0.83906405071781986</v>
      </c>
      <c r="R29" s="108">
        <f t="shared" si="18"/>
        <v>1.3195476547870417</v>
      </c>
      <c r="S29" s="108">
        <f t="shared" si="18"/>
        <v>0.17894571671585388</v>
      </c>
      <c r="T29" s="108">
        <f t="shared" si="18"/>
        <v>0.53269961592559145</v>
      </c>
      <c r="U29" s="108">
        <f t="shared" si="18"/>
        <v>0.31572554925062329</v>
      </c>
      <c r="V29" s="108">
        <f t="shared" si="18"/>
        <v>-5.0589098543837294E-2</v>
      </c>
      <c r="W29" s="108">
        <f t="shared" si="18"/>
        <v>0.12547918880019879</v>
      </c>
      <c r="X29" s="108">
        <f t="shared" si="18"/>
        <v>0.44883838643430113</v>
      </c>
      <c r="Y29" s="108">
        <f t="shared" si="18"/>
        <v>0.74267690574737655</v>
      </c>
      <c r="Z29" s="108">
        <f t="shared" si="18"/>
        <v>0.77411694148116361</v>
      </c>
      <c r="AA29" s="108">
        <f t="shared" si="18"/>
        <v>0.67396035150049416</v>
      </c>
      <c r="AB29" s="108">
        <f t="shared" si="18"/>
        <v>1.1500405893590171</v>
      </c>
      <c r="AC29" s="108">
        <f t="shared" si="18"/>
        <v>0.18309930131307922</v>
      </c>
      <c r="AD29" s="108">
        <f t="shared" si="18"/>
        <v>-7.3663533268441508E-2</v>
      </c>
      <c r="AE29" s="108">
        <f t="shared" si="18"/>
        <v>0.27126459348129517</v>
      </c>
      <c r="AF29" s="108">
        <f t="shared" si="18"/>
        <v>0.16621936181994731</v>
      </c>
      <c r="AG29" s="108">
        <f t="shared" si="18"/>
        <v>0.48808271517608254</v>
      </c>
      <c r="AH29" s="108">
        <f t="shared" si="18"/>
        <v>1.1106910716765273</v>
      </c>
      <c r="AI29" s="108">
        <f t="shared" si="18"/>
        <v>0.60076220422248405</v>
      </c>
      <c r="AJ29" s="108">
        <f t="shared" si="18"/>
        <v>5.0171551976834865E-2</v>
      </c>
      <c r="AK29" s="108">
        <f t="shared" si="18"/>
        <v>0.24629471504759562</v>
      </c>
      <c r="AL29" s="108">
        <f t="shared" si="18"/>
        <v>2.4301887918196874</v>
      </c>
      <c r="AM29" s="108" t="e">
        <f t="shared" si="18"/>
        <v>#DIV/0!</v>
      </c>
      <c r="AN29" s="108" t="e">
        <f t="shared" si="18"/>
        <v>#DIV/0!</v>
      </c>
      <c r="AO29" s="108" t="e">
        <f t="shared" si="18"/>
        <v>#DIV/0!</v>
      </c>
      <c r="AP29" s="108" t="e">
        <f t="shared" si="18"/>
        <v>#DIV/0!</v>
      </c>
      <c r="AQ29" s="108" t="e">
        <f t="shared" si="18"/>
        <v>#DIV/0!</v>
      </c>
      <c r="AR29" s="108" t="e">
        <f t="shared" si="18"/>
        <v>#DIV/0!</v>
      </c>
      <c r="AS29" s="108" t="e">
        <f t="shared" si="18"/>
        <v>#DIV/0!</v>
      </c>
      <c r="AT29" s="108" t="e">
        <f t="shared" si="18"/>
        <v>#DIV/0!</v>
      </c>
      <c r="AU29" s="108" t="e">
        <f t="shared" si="18"/>
        <v>#DIV/0!</v>
      </c>
      <c r="AV29" s="108" t="e">
        <f t="shared" si="18"/>
        <v>#DIV/0!</v>
      </c>
      <c r="AW29" s="108" t="e">
        <f t="shared" si="18"/>
        <v>#DIV/0!</v>
      </c>
      <c r="AX29" s="108" t="e">
        <f t="shared" si="18"/>
        <v>#DIV/0!</v>
      </c>
      <c r="AY29" s="108" t="e">
        <f t="shared" si="18"/>
        <v>#DIV/0!</v>
      </c>
      <c r="AZ29" s="108" t="e">
        <f t="shared" si="18"/>
        <v>#DIV/0!</v>
      </c>
      <c r="BA29" s="108" t="e">
        <f t="shared" si="18"/>
        <v>#DIV/0!</v>
      </c>
      <c r="BB29" s="108" t="e">
        <f t="shared" si="18"/>
        <v>#DIV/0!</v>
      </c>
      <c r="BC29" s="108" t="e">
        <f t="shared" si="18"/>
        <v>#DIV/0!</v>
      </c>
      <c r="BD29" s="108" t="e">
        <f t="shared" si="18"/>
        <v>#DIV/0!</v>
      </c>
      <c r="BE29" s="108" t="e">
        <f t="shared" si="18"/>
        <v>#DIV/0!</v>
      </c>
      <c r="BF29" s="108" t="e">
        <f t="shared" si="18"/>
        <v>#DIV/0!</v>
      </c>
      <c r="BG29" s="108" t="e">
        <f t="shared" si="18"/>
        <v>#DIV/0!</v>
      </c>
      <c r="BH29" s="108" t="e">
        <f t="shared" si="18"/>
        <v>#DIV/0!</v>
      </c>
      <c r="BI29" s="108" t="e">
        <f t="shared" si="18"/>
        <v>#DIV/0!</v>
      </c>
      <c r="BJ29" s="108" t="e">
        <f t="shared" si="18"/>
        <v>#DIV/0!</v>
      </c>
      <c r="BK29" s="108" t="e">
        <f t="shared" si="18"/>
        <v>#DIV/0!</v>
      </c>
      <c r="BL29" s="108" t="e">
        <f t="shared" si="18"/>
        <v>#DIV/0!</v>
      </c>
      <c r="BM29" s="108" t="e">
        <f t="shared" si="18"/>
        <v>#DIV/0!</v>
      </c>
      <c r="BN29" s="108" t="e">
        <f t="shared" si="18"/>
        <v>#DIV/0!</v>
      </c>
      <c r="BO29" s="108" t="e">
        <f t="shared" si="18"/>
        <v>#DIV/0!</v>
      </c>
      <c r="BP29" s="108" t="e">
        <f t="shared" si="18"/>
        <v>#DIV/0!</v>
      </c>
      <c r="BQ29" s="108" t="e">
        <f t="shared" si="18"/>
        <v>#DIV/0!</v>
      </c>
      <c r="BR29" s="108" t="e">
        <f t="shared" ref="BR29:CK29" si="19">(BR4-BV4)/BV4</f>
        <v>#DIV/0!</v>
      </c>
      <c r="BS29" s="108" t="e">
        <f t="shared" si="19"/>
        <v>#DIV/0!</v>
      </c>
      <c r="BT29" s="108" t="e">
        <f t="shared" si="19"/>
        <v>#DIV/0!</v>
      </c>
      <c r="BU29" s="108" t="e">
        <f t="shared" si="19"/>
        <v>#DIV/0!</v>
      </c>
      <c r="BV29" s="108" t="e">
        <f t="shared" si="19"/>
        <v>#DIV/0!</v>
      </c>
      <c r="BW29" s="108" t="e">
        <f t="shared" si="19"/>
        <v>#DIV/0!</v>
      </c>
      <c r="BX29" s="108" t="e">
        <f t="shared" si="19"/>
        <v>#DIV/0!</v>
      </c>
      <c r="BY29" s="108" t="e">
        <f t="shared" si="19"/>
        <v>#DIV/0!</v>
      </c>
      <c r="BZ29" s="108" t="e">
        <f t="shared" si="19"/>
        <v>#DIV/0!</v>
      </c>
      <c r="CA29" s="108" t="e">
        <f t="shared" si="19"/>
        <v>#DIV/0!</v>
      </c>
      <c r="CB29" s="108" t="e">
        <f t="shared" si="19"/>
        <v>#DIV/0!</v>
      </c>
      <c r="CC29" s="108" t="e">
        <f t="shared" si="19"/>
        <v>#DIV/0!</v>
      </c>
      <c r="CD29" s="108" t="e">
        <f t="shared" si="19"/>
        <v>#DIV/0!</v>
      </c>
      <c r="CE29" s="108" t="e">
        <f t="shared" si="19"/>
        <v>#DIV/0!</v>
      </c>
      <c r="CF29" s="108" t="e">
        <f t="shared" si="19"/>
        <v>#DIV/0!</v>
      </c>
      <c r="CG29" s="108" t="e">
        <f t="shared" si="19"/>
        <v>#DIV/0!</v>
      </c>
      <c r="CH29" s="108" t="e">
        <f t="shared" si="19"/>
        <v>#DIV/0!</v>
      </c>
      <c r="CI29" s="108" t="e">
        <f t="shared" si="19"/>
        <v>#DIV/0!</v>
      </c>
      <c r="CJ29" s="108" t="e">
        <f t="shared" si="19"/>
        <v>#DIV/0!</v>
      </c>
      <c r="CK29" s="108" t="e">
        <f t="shared" si="19"/>
        <v>#DIV/0!</v>
      </c>
    </row>
    <row r="30" spans="1:90" s="108" customFormat="1" x14ac:dyDescent="0.25">
      <c r="A30" s="143" t="s">
        <v>556</v>
      </c>
      <c r="E30" s="108">
        <f>(E5-I5)/I5</f>
        <v>0.52837218459753676</v>
      </c>
      <c r="F30" s="108">
        <f t="shared" ref="F30:BQ30" si="20">(F5-J5)/J5</f>
        <v>0.38838870882061755</v>
      </c>
      <c r="G30" s="108">
        <f t="shared" si="20"/>
        <v>0.17828951497001533</v>
      </c>
      <c r="H30" s="108">
        <f t="shared" si="20"/>
        <v>0.18168246556764778</v>
      </c>
      <c r="I30" s="108">
        <f t="shared" si="20"/>
        <v>-4.9965058510446081E-2</v>
      </c>
      <c r="J30" s="108">
        <f t="shared" si="20"/>
        <v>0.28352170915280051</v>
      </c>
      <c r="K30" s="108">
        <f t="shared" si="20"/>
        <v>0.25012283172921018</v>
      </c>
      <c r="L30" s="108">
        <f t="shared" si="20"/>
        <v>0.11143539597738995</v>
      </c>
      <c r="M30" s="108">
        <f t="shared" si="20"/>
        <v>0.13908876436495488</v>
      </c>
      <c r="N30" s="108">
        <f t="shared" si="20"/>
        <v>-2.6732480630303548E-2</v>
      </c>
      <c r="O30" s="108">
        <f t="shared" si="20"/>
        <v>0.30575920322783195</v>
      </c>
      <c r="P30" s="108">
        <f t="shared" si="20"/>
        <v>0.39893547259871615</v>
      </c>
      <c r="Q30" s="108">
        <f t="shared" si="20"/>
        <v>0.53919604364321239</v>
      </c>
      <c r="R30" s="108">
        <f t="shared" si="20"/>
        <v>0.83803806427371408</v>
      </c>
      <c r="S30" s="108">
        <f t="shared" si="20"/>
        <v>0.27452447532840729</v>
      </c>
      <c r="T30" s="108">
        <f t="shared" si="20"/>
        <v>0.34948102882052146</v>
      </c>
      <c r="U30" s="108">
        <f t="shared" si="20"/>
        <v>0.22747051072218413</v>
      </c>
      <c r="V30" s="108">
        <f t="shared" si="20"/>
        <v>-9.9160000022010752E-2</v>
      </c>
      <c r="W30" s="108">
        <f t="shared" si="20"/>
        <v>-0.10101259183118523</v>
      </c>
      <c r="X30" s="108">
        <f t="shared" si="20"/>
        <v>7.2457002193844391E-2</v>
      </c>
      <c r="Y30" s="108">
        <f t="shared" si="20"/>
        <v>0.16726334915767024</v>
      </c>
      <c r="Z30" s="108">
        <f t="shared" si="20"/>
        <v>0.40105033991662375</v>
      </c>
      <c r="AA30" s="108">
        <f t="shared" si="20"/>
        <v>0.57563111228798358</v>
      </c>
      <c r="AB30" s="108">
        <f t="shared" si="20"/>
        <v>0.46702036020138837</v>
      </c>
      <c r="AC30" s="108">
        <f t="shared" si="20"/>
        <v>0.23273342640293287</v>
      </c>
      <c r="AD30" s="108">
        <f t="shared" si="20"/>
        <v>0.21019370830538128</v>
      </c>
      <c r="AE30" s="108">
        <f t="shared" si="20"/>
        <v>0.38823606410417894</v>
      </c>
      <c r="AF30" s="108">
        <f t="shared" si="20"/>
        <v>0.54372462832442703</v>
      </c>
      <c r="AG30" s="108">
        <f t="shared" si="20"/>
        <v>0.71265256116305842</v>
      </c>
      <c r="AH30" s="108">
        <f t="shared" si="20"/>
        <v>0.80489999906291876</v>
      </c>
      <c r="AI30" s="108">
        <f t="shared" si="20"/>
        <v>0.57393266126766707</v>
      </c>
      <c r="AJ30" s="108">
        <f t="shared" si="20"/>
        <v>0.32233961114517595</v>
      </c>
      <c r="AK30" s="108">
        <f t="shared" si="20"/>
        <v>0.53379206947447488</v>
      </c>
      <c r="AL30" s="108">
        <f t="shared" si="20"/>
        <v>0.73179973806837517</v>
      </c>
      <c r="AM30" s="108" t="e">
        <f t="shared" si="20"/>
        <v>#DIV/0!</v>
      </c>
      <c r="AN30" s="108" t="e">
        <f t="shared" si="20"/>
        <v>#DIV/0!</v>
      </c>
      <c r="AO30" s="108" t="e">
        <f t="shared" si="20"/>
        <v>#DIV/0!</v>
      </c>
      <c r="AP30" s="108" t="e">
        <f t="shared" si="20"/>
        <v>#DIV/0!</v>
      </c>
      <c r="AQ30" s="108" t="e">
        <f t="shared" si="20"/>
        <v>#DIV/0!</v>
      </c>
      <c r="AR30" s="108" t="e">
        <f t="shared" si="20"/>
        <v>#DIV/0!</v>
      </c>
      <c r="AS30" s="108" t="e">
        <f t="shared" si="20"/>
        <v>#DIV/0!</v>
      </c>
      <c r="AT30" s="108" t="e">
        <f t="shared" si="20"/>
        <v>#DIV/0!</v>
      </c>
      <c r="AU30" s="108" t="e">
        <f t="shared" si="20"/>
        <v>#DIV/0!</v>
      </c>
      <c r="AV30" s="108" t="e">
        <f t="shared" si="20"/>
        <v>#DIV/0!</v>
      </c>
      <c r="AW30" s="108" t="e">
        <f t="shared" si="20"/>
        <v>#DIV/0!</v>
      </c>
      <c r="AX30" s="108" t="e">
        <f t="shared" si="20"/>
        <v>#DIV/0!</v>
      </c>
      <c r="AY30" s="108" t="e">
        <f t="shared" si="20"/>
        <v>#DIV/0!</v>
      </c>
      <c r="AZ30" s="108" t="e">
        <f t="shared" si="20"/>
        <v>#DIV/0!</v>
      </c>
      <c r="BA30" s="108" t="e">
        <f t="shared" si="20"/>
        <v>#DIV/0!</v>
      </c>
      <c r="BB30" s="108" t="e">
        <f t="shared" si="20"/>
        <v>#DIV/0!</v>
      </c>
      <c r="BC30" s="108" t="e">
        <f t="shared" si="20"/>
        <v>#DIV/0!</v>
      </c>
      <c r="BD30" s="108" t="e">
        <f t="shared" si="20"/>
        <v>#DIV/0!</v>
      </c>
      <c r="BE30" s="108" t="e">
        <f t="shared" si="20"/>
        <v>#DIV/0!</v>
      </c>
      <c r="BF30" s="108" t="e">
        <f t="shared" si="20"/>
        <v>#DIV/0!</v>
      </c>
      <c r="BG30" s="108" t="e">
        <f t="shared" si="20"/>
        <v>#DIV/0!</v>
      </c>
      <c r="BH30" s="108" t="e">
        <f t="shared" si="20"/>
        <v>#DIV/0!</v>
      </c>
      <c r="BI30" s="108" t="e">
        <f t="shared" si="20"/>
        <v>#DIV/0!</v>
      </c>
      <c r="BJ30" s="108" t="e">
        <f t="shared" si="20"/>
        <v>#DIV/0!</v>
      </c>
      <c r="BK30" s="108" t="e">
        <f t="shared" si="20"/>
        <v>#DIV/0!</v>
      </c>
      <c r="BL30" s="108" t="e">
        <f t="shared" si="20"/>
        <v>#DIV/0!</v>
      </c>
      <c r="BM30" s="108" t="e">
        <f t="shared" si="20"/>
        <v>#DIV/0!</v>
      </c>
      <c r="BN30" s="108" t="e">
        <f t="shared" si="20"/>
        <v>#DIV/0!</v>
      </c>
      <c r="BO30" s="108" t="e">
        <f t="shared" si="20"/>
        <v>#DIV/0!</v>
      </c>
      <c r="BP30" s="108" t="e">
        <f t="shared" si="20"/>
        <v>#DIV/0!</v>
      </c>
      <c r="BQ30" s="108" t="e">
        <f t="shared" si="20"/>
        <v>#DIV/0!</v>
      </c>
      <c r="BR30" s="108" t="e">
        <f t="shared" ref="BR30:CK30" si="21">(BR5-BV5)/BV5</f>
        <v>#DIV/0!</v>
      </c>
      <c r="BS30" s="108" t="e">
        <f t="shared" si="21"/>
        <v>#DIV/0!</v>
      </c>
      <c r="BT30" s="108" t="e">
        <f t="shared" si="21"/>
        <v>#DIV/0!</v>
      </c>
      <c r="BU30" s="108" t="e">
        <f t="shared" si="21"/>
        <v>#DIV/0!</v>
      </c>
      <c r="BV30" s="108" t="e">
        <f t="shared" si="21"/>
        <v>#DIV/0!</v>
      </c>
      <c r="BW30" s="108" t="e">
        <f t="shared" si="21"/>
        <v>#DIV/0!</v>
      </c>
      <c r="BX30" s="108" t="e">
        <f t="shared" si="21"/>
        <v>#DIV/0!</v>
      </c>
      <c r="BY30" s="108" t="e">
        <f t="shared" si="21"/>
        <v>#DIV/0!</v>
      </c>
      <c r="BZ30" s="108" t="e">
        <f t="shared" si="21"/>
        <v>#DIV/0!</v>
      </c>
      <c r="CA30" s="108" t="e">
        <f t="shared" si="21"/>
        <v>#DIV/0!</v>
      </c>
      <c r="CB30" s="108" t="e">
        <f t="shared" si="21"/>
        <v>#DIV/0!</v>
      </c>
      <c r="CC30" s="108" t="e">
        <f t="shared" si="21"/>
        <v>#DIV/0!</v>
      </c>
      <c r="CD30" s="108" t="e">
        <f t="shared" si="21"/>
        <v>#DIV/0!</v>
      </c>
      <c r="CE30" s="108" t="e">
        <f t="shared" si="21"/>
        <v>#DIV/0!</v>
      </c>
      <c r="CF30" s="108" t="e">
        <f t="shared" si="21"/>
        <v>#DIV/0!</v>
      </c>
      <c r="CG30" s="108" t="e">
        <f t="shared" si="21"/>
        <v>#DIV/0!</v>
      </c>
      <c r="CH30" s="108" t="e">
        <f t="shared" si="21"/>
        <v>#DIV/0!</v>
      </c>
      <c r="CI30" s="108" t="e">
        <f t="shared" si="21"/>
        <v>#DIV/0!</v>
      </c>
      <c r="CJ30" s="108" t="e">
        <f t="shared" si="21"/>
        <v>#DIV/0!</v>
      </c>
      <c r="CK30" s="108" t="e">
        <f t="shared" si="21"/>
        <v>#DIV/0!</v>
      </c>
    </row>
    <row r="31" spans="1:90" s="108" customFormat="1" x14ac:dyDescent="0.25">
      <c r="A31" s="143" t="s">
        <v>557</v>
      </c>
      <c r="E31" s="108">
        <f>(E6-I6)/I6</f>
        <v>0.35132793597297535</v>
      </c>
      <c r="F31" s="108">
        <f t="shared" ref="F31:BQ31" si="22">(F6-J6)/J6</f>
        <v>0.46040177550599615</v>
      </c>
      <c r="G31" s="108">
        <f t="shared" si="22"/>
        <v>0.55468398425170518</v>
      </c>
      <c r="H31" s="108">
        <f t="shared" si="22"/>
        <v>0.32919764504812954</v>
      </c>
      <c r="I31" s="108">
        <f t="shared" si="22"/>
        <v>0.16060403740818568</v>
      </c>
      <c r="J31" s="108">
        <f t="shared" si="22"/>
        <v>9.6728765774236891E-2</v>
      </c>
      <c r="K31" s="108">
        <f t="shared" si="22"/>
        <v>2.0299688846987608E-2</v>
      </c>
      <c r="L31" s="108">
        <f t="shared" si="22"/>
        <v>0.22905930455425133</v>
      </c>
      <c r="M31" s="108">
        <f t="shared" si="22"/>
        <v>0.14714847208004714</v>
      </c>
      <c r="N31" s="108">
        <f t="shared" si="22"/>
        <v>9.9379648076837496E-2</v>
      </c>
      <c r="O31" s="108">
        <f t="shared" si="22"/>
        <v>0.24484773843082583</v>
      </c>
      <c r="P31" s="108">
        <f t="shared" si="22"/>
        <v>0.14888110578487287</v>
      </c>
      <c r="Q31" s="108">
        <f t="shared" si="22"/>
        <v>0.21438527086836667</v>
      </c>
      <c r="R31" s="108">
        <f t="shared" si="22"/>
        <v>0.35040277566547595</v>
      </c>
      <c r="S31" s="108">
        <f t="shared" si="22"/>
        <v>0.45414655529153514</v>
      </c>
      <c r="T31" s="108">
        <f t="shared" si="22"/>
        <v>0.15375664532437863</v>
      </c>
      <c r="U31" s="108">
        <f t="shared" si="22"/>
        <v>0.14432766415874532</v>
      </c>
      <c r="V31" s="108">
        <f t="shared" si="22"/>
        <v>-0.14353338636637247</v>
      </c>
      <c r="W31" s="108">
        <f t="shared" si="22"/>
        <v>-0.34770565030126821</v>
      </c>
      <c r="X31" s="108">
        <f t="shared" si="22"/>
        <v>-0.16051197824034669</v>
      </c>
      <c r="Y31" s="108">
        <f t="shared" si="22"/>
        <v>-0.10968184030547132</v>
      </c>
      <c r="Z31" s="108">
        <f t="shared" si="22"/>
        <v>0.17526909954193001</v>
      </c>
      <c r="AA31" s="108">
        <f t="shared" si="22"/>
        <v>0.48088460418653639</v>
      </c>
      <c r="AB31" s="108">
        <f t="shared" si="22"/>
        <v>0.22595658096861998</v>
      </c>
      <c r="AC31" s="108">
        <f t="shared" si="22"/>
        <v>0.25813735995432735</v>
      </c>
      <c r="AD31" s="108">
        <f t="shared" si="22"/>
        <v>0.48572515863245064</v>
      </c>
      <c r="AE31" s="108">
        <f t="shared" si="22"/>
        <v>0.52328995846498783</v>
      </c>
      <c r="AF31" s="108">
        <f t="shared" si="22"/>
        <v>0.74283683835421721</v>
      </c>
      <c r="AG31" s="108">
        <f t="shared" si="22"/>
        <v>0.85601180456019166</v>
      </c>
      <c r="AH31" s="108">
        <f t="shared" si="22"/>
        <v>0.58237413107592029</v>
      </c>
      <c r="AI31" s="108">
        <f t="shared" si="22"/>
        <v>0.54405298998479024</v>
      </c>
      <c r="AJ31" s="108">
        <f t="shared" si="22"/>
        <v>0.53171730039095122</v>
      </c>
      <c r="AK31" s="108">
        <f t="shared" si="22"/>
        <v>0.79866504696385543</v>
      </c>
      <c r="AL31" s="108">
        <f t="shared" si="22"/>
        <v>0.27309310050107616</v>
      </c>
      <c r="AM31" s="108" t="e">
        <f t="shared" si="22"/>
        <v>#DIV/0!</v>
      </c>
      <c r="AN31" s="108" t="e">
        <f t="shared" si="22"/>
        <v>#DIV/0!</v>
      </c>
      <c r="AO31" s="108" t="e">
        <f t="shared" si="22"/>
        <v>#DIV/0!</v>
      </c>
      <c r="AP31" s="108" t="e">
        <f t="shared" si="22"/>
        <v>#DIV/0!</v>
      </c>
      <c r="AQ31" s="108" t="e">
        <f t="shared" si="22"/>
        <v>#DIV/0!</v>
      </c>
      <c r="AR31" s="108" t="e">
        <f t="shared" si="22"/>
        <v>#DIV/0!</v>
      </c>
      <c r="AS31" s="108" t="e">
        <f t="shared" si="22"/>
        <v>#DIV/0!</v>
      </c>
      <c r="AT31" s="108" t="e">
        <f t="shared" si="22"/>
        <v>#DIV/0!</v>
      </c>
      <c r="AU31" s="108" t="e">
        <f t="shared" si="22"/>
        <v>#DIV/0!</v>
      </c>
      <c r="AV31" s="108" t="e">
        <f t="shared" si="22"/>
        <v>#DIV/0!</v>
      </c>
      <c r="AW31" s="108" t="e">
        <f t="shared" si="22"/>
        <v>#DIV/0!</v>
      </c>
      <c r="AX31" s="108" t="e">
        <f t="shared" si="22"/>
        <v>#DIV/0!</v>
      </c>
      <c r="AY31" s="108" t="e">
        <f t="shared" si="22"/>
        <v>#DIV/0!</v>
      </c>
      <c r="AZ31" s="108" t="e">
        <f t="shared" si="22"/>
        <v>#DIV/0!</v>
      </c>
      <c r="BA31" s="108" t="e">
        <f t="shared" si="22"/>
        <v>#DIV/0!</v>
      </c>
      <c r="BB31" s="108" t="e">
        <f t="shared" si="22"/>
        <v>#DIV/0!</v>
      </c>
      <c r="BC31" s="108" t="e">
        <f t="shared" si="22"/>
        <v>#DIV/0!</v>
      </c>
      <c r="BD31" s="108" t="e">
        <f t="shared" si="22"/>
        <v>#DIV/0!</v>
      </c>
      <c r="BE31" s="108" t="e">
        <f t="shared" si="22"/>
        <v>#DIV/0!</v>
      </c>
      <c r="BF31" s="108" t="e">
        <f t="shared" si="22"/>
        <v>#DIV/0!</v>
      </c>
      <c r="BG31" s="108" t="e">
        <f t="shared" si="22"/>
        <v>#DIV/0!</v>
      </c>
      <c r="BH31" s="108" t="e">
        <f t="shared" si="22"/>
        <v>#DIV/0!</v>
      </c>
      <c r="BI31" s="108" t="e">
        <f t="shared" si="22"/>
        <v>#DIV/0!</v>
      </c>
      <c r="BJ31" s="108" t="e">
        <f t="shared" si="22"/>
        <v>#DIV/0!</v>
      </c>
      <c r="BK31" s="108" t="e">
        <f t="shared" si="22"/>
        <v>#DIV/0!</v>
      </c>
      <c r="BL31" s="108" t="e">
        <f t="shared" si="22"/>
        <v>#DIV/0!</v>
      </c>
      <c r="BM31" s="108" t="e">
        <f t="shared" si="22"/>
        <v>#DIV/0!</v>
      </c>
      <c r="BN31" s="108" t="e">
        <f t="shared" si="22"/>
        <v>#DIV/0!</v>
      </c>
      <c r="BO31" s="108" t="e">
        <f t="shared" si="22"/>
        <v>#DIV/0!</v>
      </c>
      <c r="BP31" s="108" t="e">
        <f t="shared" si="22"/>
        <v>#DIV/0!</v>
      </c>
      <c r="BQ31" s="108" t="e">
        <f t="shared" si="22"/>
        <v>#DIV/0!</v>
      </c>
      <c r="BR31" s="108" t="e">
        <f t="shared" ref="BR31:CK31" si="23">(BR6-BV6)/BV6</f>
        <v>#DIV/0!</v>
      </c>
      <c r="BS31" s="108" t="e">
        <f t="shared" si="23"/>
        <v>#DIV/0!</v>
      </c>
      <c r="BT31" s="108" t="e">
        <f t="shared" si="23"/>
        <v>#DIV/0!</v>
      </c>
      <c r="BU31" s="108" t="e">
        <f t="shared" si="23"/>
        <v>#DIV/0!</v>
      </c>
      <c r="BV31" s="108" t="e">
        <f t="shared" si="23"/>
        <v>#DIV/0!</v>
      </c>
      <c r="BW31" s="108" t="e">
        <f t="shared" si="23"/>
        <v>#DIV/0!</v>
      </c>
      <c r="BX31" s="108" t="e">
        <f t="shared" si="23"/>
        <v>#DIV/0!</v>
      </c>
      <c r="BY31" s="108" t="e">
        <f t="shared" si="23"/>
        <v>#DIV/0!</v>
      </c>
      <c r="BZ31" s="108" t="e">
        <f t="shared" si="23"/>
        <v>#DIV/0!</v>
      </c>
      <c r="CA31" s="108" t="e">
        <f t="shared" si="23"/>
        <v>#DIV/0!</v>
      </c>
      <c r="CB31" s="108" t="e">
        <f t="shared" si="23"/>
        <v>#DIV/0!</v>
      </c>
      <c r="CC31" s="108" t="e">
        <f t="shared" si="23"/>
        <v>#DIV/0!</v>
      </c>
      <c r="CD31" s="108" t="e">
        <f t="shared" si="23"/>
        <v>#DIV/0!</v>
      </c>
      <c r="CE31" s="108" t="e">
        <f t="shared" si="23"/>
        <v>#DIV/0!</v>
      </c>
      <c r="CF31" s="108" t="e">
        <f t="shared" si="23"/>
        <v>#DIV/0!</v>
      </c>
      <c r="CG31" s="108" t="e">
        <f t="shared" si="23"/>
        <v>#DIV/0!</v>
      </c>
      <c r="CH31" s="108" t="e">
        <f t="shared" si="23"/>
        <v>#DIV/0!</v>
      </c>
      <c r="CI31" s="108" t="e">
        <f t="shared" si="23"/>
        <v>#DIV/0!</v>
      </c>
      <c r="CJ31" s="108" t="e">
        <f t="shared" si="23"/>
        <v>#DIV/0!</v>
      </c>
      <c r="CK31" s="108" t="e">
        <f t="shared" si="23"/>
        <v>#DIV/0!</v>
      </c>
    </row>
    <row r="32" spans="1:90" s="109" customFormat="1" x14ac:dyDescent="0.25">
      <c r="A32" s="144" t="s">
        <v>559</v>
      </c>
      <c r="E32" s="109">
        <f>(E7-I7)/I7</f>
        <v>0.29158020288221076</v>
      </c>
      <c r="F32" s="109">
        <f t="shared" ref="F32:BQ32" si="24">(F7-J7)/J7</f>
        <v>0.31947060093039675</v>
      </c>
      <c r="G32" s="109">
        <f t="shared" si="24"/>
        <v>0.35367057723073381</v>
      </c>
      <c r="H32" s="109">
        <f t="shared" si="24"/>
        <v>0.34197164611256181</v>
      </c>
      <c r="I32" s="109">
        <f t="shared" si="24"/>
        <v>-3.7376407822757848E-2</v>
      </c>
      <c r="J32" s="109">
        <f t="shared" si="24"/>
        <v>3.7983605931475581E-2</v>
      </c>
      <c r="K32" s="109">
        <f t="shared" si="24"/>
        <v>3.8106536864745209E-2</v>
      </c>
      <c r="L32" s="109">
        <f t="shared" si="24"/>
        <v>5.1770775964470779E-2</v>
      </c>
      <c r="M32" s="109">
        <f t="shared" si="24"/>
        <v>5.5210486576134143E-2</v>
      </c>
      <c r="N32" s="109">
        <f t="shared" si="24"/>
        <v>0.25903701417374508</v>
      </c>
      <c r="O32" s="109">
        <f t="shared" si="24"/>
        <v>0.27907983795112212</v>
      </c>
      <c r="P32" s="109">
        <f t="shared" si="24"/>
        <v>0.29340427560456173</v>
      </c>
      <c r="Q32" s="109">
        <f t="shared" si="24"/>
        <v>0.27730109350244897</v>
      </c>
      <c r="R32" s="109">
        <f t="shared" si="24"/>
        <v>3.2916280798505823E-2</v>
      </c>
      <c r="S32" s="109">
        <f t="shared" si="24"/>
        <v>0.15603751176228367</v>
      </c>
      <c r="T32" s="109">
        <f t="shared" si="24"/>
        <v>0.21534997815785381</v>
      </c>
      <c r="U32" s="109">
        <f t="shared" si="24"/>
        <v>0.25601929206855273</v>
      </c>
      <c r="V32" s="109">
        <f t="shared" si="24"/>
        <v>0.28374465904363122</v>
      </c>
      <c r="W32" s="109">
        <f t="shared" si="24"/>
        <v>0.26928952070090545</v>
      </c>
      <c r="X32" s="109">
        <f t="shared" si="24"/>
        <v>0.2366654643551496</v>
      </c>
      <c r="Y32" s="109">
        <f t="shared" si="24"/>
        <v>0.26658947692888879</v>
      </c>
      <c r="Z32" s="109">
        <f t="shared" si="24"/>
        <v>0.58639447746800177</v>
      </c>
      <c r="AA32" s="109">
        <f t="shared" si="24"/>
        <v>0.71306279376889337</v>
      </c>
      <c r="AB32" s="109">
        <f t="shared" si="24"/>
        <v>0.8145022100234669</v>
      </c>
      <c r="AC32" s="109">
        <f t="shared" si="24"/>
        <v>0.89115295173650477</v>
      </c>
      <c r="AD32" s="109">
        <f t="shared" si="24"/>
        <v>1.3089678188218843</v>
      </c>
      <c r="AE32" s="109">
        <f t="shared" si="24"/>
        <v>1.0022732755583448</v>
      </c>
      <c r="AF32" s="109">
        <f t="shared" si="24"/>
        <v>0.8262535482200819</v>
      </c>
      <c r="AG32" s="109">
        <f t="shared" si="24"/>
        <v>0.67902977918396834</v>
      </c>
      <c r="AH32" s="109">
        <f t="shared" si="24"/>
        <v>0.39589927880653292</v>
      </c>
      <c r="AI32" s="109">
        <f t="shared" si="24"/>
        <v>0.29976850238663177</v>
      </c>
      <c r="AJ32" s="109">
        <f t="shared" si="24"/>
        <v>0.25642962677873954</v>
      </c>
      <c r="AK32" s="109">
        <f t="shared" si="24"/>
        <v>0.64265016470761083</v>
      </c>
      <c r="AL32" s="109">
        <f t="shared" si="24"/>
        <v>0.51348246208836179</v>
      </c>
      <c r="AM32" s="109" t="e">
        <f t="shared" si="24"/>
        <v>#DIV/0!</v>
      </c>
      <c r="AN32" s="109" t="e">
        <f t="shared" si="24"/>
        <v>#DIV/0!</v>
      </c>
      <c r="AO32" s="109" t="e">
        <f t="shared" si="24"/>
        <v>#DIV/0!</v>
      </c>
      <c r="AP32" s="109" t="e">
        <f t="shared" si="24"/>
        <v>#DIV/0!</v>
      </c>
      <c r="AQ32" s="109" t="e">
        <f t="shared" si="24"/>
        <v>#DIV/0!</v>
      </c>
      <c r="AR32" s="109" t="e">
        <f t="shared" si="24"/>
        <v>#DIV/0!</v>
      </c>
      <c r="AS32" s="109" t="e">
        <f t="shared" si="24"/>
        <v>#DIV/0!</v>
      </c>
      <c r="AT32" s="109" t="e">
        <f t="shared" si="24"/>
        <v>#DIV/0!</v>
      </c>
      <c r="AU32" s="109" t="e">
        <f t="shared" si="24"/>
        <v>#DIV/0!</v>
      </c>
      <c r="AV32" s="109" t="e">
        <f t="shared" si="24"/>
        <v>#DIV/0!</v>
      </c>
      <c r="AW32" s="109" t="e">
        <f t="shared" si="24"/>
        <v>#DIV/0!</v>
      </c>
      <c r="AX32" s="109" t="e">
        <f t="shared" si="24"/>
        <v>#DIV/0!</v>
      </c>
      <c r="AY32" s="109" t="e">
        <f t="shared" si="24"/>
        <v>#DIV/0!</v>
      </c>
      <c r="AZ32" s="109" t="e">
        <f t="shared" si="24"/>
        <v>#DIV/0!</v>
      </c>
      <c r="BA32" s="109" t="e">
        <f t="shared" si="24"/>
        <v>#DIV/0!</v>
      </c>
      <c r="BB32" s="109" t="e">
        <f t="shared" si="24"/>
        <v>#DIV/0!</v>
      </c>
      <c r="BC32" s="109" t="e">
        <f t="shared" si="24"/>
        <v>#DIV/0!</v>
      </c>
      <c r="BD32" s="109" t="e">
        <f t="shared" si="24"/>
        <v>#DIV/0!</v>
      </c>
      <c r="BE32" s="109" t="e">
        <f t="shared" si="24"/>
        <v>#DIV/0!</v>
      </c>
      <c r="BF32" s="109" t="e">
        <f t="shared" si="24"/>
        <v>#DIV/0!</v>
      </c>
      <c r="BG32" s="109" t="e">
        <f t="shared" si="24"/>
        <v>#DIV/0!</v>
      </c>
      <c r="BH32" s="109" t="e">
        <f t="shared" si="24"/>
        <v>#DIV/0!</v>
      </c>
      <c r="BI32" s="109" t="e">
        <f t="shared" si="24"/>
        <v>#DIV/0!</v>
      </c>
      <c r="BJ32" s="109" t="e">
        <f t="shared" si="24"/>
        <v>#DIV/0!</v>
      </c>
      <c r="BK32" s="109" t="e">
        <f t="shared" si="24"/>
        <v>#DIV/0!</v>
      </c>
      <c r="BL32" s="109" t="e">
        <f t="shared" si="24"/>
        <v>#DIV/0!</v>
      </c>
      <c r="BM32" s="109" t="e">
        <f t="shared" si="24"/>
        <v>#DIV/0!</v>
      </c>
      <c r="BN32" s="109" t="e">
        <f t="shared" si="24"/>
        <v>#DIV/0!</v>
      </c>
      <c r="BO32" s="109" t="e">
        <f t="shared" si="24"/>
        <v>#DIV/0!</v>
      </c>
      <c r="BP32" s="109" t="e">
        <f t="shared" si="24"/>
        <v>#DIV/0!</v>
      </c>
      <c r="BQ32" s="109" t="e">
        <f t="shared" si="24"/>
        <v>#DIV/0!</v>
      </c>
      <c r="BR32" s="109" t="e">
        <f t="shared" ref="BR32:CK32" si="25">(BR7-BV7)/BV7</f>
        <v>#DIV/0!</v>
      </c>
      <c r="BS32" s="109" t="e">
        <f t="shared" si="25"/>
        <v>#DIV/0!</v>
      </c>
      <c r="BT32" s="109" t="e">
        <f t="shared" si="25"/>
        <v>#DIV/0!</v>
      </c>
      <c r="BU32" s="109" t="e">
        <f t="shared" si="25"/>
        <v>#DIV/0!</v>
      </c>
      <c r="BV32" s="109" t="e">
        <f t="shared" si="25"/>
        <v>#DIV/0!</v>
      </c>
      <c r="BW32" s="109" t="e">
        <f t="shared" si="25"/>
        <v>#DIV/0!</v>
      </c>
      <c r="BX32" s="109" t="e">
        <f t="shared" si="25"/>
        <v>#DIV/0!</v>
      </c>
      <c r="BY32" s="109" t="e">
        <f t="shared" si="25"/>
        <v>#DIV/0!</v>
      </c>
      <c r="BZ32" s="109" t="e">
        <f t="shared" si="25"/>
        <v>#DIV/0!</v>
      </c>
      <c r="CA32" s="109" t="e">
        <f t="shared" si="25"/>
        <v>#DIV/0!</v>
      </c>
      <c r="CB32" s="109" t="e">
        <f t="shared" si="25"/>
        <v>#DIV/0!</v>
      </c>
      <c r="CC32" s="109" t="e">
        <f t="shared" si="25"/>
        <v>#DIV/0!</v>
      </c>
      <c r="CD32" s="109" t="e">
        <f t="shared" si="25"/>
        <v>#DIV/0!</v>
      </c>
      <c r="CE32" s="109" t="e">
        <f t="shared" si="25"/>
        <v>#DIV/0!</v>
      </c>
      <c r="CF32" s="109" t="e">
        <f t="shared" si="25"/>
        <v>#DIV/0!</v>
      </c>
      <c r="CG32" s="109" t="e">
        <f t="shared" si="25"/>
        <v>#DIV/0!</v>
      </c>
      <c r="CH32" s="109" t="e">
        <f t="shared" si="25"/>
        <v>#DIV/0!</v>
      </c>
      <c r="CI32" s="109" t="e">
        <f t="shared" si="25"/>
        <v>#DIV/0!</v>
      </c>
      <c r="CJ32" s="109" t="e">
        <f t="shared" si="25"/>
        <v>#DIV/0!</v>
      </c>
      <c r="CK32" s="109" t="e">
        <f t="shared" si="25"/>
        <v>#DIV/0!</v>
      </c>
    </row>
    <row r="33" spans="1:89" s="109" customFormat="1" x14ac:dyDescent="0.25">
      <c r="A33" s="144" t="s">
        <v>566</v>
      </c>
      <c r="E33" s="109">
        <f>E7/E9</f>
        <v>0.31704459017571723</v>
      </c>
      <c r="F33" s="109">
        <f t="shared" ref="F33:BQ33" si="26">F7/F9</f>
        <v>0.32742381601054915</v>
      </c>
      <c r="G33" s="109">
        <f t="shared" si="26"/>
        <v>0.34650758579499075</v>
      </c>
      <c r="H33" s="109">
        <f t="shared" si="26"/>
        <v>0.32785683754670675</v>
      </c>
      <c r="I33" s="109">
        <f t="shared" si="26"/>
        <v>0.24814757896685119</v>
      </c>
      <c r="J33" s="109">
        <f t="shared" si="26"/>
        <v>0.27389348364657162</v>
      </c>
      <c r="K33" s="109">
        <f t="shared" si="26"/>
        <v>0.2879722155272148</v>
      </c>
      <c r="L33" s="109">
        <f t="shared" si="26"/>
        <v>0.30125404721064025</v>
      </c>
      <c r="M33" s="109">
        <f t="shared" si="26"/>
        <v>0.31445262911162492</v>
      </c>
      <c r="N33" s="109">
        <f t="shared" si="26"/>
        <v>0.32570678717946283</v>
      </c>
      <c r="O33" s="109">
        <f t="shared" si="26"/>
        <v>0.34214460158283072</v>
      </c>
      <c r="P33" s="109">
        <f t="shared" si="26"/>
        <v>0.31641239099107188</v>
      </c>
      <c r="Q33" s="109">
        <f t="shared" si="26"/>
        <v>0.33113917412580152</v>
      </c>
      <c r="R33" s="109">
        <f t="shared" si="26"/>
        <v>0.28535633808054572</v>
      </c>
      <c r="S33" s="109">
        <f t="shared" si="26"/>
        <v>0.29319725819172049</v>
      </c>
      <c r="T33" s="109">
        <f t="shared" si="26"/>
        <v>0.28618754385180312</v>
      </c>
      <c r="U33" s="109">
        <f t="shared" si="26"/>
        <v>0.30295045944521293</v>
      </c>
      <c r="V33" s="109">
        <f t="shared" si="26"/>
        <v>0.31405620868040124</v>
      </c>
      <c r="W33" s="109">
        <f t="shared" si="26"/>
        <v>0.28797434284098167</v>
      </c>
      <c r="X33" s="109">
        <f t="shared" si="26"/>
        <v>0.26545364523972304</v>
      </c>
      <c r="Y33" s="109">
        <f t="shared" si="26"/>
        <v>0.27192978338129903</v>
      </c>
      <c r="Z33" s="109">
        <f t="shared" si="26"/>
        <v>0.2817186524451582</v>
      </c>
      <c r="AA33" s="109">
        <f t="shared" si="26"/>
        <v>0.26646009239417745</v>
      </c>
      <c r="AB33" s="109">
        <f t="shared" si="26"/>
        <v>0.24166232496042897</v>
      </c>
      <c r="AC33" s="109">
        <f t="shared" si="26"/>
        <v>0.24613809165850792</v>
      </c>
      <c r="AD33" s="109">
        <f t="shared" si="26"/>
        <v>0.20115971463193691</v>
      </c>
      <c r="AE33" s="109">
        <f t="shared" si="26"/>
        <v>0.17765600222139044</v>
      </c>
      <c r="AF33" s="109">
        <f t="shared" si="26"/>
        <v>0.15254288371207286</v>
      </c>
      <c r="AG33" s="109">
        <f t="shared" si="26"/>
        <v>0.14548925469394283</v>
      </c>
      <c r="AH33" s="109">
        <f t="shared" si="26"/>
        <v>9.8404887015085415E-2</v>
      </c>
      <c r="AI33" s="109">
        <f t="shared" si="26"/>
        <v>9.7386908985434964E-2</v>
      </c>
      <c r="AJ33" s="109">
        <f t="shared" si="26"/>
        <v>9.2680344374162782E-2</v>
      </c>
      <c r="AK33" s="109">
        <f t="shared" si="26"/>
        <v>9.6033414741505299E-2</v>
      </c>
      <c r="AL33" s="109">
        <f t="shared" si="26"/>
        <v>7.5390890604375357E-2</v>
      </c>
      <c r="AM33" s="109">
        <f t="shared" si="26"/>
        <v>0.29683024612423331</v>
      </c>
      <c r="AN33" s="109">
        <f t="shared" si="26"/>
        <v>0.3383993232485365</v>
      </c>
      <c r="AO33" s="109">
        <f t="shared" si="26"/>
        <v>0.32684585768477176</v>
      </c>
      <c r="AP33" s="109">
        <f t="shared" si="26"/>
        <v>0.41215784865176219</v>
      </c>
      <c r="AQ33" s="109" t="e">
        <f t="shared" si="26"/>
        <v>#DIV/0!</v>
      </c>
      <c r="AR33" s="109" t="e">
        <f t="shared" si="26"/>
        <v>#DIV/0!</v>
      </c>
      <c r="AS33" s="109" t="e">
        <f t="shared" si="26"/>
        <v>#DIV/0!</v>
      </c>
      <c r="AT33" s="109" t="e">
        <f t="shared" si="26"/>
        <v>#DIV/0!</v>
      </c>
      <c r="AU33" s="109" t="e">
        <f t="shared" si="26"/>
        <v>#DIV/0!</v>
      </c>
      <c r="AV33" s="109" t="e">
        <f t="shared" si="26"/>
        <v>#DIV/0!</v>
      </c>
      <c r="AW33" s="109" t="e">
        <f t="shared" si="26"/>
        <v>#DIV/0!</v>
      </c>
      <c r="AX33" s="109" t="e">
        <f t="shared" si="26"/>
        <v>#DIV/0!</v>
      </c>
      <c r="AY33" s="109" t="e">
        <f t="shared" si="26"/>
        <v>#DIV/0!</v>
      </c>
      <c r="AZ33" s="109" t="e">
        <f t="shared" si="26"/>
        <v>#DIV/0!</v>
      </c>
      <c r="BA33" s="109" t="e">
        <f t="shared" si="26"/>
        <v>#DIV/0!</v>
      </c>
      <c r="BB33" s="109" t="e">
        <f t="shared" si="26"/>
        <v>#DIV/0!</v>
      </c>
      <c r="BC33" s="109" t="e">
        <f t="shared" si="26"/>
        <v>#DIV/0!</v>
      </c>
      <c r="BD33" s="109" t="e">
        <f t="shared" si="26"/>
        <v>#DIV/0!</v>
      </c>
      <c r="BE33" s="109" t="e">
        <f t="shared" si="26"/>
        <v>#DIV/0!</v>
      </c>
      <c r="BF33" s="109" t="e">
        <f t="shared" si="26"/>
        <v>#DIV/0!</v>
      </c>
      <c r="BG33" s="109" t="e">
        <f t="shared" si="26"/>
        <v>#DIV/0!</v>
      </c>
      <c r="BH33" s="109" t="e">
        <f t="shared" si="26"/>
        <v>#DIV/0!</v>
      </c>
      <c r="BI33" s="109" t="e">
        <f t="shared" si="26"/>
        <v>#DIV/0!</v>
      </c>
      <c r="BJ33" s="109" t="e">
        <f t="shared" si="26"/>
        <v>#DIV/0!</v>
      </c>
      <c r="BK33" s="109" t="e">
        <f t="shared" si="26"/>
        <v>#DIV/0!</v>
      </c>
      <c r="BL33" s="109" t="e">
        <f t="shared" si="26"/>
        <v>#DIV/0!</v>
      </c>
      <c r="BM33" s="109" t="e">
        <f t="shared" si="26"/>
        <v>#DIV/0!</v>
      </c>
      <c r="BN33" s="109" t="e">
        <f t="shared" si="26"/>
        <v>#DIV/0!</v>
      </c>
      <c r="BO33" s="109" t="e">
        <f t="shared" si="26"/>
        <v>#DIV/0!</v>
      </c>
      <c r="BP33" s="109" t="e">
        <f t="shared" si="26"/>
        <v>#DIV/0!</v>
      </c>
      <c r="BQ33" s="109" t="e">
        <f t="shared" si="26"/>
        <v>#DIV/0!</v>
      </c>
      <c r="BR33" s="109" t="e">
        <f t="shared" ref="BR33:CK33" si="27">BR7/BR9</f>
        <v>#DIV/0!</v>
      </c>
      <c r="BS33" s="109" t="e">
        <f t="shared" si="27"/>
        <v>#DIV/0!</v>
      </c>
      <c r="BT33" s="109" t="e">
        <f t="shared" si="27"/>
        <v>#DIV/0!</v>
      </c>
      <c r="BU33" s="109" t="e">
        <f t="shared" si="27"/>
        <v>#DIV/0!</v>
      </c>
      <c r="BV33" s="109" t="e">
        <f t="shared" si="27"/>
        <v>#DIV/0!</v>
      </c>
      <c r="BW33" s="109" t="e">
        <f t="shared" si="27"/>
        <v>#DIV/0!</v>
      </c>
      <c r="BX33" s="109" t="e">
        <f t="shared" si="27"/>
        <v>#DIV/0!</v>
      </c>
      <c r="BY33" s="109" t="e">
        <f t="shared" si="27"/>
        <v>#DIV/0!</v>
      </c>
      <c r="BZ33" s="109" t="e">
        <f t="shared" si="27"/>
        <v>#DIV/0!</v>
      </c>
      <c r="CA33" s="109" t="e">
        <f t="shared" si="27"/>
        <v>#DIV/0!</v>
      </c>
      <c r="CB33" s="109" t="e">
        <f t="shared" si="27"/>
        <v>#DIV/0!</v>
      </c>
      <c r="CC33" s="109" t="e">
        <f t="shared" si="27"/>
        <v>#DIV/0!</v>
      </c>
      <c r="CD33" s="109" t="e">
        <f t="shared" si="27"/>
        <v>#DIV/0!</v>
      </c>
      <c r="CE33" s="109" t="e">
        <f t="shared" si="27"/>
        <v>#DIV/0!</v>
      </c>
      <c r="CF33" s="109" t="e">
        <f t="shared" si="27"/>
        <v>#DIV/0!</v>
      </c>
      <c r="CG33" s="109" t="e">
        <f t="shared" si="27"/>
        <v>#DIV/0!</v>
      </c>
      <c r="CH33" s="109" t="e">
        <f t="shared" si="27"/>
        <v>#DIV/0!</v>
      </c>
      <c r="CI33" s="109" t="e">
        <f t="shared" si="27"/>
        <v>#DIV/0!</v>
      </c>
      <c r="CJ33" s="109" t="e">
        <f t="shared" si="27"/>
        <v>#DIV/0!</v>
      </c>
      <c r="CK33" s="109" t="e">
        <f t="shared" si="27"/>
        <v>#DIV/0!</v>
      </c>
    </row>
    <row r="34" spans="1:89" s="108" customFormat="1" x14ac:dyDescent="0.25">
      <c r="A34" s="143" t="s">
        <v>560</v>
      </c>
      <c r="E34" s="108">
        <f>(E10-I10)/I10</f>
        <v>-0.50693602167021756</v>
      </c>
      <c r="F34" s="108">
        <f t="shared" ref="F34:BQ34" si="28">(F10-J10)/J10</f>
        <v>0.51088852258333339</v>
      </c>
      <c r="G34" s="108">
        <f t="shared" si="28"/>
        <v>0.3391331204074074</v>
      </c>
      <c r="H34" s="108">
        <f t="shared" si="28"/>
        <v>2.9176663435000001</v>
      </c>
      <c r="I34" s="108">
        <f t="shared" si="28"/>
        <v>2.9948420404360112</v>
      </c>
      <c r="J34" s="108" t="e">
        <f t="shared" si="28"/>
        <v>#DIV/0!</v>
      </c>
      <c r="K34" s="108" t="e">
        <f t="shared" si="28"/>
        <v>#DIV/0!</v>
      </c>
      <c r="L34" s="108" t="e">
        <f t="shared" si="28"/>
        <v>#DIV/0!</v>
      </c>
      <c r="M34" s="108" t="e">
        <f t="shared" si="28"/>
        <v>#DIV/0!</v>
      </c>
      <c r="N34" s="108" t="e">
        <f t="shared" si="28"/>
        <v>#DIV/0!</v>
      </c>
      <c r="O34" s="108" t="e">
        <f t="shared" si="28"/>
        <v>#DIV/0!</v>
      </c>
      <c r="P34" s="108" t="e">
        <f t="shared" si="28"/>
        <v>#DIV/0!</v>
      </c>
      <c r="Q34" s="108" t="e">
        <f t="shared" si="28"/>
        <v>#DIV/0!</v>
      </c>
      <c r="R34" s="108" t="e">
        <f t="shared" si="28"/>
        <v>#DIV/0!</v>
      </c>
      <c r="S34" s="108" t="e">
        <f t="shared" si="28"/>
        <v>#DIV/0!</v>
      </c>
      <c r="T34" s="108" t="e">
        <f t="shared" si="28"/>
        <v>#DIV/0!</v>
      </c>
      <c r="U34" s="108" t="e">
        <f t="shared" si="28"/>
        <v>#DIV/0!</v>
      </c>
      <c r="V34" s="108" t="e">
        <f t="shared" si="28"/>
        <v>#DIV/0!</v>
      </c>
      <c r="W34" s="108" t="e">
        <f t="shared" si="28"/>
        <v>#DIV/0!</v>
      </c>
      <c r="X34" s="108" t="e">
        <f t="shared" si="28"/>
        <v>#DIV/0!</v>
      </c>
      <c r="Y34" s="108" t="e">
        <f t="shared" si="28"/>
        <v>#DIV/0!</v>
      </c>
      <c r="Z34" s="108" t="e">
        <f t="shared" si="28"/>
        <v>#DIV/0!</v>
      </c>
      <c r="AA34" s="108" t="e">
        <f t="shared" si="28"/>
        <v>#DIV/0!</v>
      </c>
      <c r="AB34" s="108" t="e">
        <f t="shared" si="28"/>
        <v>#DIV/0!</v>
      </c>
      <c r="AC34" s="108" t="e">
        <f t="shared" si="28"/>
        <v>#DIV/0!</v>
      </c>
      <c r="AD34" s="108" t="e">
        <f t="shared" si="28"/>
        <v>#DIV/0!</v>
      </c>
      <c r="AE34" s="108" t="e">
        <f t="shared" si="28"/>
        <v>#DIV/0!</v>
      </c>
      <c r="AF34" s="108" t="e">
        <f t="shared" si="28"/>
        <v>#DIV/0!</v>
      </c>
      <c r="AG34" s="108" t="e">
        <f t="shared" si="28"/>
        <v>#DIV/0!</v>
      </c>
      <c r="AH34" s="108" t="e">
        <f t="shared" si="28"/>
        <v>#DIV/0!</v>
      </c>
      <c r="AI34" s="108" t="e">
        <f t="shared" si="28"/>
        <v>#DIV/0!</v>
      </c>
      <c r="AJ34" s="108" t="e">
        <f t="shared" si="28"/>
        <v>#DIV/0!</v>
      </c>
      <c r="AK34" s="108">
        <f t="shared" si="28"/>
        <v>-1</v>
      </c>
      <c r="AL34" s="108">
        <f t="shared" si="28"/>
        <v>-1</v>
      </c>
      <c r="AM34" s="108" t="e">
        <f t="shared" si="28"/>
        <v>#DIV/0!</v>
      </c>
      <c r="AN34" s="108" t="e">
        <f t="shared" si="28"/>
        <v>#DIV/0!</v>
      </c>
      <c r="AO34" s="108" t="e">
        <f t="shared" si="28"/>
        <v>#DIV/0!</v>
      </c>
      <c r="AP34" s="108" t="e">
        <f t="shared" si="28"/>
        <v>#DIV/0!</v>
      </c>
      <c r="AQ34" s="108" t="e">
        <f t="shared" si="28"/>
        <v>#DIV/0!</v>
      </c>
      <c r="AR34" s="108" t="e">
        <f t="shared" si="28"/>
        <v>#DIV/0!</v>
      </c>
      <c r="AS34" s="108" t="e">
        <f t="shared" si="28"/>
        <v>#DIV/0!</v>
      </c>
      <c r="AT34" s="108" t="e">
        <f t="shared" si="28"/>
        <v>#DIV/0!</v>
      </c>
      <c r="AU34" s="108" t="e">
        <f t="shared" si="28"/>
        <v>#DIV/0!</v>
      </c>
      <c r="AV34" s="108" t="e">
        <f t="shared" si="28"/>
        <v>#DIV/0!</v>
      </c>
      <c r="AW34" s="108" t="e">
        <f t="shared" si="28"/>
        <v>#DIV/0!</v>
      </c>
      <c r="AX34" s="108" t="e">
        <f t="shared" si="28"/>
        <v>#DIV/0!</v>
      </c>
      <c r="AY34" s="108" t="e">
        <f t="shared" si="28"/>
        <v>#DIV/0!</v>
      </c>
      <c r="AZ34" s="108" t="e">
        <f t="shared" si="28"/>
        <v>#DIV/0!</v>
      </c>
      <c r="BA34" s="108" t="e">
        <f t="shared" si="28"/>
        <v>#DIV/0!</v>
      </c>
      <c r="BB34" s="108" t="e">
        <f t="shared" si="28"/>
        <v>#DIV/0!</v>
      </c>
      <c r="BC34" s="108" t="e">
        <f t="shared" si="28"/>
        <v>#DIV/0!</v>
      </c>
      <c r="BD34" s="108" t="e">
        <f t="shared" si="28"/>
        <v>#DIV/0!</v>
      </c>
      <c r="BE34" s="108" t="e">
        <f t="shared" si="28"/>
        <v>#DIV/0!</v>
      </c>
      <c r="BF34" s="108" t="e">
        <f t="shared" si="28"/>
        <v>#DIV/0!</v>
      </c>
      <c r="BG34" s="108" t="e">
        <f t="shared" si="28"/>
        <v>#DIV/0!</v>
      </c>
      <c r="BH34" s="108" t="e">
        <f t="shared" si="28"/>
        <v>#DIV/0!</v>
      </c>
      <c r="BI34" s="108" t="e">
        <f t="shared" si="28"/>
        <v>#DIV/0!</v>
      </c>
      <c r="BJ34" s="108" t="e">
        <f t="shared" si="28"/>
        <v>#DIV/0!</v>
      </c>
      <c r="BK34" s="108" t="e">
        <f t="shared" si="28"/>
        <v>#DIV/0!</v>
      </c>
      <c r="BL34" s="108" t="e">
        <f t="shared" si="28"/>
        <v>#DIV/0!</v>
      </c>
      <c r="BM34" s="108" t="e">
        <f t="shared" si="28"/>
        <v>#DIV/0!</v>
      </c>
      <c r="BN34" s="108" t="e">
        <f t="shared" si="28"/>
        <v>#DIV/0!</v>
      </c>
      <c r="BO34" s="108" t="e">
        <f t="shared" si="28"/>
        <v>#DIV/0!</v>
      </c>
      <c r="BP34" s="108" t="e">
        <f t="shared" si="28"/>
        <v>#DIV/0!</v>
      </c>
      <c r="BQ34" s="108" t="e">
        <f t="shared" si="28"/>
        <v>#DIV/0!</v>
      </c>
      <c r="BR34" s="108" t="e">
        <f t="shared" ref="BR34:CK34" si="29">(BR10-BV10)/BV10</f>
        <v>#DIV/0!</v>
      </c>
      <c r="BS34" s="108" t="e">
        <f t="shared" si="29"/>
        <v>#DIV/0!</v>
      </c>
      <c r="BT34" s="108" t="e">
        <f t="shared" si="29"/>
        <v>#DIV/0!</v>
      </c>
      <c r="BU34" s="108" t="e">
        <f t="shared" si="29"/>
        <v>#DIV/0!</v>
      </c>
      <c r="BV34" s="108" t="e">
        <f t="shared" si="29"/>
        <v>#DIV/0!</v>
      </c>
      <c r="BW34" s="108" t="e">
        <f t="shared" si="29"/>
        <v>#DIV/0!</v>
      </c>
      <c r="BX34" s="108" t="e">
        <f t="shared" si="29"/>
        <v>#DIV/0!</v>
      </c>
      <c r="BY34" s="108" t="e">
        <f t="shared" si="29"/>
        <v>#DIV/0!</v>
      </c>
      <c r="BZ34" s="108" t="e">
        <f t="shared" si="29"/>
        <v>#DIV/0!</v>
      </c>
      <c r="CA34" s="108" t="e">
        <f t="shared" si="29"/>
        <v>#DIV/0!</v>
      </c>
      <c r="CB34" s="108" t="e">
        <f t="shared" si="29"/>
        <v>#DIV/0!</v>
      </c>
      <c r="CC34" s="108" t="e">
        <f t="shared" si="29"/>
        <v>#DIV/0!</v>
      </c>
      <c r="CD34" s="108" t="e">
        <f t="shared" si="29"/>
        <v>#DIV/0!</v>
      </c>
      <c r="CE34" s="108" t="e">
        <f t="shared" si="29"/>
        <v>#DIV/0!</v>
      </c>
      <c r="CF34" s="108" t="e">
        <f t="shared" si="29"/>
        <v>#DIV/0!</v>
      </c>
      <c r="CG34" s="108" t="e">
        <f t="shared" si="29"/>
        <v>#DIV/0!</v>
      </c>
      <c r="CH34" s="108" t="e">
        <f t="shared" si="29"/>
        <v>#DIV/0!</v>
      </c>
      <c r="CI34" s="108" t="e">
        <f t="shared" si="29"/>
        <v>#DIV/0!</v>
      </c>
      <c r="CJ34" s="108" t="e">
        <f t="shared" si="29"/>
        <v>#DIV/0!</v>
      </c>
      <c r="CK34" s="108" t="e">
        <f t="shared" si="29"/>
        <v>#DIV/0!</v>
      </c>
    </row>
    <row r="35" spans="1:89" s="108" customFormat="1" x14ac:dyDescent="0.25">
      <c r="A35" s="143" t="s">
        <v>564</v>
      </c>
      <c r="E35" s="108">
        <f>E10/E12</f>
        <v>0.77965233094520769</v>
      </c>
      <c r="F35" s="108">
        <f t="shared" ref="F35:BQ35" si="30">F10/F12</f>
        <v>0.8518361265431369</v>
      </c>
      <c r="G35" s="108">
        <f t="shared" si="30"/>
        <v>0.84244548553958876</v>
      </c>
      <c r="H35" s="108">
        <f t="shared" si="30"/>
        <v>0.71612861660286309</v>
      </c>
      <c r="I35" s="108">
        <f t="shared" si="30"/>
        <v>0.80320933621360735</v>
      </c>
      <c r="J35" s="108">
        <f t="shared" si="30"/>
        <v>0.7205238686232216</v>
      </c>
      <c r="K35" s="108">
        <f t="shared" si="30"/>
        <v>0.93932925677438062</v>
      </c>
      <c r="L35" s="108">
        <f t="shared" si="30"/>
        <v>0.90342362322390823</v>
      </c>
      <c r="M35" s="108">
        <f t="shared" si="30"/>
        <v>0.87460883334015527</v>
      </c>
      <c r="N35" s="108" t="e">
        <f t="shared" si="30"/>
        <v>#DIV/0!</v>
      </c>
      <c r="O35" s="108">
        <f t="shared" si="30"/>
        <v>0</v>
      </c>
      <c r="P35" s="108">
        <f t="shared" si="30"/>
        <v>0</v>
      </c>
      <c r="Q35" s="108">
        <f t="shared" si="30"/>
        <v>0</v>
      </c>
      <c r="R35" s="108">
        <f t="shared" si="30"/>
        <v>0</v>
      </c>
      <c r="S35" s="108">
        <f t="shared" si="30"/>
        <v>0</v>
      </c>
      <c r="T35" s="108">
        <f t="shared" si="30"/>
        <v>0</v>
      </c>
      <c r="U35" s="108">
        <f t="shared" si="30"/>
        <v>0</v>
      </c>
      <c r="V35" s="108" t="e">
        <f t="shared" si="30"/>
        <v>#DIV/0!</v>
      </c>
      <c r="W35" s="108" t="e">
        <f t="shared" si="30"/>
        <v>#DIV/0!</v>
      </c>
      <c r="X35" s="108" t="e">
        <f t="shared" si="30"/>
        <v>#DIV/0!</v>
      </c>
      <c r="Y35" s="108" t="e">
        <f t="shared" si="30"/>
        <v>#DIV/0!</v>
      </c>
      <c r="Z35" s="108" t="e">
        <f t="shared" si="30"/>
        <v>#DIV/0!</v>
      </c>
      <c r="AA35" s="108" t="e">
        <f t="shared" si="30"/>
        <v>#DIV/0!</v>
      </c>
      <c r="AB35" s="108" t="e">
        <f t="shared" si="30"/>
        <v>#DIV/0!</v>
      </c>
      <c r="AC35" s="108" t="e">
        <f t="shared" si="30"/>
        <v>#DIV/0!</v>
      </c>
      <c r="AD35" s="108" t="e">
        <f t="shared" si="30"/>
        <v>#DIV/0!</v>
      </c>
      <c r="AE35" s="108" t="e">
        <f t="shared" si="30"/>
        <v>#DIV/0!</v>
      </c>
      <c r="AF35" s="108" t="e">
        <f t="shared" si="30"/>
        <v>#DIV/0!</v>
      </c>
      <c r="AG35" s="108" t="e">
        <f t="shared" si="30"/>
        <v>#DIV/0!</v>
      </c>
      <c r="AH35" s="108" t="e">
        <f t="shared" si="30"/>
        <v>#DIV/0!</v>
      </c>
      <c r="AI35" s="108" t="e">
        <f t="shared" si="30"/>
        <v>#DIV/0!</v>
      </c>
      <c r="AJ35" s="108" t="e">
        <f t="shared" si="30"/>
        <v>#DIV/0!</v>
      </c>
      <c r="AK35" s="108" t="e">
        <f t="shared" si="30"/>
        <v>#DIV/0!</v>
      </c>
      <c r="AL35" s="108" t="e">
        <f t="shared" si="30"/>
        <v>#DIV/0!</v>
      </c>
      <c r="AM35" s="108" t="e">
        <f t="shared" si="30"/>
        <v>#DIV/0!</v>
      </c>
      <c r="AN35" s="108" t="e">
        <f t="shared" si="30"/>
        <v>#DIV/0!</v>
      </c>
      <c r="AO35" s="108">
        <f t="shared" si="30"/>
        <v>1</v>
      </c>
      <c r="AP35" s="108">
        <f t="shared" si="30"/>
        <v>1</v>
      </c>
      <c r="AQ35" s="108" t="e">
        <f t="shared" si="30"/>
        <v>#DIV/0!</v>
      </c>
      <c r="AR35" s="108" t="e">
        <f t="shared" si="30"/>
        <v>#DIV/0!</v>
      </c>
      <c r="AS35" s="108" t="e">
        <f t="shared" si="30"/>
        <v>#DIV/0!</v>
      </c>
      <c r="AT35" s="108" t="e">
        <f t="shared" si="30"/>
        <v>#DIV/0!</v>
      </c>
      <c r="AU35" s="108" t="e">
        <f t="shared" si="30"/>
        <v>#DIV/0!</v>
      </c>
      <c r="AV35" s="108" t="e">
        <f t="shared" si="30"/>
        <v>#DIV/0!</v>
      </c>
      <c r="AW35" s="108" t="e">
        <f t="shared" si="30"/>
        <v>#DIV/0!</v>
      </c>
      <c r="AX35" s="108" t="e">
        <f t="shared" si="30"/>
        <v>#DIV/0!</v>
      </c>
      <c r="AY35" s="108" t="e">
        <f t="shared" si="30"/>
        <v>#DIV/0!</v>
      </c>
      <c r="AZ35" s="108" t="e">
        <f t="shared" si="30"/>
        <v>#DIV/0!</v>
      </c>
      <c r="BA35" s="108" t="e">
        <f t="shared" si="30"/>
        <v>#DIV/0!</v>
      </c>
      <c r="BB35" s="108" t="e">
        <f t="shared" si="30"/>
        <v>#DIV/0!</v>
      </c>
      <c r="BC35" s="108" t="e">
        <f t="shared" si="30"/>
        <v>#DIV/0!</v>
      </c>
      <c r="BD35" s="108" t="e">
        <f t="shared" si="30"/>
        <v>#DIV/0!</v>
      </c>
      <c r="BE35" s="108" t="e">
        <f t="shared" si="30"/>
        <v>#DIV/0!</v>
      </c>
      <c r="BF35" s="108" t="e">
        <f t="shared" si="30"/>
        <v>#DIV/0!</v>
      </c>
      <c r="BG35" s="108" t="e">
        <f t="shared" si="30"/>
        <v>#DIV/0!</v>
      </c>
      <c r="BH35" s="108" t="e">
        <f t="shared" si="30"/>
        <v>#DIV/0!</v>
      </c>
      <c r="BI35" s="108" t="e">
        <f t="shared" si="30"/>
        <v>#DIV/0!</v>
      </c>
      <c r="BJ35" s="108" t="e">
        <f t="shared" si="30"/>
        <v>#DIV/0!</v>
      </c>
      <c r="BK35" s="108" t="e">
        <f t="shared" si="30"/>
        <v>#DIV/0!</v>
      </c>
      <c r="BL35" s="108" t="e">
        <f t="shared" si="30"/>
        <v>#DIV/0!</v>
      </c>
      <c r="BM35" s="108" t="e">
        <f t="shared" si="30"/>
        <v>#DIV/0!</v>
      </c>
      <c r="BN35" s="108" t="e">
        <f t="shared" si="30"/>
        <v>#DIV/0!</v>
      </c>
      <c r="BO35" s="108" t="e">
        <f t="shared" si="30"/>
        <v>#DIV/0!</v>
      </c>
      <c r="BP35" s="108" t="e">
        <f t="shared" si="30"/>
        <v>#DIV/0!</v>
      </c>
      <c r="BQ35" s="108" t="e">
        <f t="shared" si="30"/>
        <v>#DIV/0!</v>
      </c>
      <c r="BR35" s="108" t="e">
        <f t="shared" ref="BR35:CK35" si="31">BR10/BR12</f>
        <v>#DIV/0!</v>
      </c>
      <c r="BS35" s="108" t="e">
        <f t="shared" si="31"/>
        <v>#DIV/0!</v>
      </c>
      <c r="BT35" s="108" t="e">
        <f t="shared" si="31"/>
        <v>#DIV/0!</v>
      </c>
      <c r="BU35" s="108" t="e">
        <f t="shared" si="31"/>
        <v>#DIV/0!</v>
      </c>
      <c r="BV35" s="108" t="e">
        <f t="shared" si="31"/>
        <v>#DIV/0!</v>
      </c>
      <c r="BW35" s="108" t="e">
        <f t="shared" si="31"/>
        <v>#DIV/0!</v>
      </c>
      <c r="BX35" s="108" t="e">
        <f t="shared" si="31"/>
        <v>#DIV/0!</v>
      </c>
      <c r="BY35" s="108" t="e">
        <f t="shared" si="31"/>
        <v>#DIV/0!</v>
      </c>
      <c r="BZ35" s="108" t="e">
        <f t="shared" si="31"/>
        <v>#DIV/0!</v>
      </c>
      <c r="CA35" s="108" t="e">
        <f t="shared" si="31"/>
        <v>#DIV/0!</v>
      </c>
      <c r="CB35" s="108" t="e">
        <f t="shared" si="31"/>
        <v>#DIV/0!</v>
      </c>
      <c r="CC35" s="108" t="e">
        <f t="shared" si="31"/>
        <v>#DIV/0!</v>
      </c>
      <c r="CD35" s="108" t="e">
        <f t="shared" si="31"/>
        <v>#DIV/0!</v>
      </c>
      <c r="CE35" s="108" t="e">
        <f t="shared" si="31"/>
        <v>#DIV/0!</v>
      </c>
      <c r="CF35" s="108" t="e">
        <f t="shared" si="31"/>
        <v>#DIV/0!</v>
      </c>
      <c r="CG35" s="108" t="e">
        <f t="shared" si="31"/>
        <v>#DIV/0!</v>
      </c>
      <c r="CH35" s="108" t="e">
        <f t="shared" si="31"/>
        <v>#DIV/0!</v>
      </c>
      <c r="CI35" s="108" t="e">
        <f t="shared" si="31"/>
        <v>#DIV/0!</v>
      </c>
      <c r="CJ35" s="108" t="e">
        <f t="shared" si="31"/>
        <v>#DIV/0!</v>
      </c>
      <c r="CK35" s="108" t="e">
        <f t="shared" si="31"/>
        <v>#DIV/0!</v>
      </c>
    </row>
    <row r="36" spans="1:89" s="108" customFormat="1" x14ac:dyDescent="0.25">
      <c r="A36" s="143" t="s">
        <v>561</v>
      </c>
      <c r="E36" s="108">
        <f>(E11-I11)/I11</f>
        <v>-0.43123218635649374</v>
      </c>
      <c r="F36" s="108">
        <f t="shared" ref="F36:BQ36" si="32">(F11-J11)/J11</f>
        <v>-0.32247965664565226</v>
      </c>
      <c r="G36" s="108">
        <f t="shared" si="32"/>
        <v>2.8774957449666863</v>
      </c>
      <c r="H36" s="108">
        <f t="shared" si="32"/>
        <v>13.527087946798808</v>
      </c>
      <c r="I36" s="108">
        <f t="shared" si="32"/>
        <v>5.8268800220495249</v>
      </c>
      <c r="J36" s="108" t="e">
        <f t="shared" si="32"/>
        <v>#DIV/0!</v>
      </c>
      <c r="K36" s="108">
        <f t="shared" si="32"/>
        <v>3.4563477892949566</v>
      </c>
      <c r="L36" s="108">
        <f t="shared" si="32"/>
        <v>3.0083614643675207</v>
      </c>
      <c r="M36" s="108">
        <f t="shared" si="32"/>
        <v>1.573694686659721</v>
      </c>
      <c r="N36" s="108">
        <f t="shared" si="32"/>
        <v>-1</v>
      </c>
      <c r="O36" s="108">
        <f t="shared" si="32"/>
        <v>-0.47331338123713651</v>
      </c>
      <c r="P36" s="108">
        <f t="shared" si="32"/>
        <v>-0.49529519231484359</v>
      </c>
      <c r="Q36" s="108">
        <f t="shared" si="32"/>
        <v>-0.29067875648399177</v>
      </c>
      <c r="R36" s="108" t="e">
        <f t="shared" si="32"/>
        <v>#DIV/0!</v>
      </c>
      <c r="S36" s="108" t="e">
        <f t="shared" si="32"/>
        <v>#DIV/0!</v>
      </c>
      <c r="T36" s="108" t="e">
        <f t="shared" si="32"/>
        <v>#DIV/0!</v>
      </c>
      <c r="U36" s="108" t="e">
        <f t="shared" si="32"/>
        <v>#DIV/0!</v>
      </c>
      <c r="V36" s="108" t="e">
        <f t="shared" si="32"/>
        <v>#DIV/0!</v>
      </c>
      <c r="W36" s="108" t="e">
        <f t="shared" si="32"/>
        <v>#DIV/0!</v>
      </c>
      <c r="X36" s="108" t="e">
        <f t="shared" si="32"/>
        <v>#DIV/0!</v>
      </c>
      <c r="Y36" s="108" t="e">
        <f t="shared" si="32"/>
        <v>#DIV/0!</v>
      </c>
      <c r="Z36" s="108" t="e">
        <f t="shared" si="32"/>
        <v>#DIV/0!</v>
      </c>
      <c r="AA36" s="108" t="e">
        <f t="shared" si="32"/>
        <v>#DIV/0!</v>
      </c>
      <c r="AB36" s="108" t="e">
        <f t="shared" si="32"/>
        <v>#DIV/0!</v>
      </c>
      <c r="AC36" s="108" t="e">
        <f t="shared" si="32"/>
        <v>#DIV/0!</v>
      </c>
      <c r="AD36" s="108" t="e">
        <f t="shared" si="32"/>
        <v>#DIV/0!</v>
      </c>
      <c r="AE36" s="108" t="e">
        <f t="shared" si="32"/>
        <v>#DIV/0!</v>
      </c>
      <c r="AF36" s="108" t="e">
        <f t="shared" si="32"/>
        <v>#DIV/0!</v>
      </c>
      <c r="AG36" s="108" t="e">
        <f t="shared" si="32"/>
        <v>#DIV/0!</v>
      </c>
      <c r="AH36" s="108" t="e">
        <f t="shared" si="32"/>
        <v>#DIV/0!</v>
      </c>
      <c r="AI36" s="108" t="e">
        <f t="shared" si="32"/>
        <v>#DIV/0!</v>
      </c>
      <c r="AJ36" s="108" t="e">
        <f t="shared" si="32"/>
        <v>#DIV/0!</v>
      </c>
      <c r="AK36" s="108" t="e">
        <f t="shared" si="32"/>
        <v>#DIV/0!</v>
      </c>
      <c r="AL36" s="108" t="e">
        <f t="shared" si="32"/>
        <v>#DIV/0!</v>
      </c>
      <c r="AM36" s="108" t="e">
        <f t="shared" si="32"/>
        <v>#DIV/0!</v>
      </c>
      <c r="AN36" s="108" t="e">
        <f t="shared" si="32"/>
        <v>#DIV/0!</v>
      </c>
      <c r="AO36" s="108" t="e">
        <f t="shared" si="32"/>
        <v>#DIV/0!</v>
      </c>
      <c r="AP36" s="108" t="e">
        <f t="shared" si="32"/>
        <v>#DIV/0!</v>
      </c>
      <c r="AQ36" s="108" t="e">
        <f t="shared" si="32"/>
        <v>#DIV/0!</v>
      </c>
      <c r="AR36" s="108" t="e">
        <f t="shared" si="32"/>
        <v>#DIV/0!</v>
      </c>
      <c r="AS36" s="108" t="e">
        <f t="shared" si="32"/>
        <v>#DIV/0!</v>
      </c>
      <c r="AT36" s="108" t="e">
        <f t="shared" si="32"/>
        <v>#DIV/0!</v>
      </c>
      <c r="AU36" s="108" t="e">
        <f t="shared" si="32"/>
        <v>#DIV/0!</v>
      </c>
      <c r="AV36" s="108" t="e">
        <f t="shared" si="32"/>
        <v>#DIV/0!</v>
      </c>
      <c r="AW36" s="108" t="e">
        <f t="shared" si="32"/>
        <v>#DIV/0!</v>
      </c>
      <c r="AX36" s="108" t="e">
        <f t="shared" si="32"/>
        <v>#DIV/0!</v>
      </c>
      <c r="AY36" s="108" t="e">
        <f t="shared" si="32"/>
        <v>#DIV/0!</v>
      </c>
      <c r="AZ36" s="108" t="e">
        <f t="shared" si="32"/>
        <v>#DIV/0!</v>
      </c>
      <c r="BA36" s="108" t="e">
        <f t="shared" si="32"/>
        <v>#DIV/0!</v>
      </c>
      <c r="BB36" s="108" t="e">
        <f t="shared" si="32"/>
        <v>#DIV/0!</v>
      </c>
      <c r="BC36" s="108" t="e">
        <f t="shared" si="32"/>
        <v>#DIV/0!</v>
      </c>
      <c r="BD36" s="108" t="e">
        <f t="shared" si="32"/>
        <v>#DIV/0!</v>
      </c>
      <c r="BE36" s="108" t="e">
        <f t="shared" si="32"/>
        <v>#DIV/0!</v>
      </c>
      <c r="BF36" s="108" t="e">
        <f t="shared" si="32"/>
        <v>#DIV/0!</v>
      </c>
      <c r="BG36" s="108" t="e">
        <f t="shared" si="32"/>
        <v>#DIV/0!</v>
      </c>
      <c r="BH36" s="108" t="e">
        <f t="shared" si="32"/>
        <v>#DIV/0!</v>
      </c>
      <c r="BI36" s="108" t="e">
        <f t="shared" si="32"/>
        <v>#DIV/0!</v>
      </c>
      <c r="BJ36" s="108" t="e">
        <f t="shared" si="32"/>
        <v>#DIV/0!</v>
      </c>
      <c r="BK36" s="108" t="e">
        <f t="shared" si="32"/>
        <v>#DIV/0!</v>
      </c>
      <c r="BL36" s="108" t="e">
        <f t="shared" si="32"/>
        <v>#DIV/0!</v>
      </c>
      <c r="BM36" s="108" t="e">
        <f t="shared" si="32"/>
        <v>#DIV/0!</v>
      </c>
      <c r="BN36" s="108" t="e">
        <f t="shared" si="32"/>
        <v>#DIV/0!</v>
      </c>
      <c r="BO36" s="108" t="e">
        <f t="shared" si="32"/>
        <v>#DIV/0!</v>
      </c>
      <c r="BP36" s="108" t="e">
        <f t="shared" si="32"/>
        <v>#DIV/0!</v>
      </c>
      <c r="BQ36" s="108" t="e">
        <f t="shared" si="32"/>
        <v>#DIV/0!</v>
      </c>
      <c r="BR36" s="108" t="e">
        <f t="shared" ref="BR36:CK36" si="33">(BR11-BV11)/BV11</f>
        <v>#DIV/0!</v>
      </c>
      <c r="BS36" s="108" t="e">
        <f t="shared" si="33"/>
        <v>#DIV/0!</v>
      </c>
      <c r="BT36" s="108" t="e">
        <f t="shared" si="33"/>
        <v>#DIV/0!</v>
      </c>
      <c r="BU36" s="108" t="e">
        <f t="shared" si="33"/>
        <v>#DIV/0!</v>
      </c>
      <c r="BV36" s="108" t="e">
        <f t="shared" si="33"/>
        <v>#DIV/0!</v>
      </c>
      <c r="BW36" s="108" t="e">
        <f t="shared" si="33"/>
        <v>#DIV/0!</v>
      </c>
      <c r="BX36" s="108" t="e">
        <f t="shared" si="33"/>
        <v>#DIV/0!</v>
      </c>
      <c r="BY36" s="108" t="e">
        <f t="shared" si="33"/>
        <v>#DIV/0!</v>
      </c>
      <c r="BZ36" s="108" t="e">
        <f t="shared" si="33"/>
        <v>#DIV/0!</v>
      </c>
      <c r="CA36" s="108" t="e">
        <f t="shared" si="33"/>
        <v>#DIV/0!</v>
      </c>
      <c r="CB36" s="108" t="e">
        <f t="shared" si="33"/>
        <v>#DIV/0!</v>
      </c>
      <c r="CC36" s="108" t="e">
        <f t="shared" si="33"/>
        <v>#DIV/0!</v>
      </c>
      <c r="CD36" s="108" t="e">
        <f t="shared" si="33"/>
        <v>#DIV/0!</v>
      </c>
      <c r="CE36" s="108" t="e">
        <f t="shared" si="33"/>
        <v>#DIV/0!</v>
      </c>
      <c r="CF36" s="108" t="e">
        <f t="shared" si="33"/>
        <v>#DIV/0!</v>
      </c>
      <c r="CG36" s="108" t="e">
        <f t="shared" si="33"/>
        <v>#DIV/0!</v>
      </c>
      <c r="CH36" s="108" t="e">
        <f t="shared" si="33"/>
        <v>#DIV/0!</v>
      </c>
      <c r="CI36" s="108" t="e">
        <f t="shared" si="33"/>
        <v>#DIV/0!</v>
      </c>
      <c r="CJ36" s="108" t="e">
        <f t="shared" si="33"/>
        <v>#DIV/0!</v>
      </c>
      <c r="CK36" s="108" t="e">
        <f t="shared" si="33"/>
        <v>#DIV/0!</v>
      </c>
    </row>
    <row r="37" spans="1:89" s="110" customFormat="1" x14ac:dyDescent="0.25">
      <c r="A37" s="143" t="s">
        <v>565</v>
      </c>
      <c r="B37" s="108"/>
      <c r="C37" s="108"/>
      <c r="D37" s="108"/>
      <c r="E37" s="108">
        <f>E11/E12</f>
        <v>0.22034766905479236</v>
      </c>
      <c r="F37" s="108">
        <f t="shared" ref="F37:BQ37" si="34">F11/F12</f>
        <v>0.14816387345686308</v>
      </c>
      <c r="G37" s="108">
        <f t="shared" si="34"/>
        <v>0.15755451446041116</v>
      </c>
      <c r="H37" s="108">
        <f t="shared" si="34"/>
        <v>0.28387138339713691</v>
      </c>
      <c r="I37" s="108">
        <f t="shared" si="34"/>
        <v>0.19679066378639268</v>
      </c>
      <c r="J37" s="108">
        <f t="shared" si="34"/>
        <v>0.27947613137677846</v>
      </c>
      <c r="K37" s="108">
        <f t="shared" si="34"/>
        <v>6.0670743225619342E-2</v>
      </c>
      <c r="L37" s="108">
        <f t="shared" si="34"/>
        <v>9.6576376776091738E-2</v>
      </c>
      <c r="M37" s="108">
        <f t="shared" si="34"/>
        <v>0.12539116665984473</v>
      </c>
      <c r="N37" s="108" t="e">
        <f t="shared" si="34"/>
        <v>#DIV/0!</v>
      </c>
      <c r="O37" s="110">
        <f t="shared" si="34"/>
        <v>1</v>
      </c>
      <c r="P37" s="110">
        <f t="shared" si="34"/>
        <v>1</v>
      </c>
      <c r="Q37" s="110">
        <f t="shared" si="34"/>
        <v>1</v>
      </c>
      <c r="R37" s="110">
        <f t="shared" si="34"/>
        <v>1</v>
      </c>
      <c r="S37" s="110">
        <f t="shared" si="34"/>
        <v>1</v>
      </c>
      <c r="T37" s="110">
        <f t="shared" si="34"/>
        <v>1</v>
      </c>
      <c r="U37" s="110">
        <f t="shared" si="34"/>
        <v>1</v>
      </c>
      <c r="V37" s="110" t="e">
        <f t="shared" si="34"/>
        <v>#DIV/0!</v>
      </c>
      <c r="W37" s="110" t="e">
        <f t="shared" si="34"/>
        <v>#DIV/0!</v>
      </c>
      <c r="X37" s="110" t="e">
        <f t="shared" si="34"/>
        <v>#DIV/0!</v>
      </c>
      <c r="Y37" s="110" t="e">
        <f t="shared" si="34"/>
        <v>#DIV/0!</v>
      </c>
      <c r="Z37" s="110" t="e">
        <f t="shared" si="34"/>
        <v>#DIV/0!</v>
      </c>
      <c r="AA37" s="110" t="e">
        <f t="shared" si="34"/>
        <v>#DIV/0!</v>
      </c>
      <c r="AB37" s="110" t="e">
        <f t="shared" si="34"/>
        <v>#DIV/0!</v>
      </c>
      <c r="AC37" s="110" t="e">
        <f t="shared" si="34"/>
        <v>#DIV/0!</v>
      </c>
      <c r="AD37" s="110" t="e">
        <f t="shared" si="34"/>
        <v>#DIV/0!</v>
      </c>
      <c r="AE37" s="110" t="e">
        <f t="shared" si="34"/>
        <v>#DIV/0!</v>
      </c>
      <c r="AF37" s="110" t="e">
        <f t="shared" si="34"/>
        <v>#DIV/0!</v>
      </c>
      <c r="AG37" s="110" t="e">
        <f t="shared" si="34"/>
        <v>#DIV/0!</v>
      </c>
      <c r="AH37" s="110" t="e">
        <f t="shared" si="34"/>
        <v>#DIV/0!</v>
      </c>
      <c r="AI37" s="110" t="e">
        <f t="shared" si="34"/>
        <v>#DIV/0!</v>
      </c>
      <c r="AJ37" s="110" t="e">
        <f t="shared" si="34"/>
        <v>#DIV/0!</v>
      </c>
      <c r="AK37" s="110" t="e">
        <f t="shared" si="34"/>
        <v>#DIV/0!</v>
      </c>
      <c r="AL37" s="110" t="e">
        <f t="shared" si="34"/>
        <v>#DIV/0!</v>
      </c>
      <c r="AM37" s="110" t="e">
        <f t="shared" si="34"/>
        <v>#DIV/0!</v>
      </c>
      <c r="AN37" s="110" t="e">
        <f t="shared" si="34"/>
        <v>#DIV/0!</v>
      </c>
      <c r="AO37" s="110">
        <f t="shared" si="34"/>
        <v>0</v>
      </c>
      <c r="AP37" s="110">
        <f t="shared" si="34"/>
        <v>0</v>
      </c>
      <c r="AQ37" s="110" t="e">
        <f t="shared" si="34"/>
        <v>#DIV/0!</v>
      </c>
      <c r="AR37" s="110" t="e">
        <f t="shared" si="34"/>
        <v>#DIV/0!</v>
      </c>
      <c r="AS37" s="110" t="e">
        <f t="shared" si="34"/>
        <v>#DIV/0!</v>
      </c>
      <c r="AT37" s="110" t="e">
        <f t="shared" si="34"/>
        <v>#DIV/0!</v>
      </c>
      <c r="AU37" s="110" t="e">
        <f t="shared" si="34"/>
        <v>#DIV/0!</v>
      </c>
      <c r="AV37" s="110" t="e">
        <f t="shared" si="34"/>
        <v>#DIV/0!</v>
      </c>
      <c r="AW37" s="110" t="e">
        <f t="shared" si="34"/>
        <v>#DIV/0!</v>
      </c>
      <c r="AX37" s="110" t="e">
        <f t="shared" si="34"/>
        <v>#DIV/0!</v>
      </c>
      <c r="AY37" s="110" t="e">
        <f t="shared" si="34"/>
        <v>#DIV/0!</v>
      </c>
      <c r="AZ37" s="110" t="e">
        <f t="shared" si="34"/>
        <v>#DIV/0!</v>
      </c>
      <c r="BA37" s="110" t="e">
        <f t="shared" si="34"/>
        <v>#DIV/0!</v>
      </c>
      <c r="BB37" s="110" t="e">
        <f t="shared" si="34"/>
        <v>#DIV/0!</v>
      </c>
      <c r="BC37" s="110" t="e">
        <f t="shared" si="34"/>
        <v>#DIV/0!</v>
      </c>
      <c r="BD37" s="110" t="e">
        <f t="shared" si="34"/>
        <v>#DIV/0!</v>
      </c>
      <c r="BE37" s="110" t="e">
        <f t="shared" si="34"/>
        <v>#DIV/0!</v>
      </c>
      <c r="BF37" s="110" t="e">
        <f t="shared" si="34"/>
        <v>#DIV/0!</v>
      </c>
      <c r="BG37" s="110" t="e">
        <f t="shared" si="34"/>
        <v>#DIV/0!</v>
      </c>
      <c r="BH37" s="110" t="e">
        <f t="shared" si="34"/>
        <v>#DIV/0!</v>
      </c>
      <c r="BI37" s="110" t="e">
        <f t="shared" si="34"/>
        <v>#DIV/0!</v>
      </c>
      <c r="BJ37" s="110" t="e">
        <f t="shared" si="34"/>
        <v>#DIV/0!</v>
      </c>
      <c r="BK37" s="110" t="e">
        <f t="shared" si="34"/>
        <v>#DIV/0!</v>
      </c>
      <c r="BL37" s="110" t="e">
        <f t="shared" si="34"/>
        <v>#DIV/0!</v>
      </c>
      <c r="BM37" s="110" t="e">
        <f t="shared" si="34"/>
        <v>#DIV/0!</v>
      </c>
      <c r="BN37" s="110" t="e">
        <f t="shared" si="34"/>
        <v>#DIV/0!</v>
      </c>
      <c r="BO37" s="110" t="e">
        <f t="shared" si="34"/>
        <v>#DIV/0!</v>
      </c>
      <c r="BP37" s="110" t="e">
        <f t="shared" si="34"/>
        <v>#DIV/0!</v>
      </c>
      <c r="BQ37" s="110" t="e">
        <f t="shared" si="34"/>
        <v>#DIV/0!</v>
      </c>
      <c r="BR37" s="110" t="e">
        <f t="shared" ref="BR37:CK37" si="35">BR11/BR12</f>
        <v>#DIV/0!</v>
      </c>
      <c r="BS37" s="110" t="e">
        <f t="shared" si="35"/>
        <v>#DIV/0!</v>
      </c>
      <c r="BT37" s="110" t="e">
        <f t="shared" si="35"/>
        <v>#DIV/0!</v>
      </c>
      <c r="BU37" s="110" t="e">
        <f t="shared" si="35"/>
        <v>#DIV/0!</v>
      </c>
      <c r="BV37" s="110" t="e">
        <f t="shared" si="35"/>
        <v>#DIV/0!</v>
      </c>
      <c r="BW37" s="110" t="e">
        <f t="shared" si="35"/>
        <v>#DIV/0!</v>
      </c>
      <c r="BX37" s="110" t="e">
        <f t="shared" si="35"/>
        <v>#DIV/0!</v>
      </c>
      <c r="BY37" s="110" t="e">
        <f t="shared" si="35"/>
        <v>#DIV/0!</v>
      </c>
      <c r="BZ37" s="110" t="e">
        <f t="shared" si="35"/>
        <v>#DIV/0!</v>
      </c>
      <c r="CA37" s="110" t="e">
        <f t="shared" si="35"/>
        <v>#DIV/0!</v>
      </c>
      <c r="CB37" s="110" t="e">
        <f t="shared" si="35"/>
        <v>#DIV/0!</v>
      </c>
      <c r="CC37" s="110" t="e">
        <f t="shared" si="35"/>
        <v>#DIV/0!</v>
      </c>
      <c r="CD37" s="110" t="e">
        <f t="shared" si="35"/>
        <v>#DIV/0!</v>
      </c>
      <c r="CE37" s="110" t="e">
        <f t="shared" si="35"/>
        <v>#DIV/0!</v>
      </c>
      <c r="CF37" s="110" t="e">
        <f t="shared" si="35"/>
        <v>#DIV/0!</v>
      </c>
      <c r="CG37" s="110" t="e">
        <f t="shared" si="35"/>
        <v>#DIV/0!</v>
      </c>
      <c r="CH37" s="110" t="e">
        <f t="shared" si="35"/>
        <v>#DIV/0!</v>
      </c>
      <c r="CI37" s="110" t="e">
        <f t="shared" si="35"/>
        <v>#DIV/0!</v>
      </c>
      <c r="CJ37" s="110" t="e">
        <f t="shared" si="35"/>
        <v>#DIV/0!</v>
      </c>
      <c r="CK37" s="110" t="e">
        <f t="shared" si="35"/>
        <v>#DIV/0!</v>
      </c>
    </row>
    <row r="38" spans="1:89" s="189" customFormat="1" x14ac:dyDescent="0.25">
      <c r="A38" s="186" t="s">
        <v>635</v>
      </c>
      <c r="B38" s="187"/>
      <c r="C38" s="187"/>
      <c r="D38" s="187"/>
      <c r="E38" s="188">
        <f>E1</f>
        <v>43100</v>
      </c>
      <c r="F38" s="188">
        <f t="shared" ref="F38:U38" si="36">F1</f>
        <v>43008</v>
      </c>
      <c r="G38" s="188">
        <f t="shared" si="36"/>
        <v>42916</v>
      </c>
      <c r="H38" s="188">
        <f t="shared" si="36"/>
        <v>42825</v>
      </c>
      <c r="I38" s="188">
        <f t="shared" si="36"/>
        <v>42735</v>
      </c>
      <c r="J38" s="188">
        <f t="shared" si="36"/>
        <v>42643</v>
      </c>
      <c r="K38" s="188">
        <f t="shared" si="36"/>
        <v>42551</v>
      </c>
      <c r="L38" s="188">
        <f t="shared" si="36"/>
        <v>42460</v>
      </c>
      <c r="M38" s="188">
        <f t="shared" si="36"/>
        <v>42369</v>
      </c>
      <c r="N38" s="188">
        <f t="shared" si="36"/>
        <v>42277</v>
      </c>
      <c r="O38" s="188">
        <f t="shared" si="36"/>
        <v>42185</v>
      </c>
      <c r="P38" s="188">
        <f t="shared" si="36"/>
        <v>42094</v>
      </c>
      <c r="Q38" s="188">
        <f t="shared" si="36"/>
        <v>42004</v>
      </c>
      <c r="R38" s="188">
        <f t="shared" si="36"/>
        <v>41912</v>
      </c>
      <c r="S38" s="188">
        <f t="shared" si="36"/>
        <v>41820</v>
      </c>
      <c r="T38" s="188">
        <f t="shared" si="36"/>
        <v>41729</v>
      </c>
      <c r="U38" s="188">
        <f t="shared" si="36"/>
        <v>41639</v>
      </c>
    </row>
    <row r="39" spans="1:89" s="225" customFormat="1" x14ac:dyDescent="0.25">
      <c r="A39" s="222" t="s">
        <v>552</v>
      </c>
      <c r="B39" s="223"/>
      <c r="C39" s="223"/>
      <c r="D39" s="223"/>
      <c r="E39" s="224">
        <f>E2/E9</f>
        <v>0.21463167862036087</v>
      </c>
      <c r="F39" s="224">
        <f t="shared" ref="F39:U39" si="37">F2/F9</f>
        <v>0.15626478545075001</v>
      </c>
      <c r="G39" s="224">
        <f t="shared" si="37"/>
        <v>0.23766010325584033</v>
      </c>
      <c r="H39" s="224">
        <f t="shared" si="37"/>
        <v>0.29969920088848329</v>
      </c>
      <c r="I39" s="224">
        <f t="shared" si="37"/>
        <v>0.45791266951713955</v>
      </c>
      <c r="J39" s="224">
        <f t="shared" si="37"/>
        <v>0.29755497703876937</v>
      </c>
      <c r="K39" s="224">
        <f t="shared" si="37"/>
        <v>0.24520220966395412</v>
      </c>
      <c r="L39" s="224">
        <f t="shared" si="37"/>
        <v>0.27641466059724851</v>
      </c>
      <c r="M39" s="224">
        <f t="shared" si="37"/>
        <v>0.25038020967085672</v>
      </c>
      <c r="N39" s="224">
        <f t="shared" si="37"/>
        <v>0.31325362227325732</v>
      </c>
      <c r="O39" s="224">
        <f t="shared" si="37"/>
        <v>0.25802249356708268</v>
      </c>
      <c r="P39" s="224">
        <f t="shared" si="37"/>
        <v>0.2568216396468076</v>
      </c>
      <c r="Q39" s="224">
        <f t="shared" si="37"/>
        <v>0.25961756424967081</v>
      </c>
      <c r="R39" s="224">
        <f t="shared" si="37"/>
        <v>0.27252340634217009</v>
      </c>
      <c r="S39" s="224">
        <f t="shared" si="37"/>
        <v>0.38114131808988361</v>
      </c>
      <c r="T39" s="224">
        <f t="shared" si="37"/>
        <v>0.39685406495707076</v>
      </c>
      <c r="U39" s="224">
        <f t="shared" si="37"/>
        <v>0.43701022134652312</v>
      </c>
    </row>
    <row r="40" spans="1:89" s="225" customFormat="1" x14ac:dyDescent="0.25">
      <c r="A40" s="222" t="s">
        <v>553</v>
      </c>
      <c r="B40" s="223"/>
      <c r="C40" s="223"/>
      <c r="D40" s="223"/>
      <c r="E40" s="224">
        <f>E3/E9</f>
        <v>7.8506548998758809E-4</v>
      </c>
      <c r="F40" s="224">
        <f t="shared" ref="F40:U40" si="38">F3/F9</f>
        <v>1.0536863132504818E-2</v>
      </c>
      <c r="G40" s="224">
        <f t="shared" si="38"/>
        <v>1.1187704585333132E-2</v>
      </c>
      <c r="H40" s="224">
        <f t="shared" si="38"/>
        <v>1.2547391141715054E-2</v>
      </c>
      <c r="I40" s="224">
        <f t="shared" si="38"/>
        <v>1.3082834748667886E-2</v>
      </c>
      <c r="J40" s="224">
        <f t="shared" si="38"/>
        <v>1.4793232260330011E-2</v>
      </c>
      <c r="K40" s="224">
        <f t="shared" si="38"/>
        <v>1.6337132272504117E-2</v>
      </c>
      <c r="L40" s="224">
        <f t="shared" si="38"/>
        <v>1.6315769867196985E-2</v>
      </c>
      <c r="M40" s="224">
        <f t="shared" si="38"/>
        <v>1.7464413259662866E-2</v>
      </c>
      <c r="N40" s="224">
        <f t="shared" si="38"/>
        <v>0</v>
      </c>
      <c r="O40" s="224">
        <f t="shared" si="38"/>
        <v>0</v>
      </c>
      <c r="P40" s="224">
        <f t="shared" si="38"/>
        <v>0</v>
      </c>
      <c r="Q40" s="224">
        <f t="shared" si="38"/>
        <v>0</v>
      </c>
      <c r="R40" s="224">
        <f t="shared" si="38"/>
        <v>0</v>
      </c>
      <c r="S40" s="224">
        <f t="shared" si="38"/>
        <v>0</v>
      </c>
      <c r="T40" s="224">
        <f t="shared" si="38"/>
        <v>0</v>
      </c>
      <c r="U40" s="224">
        <f t="shared" si="38"/>
        <v>0</v>
      </c>
    </row>
    <row r="41" spans="1:89" x14ac:dyDescent="0.25">
      <c r="A41" s="184" t="s">
        <v>558</v>
      </c>
      <c r="B41" s="64"/>
      <c r="C41" s="64"/>
      <c r="D41" s="64"/>
      <c r="E41" s="90">
        <f>E4/E9</f>
        <v>0.46753866571393438</v>
      </c>
      <c r="F41" s="90">
        <f t="shared" ref="F41:U41" si="39">F4/F9</f>
        <v>0.50577453540619599</v>
      </c>
      <c r="G41" s="90">
        <f t="shared" si="39"/>
        <v>0.40464460636383581</v>
      </c>
      <c r="H41" s="90">
        <f t="shared" si="39"/>
        <v>0.35989657042309497</v>
      </c>
      <c r="I41" s="90">
        <f t="shared" si="39"/>
        <v>0.28085691676734131</v>
      </c>
      <c r="J41" s="90">
        <f t="shared" si="39"/>
        <v>0.41375830705432892</v>
      </c>
      <c r="K41" s="90">
        <f t="shared" si="39"/>
        <v>0.45048844253632692</v>
      </c>
      <c r="L41" s="90">
        <f t="shared" si="39"/>
        <v>0.40601552232491439</v>
      </c>
      <c r="M41" s="90">
        <f t="shared" si="39"/>
        <v>0.41770274795785545</v>
      </c>
      <c r="N41" s="214">
        <f t="shared" si="39"/>
        <v>0.36103959054727985</v>
      </c>
      <c r="O41" s="214">
        <f t="shared" si="39"/>
        <v>0.3998329048500866</v>
      </c>
      <c r="P41" s="214">
        <f t="shared" si="39"/>
        <v>0.42676596936212058</v>
      </c>
      <c r="Q41" s="214">
        <f t="shared" si="39"/>
        <v>0.40924326162452757</v>
      </c>
      <c r="R41" s="214">
        <f t="shared" si="39"/>
        <v>0.44212025557728418</v>
      </c>
      <c r="S41" s="214">
        <f t="shared" si="39"/>
        <v>0.32566142371839596</v>
      </c>
      <c r="T41" s="214">
        <f t="shared" si="39"/>
        <v>0.31695839119112618</v>
      </c>
      <c r="U41" s="214">
        <f t="shared" si="39"/>
        <v>0.26003931920826401</v>
      </c>
    </row>
    <row r="42" spans="1:89" x14ac:dyDescent="0.25">
      <c r="A42" s="184" t="s">
        <v>334</v>
      </c>
      <c r="B42" s="64"/>
      <c r="C42" s="64"/>
      <c r="D42" s="64"/>
      <c r="E42" s="90">
        <f>E5/E9</f>
        <v>0.79510416329654132</v>
      </c>
      <c r="F42" s="90">
        <f t="shared" ref="F42:U42" si="40">F5/F9</f>
        <v>0.80357375953439814</v>
      </c>
      <c r="G42" s="90">
        <f t="shared" si="40"/>
        <v>0.68214828121948146</v>
      </c>
      <c r="H42" s="90">
        <f t="shared" si="40"/>
        <v>0.62295746477869696</v>
      </c>
      <c r="I42" s="90">
        <f t="shared" si="40"/>
        <v>0.52590339834942301</v>
      </c>
      <c r="J42" s="90">
        <f t="shared" si="40"/>
        <v>0.63883076922148285</v>
      </c>
      <c r="K42" s="90">
        <f t="shared" si="40"/>
        <v>0.65129479355706199</v>
      </c>
      <c r="L42" s="90">
        <f t="shared" si="40"/>
        <v>0.65005422848923911</v>
      </c>
      <c r="M42" s="90">
        <f t="shared" si="40"/>
        <v>0.67525543382283515</v>
      </c>
      <c r="N42" s="214">
        <f t="shared" si="40"/>
        <v>0.61435332082569427</v>
      </c>
      <c r="O42" s="214">
        <f t="shared" si="40"/>
        <v>0.64257814356844345</v>
      </c>
      <c r="P42" s="214">
        <f t="shared" si="40"/>
        <v>0.64611088232201264</v>
      </c>
      <c r="Q42" s="214">
        <f t="shared" si="40"/>
        <v>0.65872621805132481</v>
      </c>
      <c r="R42" s="214">
        <f t="shared" si="40"/>
        <v>0.69628203942282829</v>
      </c>
      <c r="S42" s="214">
        <f t="shared" si="40"/>
        <v>0.53939972408055292</v>
      </c>
      <c r="T42" s="214">
        <f t="shared" si="40"/>
        <v>0.54030739341840284</v>
      </c>
      <c r="U42" s="214">
        <f t="shared" si="40"/>
        <v>0.50010978160660546</v>
      </c>
    </row>
    <row r="43" spans="1:89" x14ac:dyDescent="0.25">
      <c r="A43" s="184" t="s">
        <v>335</v>
      </c>
      <c r="B43" s="64"/>
      <c r="C43" s="64"/>
      <c r="D43" s="64"/>
      <c r="E43" s="90">
        <f>E6/E9</f>
        <v>0.32756549758260695</v>
      </c>
      <c r="F43" s="90">
        <f t="shared" ref="F43:U43" si="41">F6/F9</f>
        <v>0.29779922412820209</v>
      </c>
      <c r="G43" s="90">
        <f t="shared" si="41"/>
        <v>0.27750367485564564</v>
      </c>
      <c r="H43" s="90">
        <f t="shared" si="41"/>
        <v>0.26306089435560198</v>
      </c>
      <c r="I43" s="90">
        <f t="shared" si="41"/>
        <v>0.24504648158208173</v>
      </c>
      <c r="J43" s="90">
        <f t="shared" si="41"/>
        <v>0.2250724621671539</v>
      </c>
      <c r="K43" s="90">
        <f t="shared" si="41"/>
        <v>0.20080635102073502</v>
      </c>
      <c r="L43" s="90">
        <f t="shared" si="41"/>
        <v>0.24403870616432474</v>
      </c>
      <c r="M43" s="90">
        <f t="shared" si="41"/>
        <v>0.25755268586497965</v>
      </c>
      <c r="N43" s="214">
        <f t="shared" si="41"/>
        <v>0.25331373027841447</v>
      </c>
      <c r="O43" s="214">
        <f t="shared" si="41"/>
        <v>0.24274523871835682</v>
      </c>
      <c r="P43" s="214">
        <f t="shared" si="41"/>
        <v>0.21934491295989206</v>
      </c>
      <c r="Q43" s="214">
        <f t="shared" si="41"/>
        <v>0.24948295642679727</v>
      </c>
      <c r="R43" s="214">
        <f t="shared" si="41"/>
        <v>0.25416178384554416</v>
      </c>
      <c r="S43" s="214">
        <f t="shared" si="41"/>
        <v>0.21373830036215691</v>
      </c>
      <c r="T43" s="214">
        <f t="shared" si="41"/>
        <v>0.22334900222727672</v>
      </c>
      <c r="U43" s="214">
        <f t="shared" si="41"/>
        <v>0.24007046239834148</v>
      </c>
    </row>
    <row r="44" spans="1:89" x14ac:dyDescent="0.25">
      <c r="A44" s="184" t="s">
        <v>336</v>
      </c>
      <c r="B44" s="64"/>
      <c r="C44" s="64"/>
      <c r="D44" s="64"/>
      <c r="E44" s="90">
        <f>E7/E9</f>
        <v>0.31704459017571723</v>
      </c>
      <c r="F44" s="90">
        <f t="shared" ref="F44:U44" si="42">F7/F9</f>
        <v>0.32742381601054915</v>
      </c>
      <c r="G44" s="90">
        <f t="shared" si="42"/>
        <v>0.34650758579499075</v>
      </c>
      <c r="H44" s="90">
        <f t="shared" si="42"/>
        <v>0.32785683754670675</v>
      </c>
      <c r="I44" s="90">
        <f t="shared" si="42"/>
        <v>0.24814757896685119</v>
      </c>
      <c r="J44" s="90">
        <f t="shared" si="42"/>
        <v>0.27389348364657162</v>
      </c>
      <c r="K44" s="90">
        <f t="shared" si="42"/>
        <v>0.2879722155272148</v>
      </c>
      <c r="L44" s="90">
        <f t="shared" si="42"/>
        <v>0.30125404721064025</v>
      </c>
      <c r="M44" s="90">
        <f t="shared" si="42"/>
        <v>0.31445262911162492</v>
      </c>
      <c r="N44" s="214">
        <f t="shared" si="42"/>
        <v>0.32570678717946283</v>
      </c>
      <c r="O44" s="214">
        <f t="shared" si="42"/>
        <v>0.34214460158283072</v>
      </c>
      <c r="P44" s="214">
        <f t="shared" si="42"/>
        <v>0.31641239099107188</v>
      </c>
      <c r="Q44" s="214">
        <f t="shared" si="42"/>
        <v>0.33113917412580152</v>
      </c>
      <c r="R44" s="214">
        <f t="shared" si="42"/>
        <v>0.28535633808054572</v>
      </c>
      <c r="S44" s="214">
        <f t="shared" si="42"/>
        <v>0.29319725819172049</v>
      </c>
      <c r="T44" s="214">
        <f t="shared" si="42"/>
        <v>0.28618754385180312</v>
      </c>
      <c r="U44" s="214">
        <f t="shared" si="42"/>
        <v>0.30295045944521293</v>
      </c>
    </row>
    <row r="45" spans="1:89" s="225" customFormat="1" x14ac:dyDescent="0.25">
      <c r="A45" s="222" t="s">
        <v>337</v>
      </c>
      <c r="B45" s="223"/>
      <c r="C45" s="223"/>
      <c r="D45" s="223"/>
      <c r="E45" s="224">
        <f>E8/E9</f>
        <v>0.7845832558896515</v>
      </c>
      <c r="F45" s="224">
        <f t="shared" ref="F45:U45" si="43">F8/F9</f>
        <v>0.83319835141674525</v>
      </c>
      <c r="G45" s="224">
        <f t="shared" si="43"/>
        <v>0.75115219215882656</v>
      </c>
      <c r="H45" s="224">
        <f t="shared" si="43"/>
        <v>0.68775340796980178</v>
      </c>
      <c r="I45" s="224">
        <f t="shared" si="43"/>
        <v>0.5290044957341925</v>
      </c>
      <c r="J45" s="224">
        <f t="shared" si="43"/>
        <v>0.68765179070090066</v>
      </c>
      <c r="K45" s="224">
        <f t="shared" si="43"/>
        <v>0.73846065806354177</v>
      </c>
      <c r="L45" s="224">
        <f t="shared" si="43"/>
        <v>0.70726956953555453</v>
      </c>
      <c r="M45" s="224">
        <f t="shared" si="43"/>
        <v>0.73215537706948042</v>
      </c>
      <c r="N45" s="224">
        <f t="shared" si="43"/>
        <v>0.68674637772674263</v>
      </c>
      <c r="O45" s="224">
        <f t="shared" si="43"/>
        <v>0.74197750643291738</v>
      </c>
      <c r="P45" s="224">
        <f t="shared" si="43"/>
        <v>0.7431783603531924</v>
      </c>
      <c r="Q45" s="224">
        <f t="shared" si="43"/>
        <v>0.74038243575032914</v>
      </c>
      <c r="R45" s="224">
        <f t="shared" si="43"/>
        <v>0.7274765936578298</v>
      </c>
      <c r="S45" s="224">
        <f t="shared" si="43"/>
        <v>0.6188586819101165</v>
      </c>
      <c r="T45" s="224">
        <f t="shared" si="43"/>
        <v>0.60314593504292935</v>
      </c>
      <c r="U45" s="224">
        <f t="shared" si="43"/>
        <v>0.56298977865347688</v>
      </c>
    </row>
    <row r="46" spans="1:89" x14ac:dyDescent="0.25">
      <c r="A46" s="185" t="s">
        <v>338</v>
      </c>
      <c r="B46" s="64"/>
      <c r="C46" s="64"/>
      <c r="D46" s="64"/>
      <c r="E46" s="90">
        <f>E9/E9</f>
        <v>1</v>
      </c>
      <c r="F46" s="90">
        <f t="shared" ref="F46:U46" si="44">F9/F9</f>
        <v>1</v>
      </c>
      <c r="G46" s="90">
        <f t="shared" si="44"/>
        <v>1</v>
      </c>
      <c r="H46" s="90">
        <f t="shared" si="44"/>
        <v>1</v>
      </c>
      <c r="I46" s="90">
        <f t="shared" si="44"/>
        <v>1</v>
      </c>
      <c r="J46" s="90">
        <f t="shared" si="44"/>
        <v>1</v>
      </c>
      <c r="K46" s="90">
        <f t="shared" si="44"/>
        <v>1</v>
      </c>
      <c r="L46" s="90">
        <f t="shared" si="44"/>
        <v>1</v>
      </c>
      <c r="M46" s="90">
        <f t="shared" si="44"/>
        <v>1</v>
      </c>
      <c r="N46" s="214">
        <f t="shared" si="44"/>
        <v>1</v>
      </c>
      <c r="O46" s="214">
        <f t="shared" si="44"/>
        <v>1</v>
      </c>
      <c r="P46" s="214">
        <f t="shared" si="44"/>
        <v>1</v>
      </c>
      <c r="Q46" s="214">
        <f t="shared" si="44"/>
        <v>1</v>
      </c>
      <c r="R46" s="214">
        <f t="shared" si="44"/>
        <v>1</v>
      </c>
      <c r="S46" s="214">
        <f t="shared" si="44"/>
        <v>1</v>
      </c>
      <c r="T46" s="214">
        <f t="shared" si="44"/>
        <v>1</v>
      </c>
      <c r="U46" s="214">
        <f t="shared" si="44"/>
        <v>1</v>
      </c>
    </row>
    <row r="47" spans="1:89" x14ac:dyDescent="0.25">
      <c r="A47" s="184" t="s">
        <v>339</v>
      </c>
      <c r="B47" s="64"/>
      <c r="C47" s="64"/>
      <c r="D47" s="64"/>
      <c r="E47" s="90">
        <f>E10/E14</f>
        <v>5.7835976271947608E-2</v>
      </c>
      <c r="F47" s="90">
        <f t="shared" ref="F47:U47" si="45">F10/F14</f>
        <v>0.104522561927706</v>
      </c>
      <c r="G47" s="90">
        <f t="shared" si="45"/>
        <v>0.10844390807188677</v>
      </c>
      <c r="H47" s="90">
        <f t="shared" si="45"/>
        <v>0.11026037191404324</v>
      </c>
      <c r="I47" s="90">
        <f t="shared" si="45"/>
        <v>0.11857847760170477</v>
      </c>
      <c r="J47" s="90">
        <f t="shared" si="45"/>
        <v>7.6356985796613708E-2</v>
      </c>
      <c r="K47" s="90">
        <f t="shared" si="45"/>
        <v>9.1102907839452962E-2</v>
      </c>
      <c r="L47" s="90">
        <f t="shared" si="45"/>
        <v>3.4704356190341581E-2</v>
      </c>
      <c r="M47" s="90">
        <f t="shared" si="45"/>
        <v>3.6208284389052159E-2</v>
      </c>
      <c r="N47" s="214">
        <f t="shared" si="45"/>
        <v>0</v>
      </c>
      <c r="O47" s="214">
        <f t="shared" si="45"/>
        <v>0</v>
      </c>
      <c r="P47" s="214">
        <f t="shared" si="45"/>
        <v>0</v>
      </c>
      <c r="Q47" s="214">
        <f t="shared" si="45"/>
        <v>0</v>
      </c>
      <c r="R47" s="214">
        <f t="shared" si="45"/>
        <v>0</v>
      </c>
      <c r="S47" s="214">
        <f t="shared" si="45"/>
        <v>0</v>
      </c>
      <c r="T47" s="214">
        <f t="shared" si="45"/>
        <v>0</v>
      </c>
      <c r="U47" s="214">
        <f t="shared" si="45"/>
        <v>0</v>
      </c>
    </row>
    <row r="48" spans="1:89" x14ac:dyDescent="0.25">
      <c r="A48" s="184" t="s">
        <v>340</v>
      </c>
      <c r="B48" s="64"/>
      <c r="C48" s="64"/>
      <c r="D48" s="64"/>
      <c r="E48" s="90">
        <f>E11/E14</f>
        <v>1.6345776255913685E-2</v>
      </c>
      <c r="F48" s="90">
        <f t="shared" ref="F48:U48" si="46">F11/F14</f>
        <v>1.8180101965961325E-2</v>
      </c>
      <c r="G48" s="90">
        <f t="shared" si="46"/>
        <v>2.0281225997088776E-2</v>
      </c>
      <c r="H48" s="90">
        <f t="shared" si="46"/>
        <v>4.370690345765068E-2</v>
      </c>
      <c r="I48" s="90">
        <f t="shared" si="46"/>
        <v>2.9052373106148228E-2</v>
      </c>
      <c r="J48" s="90">
        <f t="shared" si="46"/>
        <v>2.9617276988763257E-2</v>
      </c>
      <c r="K48" s="90">
        <f t="shared" si="46"/>
        <v>5.8842850776469769E-3</v>
      </c>
      <c r="L48" s="90">
        <f t="shared" si="46"/>
        <v>3.7099107141450528E-3</v>
      </c>
      <c r="M48" s="90">
        <f t="shared" si="46"/>
        <v>5.1911195602216227E-3</v>
      </c>
      <c r="N48" s="214">
        <f t="shared" si="46"/>
        <v>0</v>
      </c>
      <c r="O48" s="214">
        <f t="shared" si="46"/>
        <v>1.6286046020813035E-3</v>
      </c>
      <c r="P48" s="214">
        <f t="shared" si="46"/>
        <v>1.022441034949293E-3</v>
      </c>
      <c r="Q48" s="214">
        <f t="shared" si="46"/>
        <v>2.2412919703610284E-3</v>
      </c>
      <c r="R48" s="214">
        <f t="shared" si="46"/>
        <v>1.9144185759359673E-3</v>
      </c>
      <c r="S48" s="214">
        <f t="shared" si="46"/>
        <v>3.3893095787604988E-3</v>
      </c>
      <c r="T48" s="214">
        <f t="shared" si="46"/>
        <v>2.3699128004772427E-3</v>
      </c>
      <c r="U48" s="214">
        <f t="shared" si="46"/>
        <v>3.6924090489186059E-3</v>
      </c>
    </row>
    <row r="49" spans="1:21" x14ac:dyDescent="0.25">
      <c r="A49" s="184" t="s">
        <v>341</v>
      </c>
      <c r="B49" s="64"/>
      <c r="C49" s="64"/>
      <c r="D49" s="64"/>
      <c r="E49" s="90">
        <f>E12/E14</f>
        <v>7.4181752527861286E-2</v>
      </c>
      <c r="F49" s="90">
        <f t="shared" ref="F49:U49" si="47">F12/F14</f>
        <v>0.12270266389366732</v>
      </c>
      <c r="G49" s="90">
        <f t="shared" si="47"/>
        <v>0.12872513406897554</v>
      </c>
      <c r="H49" s="90">
        <f t="shared" si="47"/>
        <v>0.15396727537169391</v>
      </c>
      <c r="I49" s="90">
        <f t="shared" si="47"/>
        <v>0.14763085070785301</v>
      </c>
      <c r="J49" s="90">
        <f t="shared" si="47"/>
        <v>0.10597426278537696</v>
      </c>
      <c r="K49" s="90">
        <f t="shared" si="47"/>
        <v>9.6987192917099938E-2</v>
      </c>
      <c r="L49" s="90">
        <f t="shared" si="47"/>
        <v>3.8414266904486634E-2</v>
      </c>
      <c r="M49" s="90">
        <f t="shared" si="47"/>
        <v>4.1399403949273779E-2</v>
      </c>
      <c r="N49" s="214">
        <f t="shared" si="47"/>
        <v>0</v>
      </c>
      <c r="O49" s="214">
        <f t="shared" si="47"/>
        <v>1.6286046020813035E-3</v>
      </c>
      <c r="P49" s="214">
        <f t="shared" si="47"/>
        <v>1.022441034949293E-3</v>
      </c>
      <c r="Q49" s="214">
        <f t="shared" si="47"/>
        <v>2.2412919703610284E-3</v>
      </c>
      <c r="R49" s="214">
        <f t="shared" si="47"/>
        <v>1.9144185759359673E-3</v>
      </c>
      <c r="S49" s="214">
        <f t="shared" si="47"/>
        <v>3.3893095787604988E-3</v>
      </c>
      <c r="T49" s="214">
        <f t="shared" si="47"/>
        <v>2.3699128004772427E-3</v>
      </c>
      <c r="U49" s="214">
        <f t="shared" si="47"/>
        <v>3.6924090489186059E-3</v>
      </c>
    </row>
    <row r="50" spans="1:21" x14ac:dyDescent="0.25">
      <c r="A50" s="184" t="s">
        <v>345</v>
      </c>
      <c r="B50" s="64"/>
      <c r="C50" s="64"/>
      <c r="D50" s="64"/>
      <c r="E50" s="90">
        <f>E13/E14</f>
        <v>0.9258182474721387</v>
      </c>
      <c r="F50" s="90">
        <f t="shared" ref="F50:U50" si="48">F13/F14</f>
        <v>0.87729733610633265</v>
      </c>
      <c r="G50" s="90">
        <f t="shared" si="48"/>
        <v>0.87127486593102443</v>
      </c>
      <c r="H50" s="90">
        <f t="shared" si="48"/>
        <v>0.84603272462830603</v>
      </c>
      <c r="I50" s="90">
        <f t="shared" si="48"/>
        <v>0.85236914929214702</v>
      </c>
      <c r="J50" s="90">
        <f t="shared" si="48"/>
        <v>0.89402573721462297</v>
      </c>
      <c r="K50" s="90">
        <f t="shared" si="48"/>
        <v>0.9030128070829001</v>
      </c>
      <c r="L50" s="90">
        <f t="shared" si="48"/>
        <v>0.96158573309551343</v>
      </c>
      <c r="M50" s="90">
        <f t="shared" si="48"/>
        <v>0.95860059605072623</v>
      </c>
      <c r="N50" s="214">
        <f t="shared" si="48"/>
        <v>1</v>
      </c>
      <c r="O50" s="214">
        <f t="shared" si="48"/>
        <v>0.99837139539791875</v>
      </c>
      <c r="P50" s="214">
        <f t="shared" si="48"/>
        <v>0.99897755896505069</v>
      </c>
      <c r="Q50" s="214">
        <f t="shared" si="48"/>
        <v>0.99775870802963895</v>
      </c>
      <c r="R50" s="214">
        <f t="shared" si="48"/>
        <v>0.99808558142406412</v>
      </c>
      <c r="S50" s="214">
        <f t="shared" si="48"/>
        <v>0.99661069042123962</v>
      </c>
      <c r="T50" s="214">
        <f t="shared" si="48"/>
        <v>0.99763008719952284</v>
      </c>
      <c r="U50" s="214">
        <f t="shared" si="48"/>
        <v>0.99630759095108135</v>
      </c>
    </row>
    <row r="51" spans="1:21" x14ac:dyDescent="0.25">
      <c r="A51" s="185" t="s">
        <v>342</v>
      </c>
      <c r="B51" s="64"/>
      <c r="C51" s="64"/>
      <c r="D51" s="64"/>
      <c r="E51" s="90">
        <f>E14/E14</f>
        <v>1</v>
      </c>
      <c r="F51" s="90">
        <f t="shared" ref="F51:U51" si="49">F14/F14</f>
        <v>1</v>
      </c>
      <c r="G51" s="90">
        <f t="shared" si="49"/>
        <v>1</v>
      </c>
      <c r="H51" s="90">
        <f t="shared" si="49"/>
        <v>1</v>
      </c>
      <c r="I51" s="90">
        <f t="shared" si="49"/>
        <v>1</v>
      </c>
      <c r="J51" s="90">
        <f t="shared" si="49"/>
        <v>1</v>
      </c>
      <c r="K51" s="90">
        <f t="shared" si="49"/>
        <v>1</v>
      </c>
      <c r="L51" s="90">
        <f t="shared" si="49"/>
        <v>1</v>
      </c>
      <c r="M51" s="90">
        <f t="shared" si="49"/>
        <v>1</v>
      </c>
      <c r="N51" s="214">
        <f t="shared" si="49"/>
        <v>1</v>
      </c>
      <c r="O51" s="214">
        <f t="shared" si="49"/>
        <v>1</v>
      </c>
      <c r="P51" s="214">
        <f t="shared" si="49"/>
        <v>1</v>
      </c>
      <c r="Q51" s="214">
        <f t="shared" si="49"/>
        <v>1</v>
      </c>
      <c r="R51" s="214">
        <f t="shared" si="49"/>
        <v>1</v>
      </c>
      <c r="S51" s="214">
        <f t="shared" si="49"/>
        <v>1</v>
      </c>
      <c r="T51" s="214">
        <f t="shared" si="49"/>
        <v>1</v>
      </c>
      <c r="U51" s="214">
        <f t="shared" si="49"/>
        <v>1</v>
      </c>
    </row>
    <row r="54" spans="1:21" s="9" customFormat="1" x14ac:dyDescent="0.25">
      <c r="A54" s="229" t="s">
        <v>641</v>
      </c>
      <c r="B54" s="230"/>
      <c r="C54" s="230"/>
      <c r="D54" s="230"/>
      <c r="E54" s="231">
        <f>E1</f>
        <v>43100</v>
      </c>
      <c r="F54" s="231">
        <f t="shared" ref="F54:U54" si="50">F1</f>
        <v>43008</v>
      </c>
      <c r="G54" s="231">
        <f t="shared" si="50"/>
        <v>42916</v>
      </c>
      <c r="H54" s="231">
        <f t="shared" si="50"/>
        <v>42825</v>
      </c>
      <c r="I54" s="231">
        <f t="shared" si="50"/>
        <v>42735</v>
      </c>
      <c r="J54" s="231">
        <f t="shared" si="50"/>
        <v>42643</v>
      </c>
      <c r="K54" s="231">
        <f t="shared" si="50"/>
        <v>42551</v>
      </c>
      <c r="L54" s="231">
        <f t="shared" si="50"/>
        <v>42460</v>
      </c>
      <c r="M54" s="231">
        <f t="shared" si="50"/>
        <v>42369</v>
      </c>
      <c r="N54" s="231">
        <f t="shared" si="50"/>
        <v>42277</v>
      </c>
      <c r="O54" s="231">
        <f t="shared" si="50"/>
        <v>42185</v>
      </c>
      <c r="P54" s="231">
        <f t="shared" si="50"/>
        <v>42094</v>
      </c>
      <c r="Q54" s="231">
        <f t="shared" si="50"/>
        <v>42004</v>
      </c>
      <c r="R54" s="231">
        <f t="shared" si="50"/>
        <v>41912</v>
      </c>
      <c r="S54" s="231">
        <f t="shared" si="50"/>
        <v>41820</v>
      </c>
      <c r="T54" s="231">
        <f t="shared" si="50"/>
        <v>41729</v>
      </c>
      <c r="U54" s="231">
        <f t="shared" si="50"/>
        <v>41639</v>
      </c>
    </row>
    <row r="55" spans="1:21" x14ac:dyDescent="0.25">
      <c r="A55" s="184" t="s">
        <v>645</v>
      </c>
      <c r="B55" s="64"/>
      <c r="C55" s="64"/>
      <c r="D55" s="64"/>
      <c r="E55" s="214">
        <f>E2/E9</f>
        <v>0.21463167862036087</v>
      </c>
      <c r="F55" s="214">
        <f t="shared" ref="F55:U55" si="51">F2/F9</f>
        <v>0.15626478545075001</v>
      </c>
      <c r="G55" s="214">
        <f t="shared" si="51"/>
        <v>0.23766010325584033</v>
      </c>
      <c r="H55" s="214">
        <f t="shared" si="51"/>
        <v>0.29969920088848329</v>
      </c>
      <c r="I55" s="214">
        <f t="shared" si="51"/>
        <v>0.45791266951713955</v>
      </c>
      <c r="J55" s="214">
        <f t="shared" si="51"/>
        <v>0.29755497703876937</v>
      </c>
      <c r="K55" s="214">
        <f t="shared" si="51"/>
        <v>0.24520220966395412</v>
      </c>
      <c r="L55" s="214">
        <f t="shared" si="51"/>
        <v>0.27641466059724851</v>
      </c>
      <c r="M55" s="214">
        <f t="shared" si="51"/>
        <v>0.25038020967085672</v>
      </c>
      <c r="N55" s="214">
        <f t="shared" si="51"/>
        <v>0.31325362227325732</v>
      </c>
      <c r="O55" s="214">
        <f t="shared" si="51"/>
        <v>0.25802249356708268</v>
      </c>
      <c r="P55" s="214">
        <f t="shared" si="51"/>
        <v>0.2568216396468076</v>
      </c>
      <c r="Q55" s="214">
        <f t="shared" si="51"/>
        <v>0.25961756424967081</v>
      </c>
      <c r="R55" s="214">
        <f t="shared" si="51"/>
        <v>0.27252340634217009</v>
      </c>
      <c r="S55" s="214">
        <f t="shared" si="51"/>
        <v>0.38114131808988361</v>
      </c>
      <c r="T55" s="214">
        <f t="shared" si="51"/>
        <v>0.39685406495707076</v>
      </c>
      <c r="U55" s="214">
        <f t="shared" si="51"/>
        <v>0.43701022134652312</v>
      </c>
    </row>
    <row r="56" spans="1:21" x14ac:dyDescent="0.25">
      <c r="A56" s="184" t="s">
        <v>646</v>
      </c>
      <c r="B56" s="64"/>
      <c r="C56" s="64"/>
      <c r="D56" s="64"/>
      <c r="E56" s="214">
        <f>E4/E9</f>
        <v>0.46753866571393438</v>
      </c>
      <c r="F56" s="214">
        <f t="shared" ref="F56:U56" si="52">F4/F9</f>
        <v>0.50577453540619599</v>
      </c>
      <c r="G56" s="214">
        <f t="shared" si="52"/>
        <v>0.40464460636383581</v>
      </c>
      <c r="H56" s="214">
        <f t="shared" si="52"/>
        <v>0.35989657042309497</v>
      </c>
      <c r="I56" s="214">
        <f t="shared" si="52"/>
        <v>0.28085691676734131</v>
      </c>
      <c r="J56" s="214">
        <f t="shared" si="52"/>
        <v>0.41375830705432892</v>
      </c>
      <c r="K56" s="214">
        <f t="shared" si="52"/>
        <v>0.45048844253632692</v>
      </c>
      <c r="L56" s="214">
        <f t="shared" si="52"/>
        <v>0.40601552232491439</v>
      </c>
      <c r="M56" s="214">
        <f t="shared" si="52"/>
        <v>0.41770274795785545</v>
      </c>
      <c r="N56" s="214">
        <f t="shared" si="52"/>
        <v>0.36103959054727985</v>
      </c>
      <c r="O56" s="214">
        <f t="shared" si="52"/>
        <v>0.3998329048500866</v>
      </c>
      <c r="P56" s="214">
        <f t="shared" si="52"/>
        <v>0.42676596936212058</v>
      </c>
      <c r="Q56" s="214">
        <f t="shared" si="52"/>
        <v>0.40924326162452757</v>
      </c>
      <c r="R56" s="214">
        <f t="shared" si="52"/>
        <v>0.44212025557728418</v>
      </c>
      <c r="S56" s="214">
        <f t="shared" si="52"/>
        <v>0.32566142371839596</v>
      </c>
      <c r="T56" s="214">
        <f t="shared" si="52"/>
        <v>0.31695839119112618</v>
      </c>
      <c r="U56" s="214">
        <f t="shared" si="52"/>
        <v>0.26003931920826401</v>
      </c>
    </row>
    <row r="57" spans="1:21" x14ac:dyDescent="0.25">
      <c r="A57" s="184" t="s">
        <v>647</v>
      </c>
      <c r="B57" s="64"/>
      <c r="C57" s="64"/>
      <c r="D57" s="64"/>
      <c r="E57" s="214">
        <f>E5/E9</f>
        <v>0.79510416329654132</v>
      </c>
      <c r="F57" s="214">
        <f t="shared" ref="F57:U57" si="53">F5/F9</f>
        <v>0.80357375953439814</v>
      </c>
      <c r="G57" s="214">
        <f t="shared" si="53"/>
        <v>0.68214828121948146</v>
      </c>
      <c r="H57" s="214">
        <f t="shared" si="53"/>
        <v>0.62295746477869696</v>
      </c>
      <c r="I57" s="214">
        <f t="shared" si="53"/>
        <v>0.52590339834942301</v>
      </c>
      <c r="J57" s="214">
        <f t="shared" si="53"/>
        <v>0.63883076922148285</v>
      </c>
      <c r="K57" s="214">
        <f t="shared" si="53"/>
        <v>0.65129479355706199</v>
      </c>
      <c r="L57" s="214">
        <f t="shared" si="53"/>
        <v>0.65005422848923911</v>
      </c>
      <c r="M57" s="214">
        <f t="shared" si="53"/>
        <v>0.67525543382283515</v>
      </c>
      <c r="N57" s="214">
        <f t="shared" si="53"/>
        <v>0.61435332082569427</v>
      </c>
      <c r="O57" s="214">
        <f t="shared" si="53"/>
        <v>0.64257814356844345</v>
      </c>
      <c r="P57" s="214">
        <f t="shared" si="53"/>
        <v>0.64611088232201264</v>
      </c>
      <c r="Q57" s="214">
        <f t="shared" si="53"/>
        <v>0.65872621805132481</v>
      </c>
      <c r="R57" s="214">
        <f t="shared" si="53"/>
        <v>0.69628203942282829</v>
      </c>
      <c r="S57" s="214">
        <f t="shared" si="53"/>
        <v>0.53939972408055292</v>
      </c>
      <c r="T57" s="214">
        <f t="shared" si="53"/>
        <v>0.54030739341840284</v>
      </c>
      <c r="U57" s="214">
        <f t="shared" si="53"/>
        <v>0.50010978160660546</v>
      </c>
    </row>
    <row r="58" spans="1:21" x14ac:dyDescent="0.25">
      <c r="A58" s="184" t="s">
        <v>648</v>
      </c>
      <c r="B58" s="64"/>
      <c r="C58" s="64"/>
      <c r="D58" s="64"/>
      <c r="E58" s="214">
        <f>E6/E9</f>
        <v>0.32756549758260695</v>
      </c>
      <c r="F58" s="214">
        <f t="shared" ref="F58:U58" si="54">F6/F9</f>
        <v>0.29779922412820209</v>
      </c>
      <c r="G58" s="214">
        <f t="shared" si="54"/>
        <v>0.27750367485564564</v>
      </c>
      <c r="H58" s="214">
        <f t="shared" si="54"/>
        <v>0.26306089435560198</v>
      </c>
      <c r="I58" s="214">
        <f t="shared" si="54"/>
        <v>0.24504648158208173</v>
      </c>
      <c r="J58" s="214">
        <f t="shared" si="54"/>
        <v>0.2250724621671539</v>
      </c>
      <c r="K58" s="214">
        <f t="shared" si="54"/>
        <v>0.20080635102073502</v>
      </c>
      <c r="L58" s="214">
        <f t="shared" si="54"/>
        <v>0.24403870616432474</v>
      </c>
      <c r="M58" s="214">
        <f t="shared" si="54"/>
        <v>0.25755268586497965</v>
      </c>
      <c r="N58" s="214">
        <f t="shared" si="54"/>
        <v>0.25331373027841447</v>
      </c>
      <c r="O58" s="214">
        <f t="shared" si="54"/>
        <v>0.24274523871835682</v>
      </c>
      <c r="P58" s="214">
        <f t="shared" si="54"/>
        <v>0.21934491295989206</v>
      </c>
      <c r="Q58" s="214">
        <f t="shared" si="54"/>
        <v>0.24948295642679727</v>
      </c>
      <c r="R58" s="214">
        <f t="shared" si="54"/>
        <v>0.25416178384554416</v>
      </c>
      <c r="S58" s="214">
        <f t="shared" si="54"/>
        <v>0.21373830036215691</v>
      </c>
      <c r="T58" s="214">
        <f t="shared" si="54"/>
        <v>0.22334900222727672</v>
      </c>
      <c r="U58" s="214">
        <f t="shared" si="54"/>
        <v>0.24007046239834148</v>
      </c>
    </row>
    <row r="59" spans="1:21" s="225" customFormat="1" x14ac:dyDescent="0.25">
      <c r="A59" s="227" t="s">
        <v>642</v>
      </c>
      <c r="B59" s="223"/>
      <c r="C59" s="223"/>
      <c r="D59" s="223"/>
      <c r="E59" s="224">
        <f>E55+E56</f>
        <v>0.68217034433429524</v>
      </c>
      <c r="F59" s="224">
        <f t="shared" ref="F59:U59" si="55">F55+F56</f>
        <v>0.66203932085694595</v>
      </c>
      <c r="G59" s="224">
        <f t="shared" si="55"/>
        <v>0.64230470961967612</v>
      </c>
      <c r="H59" s="224">
        <f t="shared" si="55"/>
        <v>0.65959577131157832</v>
      </c>
      <c r="I59" s="224">
        <f t="shared" si="55"/>
        <v>0.73876958628448086</v>
      </c>
      <c r="J59" s="224">
        <f t="shared" si="55"/>
        <v>0.71131328409309824</v>
      </c>
      <c r="K59" s="224">
        <f t="shared" si="55"/>
        <v>0.69569065220028103</v>
      </c>
      <c r="L59" s="224">
        <f t="shared" si="55"/>
        <v>0.68243018292216284</v>
      </c>
      <c r="M59" s="224">
        <f t="shared" si="55"/>
        <v>0.66808295762871217</v>
      </c>
      <c r="N59" s="224">
        <f t="shared" si="55"/>
        <v>0.67429321282053722</v>
      </c>
      <c r="O59" s="224">
        <f t="shared" si="55"/>
        <v>0.65785539841716933</v>
      </c>
      <c r="P59" s="224">
        <f t="shared" si="55"/>
        <v>0.68358760900892812</v>
      </c>
      <c r="Q59" s="224">
        <f t="shared" si="55"/>
        <v>0.66886082587419837</v>
      </c>
      <c r="R59" s="224">
        <f t="shared" si="55"/>
        <v>0.71464366191945428</v>
      </c>
      <c r="S59" s="224">
        <f t="shared" si="55"/>
        <v>0.70680274180827962</v>
      </c>
      <c r="T59" s="224">
        <f t="shared" si="55"/>
        <v>0.71381245614819688</v>
      </c>
      <c r="U59" s="224">
        <f t="shared" si="55"/>
        <v>0.69704954055478718</v>
      </c>
    </row>
    <row r="60" spans="1:21" x14ac:dyDescent="0.25">
      <c r="A60" s="184" t="s">
        <v>649</v>
      </c>
      <c r="B60" s="64"/>
      <c r="C60" s="64"/>
      <c r="D60" s="64"/>
      <c r="E60" s="214">
        <f>E3/E9</f>
        <v>7.8506548998758809E-4</v>
      </c>
      <c r="F60" s="214">
        <f t="shared" ref="F60:U60" si="56">F3/F9</f>
        <v>1.0536863132504818E-2</v>
      </c>
      <c r="G60" s="214">
        <f t="shared" si="56"/>
        <v>1.1187704585333132E-2</v>
      </c>
      <c r="H60" s="214">
        <f t="shared" si="56"/>
        <v>1.2547391141715054E-2</v>
      </c>
      <c r="I60" s="214">
        <f t="shared" si="56"/>
        <v>1.3082834748667886E-2</v>
      </c>
      <c r="J60" s="214">
        <f t="shared" si="56"/>
        <v>1.4793232260330011E-2</v>
      </c>
      <c r="K60" s="214">
        <f t="shared" si="56"/>
        <v>1.6337132272504117E-2</v>
      </c>
      <c r="L60" s="214">
        <f t="shared" si="56"/>
        <v>1.6315769867196985E-2</v>
      </c>
      <c r="M60" s="214">
        <f t="shared" si="56"/>
        <v>1.7464413259662866E-2</v>
      </c>
      <c r="N60" s="214">
        <f t="shared" si="56"/>
        <v>0</v>
      </c>
      <c r="O60" s="214">
        <f t="shared" si="56"/>
        <v>0</v>
      </c>
      <c r="P60" s="214">
        <f t="shared" si="56"/>
        <v>0</v>
      </c>
      <c r="Q60" s="214">
        <f t="shared" si="56"/>
        <v>0</v>
      </c>
      <c r="R60" s="214">
        <f t="shared" si="56"/>
        <v>0</v>
      </c>
      <c r="S60" s="214">
        <f t="shared" si="56"/>
        <v>0</v>
      </c>
      <c r="T60" s="214">
        <f t="shared" si="56"/>
        <v>0</v>
      </c>
      <c r="U60" s="214">
        <f t="shared" si="56"/>
        <v>0</v>
      </c>
    </row>
    <row r="61" spans="1:21" x14ac:dyDescent="0.25">
      <c r="A61" s="184" t="s">
        <v>650</v>
      </c>
      <c r="B61" s="64"/>
      <c r="C61" s="64"/>
      <c r="D61" s="64"/>
      <c r="E61" s="214">
        <f>E7/E9</f>
        <v>0.31704459017571723</v>
      </c>
      <c r="F61" s="214">
        <f t="shared" ref="F61:U61" si="57">F7/F9</f>
        <v>0.32742381601054915</v>
      </c>
      <c r="G61" s="214">
        <f t="shared" si="57"/>
        <v>0.34650758579499075</v>
      </c>
      <c r="H61" s="214">
        <f t="shared" si="57"/>
        <v>0.32785683754670675</v>
      </c>
      <c r="I61" s="214">
        <f t="shared" si="57"/>
        <v>0.24814757896685119</v>
      </c>
      <c r="J61" s="214">
        <f t="shared" si="57"/>
        <v>0.27389348364657162</v>
      </c>
      <c r="K61" s="214">
        <f t="shared" si="57"/>
        <v>0.2879722155272148</v>
      </c>
      <c r="L61" s="214">
        <f t="shared" si="57"/>
        <v>0.30125404721064025</v>
      </c>
      <c r="M61" s="214">
        <f t="shared" si="57"/>
        <v>0.31445262911162492</v>
      </c>
      <c r="N61" s="214">
        <f t="shared" si="57"/>
        <v>0.32570678717946283</v>
      </c>
      <c r="O61" s="214">
        <f t="shared" si="57"/>
        <v>0.34214460158283072</v>
      </c>
      <c r="P61" s="214">
        <f t="shared" si="57"/>
        <v>0.31641239099107188</v>
      </c>
      <c r="Q61" s="214">
        <f t="shared" si="57"/>
        <v>0.33113917412580152</v>
      </c>
      <c r="R61" s="214">
        <f t="shared" si="57"/>
        <v>0.28535633808054572</v>
      </c>
      <c r="S61" s="214">
        <f t="shared" si="57"/>
        <v>0.29319725819172049</v>
      </c>
      <c r="T61" s="214">
        <f t="shared" si="57"/>
        <v>0.28618754385180312</v>
      </c>
      <c r="U61" s="214">
        <f t="shared" si="57"/>
        <v>0.30295045944521293</v>
      </c>
    </row>
    <row r="62" spans="1:21" s="225" customFormat="1" x14ac:dyDescent="0.25">
      <c r="A62" s="227" t="s">
        <v>643</v>
      </c>
      <c r="B62" s="223"/>
      <c r="C62" s="223"/>
      <c r="D62" s="223"/>
      <c r="E62" s="224">
        <f>E60+E61</f>
        <v>0.31782965566570481</v>
      </c>
      <c r="F62" s="224">
        <f t="shared" ref="F62:M62" si="58">F60+F61</f>
        <v>0.33796067914305394</v>
      </c>
      <c r="G62" s="224">
        <f t="shared" si="58"/>
        <v>0.35769529038032388</v>
      </c>
      <c r="H62" s="224">
        <f t="shared" si="58"/>
        <v>0.34040422868842179</v>
      </c>
      <c r="I62" s="224">
        <f t="shared" si="58"/>
        <v>0.26123041371551908</v>
      </c>
      <c r="J62" s="224">
        <f t="shared" si="58"/>
        <v>0.28868671590690165</v>
      </c>
      <c r="K62" s="224">
        <f t="shared" si="58"/>
        <v>0.30430934779971891</v>
      </c>
      <c r="L62" s="224">
        <f t="shared" si="58"/>
        <v>0.31756981707783721</v>
      </c>
      <c r="M62" s="224">
        <f t="shared" si="58"/>
        <v>0.33191704237128777</v>
      </c>
      <c r="N62" s="224">
        <f t="shared" ref="N62" si="59">N60+N61</f>
        <v>0.32570678717946283</v>
      </c>
      <c r="O62" s="224">
        <f t="shared" ref="O62" si="60">O60+O61</f>
        <v>0.34214460158283072</v>
      </c>
      <c r="P62" s="224">
        <f t="shared" ref="P62" si="61">P60+P61</f>
        <v>0.31641239099107188</v>
      </c>
      <c r="Q62" s="224">
        <f t="shared" ref="Q62" si="62">Q60+Q61</f>
        <v>0.33113917412580152</v>
      </c>
      <c r="R62" s="224">
        <f t="shared" ref="R62" si="63">R60+R61</f>
        <v>0.28535633808054572</v>
      </c>
      <c r="S62" s="224">
        <f t="shared" ref="S62" si="64">S60+S61</f>
        <v>0.29319725819172049</v>
      </c>
      <c r="T62" s="224">
        <f t="shared" ref="T62" si="65">T60+T61</f>
        <v>0.28618754385180312</v>
      </c>
      <c r="U62" s="224">
        <f t="shared" ref="U62" si="66">U60+U61</f>
        <v>0.30295045944521293</v>
      </c>
    </row>
    <row r="63" spans="1:21" x14ac:dyDescent="0.25">
      <c r="A63" s="226" t="s">
        <v>644</v>
      </c>
      <c r="B63" s="64"/>
      <c r="C63" s="64"/>
      <c r="D63" s="64"/>
      <c r="E63" s="214">
        <v>1</v>
      </c>
      <c r="F63" s="214">
        <v>1</v>
      </c>
      <c r="G63" s="214">
        <v>1</v>
      </c>
      <c r="H63" s="214">
        <v>1</v>
      </c>
      <c r="I63" s="214">
        <v>1</v>
      </c>
      <c r="J63" s="214">
        <v>1</v>
      </c>
      <c r="K63" s="214">
        <v>1</v>
      </c>
      <c r="L63" s="214">
        <v>1</v>
      </c>
      <c r="M63" s="214">
        <v>1</v>
      </c>
      <c r="N63" s="214">
        <v>1</v>
      </c>
      <c r="O63" s="214">
        <v>1</v>
      </c>
      <c r="P63" s="214">
        <v>1</v>
      </c>
      <c r="Q63" s="214">
        <v>1</v>
      </c>
      <c r="R63" s="214">
        <v>1</v>
      </c>
      <c r="S63" s="214">
        <v>1</v>
      </c>
      <c r="T63" s="214">
        <v>1</v>
      </c>
      <c r="U63" s="214">
        <v>1</v>
      </c>
    </row>
    <row r="64" spans="1:21" ht="42.6" customHeight="1" x14ac:dyDescent="0.25">
      <c r="A64" s="281" t="s">
        <v>700</v>
      </c>
      <c r="B64" s="282"/>
      <c r="C64" s="282"/>
      <c r="D64" s="282"/>
      <c r="E64" s="282"/>
      <c r="F64" s="282"/>
      <c r="G64" s="282"/>
      <c r="H64" s="282"/>
      <c r="I64" s="282"/>
      <c r="J64" s="282"/>
      <c r="K64" s="282"/>
      <c r="L64" s="282"/>
      <c r="M64" s="282"/>
      <c r="N64" s="282"/>
      <c r="O64" s="282"/>
      <c r="P64" s="282"/>
      <c r="Q64" s="282"/>
      <c r="R64" s="282"/>
      <c r="S64" s="282"/>
      <c r="T64" s="282"/>
      <c r="U64" s="282"/>
    </row>
    <row r="66" spans="1:21" s="9" customFormat="1" x14ac:dyDescent="0.25">
      <c r="A66" s="232" t="s">
        <v>651</v>
      </c>
      <c r="E66" s="233">
        <f>E1</f>
        <v>43100</v>
      </c>
      <c r="F66" s="233">
        <f t="shared" ref="F66:U66" si="67">F1</f>
        <v>43008</v>
      </c>
      <c r="G66" s="233">
        <f t="shared" si="67"/>
        <v>42916</v>
      </c>
      <c r="H66" s="233">
        <f t="shared" si="67"/>
        <v>42825</v>
      </c>
      <c r="I66" s="233">
        <f t="shared" si="67"/>
        <v>42735</v>
      </c>
      <c r="J66" s="233">
        <f t="shared" si="67"/>
        <v>42643</v>
      </c>
      <c r="K66" s="233">
        <f t="shared" si="67"/>
        <v>42551</v>
      </c>
      <c r="L66" s="233">
        <f t="shared" si="67"/>
        <v>42460</v>
      </c>
      <c r="M66" s="233">
        <f t="shared" si="67"/>
        <v>42369</v>
      </c>
      <c r="N66" s="233">
        <f t="shared" si="67"/>
        <v>42277</v>
      </c>
      <c r="O66" s="233">
        <f t="shared" si="67"/>
        <v>42185</v>
      </c>
      <c r="P66" s="233">
        <f t="shared" si="67"/>
        <v>42094</v>
      </c>
      <c r="Q66" s="233">
        <f t="shared" si="67"/>
        <v>42004</v>
      </c>
      <c r="R66" s="233">
        <f t="shared" si="67"/>
        <v>41912</v>
      </c>
      <c r="S66" s="233">
        <f t="shared" si="67"/>
        <v>41820</v>
      </c>
      <c r="T66" s="233">
        <f t="shared" si="67"/>
        <v>41729</v>
      </c>
      <c r="U66" s="233">
        <f t="shared" si="67"/>
        <v>41639</v>
      </c>
    </row>
    <row r="67" spans="1:21" x14ac:dyDescent="0.25">
      <c r="A67" s="17" t="s">
        <v>652</v>
      </c>
      <c r="E67" s="193">
        <f>E10</f>
        <v>197566288.30000001</v>
      </c>
      <c r="F67" s="193">
        <f t="shared" ref="F67:U67" si="68">F10</f>
        <v>362613245.42000002</v>
      </c>
      <c r="G67" s="193">
        <f t="shared" si="68"/>
        <v>361565942.50999999</v>
      </c>
      <c r="H67" s="193">
        <f t="shared" si="68"/>
        <v>391766634.35000002</v>
      </c>
      <c r="I67" s="193">
        <f t="shared" si="68"/>
        <v>400690979.23000002</v>
      </c>
      <c r="J67" s="193">
        <f t="shared" si="68"/>
        <v>240000000</v>
      </c>
      <c r="K67" s="193">
        <f t="shared" si="68"/>
        <v>270000000</v>
      </c>
      <c r="L67" s="193">
        <f t="shared" si="68"/>
        <v>100000000</v>
      </c>
      <c r="M67" s="193">
        <f t="shared" si="68"/>
        <v>100302083.33</v>
      </c>
      <c r="N67" s="193">
        <f t="shared" si="68"/>
        <v>0</v>
      </c>
      <c r="O67" s="193">
        <f t="shared" si="68"/>
        <v>0</v>
      </c>
      <c r="P67" s="193">
        <f t="shared" si="68"/>
        <v>0</v>
      </c>
      <c r="Q67" s="193">
        <f t="shared" si="68"/>
        <v>0</v>
      </c>
      <c r="R67" s="193">
        <f t="shared" si="68"/>
        <v>0</v>
      </c>
      <c r="S67" s="193">
        <f t="shared" si="68"/>
        <v>0</v>
      </c>
      <c r="T67" s="193">
        <f t="shared" si="68"/>
        <v>0</v>
      </c>
      <c r="U67" s="193">
        <f t="shared" si="68"/>
        <v>0</v>
      </c>
    </row>
    <row r="68" spans="1:21" x14ac:dyDescent="0.25">
      <c r="A68" s="17" t="s">
        <v>653</v>
      </c>
      <c r="E68" s="193">
        <f>E11</f>
        <v>55836774.140000001</v>
      </c>
      <c r="F68" s="193">
        <f t="shared" ref="F68:U68" si="69">F11</f>
        <v>63071031.310000002</v>
      </c>
      <c r="G68" s="193">
        <f t="shared" si="69"/>
        <v>67620216.969999999</v>
      </c>
      <c r="H68" s="193">
        <f t="shared" si="69"/>
        <v>155295199.61000001</v>
      </c>
      <c r="I68" s="193">
        <f t="shared" si="69"/>
        <v>98171473.140000001</v>
      </c>
      <c r="J68" s="193">
        <f t="shared" si="69"/>
        <v>93090977.900000006</v>
      </c>
      <c r="K68" s="193">
        <f t="shared" si="69"/>
        <v>17439146.66</v>
      </c>
      <c r="L68" s="193">
        <f t="shared" si="69"/>
        <v>10690043.33</v>
      </c>
      <c r="M68" s="193">
        <f t="shared" si="69"/>
        <v>14380137.460000001</v>
      </c>
      <c r="N68" s="193">
        <f t="shared" si="69"/>
        <v>0</v>
      </c>
      <c r="O68" s="193">
        <f t="shared" si="69"/>
        <v>3913327.12</v>
      </c>
      <c r="P68" s="193">
        <f t="shared" si="69"/>
        <v>2666935.96</v>
      </c>
      <c r="Q68" s="193">
        <f t="shared" si="69"/>
        <v>5587351.7300000004</v>
      </c>
      <c r="R68" s="193">
        <f t="shared" si="69"/>
        <v>4419412.5999999996</v>
      </c>
      <c r="S68" s="193">
        <f t="shared" si="69"/>
        <v>7430086.4699999997</v>
      </c>
      <c r="T68" s="193">
        <f t="shared" si="69"/>
        <v>5284150.0999999996</v>
      </c>
      <c r="U68" s="193">
        <f t="shared" si="69"/>
        <v>7877039.8899999997</v>
      </c>
    </row>
    <row r="69" spans="1:21" x14ac:dyDescent="0.25">
      <c r="A69" s="17" t="s">
        <v>654</v>
      </c>
      <c r="E69" s="193">
        <f>E12</f>
        <v>253403062.44</v>
      </c>
      <c r="F69" s="193">
        <f t="shared" ref="F69:U69" si="70">F12</f>
        <v>425684276.73000002</v>
      </c>
      <c r="G69" s="193">
        <f t="shared" si="70"/>
        <v>429186159.48000002</v>
      </c>
      <c r="H69" s="193">
        <f t="shared" si="70"/>
        <v>547061833.96000004</v>
      </c>
      <c r="I69" s="193">
        <f t="shared" si="70"/>
        <v>498862452.37</v>
      </c>
      <c r="J69" s="193">
        <f t="shared" si="70"/>
        <v>333090977.89999998</v>
      </c>
      <c r="K69" s="193">
        <f t="shared" si="70"/>
        <v>287439146.66000003</v>
      </c>
      <c r="L69" s="193">
        <f t="shared" si="70"/>
        <v>110690043.33</v>
      </c>
      <c r="M69" s="193">
        <f t="shared" si="70"/>
        <v>114682220.78999999</v>
      </c>
      <c r="N69" s="193">
        <f t="shared" si="70"/>
        <v>0</v>
      </c>
      <c r="O69" s="193">
        <f t="shared" si="70"/>
        <v>3913327.12</v>
      </c>
      <c r="P69" s="193">
        <f t="shared" si="70"/>
        <v>2666935.96</v>
      </c>
      <c r="Q69" s="193">
        <f t="shared" si="70"/>
        <v>5587351.7300000004</v>
      </c>
      <c r="R69" s="193">
        <f t="shared" si="70"/>
        <v>4419412.5999999996</v>
      </c>
      <c r="S69" s="193">
        <f t="shared" si="70"/>
        <v>7430086.4699999997</v>
      </c>
      <c r="T69" s="193">
        <f t="shared" si="70"/>
        <v>5284150.0999999996</v>
      </c>
      <c r="U69" s="193">
        <f t="shared" si="70"/>
        <v>7877039.8899999997</v>
      </c>
    </row>
    <row r="70" spans="1:21" s="234" customFormat="1" x14ac:dyDescent="0.25">
      <c r="A70" s="234" t="s">
        <v>657</v>
      </c>
      <c r="E70" s="234">
        <f>E69/E74</f>
        <v>7.4181752527861286E-2</v>
      </c>
      <c r="F70" s="234">
        <f t="shared" ref="F70:U70" si="71">F69/F74</f>
        <v>0.12270266389366732</v>
      </c>
      <c r="G70" s="234">
        <f t="shared" si="71"/>
        <v>0.12872513406897554</v>
      </c>
      <c r="H70" s="234">
        <f t="shared" si="71"/>
        <v>0.15396727537169391</v>
      </c>
      <c r="I70" s="234">
        <f t="shared" si="71"/>
        <v>0.14763085070785301</v>
      </c>
      <c r="J70" s="234">
        <f t="shared" si="71"/>
        <v>0.10597426278537696</v>
      </c>
      <c r="K70" s="234">
        <f t="shared" si="71"/>
        <v>9.6987192917099938E-2</v>
      </c>
      <c r="L70" s="234">
        <f t="shared" si="71"/>
        <v>3.8414266904486634E-2</v>
      </c>
      <c r="M70" s="234">
        <f t="shared" si="71"/>
        <v>4.1399403949273779E-2</v>
      </c>
      <c r="N70" s="234">
        <f t="shared" si="71"/>
        <v>0</v>
      </c>
      <c r="O70" s="234">
        <f t="shared" si="71"/>
        <v>1.6286046020813035E-3</v>
      </c>
      <c r="P70" s="234">
        <f t="shared" si="71"/>
        <v>1.022441034949293E-3</v>
      </c>
      <c r="Q70" s="234">
        <f t="shared" si="71"/>
        <v>2.2412919703610284E-3</v>
      </c>
      <c r="R70" s="234">
        <f t="shared" si="71"/>
        <v>1.9144185759359673E-3</v>
      </c>
      <c r="S70" s="234">
        <f t="shared" si="71"/>
        <v>3.3893095787604988E-3</v>
      </c>
      <c r="T70" s="234">
        <f t="shared" si="71"/>
        <v>2.3699128004772427E-3</v>
      </c>
      <c r="U70" s="234">
        <f t="shared" si="71"/>
        <v>3.6924090489186059E-3</v>
      </c>
    </row>
    <row r="71" spans="1:21" x14ac:dyDescent="0.25">
      <c r="A71" s="17" t="s">
        <v>655</v>
      </c>
      <c r="E71" s="193">
        <f>E13</f>
        <v>3162572616.2799993</v>
      </c>
      <c r="F71" s="193">
        <f t="shared" ref="F71:U71" si="72">F13</f>
        <v>3043549912.8299999</v>
      </c>
      <c r="G71" s="193">
        <f t="shared" si="72"/>
        <v>2904942506.0999999</v>
      </c>
      <c r="H71" s="193">
        <f t="shared" si="72"/>
        <v>3006042763.3599997</v>
      </c>
      <c r="I71" s="193">
        <f t="shared" si="72"/>
        <v>2880258171.6600003</v>
      </c>
      <c r="J71" s="193">
        <f t="shared" si="72"/>
        <v>2810039902.6099997</v>
      </c>
      <c r="K71" s="193">
        <f t="shared" si="72"/>
        <v>2676242325.2400002</v>
      </c>
      <c r="L71" s="193">
        <f t="shared" si="72"/>
        <v>2770792599.6999998</v>
      </c>
      <c r="M71" s="193">
        <f t="shared" si="72"/>
        <v>2655459613.3899999</v>
      </c>
      <c r="N71" s="193">
        <f t="shared" si="72"/>
        <v>2546401388.6300001</v>
      </c>
      <c r="O71" s="193">
        <f t="shared" si="72"/>
        <v>2398957888.52</v>
      </c>
      <c r="P71" s="193">
        <f t="shared" si="72"/>
        <v>2605733811.6999998</v>
      </c>
      <c r="Q71" s="193">
        <f t="shared" si="72"/>
        <v>2487328254.0400004</v>
      </c>
      <c r="R71" s="193">
        <f t="shared" si="72"/>
        <v>2304068739.1300001</v>
      </c>
      <c r="S71" s="193">
        <f t="shared" si="72"/>
        <v>2184782308.8099999</v>
      </c>
      <c r="T71" s="193">
        <f t="shared" si="72"/>
        <v>2224397084.98</v>
      </c>
      <c r="U71" s="193">
        <f t="shared" si="72"/>
        <v>2125429369.4599998</v>
      </c>
    </row>
    <row r="72" spans="1:21" s="234" customFormat="1" x14ac:dyDescent="0.25">
      <c r="A72" s="234" t="s">
        <v>658</v>
      </c>
      <c r="E72" s="234">
        <f>E71/E74</f>
        <v>0.9258182474721387</v>
      </c>
      <c r="F72" s="234">
        <f t="shared" ref="F72:U72" si="73">F71/F74</f>
        <v>0.87729733610633265</v>
      </c>
      <c r="G72" s="234">
        <f t="shared" si="73"/>
        <v>0.87127486593102443</v>
      </c>
      <c r="H72" s="234">
        <f t="shared" si="73"/>
        <v>0.84603272462830603</v>
      </c>
      <c r="I72" s="234">
        <f t="shared" si="73"/>
        <v>0.85236914929214702</v>
      </c>
      <c r="J72" s="234">
        <f t="shared" si="73"/>
        <v>0.89402573721462297</v>
      </c>
      <c r="K72" s="234">
        <f t="shared" si="73"/>
        <v>0.9030128070829001</v>
      </c>
      <c r="L72" s="234">
        <f t="shared" si="73"/>
        <v>0.96158573309551343</v>
      </c>
      <c r="M72" s="234">
        <f t="shared" si="73"/>
        <v>0.95860059605072623</v>
      </c>
      <c r="N72" s="234">
        <f t="shared" si="73"/>
        <v>1</v>
      </c>
      <c r="O72" s="234">
        <f t="shared" si="73"/>
        <v>0.99837139539791875</v>
      </c>
      <c r="P72" s="234">
        <f t="shared" si="73"/>
        <v>0.99897755896505069</v>
      </c>
      <c r="Q72" s="234">
        <f t="shared" si="73"/>
        <v>0.99775870802963895</v>
      </c>
      <c r="R72" s="234">
        <f t="shared" si="73"/>
        <v>0.99808558142406412</v>
      </c>
      <c r="S72" s="234">
        <f t="shared" si="73"/>
        <v>0.99661069042123962</v>
      </c>
      <c r="T72" s="234">
        <f t="shared" si="73"/>
        <v>0.99763008719952284</v>
      </c>
      <c r="U72" s="234">
        <f t="shared" si="73"/>
        <v>0.99630759095108135</v>
      </c>
    </row>
    <row r="73" spans="1:21" s="236" customFormat="1" x14ac:dyDescent="0.25">
      <c r="A73" s="235" t="s">
        <v>659</v>
      </c>
      <c r="E73" s="237">
        <f>E74/E71</f>
        <v>1.0801256107561152</v>
      </c>
      <c r="F73" s="237">
        <f t="shared" ref="F73:U73" si="74">F74/F71</f>
        <v>1.1398643981278374</v>
      </c>
      <c r="G73" s="237">
        <f t="shared" si="74"/>
        <v>1.1477434264460535</v>
      </c>
      <c r="H73" s="237">
        <f t="shared" si="74"/>
        <v>1.1819873757712358</v>
      </c>
      <c r="I73" s="237">
        <f t="shared" si="74"/>
        <v>1.1732006030843016</v>
      </c>
      <c r="J73" s="237">
        <f t="shared" si="74"/>
        <v>1.1185360313177835</v>
      </c>
      <c r="K73" s="237">
        <f t="shared" si="74"/>
        <v>1.1074040059635568</v>
      </c>
      <c r="L73" s="237">
        <f t="shared" si="74"/>
        <v>1.0399488735973903</v>
      </c>
      <c r="M73" s="237">
        <f t="shared" si="74"/>
        <v>1.0431873338279074</v>
      </c>
      <c r="N73" s="237">
        <f t="shared" si="74"/>
        <v>1</v>
      </c>
      <c r="O73" s="237">
        <f t="shared" si="74"/>
        <v>1.0016312612817118</v>
      </c>
      <c r="P73" s="237">
        <f t="shared" si="74"/>
        <v>1.0010234874905584</v>
      </c>
      <c r="Q73" s="237">
        <f t="shared" si="74"/>
        <v>1.0022463266442316</v>
      </c>
      <c r="R73" s="237">
        <f t="shared" si="74"/>
        <v>1.0019180906042189</v>
      </c>
      <c r="S73" s="237">
        <f t="shared" si="74"/>
        <v>1.0034008360650113</v>
      </c>
      <c r="T73" s="237">
        <f t="shared" si="74"/>
        <v>1.0023755426293626</v>
      </c>
      <c r="U73" s="237">
        <f t="shared" si="74"/>
        <v>1.0037060934619537</v>
      </c>
    </row>
    <row r="74" spans="1:21" x14ac:dyDescent="0.25">
      <c r="A74" s="17" t="s">
        <v>656</v>
      </c>
      <c r="E74" s="193">
        <f>E14</f>
        <v>3415975678.7199993</v>
      </c>
      <c r="F74" s="193">
        <f t="shared" ref="F74:U74" si="75">F14</f>
        <v>3469234189.5599999</v>
      </c>
      <c r="G74" s="193">
        <f t="shared" si="75"/>
        <v>3334128665.5799999</v>
      </c>
      <c r="H74" s="193">
        <f t="shared" si="75"/>
        <v>3553104597.3199997</v>
      </c>
      <c r="I74" s="193">
        <f t="shared" si="75"/>
        <v>3379120624.0300002</v>
      </c>
      <c r="J74" s="193">
        <f t="shared" si="75"/>
        <v>3143130880.5099998</v>
      </c>
      <c r="K74" s="193">
        <f t="shared" si="75"/>
        <v>2963681471.9000001</v>
      </c>
      <c r="L74" s="193">
        <f t="shared" si="75"/>
        <v>2881482643.0299997</v>
      </c>
      <c r="M74" s="193">
        <f t="shared" si="75"/>
        <v>2770141834.1799998</v>
      </c>
      <c r="N74" s="193">
        <f t="shared" si="75"/>
        <v>2546401388.6300001</v>
      </c>
      <c r="O74" s="193">
        <f t="shared" si="75"/>
        <v>2402871215.6399999</v>
      </c>
      <c r="P74" s="193">
        <f t="shared" si="75"/>
        <v>2608400747.6599998</v>
      </c>
      <c r="Q74" s="193">
        <f t="shared" si="75"/>
        <v>2492915605.7700005</v>
      </c>
      <c r="R74" s="193">
        <f t="shared" si="75"/>
        <v>2308488151.73</v>
      </c>
      <c r="S74" s="193">
        <f t="shared" si="75"/>
        <v>2192212395.2799997</v>
      </c>
      <c r="T74" s="193">
        <f t="shared" si="75"/>
        <v>2229681235.0799999</v>
      </c>
      <c r="U74" s="193">
        <f t="shared" si="75"/>
        <v>2133306409.3499999</v>
      </c>
    </row>
    <row r="75" spans="1:21" ht="83.4" customHeight="1" x14ac:dyDescent="0.25">
      <c r="A75" s="279" t="s">
        <v>701</v>
      </c>
      <c r="B75" s="278"/>
      <c r="C75" s="278"/>
      <c r="D75" s="278"/>
      <c r="E75" s="278"/>
      <c r="F75" s="278"/>
      <c r="G75" s="278"/>
      <c r="H75" s="278"/>
      <c r="I75" s="278"/>
      <c r="J75" s="278"/>
      <c r="K75" s="278"/>
      <c r="L75" s="278"/>
      <c r="M75" s="278"/>
      <c r="N75" s="278"/>
      <c r="O75" s="278"/>
      <c r="P75" s="278"/>
      <c r="Q75" s="278"/>
      <c r="R75" s="278"/>
      <c r="S75" s="278"/>
      <c r="T75" s="278"/>
      <c r="U75" s="278"/>
    </row>
    <row r="77" spans="1:21" s="238" customFormat="1" x14ac:dyDescent="0.25">
      <c r="A77" s="239" t="s">
        <v>660</v>
      </c>
      <c r="B77" s="240"/>
      <c r="C77" s="240"/>
      <c r="D77" s="240"/>
      <c r="E77" s="241">
        <f>E1</f>
        <v>43100</v>
      </c>
      <c r="F77" s="241">
        <f t="shared" ref="F77:U77" si="76">F1</f>
        <v>43008</v>
      </c>
      <c r="G77" s="241">
        <f t="shared" si="76"/>
        <v>42916</v>
      </c>
      <c r="H77" s="241">
        <f t="shared" si="76"/>
        <v>42825</v>
      </c>
      <c r="I77" s="241">
        <f t="shared" si="76"/>
        <v>42735</v>
      </c>
      <c r="J77" s="241">
        <f t="shared" si="76"/>
        <v>42643</v>
      </c>
      <c r="K77" s="241">
        <f t="shared" si="76"/>
        <v>42551</v>
      </c>
      <c r="L77" s="241">
        <f t="shared" si="76"/>
        <v>42460</v>
      </c>
      <c r="M77" s="241">
        <f t="shared" si="76"/>
        <v>42369</v>
      </c>
      <c r="N77" s="241">
        <f t="shared" si="76"/>
        <v>42277</v>
      </c>
      <c r="O77" s="241">
        <f t="shared" si="76"/>
        <v>42185</v>
      </c>
      <c r="P77" s="241">
        <f t="shared" si="76"/>
        <v>42094</v>
      </c>
      <c r="Q77" s="241">
        <f t="shared" si="76"/>
        <v>42004</v>
      </c>
      <c r="R77" s="241">
        <f t="shared" si="76"/>
        <v>41912</v>
      </c>
      <c r="S77" s="241">
        <f t="shared" si="76"/>
        <v>41820</v>
      </c>
      <c r="T77" s="241">
        <f t="shared" si="76"/>
        <v>41729</v>
      </c>
      <c r="U77" s="241">
        <f t="shared" si="76"/>
        <v>41639</v>
      </c>
    </row>
    <row r="78" spans="1:21" x14ac:dyDescent="0.25">
      <c r="A78" s="184" t="s">
        <v>652</v>
      </c>
      <c r="B78" s="64"/>
      <c r="C78" s="64"/>
      <c r="D78" s="64"/>
      <c r="E78" s="89">
        <f>E10</f>
        <v>197566288.30000001</v>
      </c>
      <c r="F78" s="89">
        <f t="shared" ref="F78:U78" si="77">F10</f>
        <v>362613245.42000002</v>
      </c>
      <c r="G78" s="89">
        <f t="shared" si="77"/>
        <v>361565942.50999999</v>
      </c>
      <c r="H78" s="89">
        <f t="shared" si="77"/>
        <v>391766634.35000002</v>
      </c>
      <c r="I78" s="89">
        <f t="shared" si="77"/>
        <v>400690979.23000002</v>
      </c>
      <c r="J78" s="89">
        <f t="shared" si="77"/>
        <v>240000000</v>
      </c>
      <c r="K78" s="89">
        <f t="shared" si="77"/>
        <v>270000000</v>
      </c>
      <c r="L78" s="89">
        <f t="shared" si="77"/>
        <v>100000000</v>
      </c>
      <c r="M78" s="89">
        <f t="shared" si="77"/>
        <v>100302083.33</v>
      </c>
      <c r="N78" s="89">
        <f t="shared" si="77"/>
        <v>0</v>
      </c>
      <c r="O78" s="89">
        <f t="shared" si="77"/>
        <v>0</v>
      </c>
      <c r="P78" s="89">
        <f t="shared" si="77"/>
        <v>0</v>
      </c>
      <c r="Q78" s="89">
        <f t="shared" si="77"/>
        <v>0</v>
      </c>
      <c r="R78" s="89">
        <f t="shared" si="77"/>
        <v>0</v>
      </c>
      <c r="S78" s="89">
        <f t="shared" si="77"/>
        <v>0</v>
      </c>
      <c r="T78" s="89">
        <f t="shared" si="77"/>
        <v>0</v>
      </c>
      <c r="U78" s="89">
        <f t="shared" si="77"/>
        <v>0</v>
      </c>
    </row>
    <row r="79" spans="1:21" x14ac:dyDescent="0.25">
      <c r="A79" s="184" t="s">
        <v>661</v>
      </c>
      <c r="B79" s="64"/>
      <c r="C79" s="64"/>
      <c r="D79" s="64"/>
      <c r="E79" s="89">
        <f>E78</f>
        <v>197566288.30000001</v>
      </c>
      <c r="F79" s="89">
        <f t="shared" ref="F79:U79" si="78">F78</f>
        <v>362613245.42000002</v>
      </c>
      <c r="G79" s="89">
        <f t="shared" si="78"/>
        <v>361565942.50999999</v>
      </c>
      <c r="H79" s="89">
        <f t="shared" si="78"/>
        <v>391766634.35000002</v>
      </c>
      <c r="I79" s="89">
        <f t="shared" si="78"/>
        <v>400690979.23000002</v>
      </c>
      <c r="J79" s="89">
        <f t="shared" si="78"/>
        <v>240000000</v>
      </c>
      <c r="K79" s="89">
        <f t="shared" si="78"/>
        <v>270000000</v>
      </c>
      <c r="L79" s="89">
        <f t="shared" si="78"/>
        <v>100000000</v>
      </c>
      <c r="M79" s="89">
        <f t="shared" si="78"/>
        <v>100302083.33</v>
      </c>
      <c r="N79" s="89">
        <f t="shared" si="78"/>
        <v>0</v>
      </c>
      <c r="O79" s="89">
        <f t="shared" si="78"/>
        <v>0</v>
      </c>
      <c r="P79" s="89">
        <f t="shared" si="78"/>
        <v>0</v>
      </c>
      <c r="Q79" s="89">
        <f t="shared" si="78"/>
        <v>0</v>
      </c>
      <c r="R79" s="89">
        <f t="shared" si="78"/>
        <v>0</v>
      </c>
      <c r="S79" s="89">
        <f t="shared" si="78"/>
        <v>0</v>
      </c>
      <c r="T79" s="89">
        <f t="shared" si="78"/>
        <v>0</v>
      </c>
      <c r="U79" s="89">
        <f t="shared" si="78"/>
        <v>0</v>
      </c>
    </row>
    <row r="80" spans="1:21" s="220" customFormat="1" x14ac:dyDescent="0.25">
      <c r="A80" s="224" t="s">
        <v>662</v>
      </c>
      <c r="B80" s="224"/>
      <c r="C80" s="224"/>
      <c r="D80" s="224"/>
      <c r="E80" s="224">
        <f>E79/E85</f>
        <v>5.7835976271947608E-2</v>
      </c>
      <c r="F80" s="224">
        <f t="shared" ref="F80:U80" si="79">F79/F85</f>
        <v>0.104522561927706</v>
      </c>
      <c r="G80" s="224">
        <f t="shared" si="79"/>
        <v>0.10844390807188677</v>
      </c>
      <c r="H80" s="224">
        <f t="shared" si="79"/>
        <v>0.11026037191404324</v>
      </c>
      <c r="I80" s="224">
        <f t="shared" si="79"/>
        <v>0.11857847760170477</v>
      </c>
      <c r="J80" s="224">
        <f t="shared" si="79"/>
        <v>7.6356985796613708E-2</v>
      </c>
      <c r="K80" s="224">
        <f t="shared" si="79"/>
        <v>9.1102907839452962E-2</v>
      </c>
      <c r="L80" s="224">
        <f t="shared" si="79"/>
        <v>3.4704356190341581E-2</v>
      </c>
      <c r="M80" s="224">
        <f t="shared" si="79"/>
        <v>3.6208284389052159E-2</v>
      </c>
      <c r="N80" s="224">
        <f t="shared" si="79"/>
        <v>0</v>
      </c>
      <c r="O80" s="224">
        <f t="shared" si="79"/>
        <v>0</v>
      </c>
      <c r="P80" s="224">
        <f t="shared" si="79"/>
        <v>0</v>
      </c>
      <c r="Q80" s="224">
        <f t="shared" si="79"/>
        <v>0</v>
      </c>
      <c r="R80" s="224">
        <f t="shared" si="79"/>
        <v>0</v>
      </c>
      <c r="S80" s="224">
        <f t="shared" si="79"/>
        <v>0</v>
      </c>
      <c r="T80" s="224">
        <f t="shared" si="79"/>
        <v>0</v>
      </c>
      <c r="U80" s="224">
        <f t="shared" si="79"/>
        <v>0</v>
      </c>
    </row>
    <row r="81" spans="1:21" x14ac:dyDescent="0.25">
      <c r="A81" s="184" t="s">
        <v>653</v>
      </c>
      <c r="B81" s="64"/>
      <c r="C81" s="64"/>
      <c r="D81" s="64"/>
      <c r="E81" s="89">
        <f>E11</f>
        <v>55836774.140000001</v>
      </c>
      <c r="F81" s="89">
        <f t="shared" ref="F81:U81" si="80">F11</f>
        <v>63071031.310000002</v>
      </c>
      <c r="G81" s="89">
        <f t="shared" si="80"/>
        <v>67620216.969999999</v>
      </c>
      <c r="H81" s="89">
        <f t="shared" si="80"/>
        <v>155295199.61000001</v>
      </c>
      <c r="I81" s="89">
        <f t="shared" si="80"/>
        <v>98171473.140000001</v>
      </c>
      <c r="J81" s="89">
        <f t="shared" si="80"/>
        <v>93090977.900000006</v>
      </c>
      <c r="K81" s="89">
        <f t="shared" si="80"/>
        <v>17439146.66</v>
      </c>
      <c r="L81" s="89">
        <f t="shared" si="80"/>
        <v>10690043.33</v>
      </c>
      <c r="M81" s="89">
        <f t="shared" si="80"/>
        <v>14380137.460000001</v>
      </c>
      <c r="N81" s="89">
        <f t="shared" si="80"/>
        <v>0</v>
      </c>
      <c r="O81" s="89">
        <f t="shared" si="80"/>
        <v>3913327.12</v>
      </c>
      <c r="P81" s="89">
        <f t="shared" si="80"/>
        <v>2666935.96</v>
      </c>
      <c r="Q81" s="89">
        <f t="shared" si="80"/>
        <v>5587351.7300000004</v>
      </c>
      <c r="R81" s="89">
        <f t="shared" si="80"/>
        <v>4419412.5999999996</v>
      </c>
      <c r="S81" s="89">
        <f t="shared" si="80"/>
        <v>7430086.4699999997</v>
      </c>
      <c r="T81" s="89">
        <f t="shared" si="80"/>
        <v>5284150.0999999996</v>
      </c>
      <c r="U81" s="89">
        <f t="shared" si="80"/>
        <v>7877039.8899999997</v>
      </c>
    </row>
    <row r="82" spans="1:21" x14ac:dyDescent="0.25">
      <c r="A82" s="184" t="s">
        <v>655</v>
      </c>
      <c r="B82" s="64"/>
      <c r="C82" s="64"/>
      <c r="D82" s="64"/>
      <c r="E82" s="89">
        <f>E13</f>
        <v>3162572616.2799993</v>
      </c>
      <c r="F82" s="89">
        <f t="shared" ref="F82:U82" si="81">F13</f>
        <v>3043549912.8299999</v>
      </c>
      <c r="G82" s="89">
        <f t="shared" si="81"/>
        <v>2904942506.0999999</v>
      </c>
      <c r="H82" s="89">
        <f t="shared" si="81"/>
        <v>3006042763.3599997</v>
      </c>
      <c r="I82" s="89">
        <f t="shared" si="81"/>
        <v>2880258171.6600003</v>
      </c>
      <c r="J82" s="89">
        <f t="shared" si="81"/>
        <v>2810039902.6099997</v>
      </c>
      <c r="K82" s="89">
        <f t="shared" si="81"/>
        <v>2676242325.2400002</v>
      </c>
      <c r="L82" s="89">
        <f t="shared" si="81"/>
        <v>2770792599.6999998</v>
      </c>
      <c r="M82" s="89">
        <f t="shared" si="81"/>
        <v>2655459613.3899999</v>
      </c>
      <c r="N82" s="89">
        <f t="shared" si="81"/>
        <v>2546401388.6300001</v>
      </c>
      <c r="O82" s="89">
        <f t="shared" si="81"/>
        <v>2398957888.52</v>
      </c>
      <c r="P82" s="89">
        <f t="shared" si="81"/>
        <v>2605733811.6999998</v>
      </c>
      <c r="Q82" s="89">
        <f t="shared" si="81"/>
        <v>2487328254.0400004</v>
      </c>
      <c r="R82" s="89">
        <f t="shared" si="81"/>
        <v>2304068739.1300001</v>
      </c>
      <c r="S82" s="89">
        <f t="shared" si="81"/>
        <v>2184782308.8099999</v>
      </c>
      <c r="T82" s="89">
        <f t="shared" si="81"/>
        <v>2224397084.98</v>
      </c>
      <c r="U82" s="89">
        <f t="shared" si="81"/>
        <v>2125429369.4599998</v>
      </c>
    </row>
    <row r="83" spans="1:21" x14ac:dyDescent="0.25">
      <c r="A83" s="184" t="s">
        <v>663</v>
      </c>
      <c r="B83" s="64"/>
      <c r="C83" s="64"/>
      <c r="D83" s="64"/>
      <c r="E83" s="89">
        <f>E81+E82</f>
        <v>3218409390.4199991</v>
      </c>
      <c r="F83" s="89">
        <f t="shared" ref="F83:U83" si="82">F81+F82</f>
        <v>3106620944.1399999</v>
      </c>
      <c r="G83" s="89">
        <f t="shared" si="82"/>
        <v>2972562723.0699997</v>
      </c>
      <c r="H83" s="89">
        <f t="shared" si="82"/>
        <v>3161337962.9699998</v>
      </c>
      <c r="I83" s="89">
        <f t="shared" si="82"/>
        <v>2978429644.8000002</v>
      </c>
      <c r="J83" s="89">
        <f t="shared" si="82"/>
        <v>2903130880.5099998</v>
      </c>
      <c r="K83" s="89">
        <f t="shared" si="82"/>
        <v>2693681471.9000001</v>
      </c>
      <c r="L83" s="89">
        <f t="shared" si="82"/>
        <v>2781482643.0299997</v>
      </c>
      <c r="M83" s="89">
        <f t="shared" si="82"/>
        <v>2669839750.8499999</v>
      </c>
      <c r="N83" s="89">
        <f t="shared" si="82"/>
        <v>2546401388.6300001</v>
      </c>
      <c r="O83" s="89">
        <f t="shared" si="82"/>
        <v>2402871215.6399999</v>
      </c>
      <c r="P83" s="89">
        <f t="shared" si="82"/>
        <v>2608400747.6599998</v>
      </c>
      <c r="Q83" s="89">
        <f t="shared" si="82"/>
        <v>2492915605.7700005</v>
      </c>
      <c r="R83" s="89">
        <f t="shared" si="82"/>
        <v>2308488151.73</v>
      </c>
      <c r="S83" s="89">
        <f t="shared" si="82"/>
        <v>2192212395.2799997</v>
      </c>
      <c r="T83" s="89">
        <f t="shared" si="82"/>
        <v>2229681235.0799999</v>
      </c>
      <c r="U83" s="89">
        <f t="shared" si="82"/>
        <v>2133306409.3499999</v>
      </c>
    </row>
    <row r="84" spans="1:21" s="220" customFormat="1" x14ac:dyDescent="0.25">
      <c r="A84" s="224" t="s">
        <v>664</v>
      </c>
      <c r="B84" s="224"/>
      <c r="C84" s="224"/>
      <c r="D84" s="224"/>
      <c r="E84" s="224">
        <f>E83/E85</f>
        <v>0.9421640237280523</v>
      </c>
      <c r="F84" s="224">
        <f t="shared" ref="F84:U84" si="83">F83/F85</f>
        <v>0.89547743807229396</v>
      </c>
      <c r="G84" s="224">
        <f t="shared" si="83"/>
        <v>0.89155609192811314</v>
      </c>
      <c r="H84" s="224">
        <f t="shared" si="83"/>
        <v>0.88973962808595675</v>
      </c>
      <c r="I84" s="224">
        <f t="shared" si="83"/>
        <v>0.88142152239829519</v>
      </c>
      <c r="J84" s="224">
        <f t="shared" si="83"/>
        <v>0.92364301420338624</v>
      </c>
      <c r="K84" s="224">
        <f t="shared" si="83"/>
        <v>0.90889709216054704</v>
      </c>
      <c r="L84" s="224">
        <f t="shared" si="83"/>
        <v>0.96529564380965838</v>
      </c>
      <c r="M84" s="224">
        <f t="shared" si="83"/>
        <v>0.9637917156109479</v>
      </c>
      <c r="N84" s="224">
        <f t="shared" si="83"/>
        <v>1</v>
      </c>
      <c r="O84" s="224">
        <f t="shared" si="83"/>
        <v>1</v>
      </c>
      <c r="P84" s="224">
        <f t="shared" si="83"/>
        <v>1</v>
      </c>
      <c r="Q84" s="224">
        <f t="shared" si="83"/>
        <v>1</v>
      </c>
      <c r="R84" s="224">
        <f t="shared" si="83"/>
        <v>1</v>
      </c>
      <c r="S84" s="224">
        <f t="shared" si="83"/>
        <v>1</v>
      </c>
      <c r="T84" s="224">
        <f t="shared" si="83"/>
        <v>1</v>
      </c>
      <c r="U84" s="224">
        <f t="shared" si="83"/>
        <v>1</v>
      </c>
    </row>
    <row r="85" spans="1:21" x14ac:dyDescent="0.25">
      <c r="A85" s="184" t="s">
        <v>656</v>
      </c>
      <c r="B85" s="64"/>
      <c r="C85" s="64"/>
      <c r="D85" s="64"/>
      <c r="E85" s="89">
        <f>E14</f>
        <v>3415975678.7199993</v>
      </c>
      <c r="F85" s="89">
        <f t="shared" ref="F85:U85" si="84">F14</f>
        <v>3469234189.5599999</v>
      </c>
      <c r="G85" s="89">
        <f t="shared" si="84"/>
        <v>3334128665.5799999</v>
      </c>
      <c r="H85" s="89">
        <f t="shared" si="84"/>
        <v>3553104597.3199997</v>
      </c>
      <c r="I85" s="89">
        <f t="shared" si="84"/>
        <v>3379120624.0300002</v>
      </c>
      <c r="J85" s="89">
        <f t="shared" si="84"/>
        <v>3143130880.5099998</v>
      </c>
      <c r="K85" s="89">
        <f t="shared" si="84"/>
        <v>2963681471.9000001</v>
      </c>
      <c r="L85" s="89">
        <f t="shared" si="84"/>
        <v>2881482643.0299997</v>
      </c>
      <c r="M85" s="89">
        <f t="shared" si="84"/>
        <v>2770141834.1799998</v>
      </c>
      <c r="N85" s="89">
        <f t="shared" si="84"/>
        <v>2546401388.6300001</v>
      </c>
      <c r="O85" s="89">
        <f t="shared" si="84"/>
        <v>2402871215.6399999</v>
      </c>
      <c r="P85" s="89">
        <f t="shared" si="84"/>
        <v>2608400747.6599998</v>
      </c>
      <c r="Q85" s="89">
        <f t="shared" si="84"/>
        <v>2492915605.7700005</v>
      </c>
      <c r="R85" s="89">
        <f t="shared" si="84"/>
        <v>2308488151.73</v>
      </c>
      <c r="S85" s="89">
        <f t="shared" si="84"/>
        <v>2192212395.2799997</v>
      </c>
      <c r="T85" s="89">
        <f t="shared" si="84"/>
        <v>2229681235.0799999</v>
      </c>
      <c r="U85" s="89">
        <f t="shared" si="84"/>
        <v>2133306409.3499999</v>
      </c>
    </row>
    <row r="87" spans="1:21" s="56" customFormat="1" ht="85.8" customHeight="1" x14ac:dyDescent="0.25">
      <c r="A87" s="277" t="s">
        <v>702</v>
      </c>
      <c r="B87" s="280"/>
      <c r="C87" s="280"/>
      <c r="D87" s="280"/>
      <c r="E87" s="280"/>
      <c r="F87" s="280"/>
      <c r="G87" s="280"/>
      <c r="H87" s="280"/>
      <c r="I87" s="280"/>
      <c r="J87" s="280"/>
      <c r="K87" s="280"/>
      <c r="L87" s="280"/>
      <c r="M87" s="280"/>
      <c r="N87" s="280"/>
      <c r="O87" s="280"/>
      <c r="P87" s="280"/>
      <c r="Q87" s="280"/>
      <c r="R87" s="280"/>
      <c r="S87" s="280"/>
      <c r="T87" s="280"/>
      <c r="U87" s="280"/>
    </row>
  </sheetData>
  <mergeCells count="4">
    <mergeCell ref="A18:AG18"/>
    <mergeCell ref="A87:U87"/>
    <mergeCell ref="A64:U64"/>
    <mergeCell ref="A75:U75"/>
  </mergeCells>
  <phoneticPr fontId="1"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股权价值增加分析表"/>
  <dimension ref="A1:CK78"/>
  <sheetViews>
    <sheetView zoomScaleNormal="100" workbookViewId="0">
      <selection activeCell="A35" sqref="A35:AG35"/>
    </sheetView>
  </sheetViews>
  <sheetFormatPr defaultRowHeight="14.4" x14ac:dyDescent="0.25"/>
  <cols>
    <col min="1" max="1" width="47.88671875" style="17" bestFit="1" customWidth="1"/>
    <col min="2" max="4" width="10.5546875" hidden="1" customWidth="1"/>
    <col min="5" max="5" width="19.33203125" bestFit="1" customWidth="1"/>
    <col min="6" max="8" width="19.33203125" hidden="1" customWidth="1"/>
    <col min="9" max="9" width="21.5546875" bestFit="1" customWidth="1"/>
    <col min="10" max="11" width="19.33203125" hidden="1" customWidth="1"/>
    <col min="12" max="12" width="18.33203125" hidden="1" customWidth="1"/>
    <col min="13" max="13" width="21.5546875" bestFit="1" customWidth="1"/>
    <col min="14" max="15" width="19.33203125" hidden="1" customWidth="1"/>
    <col min="16" max="16" width="17.21875" hidden="1" customWidth="1"/>
    <col min="17" max="17" width="19.33203125" bestFit="1" customWidth="1"/>
    <col min="18" max="19" width="19.33203125" hidden="1" customWidth="1"/>
    <col min="20" max="20" width="17.21875" hidden="1" customWidth="1"/>
    <col min="21" max="21" width="19.33203125" bestFit="1" customWidth="1"/>
    <col min="22" max="23" width="19.33203125" hidden="1" customWidth="1"/>
    <col min="24" max="24" width="17.21875" hidden="1" customWidth="1"/>
    <col min="25" max="25" width="19.33203125" bestFit="1" customWidth="1"/>
    <col min="26" max="27" width="19.33203125" hidden="1" customWidth="1"/>
    <col min="28" max="28" width="17.21875" hidden="1" customWidth="1"/>
    <col min="29" max="29" width="19.33203125" bestFit="1" customWidth="1"/>
    <col min="30" max="31" width="19.33203125" hidden="1" customWidth="1"/>
    <col min="32" max="32" width="17.21875" hidden="1" customWidth="1"/>
    <col min="33" max="33" width="19.33203125" bestFit="1" customWidth="1"/>
    <col min="34" max="34" width="19.33203125" hidden="1" customWidth="1"/>
    <col min="35" max="36" width="17.21875" hidden="1" customWidth="1"/>
    <col min="37" max="37" width="19.33203125" bestFit="1" customWidth="1"/>
    <col min="38" max="40" width="17.21875" hidden="1" customWidth="1"/>
    <col min="41" max="41" width="17.21875" bestFit="1" customWidth="1"/>
    <col min="42" max="42" width="17.21875" hidden="1" customWidth="1"/>
    <col min="43" max="44" width="17.21875" bestFit="1" customWidth="1"/>
    <col min="45" max="45" width="9.5546875" hidden="1" customWidth="1"/>
    <col min="46" max="51" width="20.44140625" bestFit="1" customWidth="1"/>
    <col min="52" max="81" width="18.33203125" bestFit="1" customWidth="1"/>
    <col min="82" max="82" width="9.5546875" bestFit="1" customWidth="1"/>
    <col min="83" max="83" width="18.33203125" bestFit="1" customWidth="1"/>
    <col min="84" max="85" width="17.21875" bestFit="1" customWidth="1"/>
    <col min="86" max="86" width="16.109375" bestFit="1" customWidth="1"/>
    <col min="87" max="87" width="17.21875" bestFit="1" customWidth="1"/>
    <col min="88" max="88" width="16.109375" bestFit="1" customWidth="1"/>
    <col min="89" max="89" width="9.33203125" bestFit="1" customWidth="1"/>
  </cols>
  <sheetData>
    <row r="1" spans="1:89" s="26" customFormat="1" x14ac:dyDescent="0.25">
      <c r="A1" s="17">
        <v>2293</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39447</v>
      </c>
      <c r="AR1" s="1">
        <v>39082</v>
      </c>
      <c r="AS1" s="1">
        <v>25569</v>
      </c>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s="26" customFormat="1" x14ac:dyDescent="0.25">
      <c r="A2" s="17" t="s">
        <v>351</v>
      </c>
      <c r="E2" s="26">
        <f>股权价值增加表!E4</f>
        <v>4661850865.5100002</v>
      </c>
      <c r="F2" s="26">
        <f>股权价值增加表!F4</f>
        <v>3182670009.3200002</v>
      </c>
      <c r="G2" s="26">
        <f>股权价值增加表!G4</f>
        <v>1981435890.6199999</v>
      </c>
      <c r="H2" s="26">
        <f>股权价值增加表!H4</f>
        <v>1057767260.42</v>
      </c>
      <c r="I2" s="26">
        <f>股权价值增加表!I4</f>
        <v>3152216442.1500001</v>
      </c>
      <c r="J2" s="26">
        <f>股权价值增加表!J4</f>
        <v>2155264290.48</v>
      </c>
      <c r="K2" s="26">
        <f>股权价值增加表!K4</f>
        <v>1343083310.6500001</v>
      </c>
      <c r="L2" s="26">
        <f>股权价值增加表!L4</f>
        <v>762846279.96000004</v>
      </c>
      <c r="M2" s="26">
        <f>股权价值增加表!M4</f>
        <v>2915633891.98</v>
      </c>
      <c r="N2" s="26">
        <f>股权价值增加表!N4</f>
        <v>2046094586.02</v>
      </c>
      <c r="O2" s="26">
        <f>股权价值增加表!O4</f>
        <v>1249976092.8499999</v>
      </c>
      <c r="P2" s="26">
        <f>股权价值增加表!P4</f>
        <v>705394935.15999997</v>
      </c>
      <c r="Q2" s="26">
        <f>股权价值增加表!Q4</f>
        <v>2761400573.5100002</v>
      </c>
      <c r="R2" s="26">
        <f>股权价值增加表!R4</f>
        <v>1879993912.9100001</v>
      </c>
      <c r="S2" s="26">
        <f>股权价值增加表!S4</f>
        <v>1112279848.48</v>
      </c>
      <c r="T2" s="26">
        <f>股权价值增加表!T4</f>
        <v>657308577.96000004</v>
      </c>
      <c r="U2" s="26">
        <f>股权价值增加表!U4</f>
        <v>2524209416.4000001</v>
      </c>
      <c r="V2" s="26">
        <f>股权价值增加表!V4</f>
        <v>1722646961.76</v>
      </c>
      <c r="W2" s="26">
        <f>股权价值增加表!W4</f>
        <v>1078073329.79</v>
      </c>
      <c r="X2" s="26">
        <f>股权价值增加表!X4</f>
        <v>615351177.55999994</v>
      </c>
      <c r="Y2" s="26">
        <f>股权价值增加表!Y4</f>
        <v>2724953861.21</v>
      </c>
      <c r="Z2" s="26">
        <f>股权价值增加表!Z4</f>
        <v>1847721787.6600001</v>
      </c>
      <c r="AA2" s="26">
        <f>股权价值增加表!AA4</f>
        <v>1036490112.66</v>
      </c>
      <c r="AB2" s="26">
        <f>股权价值增加表!AB4</f>
        <v>614320304.89999998</v>
      </c>
      <c r="AC2" s="26">
        <f>股权价值增加表!AC4</f>
        <v>2382434788.48</v>
      </c>
      <c r="AD2" s="26">
        <f>股权价值增加表!AD4</f>
        <v>1633896787.0999999</v>
      </c>
      <c r="AE2" s="26">
        <f>股权价值增加表!AE4</f>
        <v>1003246147.98</v>
      </c>
      <c r="AF2" s="26">
        <f>股权价值增加表!AF4</f>
        <v>583149853.35000002</v>
      </c>
      <c r="AG2" s="26">
        <f>股权价值增加表!AG4</f>
        <v>1818814620.1400001</v>
      </c>
      <c r="AH2" s="26">
        <f>股权价值增加表!AH4</f>
        <v>1145669244.4200001</v>
      </c>
      <c r="AI2" s="26">
        <f>股权价值增加表!AI4</f>
        <v>661829336.29999995</v>
      </c>
      <c r="AJ2" s="26">
        <f>股权价值增加表!AJ4</f>
        <v>359335837.14999998</v>
      </c>
      <c r="AK2" s="26">
        <f>股权价值增加表!AK4</f>
        <v>1145306750.3299999</v>
      </c>
      <c r="AL2" s="26">
        <f>股权价值增加表!AL4</f>
        <v>723914564.5</v>
      </c>
      <c r="AM2" s="26">
        <f>股权价值增加表!AM4</f>
        <v>407570538.00999999</v>
      </c>
      <c r="AN2" s="26">
        <f>股权价值增加表!AN4</f>
        <v>255192022.33000001</v>
      </c>
      <c r="AO2" s="26">
        <f>股权价值增加表!AO4</f>
        <v>902684684.88</v>
      </c>
      <c r="AP2" s="26">
        <f>股权价值增加表!AP4</f>
        <v>632875455.57000005</v>
      </c>
      <c r="AQ2" s="26">
        <f>股权价值增加表!AQ4</f>
        <v>755362629.51999998</v>
      </c>
      <c r="AR2" s="26">
        <f>股权价值增加表!AR4</f>
        <v>552487592.55999994</v>
      </c>
      <c r="AS2" s="26">
        <f>股权价值增加表!AS4</f>
        <v>0</v>
      </c>
      <c r="AT2" s="26">
        <f>股权价值增加表!AT4</f>
        <v>0</v>
      </c>
      <c r="AU2" s="26">
        <f>股权价值增加表!AU4</f>
        <v>0</v>
      </c>
      <c r="AV2" s="26">
        <f>股权价值增加表!AV4</f>
        <v>0</v>
      </c>
      <c r="AW2" s="26">
        <f>股权价值增加表!AW4</f>
        <v>0</v>
      </c>
      <c r="AX2" s="26">
        <f>股权价值增加表!AX4</f>
        <v>0</v>
      </c>
      <c r="AY2" s="26">
        <f>股权价值增加表!AY4</f>
        <v>0</v>
      </c>
      <c r="AZ2" s="26">
        <f>股权价值增加表!AZ4</f>
        <v>0</v>
      </c>
      <c r="BA2" s="26">
        <f>股权价值增加表!BA4</f>
        <v>0</v>
      </c>
      <c r="BB2" s="26">
        <f>股权价值增加表!BB4</f>
        <v>0</v>
      </c>
      <c r="BC2" s="26">
        <f>股权价值增加表!BC4</f>
        <v>0</v>
      </c>
      <c r="BD2" s="26">
        <f>股权价值增加表!BD4</f>
        <v>0</v>
      </c>
      <c r="BE2" s="26">
        <f>股权价值增加表!BE4</f>
        <v>0</v>
      </c>
      <c r="BF2" s="26">
        <f>股权价值增加表!BF4</f>
        <v>0</v>
      </c>
      <c r="BG2" s="26">
        <f>股权价值增加表!BG4</f>
        <v>0</v>
      </c>
      <c r="BH2" s="26">
        <f>股权价值增加表!BH4</f>
        <v>0</v>
      </c>
      <c r="BI2" s="26">
        <f>股权价值增加表!BI4</f>
        <v>0</v>
      </c>
      <c r="BJ2" s="26">
        <f>股权价值增加表!BJ4</f>
        <v>0</v>
      </c>
      <c r="BK2" s="26">
        <f>股权价值增加表!BK4</f>
        <v>0</v>
      </c>
      <c r="BL2" s="26">
        <f>股权价值增加表!BL4</f>
        <v>0</v>
      </c>
      <c r="BM2" s="26">
        <f>股权价值增加表!BM4</f>
        <v>0</v>
      </c>
      <c r="BN2" s="26">
        <f>股权价值增加表!BN4</f>
        <v>0</v>
      </c>
      <c r="BO2" s="26">
        <f>股权价值增加表!BO4</f>
        <v>0</v>
      </c>
      <c r="BP2" s="26">
        <f>股权价值增加表!BP4</f>
        <v>0</v>
      </c>
      <c r="BQ2" s="26">
        <f>股权价值增加表!BQ4</f>
        <v>0</v>
      </c>
      <c r="BR2" s="26">
        <f>股权价值增加表!BR4</f>
        <v>0</v>
      </c>
      <c r="BS2" s="26">
        <f>股权价值增加表!BS4</f>
        <v>0</v>
      </c>
      <c r="BT2" s="26">
        <f>股权价值增加表!BT4</f>
        <v>0</v>
      </c>
      <c r="BU2" s="26">
        <f>股权价值增加表!BU4</f>
        <v>0</v>
      </c>
      <c r="BV2" s="26">
        <f>股权价值增加表!BV4</f>
        <v>0</v>
      </c>
      <c r="BW2" s="26">
        <f>股权价值增加表!BW4</f>
        <v>0</v>
      </c>
      <c r="BX2" s="26">
        <f>股权价值增加表!BX4</f>
        <v>0</v>
      </c>
      <c r="BY2" s="26">
        <f>股权价值增加表!BY4</f>
        <v>0</v>
      </c>
      <c r="BZ2" s="26">
        <f>股权价值增加表!BZ4</f>
        <v>0</v>
      </c>
      <c r="CA2" s="26">
        <f>股权价值增加表!CA4</f>
        <v>0</v>
      </c>
      <c r="CB2" s="26">
        <f>股权价值增加表!CB4</f>
        <v>0</v>
      </c>
      <c r="CC2" s="26">
        <f>股权价值增加表!CC4</f>
        <v>0</v>
      </c>
      <c r="CD2" s="26">
        <f>股权价值增加表!CD4</f>
        <v>0</v>
      </c>
      <c r="CE2" s="26">
        <f>股权价值增加表!CE4</f>
        <v>0</v>
      </c>
      <c r="CF2" s="26">
        <f>股权价值增加表!CF4</f>
        <v>0</v>
      </c>
      <c r="CG2" s="26">
        <f>股权价值增加表!CG4</f>
        <v>0</v>
      </c>
      <c r="CH2" s="26">
        <f>股权价值增加表!CH4</f>
        <v>0</v>
      </c>
      <c r="CI2" s="26">
        <f>股权价值增加表!CI4</f>
        <v>0</v>
      </c>
      <c r="CJ2" s="26">
        <f>股权价值增加表!CJ4</f>
        <v>0</v>
      </c>
    </row>
    <row r="3" spans="1:89" s="66" customFormat="1" x14ac:dyDescent="0.25">
      <c r="A3" s="46" t="s">
        <v>372</v>
      </c>
      <c r="E3" s="66">
        <f>(E2-I2)/I2</f>
        <v>0.47891204524342218</v>
      </c>
      <c r="F3" s="66">
        <f t="shared" ref="F3:BQ3" si="0">(F2-J2)/J2</f>
        <v>0.4766959316210756</v>
      </c>
      <c r="G3" s="66">
        <f t="shared" si="0"/>
        <v>0.47528889303304794</v>
      </c>
      <c r="H3" s="66">
        <f t="shared" si="0"/>
        <v>0.38660604135798388</v>
      </c>
      <c r="I3" s="66">
        <f t="shared" si="0"/>
        <v>8.1142749376307124E-2</v>
      </c>
      <c r="J3" s="66">
        <f t="shared" si="0"/>
        <v>5.3355160218840895E-2</v>
      </c>
      <c r="K3" s="66">
        <f t="shared" si="0"/>
        <v>7.4487198861309167E-2</v>
      </c>
      <c r="L3" s="66">
        <f t="shared" si="0"/>
        <v>8.14456440447347E-2</v>
      </c>
      <c r="M3" s="66">
        <f t="shared" si="0"/>
        <v>5.5853294139775855E-2</v>
      </c>
      <c r="N3" s="66">
        <f t="shared" si="0"/>
        <v>8.8351707933403051E-2</v>
      </c>
      <c r="O3" s="66">
        <f t="shared" si="0"/>
        <v>0.12379640299891292</v>
      </c>
      <c r="P3" s="66">
        <f t="shared" si="0"/>
        <v>7.3156442517818748E-2</v>
      </c>
      <c r="Q3" s="66">
        <f t="shared" si="0"/>
        <v>9.3966513067002017E-2</v>
      </c>
      <c r="R3" s="66">
        <f t="shared" si="0"/>
        <v>9.1340219234033487E-2</v>
      </c>
      <c r="S3" s="66">
        <f t="shared" si="0"/>
        <v>3.1729306110061375E-2</v>
      </c>
      <c r="T3" s="66">
        <f t="shared" si="0"/>
        <v>6.8184480553641305E-2</v>
      </c>
      <c r="U3" s="66">
        <f t="shared" si="0"/>
        <v>-7.3668933506588083E-2</v>
      </c>
      <c r="V3" s="66">
        <f t="shared" si="0"/>
        <v>-6.769137363390508E-2</v>
      </c>
      <c r="W3" s="66">
        <f t="shared" si="0"/>
        <v>4.0119260784150429E-2</v>
      </c>
      <c r="X3" s="66">
        <f t="shared" si="0"/>
        <v>1.6780703027027141E-3</v>
      </c>
      <c r="Y3" s="66">
        <f t="shared" si="0"/>
        <v>0.1437684986746387</v>
      </c>
      <c r="Z3" s="66">
        <f t="shared" si="0"/>
        <v>0.13086811985199981</v>
      </c>
      <c r="AA3" s="66">
        <f t="shared" si="0"/>
        <v>3.3136399025239689E-2</v>
      </c>
      <c r="AB3" s="66">
        <f t="shared" si="0"/>
        <v>5.3451872397697053E-2</v>
      </c>
      <c r="AC3" s="66">
        <f t="shared" si="0"/>
        <v>0.30988324049023547</v>
      </c>
      <c r="AD3" s="66">
        <f t="shared" si="0"/>
        <v>0.42615051862299674</v>
      </c>
      <c r="AE3" s="66">
        <f t="shared" si="0"/>
        <v>0.51586835601563541</v>
      </c>
      <c r="AF3" s="66">
        <f t="shared" si="0"/>
        <v>0.6228547032078291</v>
      </c>
      <c r="AG3" s="66">
        <f t="shared" si="0"/>
        <v>0.58805893671362786</v>
      </c>
      <c r="AH3" s="66">
        <f t="shared" si="0"/>
        <v>0.58260283823865522</v>
      </c>
      <c r="AI3" s="66">
        <f t="shared" si="0"/>
        <v>0.62383998492982717</v>
      </c>
      <c r="AJ3" s="66">
        <f t="shared" si="0"/>
        <v>0.40809980605634694</v>
      </c>
      <c r="AK3" s="66">
        <f t="shared" si="0"/>
        <v>0.26877831153439069</v>
      </c>
      <c r="AL3" s="66">
        <f t="shared" si="0"/>
        <v>0.14384995993880892</v>
      </c>
      <c r="AM3" s="66">
        <f t="shared" si="0"/>
        <v>-0.46043063016104824</v>
      </c>
      <c r="AN3" s="66">
        <f t="shared" si="0"/>
        <v>-0.53810361396978112</v>
      </c>
      <c r="AO3" s="66" t="e">
        <f t="shared" si="0"/>
        <v>#DIV/0!</v>
      </c>
      <c r="AP3" s="66" t="e">
        <f t="shared" si="0"/>
        <v>#DIV/0!</v>
      </c>
      <c r="AQ3" s="66" t="e">
        <f t="shared" si="0"/>
        <v>#DIV/0!</v>
      </c>
      <c r="AR3" s="66" t="e">
        <f t="shared" si="0"/>
        <v>#DIV/0!</v>
      </c>
      <c r="AS3" s="66" t="e">
        <f t="shared" si="0"/>
        <v>#DIV/0!</v>
      </c>
      <c r="AT3" s="66" t="e">
        <f t="shared" si="0"/>
        <v>#DIV/0!</v>
      </c>
      <c r="AU3" s="66" t="e">
        <f t="shared" si="0"/>
        <v>#DIV/0!</v>
      </c>
      <c r="AV3" s="66" t="e">
        <f t="shared" si="0"/>
        <v>#DIV/0!</v>
      </c>
      <c r="AW3" s="66" t="e">
        <f t="shared" si="0"/>
        <v>#DIV/0!</v>
      </c>
      <c r="AX3" s="66" t="e">
        <f t="shared" si="0"/>
        <v>#DIV/0!</v>
      </c>
      <c r="AY3" s="66" t="e">
        <f t="shared" si="0"/>
        <v>#DIV/0!</v>
      </c>
      <c r="AZ3" s="66" t="e">
        <f t="shared" si="0"/>
        <v>#DIV/0!</v>
      </c>
      <c r="BA3" s="66" t="e">
        <f t="shared" si="0"/>
        <v>#DIV/0!</v>
      </c>
      <c r="BB3" s="66" t="e">
        <f t="shared" si="0"/>
        <v>#DIV/0!</v>
      </c>
      <c r="BC3" s="66" t="e">
        <f t="shared" si="0"/>
        <v>#DIV/0!</v>
      </c>
      <c r="BD3" s="66" t="e">
        <f t="shared" si="0"/>
        <v>#DIV/0!</v>
      </c>
      <c r="BE3" s="66" t="e">
        <f t="shared" si="0"/>
        <v>#DIV/0!</v>
      </c>
      <c r="BF3" s="66" t="e">
        <f t="shared" si="0"/>
        <v>#DIV/0!</v>
      </c>
      <c r="BG3" s="66" t="e">
        <f t="shared" si="0"/>
        <v>#DIV/0!</v>
      </c>
      <c r="BH3" s="66" t="e">
        <f t="shared" si="0"/>
        <v>#DIV/0!</v>
      </c>
      <c r="BI3" s="66" t="e">
        <f t="shared" si="0"/>
        <v>#DIV/0!</v>
      </c>
      <c r="BJ3" s="66" t="e">
        <f t="shared" si="0"/>
        <v>#DIV/0!</v>
      </c>
      <c r="BK3" s="66" t="e">
        <f t="shared" si="0"/>
        <v>#DIV/0!</v>
      </c>
      <c r="BL3" s="66" t="e">
        <f t="shared" si="0"/>
        <v>#DIV/0!</v>
      </c>
      <c r="BM3" s="66" t="e">
        <f t="shared" si="0"/>
        <v>#DIV/0!</v>
      </c>
      <c r="BN3" s="66" t="e">
        <f t="shared" si="0"/>
        <v>#DIV/0!</v>
      </c>
      <c r="BO3" s="66" t="e">
        <f t="shared" si="0"/>
        <v>#DIV/0!</v>
      </c>
      <c r="BP3" s="66" t="e">
        <f t="shared" si="0"/>
        <v>#DIV/0!</v>
      </c>
      <c r="BQ3" s="66" t="e">
        <f t="shared" si="0"/>
        <v>#DIV/0!</v>
      </c>
      <c r="BR3" s="66" t="e">
        <f t="shared" ref="BR3:CJ3" si="1">(BR2-BV2)/BV2</f>
        <v>#DIV/0!</v>
      </c>
      <c r="BS3" s="66" t="e">
        <f t="shared" si="1"/>
        <v>#DIV/0!</v>
      </c>
      <c r="BT3" s="66" t="e">
        <f t="shared" si="1"/>
        <v>#DIV/0!</v>
      </c>
      <c r="BU3" s="66" t="e">
        <f t="shared" si="1"/>
        <v>#DIV/0!</v>
      </c>
      <c r="BV3" s="66" t="e">
        <f t="shared" si="1"/>
        <v>#DIV/0!</v>
      </c>
      <c r="BW3" s="66" t="e">
        <f t="shared" si="1"/>
        <v>#DIV/0!</v>
      </c>
      <c r="BX3" s="66" t="e">
        <f t="shared" si="1"/>
        <v>#DIV/0!</v>
      </c>
      <c r="BY3" s="66" t="e">
        <f t="shared" si="1"/>
        <v>#DIV/0!</v>
      </c>
      <c r="BZ3" s="66" t="e">
        <f t="shared" si="1"/>
        <v>#DIV/0!</v>
      </c>
      <c r="CA3" s="66" t="e">
        <f t="shared" si="1"/>
        <v>#DIV/0!</v>
      </c>
      <c r="CB3" s="66" t="e">
        <f t="shared" si="1"/>
        <v>#DIV/0!</v>
      </c>
      <c r="CC3" s="66" t="e">
        <f t="shared" si="1"/>
        <v>#DIV/0!</v>
      </c>
      <c r="CD3" s="66" t="e">
        <f t="shared" si="1"/>
        <v>#DIV/0!</v>
      </c>
      <c r="CE3" s="66" t="e">
        <f t="shared" si="1"/>
        <v>#DIV/0!</v>
      </c>
      <c r="CF3" s="66" t="e">
        <f t="shared" si="1"/>
        <v>#DIV/0!</v>
      </c>
      <c r="CG3" s="66" t="e">
        <f t="shared" si="1"/>
        <v>#DIV/0!</v>
      </c>
      <c r="CH3" s="66" t="e">
        <f t="shared" si="1"/>
        <v>#DIV/0!</v>
      </c>
      <c r="CI3" s="66" t="e">
        <f t="shared" si="1"/>
        <v>#DIV/0!</v>
      </c>
      <c r="CJ3" s="66" t="e">
        <f t="shared" si="1"/>
        <v>#DIV/0!</v>
      </c>
    </row>
    <row r="4" spans="1:89" s="26" customFormat="1" x14ac:dyDescent="0.25">
      <c r="A4" s="17" t="s">
        <v>352</v>
      </c>
      <c r="E4" s="26">
        <f>股权价值增加表!E5</f>
        <v>2635590846.21</v>
      </c>
      <c r="F4" s="26">
        <f>股权价值增加表!F5</f>
        <v>1773993047.99</v>
      </c>
      <c r="G4" s="26">
        <f>股权价值增加表!G5</f>
        <v>1090223199.48</v>
      </c>
      <c r="H4" s="26">
        <f>股权价值增加表!H5</f>
        <v>586351416.38999999</v>
      </c>
      <c r="I4" s="26">
        <f>股权价值增加表!I5</f>
        <v>1624554797.76</v>
      </c>
      <c r="J4" s="26">
        <f>股权价值增加表!J5</f>
        <v>1105706598.52</v>
      </c>
      <c r="K4" s="26">
        <f>股权价值增加表!K5</f>
        <v>676890906.00999999</v>
      </c>
      <c r="L4" s="26">
        <f>股权价值增加表!L5</f>
        <v>382181848.41000003</v>
      </c>
      <c r="M4" s="26">
        <f>股权价值增加表!M5</f>
        <v>1488077938.76</v>
      </c>
      <c r="N4" s="26">
        <f>股权价值增加表!N5</f>
        <v>1070685858.4</v>
      </c>
      <c r="O4" s="26">
        <f>股权价值增加表!O5</f>
        <v>646044667.88</v>
      </c>
      <c r="P4" s="26">
        <f>股权价值增加表!P5</f>
        <v>368353515.80000001</v>
      </c>
      <c r="Q4" s="26">
        <f>股权价值增加表!Q5</f>
        <v>1522590313.74</v>
      </c>
      <c r="R4" s="26">
        <f>股权价值增加表!R5</f>
        <v>1049502064.09</v>
      </c>
      <c r="S4" s="26">
        <f>股权价值增加表!S5</f>
        <v>614113615.22000003</v>
      </c>
      <c r="T4" s="26">
        <f>股权价值增加表!T5</f>
        <v>364584481.94</v>
      </c>
      <c r="U4" s="26">
        <f>股权价值增加表!U5</f>
        <v>1414058164.54</v>
      </c>
      <c r="V4" s="26">
        <f>股权价值增加表!V5</f>
        <v>987390552.35000002</v>
      </c>
      <c r="W4" s="26">
        <f>股权价值增加表!W5</f>
        <v>613641321.99000001</v>
      </c>
      <c r="X4" s="26">
        <f>股权价值增加表!X5</f>
        <v>354907772.18000001</v>
      </c>
      <c r="Y4" s="26">
        <f>股权价值增加表!Y5</f>
        <v>1574584274.8199999</v>
      </c>
      <c r="Z4" s="26">
        <f>股权价值增加表!Z5</f>
        <v>1075633938.99</v>
      </c>
      <c r="AA4" s="26">
        <f>股权价值增加表!AA5</f>
        <v>583133528.04999995</v>
      </c>
      <c r="AB4" s="26">
        <f>股权价值增加表!AB5</f>
        <v>327439565.81</v>
      </c>
      <c r="AC4" s="26">
        <f>股权价值增加表!AC5</f>
        <v>1377436916.3499999</v>
      </c>
      <c r="AD4" s="26">
        <f>股权价值增加表!AD5</f>
        <v>987289834.52999997</v>
      </c>
      <c r="AE4" s="26">
        <f>股权价值增加表!AE5</f>
        <v>593673817.29999995</v>
      </c>
      <c r="AF4" s="26">
        <f>股权价值增加表!AF5</f>
        <v>349417553.02999997</v>
      </c>
      <c r="AG4" s="26">
        <f>股权价值增加表!AG5</f>
        <v>1131280282.5999999</v>
      </c>
      <c r="AH4" s="26">
        <f>股权价值增加表!AH5</f>
        <v>712739208.15999997</v>
      </c>
      <c r="AI4" s="26">
        <f>股权价值增加表!AI5</f>
        <v>401643789.75</v>
      </c>
      <c r="AJ4" s="26">
        <f>股权价值增加表!AJ5</f>
        <v>217129319.08000001</v>
      </c>
      <c r="AK4" s="26">
        <f>股权价值增加表!AK5</f>
        <v>697436260.83000004</v>
      </c>
      <c r="AL4" s="26">
        <f>股权价值增加表!AL5</f>
        <v>441509914.73000002</v>
      </c>
      <c r="AM4" s="26">
        <f>股权价值增加表!AM5</f>
        <v>245422172.28</v>
      </c>
      <c r="AN4" s="26">
        <f>股权价值增加表!AN5</f>
        <v>160507029.72999999</v>
      </c>
      <c r="AO4" s="26">
        <f>股权价值增加表!AO5</f>
        <v>568121133.83000004</v>
      </c>
      <c r="AP4" s="26">
        <f>股权价值增加表!AP5</f>
        <v>392963008.33999997</v>
      </c>
      <c r="AQ4" s="26">
        <f>股权价值增加表!AQ5</f>
        <v>492404923.29000002</v>
      </c>
      <c r="AR4" s="26">
        <f>股权价值增加表!AR5</f>
        <v>410889235.10000002</v>
      </c>
      <c r="AS4" s="26">
        <f>股权价值增加表!AS5</f>
        <v>0</v>
      </c>
      <c r="AT4" s="26">
        <f>股权价值增加表!AT5</f>
        <v>0</v>
      </c>
      <c r="AU4" s="26">
        <f>股权价值增加表!AU5</f>
        <v>0</v>
      </c>
      <c r="AV4" s="26">
        <f>股权价值增加表!AV5</f>
        <v>0</v>
      </c>
      <c r="AW4" s="26">
        <f>股权价值增加表!AW5</f>
        <v>0</v>
      </c>
      <c r="AX4" s="26">
        <f>股权价值增加表!AX5</f>
        <v>0</v>
      </c>
      <c r="AY4" s="26">
        <f>股权价值增加表!AY5</f>
        <v>0</v>
      </c>
      <c r="AZ4" s="26">
        <f>股权价值增加表!AZ5</f>
        <v>0</v>
      </c>
      <c r="BA4" s="26">
        <f>股权价值增加表!BA5</f>
        <v>0</v>
      </c>
      <c r="BB4" s="26">
        <f>股权价值增加表!BB5</f>
        <v>0</v>
      </c>
      <c r="BC4" s="26">
        <f>股权价值增加表!BC5</f>
        <v>0</v>
      </c>
      <c r="BD4" s="26">
        <f>股权价值增加表!BD5</f>
        <v>0</v>
      </c>
      <c r="BE4" s="26">
        <f>股权价值增加表!BE5</f>
        <v>0</v>
      </c>
      <c r="BF4" s="26">
        <f>股权价值增加表!BF5</f>
        <v>0</v>
      </c>
      <c r="BG4" s="26">
        <f>股权价值增加表!BG5</f>
        <v>0</v>
      </c>
      <c r="BH4" s="26">
        <f>股权价值增加表!BH5</f>
        <v>0</v>
      </c>
      <c r="BI4" s="26">
        <f>股权价值增加表!BI5</f>
        <v>0</v>
      </c>
      <c r="BJ4" s="26">
        <f>股权价值增加表!BJ5</f>
        <v>0</v>
      </c>
      <c r="BK4" s="26">
        <f>股权价值增加表!BK5</f>
        <v>0</v>
      </c>
      <c r="BL4" s="26">
        <f>股权价值增加表!BL5</f>
        <v>0</v>
      </c>
      <c r="BM4" s="26">
        <f>股权价值增加表!BM5</f>
        <v>0</v>
      </c>
      <c r="BN4" s="26">
        <f>股权价值增加表!BN5</f>
        <v>0</v>
      </c>
      <c r="BO4" s="26">
        <f>股权价值增加表!BO5</f>
        <v>0</v>
      </c>
      <c r="BP4" s="26">
        <f>股权价值增加表!BP5</f>
        <v>0</v>
      </c>
      <c r="BQ4" s="26">
        <f>股权价值增加表!BQ5</f>
        <v>0</v>
      </c>
      <c r="BR4" s="26">
        <f>股权价值增加表!BR5</f>
        <v>0</v>
      </c>
      <c r="BS4" s="26">
        <f>股权价值增加表!BS5</f>
        <v>0</v>
      </c>
      <c r="BT4" s="26">
        <f>股权价值增加表!BT5</f>
        <v>0</v>
      </c>
      <c r="BU4" s="26">
        <f>股权价值增加表!BU5</f>
        <v>0</v>
      </c>
      <c r="BV4" s="26">
        <f>股权价值增加表!BV5</f>
        <v>0</v>
      </c>
      <c r="BW4" s="26">
        <f>股权价值增加表!BW5</f>
        <v>0</v>
      </c>
      <c r="BX4" s="26">
        <f>股权价值增加表!BX5</f>
        <v>0</v>
      </c>
      <c r="BY4" s="26">
        <f>股权价值增加表!BY5</f>
        <v>0</v>
      </c>
      <c r="BZ4" s="26">
        <f>股权价值增加表!BZ5</f>
        <v>0</v>
      </c>
      <c r="CA4" s="26">
        <f>股权价值增加表!CA5</f>
        <v>0</v>
      </c>
      <c r="CB4" s="26">
        <f>股权价值增加表!CB5</f>
        <v>0</v>
      </c>
      <c r="CC4" s="26">
        <f>股权价值增加表!CC5</f>
        <v>0</v>
      </c>
      <c r="CD4" s="26">
        <f>股权价值增加表!CD5</f>
        <v>0</v>
      </c>
      <c r="CE4" s="26">
        <f>股权价值增加表!CE5</f>
        <v>0</v>
      </c>
      <c r="CF4" s="26">
        <f>股权价值增加表!CF5</f>
        <v>0</v>
      </c>
      <c r="CG4" s="26">
        <f>股权价值增加表!CG5</f>
        <v>0</v>
      </c>
      <c r="CH4" s="26">
        <f>股权价值增加表!CH5</f>
        <v>0</v>
      </c>
      <c r="CI4" s="26">
        <f>股权价值增加表!CI5</f>
        <v>0</v>
      </c>
      <c r="CJ4" s="26">
        <f>股权价值增加表!CJ5</f>
        <v>0</v>
      </c>
    </row>
    <row r="5" spans="1:89" s="66" customFormat="1" x14ac:dyDescent="0.25">
      <c r="A5" s="46" t="s">
        <v>353</v>
      </c>
      <c r="E5" s="66">
        <f t="shared" ref="E5:AJ5" si="2">E4/E2</f>
        <v>0.5653528871352409</v>
      </c>
      <c r="F5" s="66">
        <f t="shared" si="2"/>
        <v>0.55739144893913339</v>
      </c>
      <c r="G5" s="66">
        <f t="shared" si="2"/>
        <v>0.55021876036517359</v>
      </c>
      <c r="H5" s="66">
        <f t="shared" si="2"/>
        <v>0.5543293296459012</v>
      </c>
      <c r="I5" s="66">
        <f t="shared" si="2"/>
        <v>0.5153690514512882</v>
      </c>
      <c r="J5" s="66">
        <f t="shared" si="2"/>
        <v>0.51302599101372737</v>
      </c>
      <c r="K5" s="66">
        <f t="shared" si="2"/>
        <v>0.50398281375591747</v>
      </c>
      <c r="L5" s="66">
        <f t="shared" si="2"/>
        <v>0.50099457577487272</v>
      </c>
      <c r="M5" s="66">
        <f t="shared" si="2"/>
        <v>0.51037887261951453</v>
      </c>
      <c r="N5" s="66">
        <f t="shared" si="2"/>
        <v>0.52328267994817634</v>
      </c>
      <c r="O5" s="66">
        <f t="shared" si="2"/>
        <v>0.51684561934859896</v>
      </c>
      <c r="P5" s="66">
        <f t="shared" si="2"/>
        <v>0.52219472729336913</v>
      </c>
      <c r="Q5" s="66">
        <f t="shared" si="2"/>
        <v>0.55138335536906347</v>
      </c>
      <c r="R5" s="66">
        <f t="shared" si="2"/>
        <v>0.55824758627303184</v>
      </c>
      <c r="S5" s="66">
        <f t="shared" si="2"/>
        <v>0.55212149717467662</v>
      </c>
      <c r="T5" s="66">
        <f t="shared" si="2"/>
        <v>0.55466259556738429</v>
      </c>
      <c r="U5" s="66">
        <f t="shared" si="2"/>
        <v>0.56019843494471799</v>
      </c>
      <c r="V5" s="66">
        <f t="shared" si="2"/>
        <v>0.57318218663979725</v>
      </c>
      <c r="W5" s="66">
        <f t="shared" si="2"/>
        <v>0.56920183908967714</v>
      </c>
      <c r="X5" s="66">
        <f t="shared" si="2"/>
        <v>0.57675646870017516</v>
      </c>
      <c r="Y5" s="66">
        <f t="shared" si="2"/>
        <v>0.57783887545193702</v>
      </c>
      <c r="Z5" s="66">
        <f t="shared" si="2"/>
        <v>0.58214063728295862</v>
      </c>
      <c r="AA5" s="66">
        <f t="shared" si="2"/>
        <v>0.56260404313310164</v>
      </c>
      <c r="AB5" s="66">
        <f t="shared" si="2"/>
        <v>0.53301113962577085</v>
      </c>
      <c r="AC5" s="66">
        <f t="shared" si="2"/>
        <v>0.57816353379762742</v>
      </c>
      <c r="AD5" s="66">
        <f t="shared" si="2"/>
        <v>0.6042547132260041</v>
      </c>
      <c r="AE5" s="66">
        <f t="shared" si="2"/>
        <v>0.59175289981959145</v>
      </c>
      <c r="AF5" s="66">
        <f t="shared" si="2"/>
        <v>0.59918998696941017</v>
      </c>
      <c r="AG5" s="66">
        <f t="shared" si="2"/>
        <v>0.62198767816860934</v>
      </c>
      <c r="AH5" s="66">
        <f t="shared" si="2"/>
        <v>0.62211603534912663</v>
      </c>
      <c r="AI5" s="66">
        <f t="shared" si="2"/>
        <v>0.60686912429028272</v>
      </c>
      <c r="AJ5" s="66">
        <f t="shared" si="2"/>
        <v>0.60425177962242116</v>
      </c>
      <c r="AK5" s="66">
        <f t="shared" ref="AK5:BP5" si="3">AK4/AK2</f>
        <v>0.60895149760450296</v>
      </c>
      <c r="AL5" s="66">
        <f t="shared" si="3"/>
        <v>0.60989229445182691</v>
      </c>
      <c r="AM5" s="66">
        <f t="shared" si="3"/>
        <v>0.60215876613235086</v>
      </c>
      <c r="AN5" s="66">
        <f t="shared" si="3"/>
        <v>0.62896570302045451</v>
      </c>
      <c r="AO5" s="66">
        <f t="shared" si="3"/>
        <v>0.6293683091627108</v>
      </c>
      <c r="AP5" s="66">
        <f t="shared" si="3"/>
        <v>0.62091680895742329</v>
      </c>
      <c r="AQ5" s="66">
        <f t="shared" si="3"/>
        <v>0.65187885135766099</v>
      </c>
      <c r="AR5" s="66">
        <f t="shared" si="3"/>
        <v>0.7437076246293759</v>
      </c>
      <c r="AS5" s="66" t="e">
        <f t="shared" si="3"/>
        <v>#DIV/0!</v>
      </c>
      <c r="AT5" s="66" t="e">
        <f t="shared" si="3"/>
        <v>#DIV/0!</v>
      </c>
      <c r="AU5" s="66" t="e">
        <f t="shared" si="3"/>
        <v>#DIV/0!</v>
      </c>
      <c r="AV5" s="66" t="e">
        <f t="shared" si="3"/>
        <v>#DIV/0!</v>
      </c>
      <c r="AW5" s="66" t="e">
        <f t="shared" si="3"/>
        <v>#DIV/0!</v>
      </c>
      <c r="AX5" s="66" t="e">
        <f t="shared" si="3"/>
        <v>#DIV/0!</v>
      </c>
      <c r="AY5" s="66" t="e">
        <f t="shared" si="3"/>
        <v>#DIV/0!</v>
      </c>
      <c r="AZ5" s="66" t="e">
        <f t="shared" si="3"/>
        <v>#DIV/0!</v>
      </c>
      <c r="BA5" s="66" t="e">
        <f t="shared" si="3"/>
        <v>#DIV/0!</v>
      </c>
      <c r="BB5" s="66" t="e">
        <f t="shared" si="3"/>
        <v>#DIV/0!</v>
      </c>
      <c r="BC5" s="66" t="e">
        <f t="shared" si="3"/>
        <v>#DIV/0!</v>
      </c>
      <c r="BD5" s="66" t="e">
        <f t="shared" si="3"/>
        <v>#DIV/0!</v>
      </c>
      <c r="BE5" s="66" t="e">
        <f t="shared" si="3"/>
        <v>#DIV/0!</v>
      </c>
      <c r="BF5" s="66" t="e">
        <f t="shared" si="3"/>
        <v>#DIV/0!</v>
      </c>
      <c r="BG5" s="66" t="e">
        <f t="shared" si="3"/>
        <v>#DIV/0!</v>
      </c>
      <c r="BH5" s="66" t="e">
        <f t="shared" si="3"/>
        <v>#DIV/0!</v>
      </c>
      <c r="BI5" s="66" t="e">
        <f t="shared" si="3"/>
        <v>#DIV/0!</v>
      </c>
      <c r="BJ5" s="66" t="e">
        <f t="shared" si="3"/>
        <v>#DIV/0!</v>
      </c>
      <c r="BK5" s="66" t="e">
        <f t="shared" si="3"/>
        <v>#DIV/0!</v>
      </c>
      <c r="BL5" s="66" t="e">
        <f t="shared" si="3"/>
        <v>#DIV/0!</v>
      </c>
      <c r="BM5" s="66" t="e">
        <f t="shared" si="3"/>
        <v>#DIV/0!</v>
      </c>
      <c r="BN5" s="66" t="e">
        <f t="shared" si="3"/>
        <v>#DIV/0!</v>
      </c>
      <c r="BO5" s="66" t="e">
        <f t="shared" si="3"/>
        <v>#DIV/0!</v>
      </c>
      <c r="BP5" s="66" t="e">
        <f t="shared" si="3"/>
        <v>#DIV/0!</v>
      </c>
      <c r="BQ5" s="66" t="e">
        <f t="shared" ref="BQ5:CK5" si="4">BQ4/BQ2</f>
        <v>#DIV/0!</v>
      </c>
      <c r="BR5" s="66" t="e">
        <f t="shared" si="4"/>
        <v>#DIV/0!</v>
      </c>
      <c r="BS5" s="66" t="e">
        <f t="shared" si="4"/>
        <v>#DIV/0!</v>
      </c>
      <c r="BT5" s="66" t="e">
        <f t="shared" si="4"/>
        <v>#DIV/0!</v>
      </c>
      <c r="BU5" s="66" t="e">
        <f t="shared" si="4"/>
        <v>#DIV/0!</v>
      </c>
      <c r="BV5" s="66" t="e">
        <f t="shared" si="4"/>
        <v>#DIV/0!</v>
      </c>
      <c r="BW5" s="66" t="e">
        <f t="shared" si="4"/>
        <v>#DIV/0!</v>
      </c>
      <c r="BX5" s="66" t="e">
        <f t="shared" si="4"/>
        <v>#DIV/0!</v>
      </c>
      <c r="BY5" s="66" t="e">
        <f t="shared" si="4"/>
        <v>#DIV/0!</v>
      </c>
      <c r="BZ5" s="66" t="e">
        <f t="shared" si="4"/>
        <v>#DIV/0!</v>
      </c>
      <c r="CA5" s="66" t="e">
        <f t="shared" si="4"/>
        <v>#DIV/0!</v>
      </c>
      <c r="CB5" s="66" t="e">
        <f t="shared" si="4"/>
        <v>#DIV/0!</v>
      </c>
      <c r="CC5" s="66" t="e">
        <f t="shared" si="4"/>
        <v>#DIV/0!</v>
      </c>
      <c r="CD5" s="66" t="e">
        <f t="shared" si="4"/>
        <v>#DIV/0!</v>
      </c>
      <c r="CE5" s="66" t="e">
        <f t="shared" si="4"/>
        <v>#DIV/0!</v>
      </c>
      <c r="CF5" s="66" t="e">
        <f t="shared" si="4"/>
        <v>#DIV/0!</v>
      </c>
      <c r="CG5" s="66" t="e">
        <f t="shared" si="4"/>
        <v>#DIV/0!</v>
      </c>
      <c r="CH5" s="66" t="e">
        <f t="shared" si="4"/>
        <v>#DIV/0!</v>
      </c>
      <c r="CI5" s="66" t="e">
        <f t="shared" si="4"/>
        <v>#DIV/0!</v>
      </c>
      <c r="CJ5" s="66" t="e">
        <f t="shared" si="4"/>
        <v>#DIV/0!</v>
      </c>
      <c r="CK5" s="66" t="e">
        <f t="shared" si="4"/>
        <v>#DIV/0!</v>
      </c>
    </row>
    <row r="6" spans="1:89" s="66" customFormat="1" x14ac:dyDescent="0.25">
      <c r="A6" s="46" t="s">
        <v>354</v>
      </c>
      <c r="E6" s="66">
        <f>(E4-I4)/I4</f>
        <v>0.62234653447458732</v>
      </c>
      <c r="F6" s="66">
        <f t="shared" ref="F6:BQ6" si="5">(F4-J4)/J4</f>
        <v>0.60439763167237004</v>
      </c>
      <c r="G6" s="66">
        <f t="shared" si="5"/>
        <v>0.6106335449333008</v>
      </c>
      <c r="H6" s="66">
        <f t="shared" si="5"/>
        <v>0.53422099670460887</v>
      </c>
      <c r="I6" s="66">
        <f t="shared" si="5"/>
        <v>9.1713515431674747E-2</v>
      </c>
      <c r="J6" s="66">
        <f t="shared" si="5"/>
        <v>3.2708697742897176E-2</v>
      </c>
      <c r="K6" s="66">
        <f t="shared" si="5"/>
        <v>4.7746293195518721E-2</v>
      </c>
      <c r="L6" s="66">
        <f t="shared" si="5"/>
        <v>3.7540927442940977E-2</v>
      </c>
      <c r="M6" s="66">
        <f t="shared" si="5"/>
        <v>-2.2666882002700964E-2</v>
      </c>
      <c r="N6" s="66">
        <f t="shared" si="5"/>
        <v>2.0184614242152961E-2</v>
      </c>
      <c r="O6" s="66">
        <f t="shared" si="5"/>
        <v>5.1995350483413381E-2</v>
      </c>
      <c r="P6" s="66">
        <f t="shared" si="5"/>
        <v>1.0337888875424729E-2</v>
      </c>
      <c r="Q6" s="66">
        <f t="shared" si="5"/>
        <v>7.6752252433198942E-2</v>
      </c>
      <c r="R6" s="66">
        <f t="shared" si="5"/>
        <v>6.2904705328781965E-2</v>
      </c>
      <c r="S6" s="66">
        <f t="shared" si="5"/>
        <v>7.6965682243888335E-4</v>
      </c>
      <c r="T6" s="66">
        <f t="shared" si="5"/>
        <v>2.7265420817812393E-2</v>
      </c>
      <c r="U6" s="66">
        <f t="shared" si="5"/>
        <v>-0.10194824935511988</v>
      </c>
      <c r="V6" s="66">
        <f t="shared" si="5"/>
        <v>-8.2038492317245831E-2</v>
      </c>
      <c r="W6" s="66">
        <f t="shared" si="5"/>
        <v>5.2316995117770368E-2</v>
      </c>
      <c r="X6" s="66">
        <f t="shared" si="5"/>
        <v>8.3887865848010251E-2</v>
      </c>
      <c r="Y6" s="66">
        <f t="shared" si="5"/>
        <v>0.14312623404374175</v>
      </c>
      <c r="Z6" s="66">
        <f t="shared" si="5"/>
        <v>8.9481428219157458E-2</v>
      </c>
      <c r="AA6" s="66">
        <f t="shared" si="5"/>
        <v>-1.7754344124416215E-2</v>
      </c>
      <c r="AB6" s="66">
        <f t="shared" si="5"/>
        <v>-6.2898921446321851E-2</v>
      </c>
      <c r="AC6" s="66">
        <f t="shared" si="5"/>
        <v>0.21759119957811243</v>
      </c>
      <c r="AD6" s="66">
        <f t="shared" si="5"/>
        <v>0.3852048873230603</v>
      </c>
      <c r="AE6" s="66">
        <f t="shared" si="5"/>
        <v>0.47811028690254997</v>
      </c>
      <c r="AF6" s="66">
        <f t="shared" si="5"/>
        <v>0.60926011517246614</v>
      </c>
      <c r="AG6" s="66">
        <f t="shared" si="5"/>
        <v>0.62205544239081267</v>
      </c>
      <c r="AH6" s="66">
        <f t="shared" si="5"/>
        <v>0.61432208967689184</v>
      </c>
      <c r="AI6" s="66">
        <f t="shared" si="5"/>
        <v>0.636542395573649</v>
      </c>
      <c r="AJ6" s="66">
        <f t="shared" si="5"/>
        <v>0.35277139851910727</v>
      </c>
      <c r="AK6" s="66">
        <f t="shared" si="5"/>
        <v>0.22761893423717486</v>
      </c>
      <c r="AL6" s="66">
        <f t="shared" si="5"/>
        <v>0.12354065232520875</v>
      </c>
      <c r="AM6" s="66">
        <f t="shared" si="5"/>
        <v>-0.50158464980363415</v>
      </c>
      <c r="AN6" s="66">
        <f t="shared" si="5"/>
        <v>-0.6093666710666279</v>
      </c>
      <c r="AO6" s="66" t="e">
        <f t="shared" si="5"/>
        <v>#DIV/0!</v>
      </c>
      <c r="AP6" s="66" t="e">
        <f t="shared" si="5"/>
        <v>#DIV/0!</v>
      </c>
      <c r="AQ6" s="66" t="e">
        <f t="shared" si="5"/>
        <v>#DIV/0!</v>
      </c>
      <c r="AR6" s="66" t="e">
        <f t="shared" si="5"/>
        <v>#DIV/0!</v>
      </c>
      <c r="AS6" s="66" t="e">
        <f t="shared" si="5"/>
        <v>#DIV/0!</v>
      </c>
      <c r="AT6" s="66" t="e">
        <f t="shared" si="5"/>
        <v>#DIV/0!</v>
      </c>
      <c r="AU6" s="66" t="e">
        <f t="shared" si="5"/>
        <v>#DIV/0!</v>
      </c>
      <c r="AV6" s="66" t="e">
        <f t="shared" si="5"/>
        <v>#DIV/0!</v>
      </c>
      <c r="AW6" s="66" t="e">
        <f t="shared" si="5"/>
        <v>#DIV/0!</v>
      </c>
      <c r="AX6" s="66" t="e">
        <f t="shared" si="5"/>
        <v>#DIV/0!</v>
      </c>
      <c r="AY6" s="66" t="e">
        <f t="shared" si="5"/>
        <v>#DIV/0!</v>
      </c>
      <c r="AZ6" s="66" t="e">
        <f t="shared" si="5"/>
        <v>#DIV/0!</v>
      </c>
      <c r="BA6" s="66" t="e">
        <f t="shared" si="5"/>
        <v>#DIV/0!</v>
      </c>
      <c r="BB6" s="66" t="e">
        <f t="shared" si="5"/>
        <v>#DIV/0!</v>
      </c>
      <c r="BC6" s="66" t="e">
        <f t="shared" si="5"/>
        <v>#DIV/0!</v>
      </c>
      <c r="BD6" s="66" t="e">
        <f t="shared" si="5"/>
        <v>#DIV/0!</v>
      </c>
      <c r="BE6" s="66" t="e">
        <f t="shared" si="5"/>
        <v>#DIV/0!</v>
      </c>
      <c r="BF6" s="66" t="e">
        <f t="shared" si="5"/>
        <v>#DIV/0!</v>
      </c>
      <c r="BG6" s="66" t="e">
        <f t="shared" si="5"/>
        <v>#DIV/0!</v>
      </c>
      <c r="BH6" s="66" t="e">
        <f t="shared" si="5"/>
        <v>#DIV/0!</v>
      </c>
      <c r="BI6" s="66" t="e">
        <f t="shared" si="5"/>
        <v>#DIV/0!</v>
      </c>
      <c r="BJ6" s="66" t="e">
        <f t="shared" si="5"/>
        <v>#DIV/0!</v>
      </c>
      <c r="BK6" s="66" t="e">
        <f t="shared" si="5"/>
        <v>#DIV/0!</v>
      </c>
      <c r="BL6" s="66" t="e">
        <f t="shared" si="5"/>
        <v>#DIV/0!</v>
      </c>
      <c r="BM6" s="66" t="e">
        <f t="shared" si="5"/>
        <v>#DIV/0!</v>
      </c>
      <c r="BN6" s="66" t="e">
        <f t="shared" si="5"/>
        <v>#DIV/0!</v>
      </c>
      <c r="BO6" s="66" t="e">
        <f t="shared" si="5"/>
        <v>#DIV/0!</v>
      </c>
      <c r="BP6" s="66" t="e">
        <f t="shared" si="5"/>
        <v>#DIV/0!</v>
      </c>
      <c r="BQ6" s="66" t="e">
        <f t="shared" si="5"/>
        <v>#DIV/0!</v>
      </c>
      <c r="BR6" s="66" t="e">
        <f t="shared" ref="BR6:CJ6" si="6">(BR4-BV4)/BV4</f>
        <v>#DIV/0!</v>
      </c>
      <c r="BS6" s="66" t="e">
        <f t="shared" si="6"/>
        <v>#DIV/0!</v>
      </c>
      <c r="BT6" s="66" t="e">
        <f t="shared" si="6"/>
        <v>#DIV/0!</v>
      </c>
      <c r="BU6" s="66" t="e">
        <f t="shared" si="6"/>
        <v>#DIV/0!</v>
      </c>
      <c r="BV6" s="66" t="e">
        <f t="shared" si="6"/>
        <v>#DIV/0!</v>
      </c>
      <c r="BW6" s="66" t="e">
        <f t="shared" si="6"/>
        <v>#DIV/0!</v>
      </c>
      <c r="BX6" s="66" t="e">
        <f t="shared" si="6"/>
        <v>#DIV/0!</v>
      </c>
      <c r="BY6" s="66" t="e">
        <f t="shared" si="6"/>
        <v>#DIV/0!</v>
      </c>
      <c r="BZ6" s="66" t="e">
        <f t="shared" si="6"/>
        <v>#DIV/0!</v>
      </c>
      <c r="CA6" s="66" t="e">
        <f t="shared" si="6"/>
        <v>#DIV/0!</v>
      </c>
      <c r="CB6" s="66" t="e">
        <f t="shared" si="6"/>
        <v>#DIV/0!</v>
      </c>
      <c r="CC6" s="66" t="e">
        <f t="shared" si="6"/>
        <v>#DIV/0!</v>
      </c>
      <c r="CD6" s="66" t="e">
        <f t="shared" si="6"/>
        <v>#DIV/0!</v>
      </c>
      <c r="CE6" s="66" t="e">
        <f t="shared" si="6"/>
        <v>#DIV/0!</v>
      </c>
      <c r="CF6" s="66" t="e">
        <f t="shared" si="6"/>
        <v>#DIV/0!</v>
      </c>
      <c r="CG6" s="66" t="e">
        <f t="shared" si="6"/>
        <v>#DIV/0!</v>
      </c>
      <c r="CH6" s="66" t="e">
        <f t="shared" si="6"/>
        <v>#DIV/0!</v>
      </c>
      <c r="CI6" s="66" t="e">
        <f t="shared" si="6"/>
        <v>#DIV/0!</v>
      </c>
      <c r="CJ6" s="66" t="e">
        <f t="shared" si="6"/>
        <v>#DIV/0!</v>
      </c>
    </row>
    <row r="7" spans="1:89" s="27" customFormat="1" x14ac:dyDescent="0.25">
      <c r="A7" s="128" t="s">
        <v>355</v>
      </c>
      <c r="E7" s="27">
        <f>股权价值增加表!E6</f>
        <v>2026260019.3000002</v>
      </c>
      <c r="F7" s="27">
        <f>股权价值增加表!F6</f>
        <v>1408676961.3300002</v>
      </c>
      <c r="G7" s="27">
        <f>股权价值增加表!G6</f>
        <v>891212691.13999987</v>
      </c>
      <c r="H7" s="27">
        <f>股权价值增加表!H6</f>
        <v>471415844.02999997</v>
      </c>
      <c r="I7" s="27">
        <f>股权价值增加表!I6</f>
        <v>1527661644.3900001</v>
      </c>
      <c r="J7" s="27">
        <f>股权价值增加表!J6</f>
        <v>1049557691.96</v>
      </c>
      <c r="K7" s="27">
        <f>股权价值增加表!K6</f>
        <v>666192404.6400001</v>
      </c>
      <c r="L7" s="27">
        <f>股权价值增加表!L6</f>
        <v>380664431.55000001</v>
      </c>
      <c r="M7" s="27">
        <f>股权价值增加表!M6</f>
        <v>1427555953.22</v>
      </c>
      <c r="N7" s="27">
        <f>股权价值增加表!N6</f>
        <v>975408727.62</v>
      </c>
      <c r="O7" s="27">
        <f>股权价值增加表!O6</f>
        <v>603931424.96999991</v>
      </c>
      <c r="P7" s="27">
        <f>股权价值增加表!P6</f>
        <v>337041419.35999995</v>
      </c>
      <c r="Q7" s="27">
        <f>股权价值增加表!Q6</f>
        <v>1238810259.7700002</v>
      </c>
      <c r="R7" s="27">
        <f>股权价值增加表!R6</f>
        <v>830491848.82000005</v>
      </c>
      <c r="S7" s="27">
        <f>股权价值增加表!S6</f>
        <v>498166233.25999999</v>
      </c>
      <c r="T7" s="27">
        <f>股权价值增加表!T6</f>
        <v>292724096.02000004</v>
      </c>
      <c r="U7" s="27">
        <f>股权价值增加表!U6</f>
        <v>1110151251.8600001</v>
      </c>
      <c r="V7" s="27">
        <f>股权价值增加表!V6</f>
        <v>735256409.40999997</v>
      </c>
      <c r="W7" s="27">
        <f>股权价值增加表!W6</f>
        <v>464432007.79999995</v>
      </c>
      <c r="X7" s="27">
        <f>股权价值增加表!X6</f>
        <v>260443405.37999994</v>
      </c>
      <c r="Y7" s="27">
        <f>股权价值增加表!Y6</f>
        <v>1150369586.3900001</v>
      </c>
      <c r="Z7" s="27">
        <f>股权价值增加表!Z6</f>
        <v>772087848.67000008</v>
      </c>
      <c r="AA7" s="27">
        <f>股权价值增加表!AA6</f>
        <v>453356584.61000001</v>
      </c>
      <c r="AB7" s="27">
        <f>股权价值增加表!AB6</f>
        <v>286880739.08999997</v>
      </c>
      <c r="AC7" s="27">
        <f>股权价值增加表!AC6</f>
        <v>1004997872.1300001</v>
      </c>
      <c r="AD7" s="27">
        <f>股权价值增加表!AD6</f>
        <v>646606952.56999993</v>
      </c>
      <c r="AE7" s="27">
        <f>股权价值增加表!AE6</f>
        <v>409572330.68000007</v>
      </c>
      <c r="AF7" s="27">
        <f>股权价值增加表!AF6</f>
        <v>233732300.32000005</v>
      </c>
      <c r="AG7" s="27">
        <f>股权价值增加表!AG6</f>
        <v>687534337.5400002</v>
      </c>
      <c r="AH7" s="27">
        <f>股权价值增加表!AH6</f>
        <v>432930036.26000011</v>
      </c>
      <c r="AI7" s="27">
        <f>股权价值增加表!AI6</f>
        <v>260185546.54999995</v>
      </c>
      <c r="AJ7" s="27">
        <f>股权价值增加表!AJ6</f>
        <v>142206518.06999996</v>
      </c>
      <c r="AK7" s="27">
        <f>股权价值增加表!AK6</f>
        <v>447870489.49999988</v>
      </c>
      <c r="AL7" s="27">
        <f>股权价值增加表!AL6</f>
        <v>282404649.76999998</v>
      </c>
      <c r="AM7" s="27">
        <f>股权价值增加表!AM6</f>
        <v>162148365.72999999</v>
      </c>
      <c r="AN7" s="27">
        <f>股权价值增加表!AN6</f>
        <v>94684992.600000024</v>
      </c>
      <c r="AO7" s="27">
        <f>股权价值增加表!AO6</f>
        <v>334563551.04999995</v>
      </c>
      <c r="AP7" s="27">
        <f>股权价值增加表!AP6</f>
        <v>239912447.23000008</v>
      </c>
      <c r="AQ7" s="27">
        <f>股权价值增加表!AQ6</f>
        <v>262957706.22999996</v>
      </c>
      <c r="AR7" s="27">
        <f>股权价值增加表!AR6</f>
        <v>141598357.45999992</v>
      </c>
      <c r="AS7" s="27">
        <f>股权价值增加表!AS6</f>
        <v>0</v>
      </c>
      <c r="AT7" s="27">
        <f>股权价值增加表!AT6</f>
        <v>0</v>
      </c>
      <c r="AU7" s="27">
        <f>股权价值增加表!AU6</f>
        <v>0</v>
      </c>
      <c r="AV7" s="27">
        <f>股权价值增加表!AV6</f>
        <v>0</v>
      </c>
      <c r="AW7" s="27">
        <f>股权价值增加表!AW6</f>
        <v>0</v>
      </c>
      <c r="AX7" s="27">
        <f>股权价值增加表!AX6</f>
        <v>0</v>
      </c>
      <c r="AY7" s="27">
        <f>股权价值增加表!AY6</f>
        <v>0</v>
      </c>
      <c r="AZ7" s="27">
        <f>股权价值增加表!AZ6</f>
        <v>0</v>
      </c>
      <c r="BA7" s="27">
        <f>股权价值增加表!BA6</f>
        <v>0</v>
      </c>
      <c r="BB7" s="27">
        <f>股权价值增加表!BB6</f>
        <v>0</v>
      </c>
      <c r="BC7" s="27">
        <f>股权价值增加表!BC6</f>
        <v>0</v>
      </c>
      <c r="BD7" s="27">
        <f>股权价值增加表!BD6</f>
        <v>0</v>
      </c>
      <c r="BE7" s="27">
        <f>股权价值增加表!BE6</f>
        <v>0</v>
      </c>
      <c r="BF7" s="27">
        <f>股权价值增加表!BF6</f>
        <v>0</v>
      </c>
      <c r="BG7" s="27">
        <f>股权价值增加表!BG6</f>
        <v>0</v>
      </c>
      <c r="BH7" s="27">
        <f>股权价值增加表!BH6</f>
        <v>0</v>
      </c>
      <c r="BI7" s="27">
        <f>股权价值增加表!BI6</f>
        <v>0</v>
      </c>
      <c r="BJ7" s="27">
        <f>股权价值增加表!BJ6</f>
        <v>0</v>
      </c>
      <c r="BK7" s="27">
        <f>股权价值增加表!BK6</f>
        <v>0</v>
      </c>
      <c r="BL7" s="27">
        <f>股权价值增加表!BL6</f>
        <v>0</v>
      </c>
      <c r="BM7" s="27">
        <f>股权价值增加表!BM6</f>
        <v>0</v>
      </c>
      <c r="BN7" s="27">
        <f>股权价值增加表!BN6</f>
        <v>0</v>
      </c>
      <c r="BO7" s="27">
        <f>股权价值增加表!BO6</f>
        <v>0</v>
      </c>
      <c r="BP7" s="27">
        <f>股权价值增加表!BP6</f>
        <v>0</v>
      </c>
      <c r="BQ7" s="27">
        <f>股权价值增加表!BQ6</f>
        <v>0</v>
      </c>
      <c r="BR7" s="27">
        <f>股权价值增加表!BR6</f>
        <v>0</v>
      </c>
      <c r="BS7" s="27">
        <f>股权价值增加表!BS6</f>
        <v>0</v>
      </c>
      <c r="BT7" s="27">
        <f>股权价值增加表!BT6</f>
        <v>0</v>
      </c>
      <c r="BU7" s="27">
        <f>股权价值增加表!BU6</f>
        <v>0</v>
      </c>
      <c r="BV7" s="27">
        <f>股权价值增加表!BV6</f>
        <v>0</v>
      </c>
      <c r="BW7" s="27">
        <f>股权价值增加表!BW6</f>
        <v>0</v>
      </c>
      <c r="BX7" s="27">
        <f>股权价值增加表!BX6</f>
        <v>0</v>
      </c>
      <c r="BY7" s="27">
        <f>股权价值增加表!BY6</f>
        <v>0</v>
      </c>
      <c r="BZ7" s="27">
        <f>股权价值增加表!BZ6</f>
        <v>0</v>
      </c>
      <c r="CA7" s="27">
        <f>股权价值增加表!CA6</f>
        <v>0</v>
      </c>
      <c r="CB7" s="27">
        <f>股权价值增加表!CB6</f>
        <v>0</v>
      </c>
      <c r="CC7" s="27">
        <f>股权价值增加表!CC6</f>
        <v>0</v>
      </c>
      <c r="CD7" s="27">
        <f>股权价值增加表!CD6</f>
        <v>0</v>
      </c>
      <c r="CE7" s="27">
        <f>股权价值增加表!CE6</f>
        <v>0</v>
      </c>
      <c r="CF7" s="27">
        <f>股权价值增加表!CF6</f>
        <v>0</v>
      </c>
      <c r="CG7" s="27">
        <f>股权价值增加表!CG6</f>
        <v>0</v>
      </c>
      <c r="CH7" s="27">
        <f>股权价值增加表!CH6</f>
        <v>0</v>
      </c>
      <c r="CI7" s="27">
        <f>股权价值增加表!CI6</f>
        <v>0</v>
      </c>
      <c r="CJ7" s="27">
        <f>股权价值增加表!CJ6</f>
        <v>0</v>
      </c>
      <c r="CK7" s="27">
        <f>股权价值增加表!CK6</f>
        <v>0</v>
      </c>
    </row>
    <row r="8" spans="1:89" s="66" customFormat="1" x14ac:dyDescent="0.25">
      <c r="A8" s="46" t="s">
        <v>356</v>
      </c>
      <c r="E8" s="66">
        <f>E7/E2</f>
        <v>0.43464711286475916</v>
      </c>
      <c r="F8" s="66">
        <f t="shared" ref="F8:BQ8" si="7">F7/F2</f>
        <v>0.44260855106086661</v>
      </c>
      <c r="G8" s="66">
        <f t="shared" si="7"/>
        <v>0.44978123963482641</v>
      </c>
      <c r="H8" s="66">
        <f t="shared" si="7"/>
        <v>0.4456706703540988</v>
      </c>
      <c r="I8" s="66">
        <f t="shared" si="7"/>
        <v>0.4846309485487118</v>
      </c>
      <c r="J8" s="66">
        <f t="shared" si="7"/>
        <v>0.48697400898627263</v>
      </c>
      <c r="K8" s="66">
        <f t="shared" si="7"/>
        <v>0.49601718624408259</v>
      </c>
      <c r="L8" s="66">
        <f t="shared" si="7"/>
        <v>0.49900542422512728</v>
      </c>
      <c r="M8" s="66">
        <f t="shared" si="7"/>
        <v>0.48962112738048541</v>
      </c>
      <c r="N8" s="66">
        <f t="shared" si="7"/>
        <v>0.47671732005182366</v>
      </c>
      <c r="O8" s="66">
        <f t="shared" si="7"/>
        <v>0.48315438065140109</v>
      </c>
      <c r="P8" s="66">
        <f t="shared" si="7"/>
        <v>0.47780527270663081</v>
      </c>
      <c r="Q8" s="66">
        <f t="shared" si="7"/>
        <v>0.44861664463093659</v>
      </c>
      <c r="R8" s="66">
        <f t="shared" si="7"/>
        <v>0.44175241372696811</v>
      </c>
      <c r="S8" s="66">
        <f t="shared" si="7"/>
        <v>0.44787850282532343</v>
      </c>
      <c r="T8" s="66">
        <f t="shared" si="7"/>
        <v>0.44533740443261571</v>
      </c>
      <c r="U8" s="66">
        <f t="shared" si="7"/>
        <v>0.43980156505528201</v>
      </c>
      <c r="V8" s="66">
        <f t="shared" si="7"/>
        <v>0.42681781336020275</v>
      </c>
      <c r="W8" s="66">
        <f t="shared" si="7"/>
        <v>0.43079816091032286</v>
      </c>
      <c r="X8" s="66">
        <f t="shared" si="7"/>
        <v>0.42324353129982489</v>
      </c>
      <c r="Y8" s="66">
        <f t="shared" si="7"/>
        <v>0.42216112454806304</v>
      </c>
      <c r="Z8" s="66">
        <f t="shared" si="7"/>
        <v>0.41785936271704138</v>
      </c>
      <c r="AA8" s="66">
        <f t="shared" si="7"/>
        <v>0.43739595686689842</v>
      </c>
      <c r="AB8" s="66">
        <f t="shared" si="7"/>
        <v>0.46698886037422915</v>
      </c>
      <c r="AC8" s="66">
        <f t="shared" si="7"/>
        <v>0.42183646620237253</v>
      </c>
      <c r="AD8" s="66">
        <f t="shared" si="7"/>
        <v>0.39574528677399584</v>
      </c>
      <c r="AE8" s="66">
        <f t="shared" si="7"/>
        <v>0.40824710018040855</v>
      </c>
      <c r="AF8" s="66">
        <f t="shared" si="7"/>
        <v>0.40081001303058983</v>
      </c>
      <c r="AG8" s="66">
        <f t="shared" si="7"/>
        <v>0.37801232183139061</v>
      </c>
      <c r="AH8" s="66">
        <f t="shared" si="7"/>
        <v>0.37788396465087337</v>
      </c>
      <c r="AI8" s="66">
        <f t="shared" si="7"/>
        <v>0.39313087570971728</v>
      </c>
      <c r="AJ8" s="66">
        <f t="shared" si="7"/>
        <v>0.39574822037757884</v>
      </c>
      <c r="AK8" s="66">
        <f t="shared" si="7"/>
        <v>0.39104850239549704</v>
      </c>
      <c r="AL8" s="66">
        <f t="shared" si="7"/>
        <v>0.39010770554817314</v>
      </c>
      <c r="AM8" s="66">
        <f t="shared" si="7"/>
        <v>0.39784123386764914</v>
      </c>
      <c r="AN8" s="66">
        <f t="shared" si="7"/>
        <v>0.37103429697954549</v>
      </c>
      <c r="AO8" s="66">
        <f t="shared" si="7"/>
        <v>0.37063169083728914</v>
      </c>
      <c r="AP8" s="66">
        <f t="shared" si="7"/>
        <v>0.37908319104257671</v>
      </c>
      <c r="AQ8" s="66">
        <f t="shared" si="7"/>
        <v>0.34812114864233901</v>
      </c>
      <c r="AR8" s="66">
        <f t="shared" si="7"/>
        <v>0.2562923753706241</v>
      </c>
      <c r="AS8" s="66" t="e">
        <f t="shared" si="7"/>
        <v>#DIV/0!</v>
      </c>
      <c r="AT8" s="66" t="e">
        <f t="shared" si="7"/>
        <v>#DIV/0!</v>
      </c>
      <c r="AU8" s="66" t="e">
        <f t="shared" si="7"/>
        <v>#DIV/0!</v>
      </c>
      <c r="AV8" s="66" t="e">
        <f t="shared" si="7"/>
        <v>#DIV/0!</v>
      </c>
      <c r="AW8" s="66" t="e">
        <f t="shared" si="7"/>
        <v>#DIV/0!</v>
      </c>
      <c r="AX8" s="66" t="e">
        <f t="shared" si="7"/>
        <v>#DIV/0!</v>
      </c>
      <c r="AY8" s="66" t="e">
        <f t="shared" si="7"/>
        <v>#DIV/0!</v>
      </c>
      <c r="AZ8" s="66" t="e">
        <f t="shared" si="7"/>
        <v>#DIV/0!</v>
      </c>
      <c r="BA8" s="66" t="e">
        <f t="shared" si="7"/>
        <v>#DIV/0!</v>
      </c>
      <c r="BB8" s="66" t="e">
        <f t="shared" si="7"/>
        <v>#DIV/0!</v>
      </c>
      <c r="BC8" s="66" t="e">
        <f t="shared" si="7"/>
        <v>#DIV/0!</v>
      </c>
      <c r="BD8" s="66" t="e">
        <f t="shared" si="7"/>
        <v>#DIV/0!</v>
      </c>
      <c r="BE8" s="66" t="e">
        <f t="shared" si="7"/>
        <v>#DIV/0!</v>
      </c>
      <c r="BF8" s="66" t="e">
        <f t="shared" si="7"/>
        <v>#DIV/0!</v>
      </c>
      <c r="BG8" s="66" t="e">
        <f t="shared" si="7"/>
        <v>#DIV/0!</v>
      </c>
      <c r="BH8" s="66" t="e">
        <f t="shared" si="7"/>
        <v>#DIV/0!</v>
      </c>
      <c r="BI8" s="66" t="e">
        <f t="shared" si="7"/>
        <v>#DIV/0!</v>
      </c>
      <c r="BJ8" s="66" t="e">
        <f t="shared" si="7"/>
        <v>#DIV/0!</v>
      </c>
      <c r="BK8" s="66" t="e">
        <f t="shared" si="7"/>
        <v>#DIV/0!</v>
      </c>
      <c r="BL8" s="66" t="e">
        <f t="shared" si="7"/>
        <v>#DIV/0!</v>
      </c>
      <c r="BM8" s="66" t="e">
        <f t="shared" si="7"/>
        <v>#DIV/0!</v>
      </c>
      <c r="BN8" s="66" t="e">
        <f t="shared" si="7"/>
        <v>#DIV/0!</v>
      </c>
      <c r="BO8" s="66" t="e">
        <f t="shared" si="7"/>
        <v>#DIV/0!</v>
      </c>
      <c r="BP8" s="66" t="e">
        <f t="shared" si="7"/>
        <v>#DIV/0!</v>
      </c>
      <c r="BQ8" s="66" t="e">
        <f t="shared" si="7"/>
        <v>#DIV/0!</v>
      </c>
      <c r="BR8" s="66" t="e">
        <f t="shared" ref="BR8:CJ8" si="8">BR7/BR2</f>
        <v>#DIV/0!</v>
      </c>
      <c r="BS8" s="66" t="e">
        <f t="shared" si="8"/>
        <v>#DIV/0!</v>
      </c>
      <c r="BT8" s="66" t="e">
        <f t="shared" si="8"/>
        <v>#DIV/0!</v>
      </c>
      <c r="BU8" s="66" t="e">
        <f t="shared" si="8"/>
        <v>#DIV/0!</v>
      </c>
      <c r="BV8" s="66" t="e">
        <f t="shared" si="8"/>
        <v>#DIV/0!</v>
      </c>
      <c r="BW8" s="66" t="e">
        <f t="shared" si="8"/>
        <v>#DIV/0!</v>
      </c>
      <c r="BX8" s="66" t="e">
        <f t="shared" si="8"/>
        <v>#DIV/0!</v>
      </c>
      <c r="BY8" s="66" t="e">
        <f t="shared" si="8"/>
        <v>#DIV/0!</v>
      </c>
      <c r="BZ8" s="66" t="e">
        <f t="shared" si="8"/>
        <v>#DIV/0!</v>
      </c>
      <c r="CA8" s="66" t="e">
        <f t="shared" si="8"/>
        <v>#DIV/0!</v>
      </c>
      <c r="CB8" s="66" t="e">
        <f t="shared" si="8"/>
        <v>#DIV/0!</v>
      </c>
      <c r="CC8" s="66" t="e">
        <f t="shared" si="8"/>
        <v>#DIV/0!</v>
      </c>
      <c r="CD8" s="66" t="e">
        <f t="shared" si="8"/>
        <v>#DIV/0!</v>
      </c>
      <c r="CE8" s="66" t="e">
        <f t="shared" si="8"/>
        <v>#DIV/0!</v>
      </c>
      <c r="CF8" s="66" t="e">
        <f t="shared" si="8"/>
        <v>#DIV/0!</v>
      </c>
      <c r="CG8" s="66" t="e">
        <f t="shared" si="8"/>
        <v>#DIV/0!</v>
      </c>
      <c r="CH8" s="66" t="e">
        <f t="shared" si="8"/>
        <v>#DIV/0!</v>
      </c>
      <c r="CI8" s="66" t="e">
        <f t="shared" si="8"/>
        <v>#DIV/0!</v>
      </c>
      <c r="CJ8" s="66" t="e">
        <f t="shared" si="8"/>
        <v>#DIV/0!</v>
      </c>
    </row>
    <row r="9" spans="1:89" s="66" customFormat="1" x14ac:dyDescent="0.25">
      <c r="A9" s="46" t="s">
        <v>357</v>
      </c>
      <c r="E9" s="66">
        <f>(E7-I7)/I7</f>
        <v>0.32638010958839769</v>
      </c>
      <c r="F9" s="66">
        <f t="shared" ref="F9:BQ9" si="9">(F7-J7)/J7</f>
        <v>0.34216248627491991</v>
      </c>
      <c r="G9" s="66">
        <f t="shared" si="9"/>
        <v>0.33777071748753601</v>
      </c>
      <c r="H9" s="66">
        <f t="shared" si="9"/>
        <v>0.23840265850548695</v>
      </c>
      <c r="I9" s="66">
        <f t="shared" si="9"/>
        <v>7.012383013373405E-2</v>
      </c>
      <c r="J9" s="66">
        <f t="shared" si="9"/>
        <v>7.6018352348480325E-2</v>
      </c>
      <c r="K9" s="66">
        <f t="shared" si="9"/>
        <v>0.10309279679078298</v>
      </c>
      <c r="L9" s="66">
        <f t="shared" si="9"/>
        <v>0.12942923238584378</v>
      </c>
      <c r="M9" s="66">
        <f t="shared" si="9"/>
        <v>0.15236045388019526</v>
      </c>
      <c r="N9" s="66">
        <f t="shared" si="9"/>
        <v>0.17449524520427784</v>
      </c>
      <c r="O9" s="66">
        <f t="shared" si="9"/>
        <v>0.21230903390997111</v>
      </c>
      <c r="P9" s="66">
        <f t="shared" si="9"/>
        <v>0.15139622580633738</v>
      </c>
      <c r="Q9" s="66">
        <f t="shared" si="9"/>
        <v>0.11589322418403679</v>
      </c>
      <c r="R9" s="66">
        <f t="shared" si="9"/>
        <v>0.1295268401487597</v>
      </c>
      <c r="S9" s="66">
        <f t="shared" si="9"/>
        <v>7.2635444787274725E-2</v>
      </c>
      <c r="T9" s="66">
        <f t="shared" si="9"/>
        <v>0.12394512578616058</v>
      </c>
      <c r="U9" s="66">
        <f t="shared" si="9"/>
        <v>-3.4961228987468285E-2</v>
      </c>
      <c r="V9" s="66">
        <f t="shared" si="9"/>
        <v>-4.7703689837168162E-2</v>
      </c>
      <c r="W9" s="66">
        <f t="shared" si="9"/>
        <v>2.4429827570559212E-2</v>
      </c>
      <c r="X9" s="66">
        <f t="shared" si="9"/>
        <v>-9.2154439485413284E-2</v>
      </c>
      <c r="Y9" s="66">
        <f t="shared" si="9"/>
        <v>0.14464877816298066</v>
      </c>
      <c r="Z9" s="66">
        <f t="shared" si="9"/>
        <v>0.19406054265464445</v>
      </c>
      <c r="AA9" s="66">
        <f t="shared" si="9"/>
        <v>0.10690237267079621</v>
      </c>
      <c r="AB9" s="66">
        <f t="shared" si="9"/>
        <v>0.22739021819934618</v>
      </c>
      <c r="AC9" s="66">
        <f t="shared" si="9"/>
        <v>0.46174207927692068</v>
      </c>
      <c r="AD9" s="66">
        <f t="shared" si="9"/>
        <v>0.49355992519233338</v>
      </c>
      <c r="AE9" s="66">
        <f t="shared" si="9"/>
        <v>0.57415481417332459</v>
      </c>
      <c r="AF9" s="66">
        <f t="shared" si="9"/>
        <v>0.64361172393622135</v>
      </c>
      <c r="AG9" s="66">
        <f t="shared" si="9"/>
        <v>0.53511864179209423</v>
      </c>
      <c r="AH9" s="66">
        <f t="shared" si="9"/>
        <v>0.53301313067115985</v>
      </c>
      <c r="AI9" s="66">
        <f t="shared" si="9"/>
        <v>0.6046140544101799</v>
      </c>
      <c r="AJ9" s="66">
        <f t="shared" si="9"/>
        <v>0.50189078717845226</v>
      </c>
      <c r="AK9" s="66">
        <f t="shared" si="9"/>
        <v>0.33867089853152116</v>
      </c>
      <c r="AL9" s="66">
        <f t="shared" si="9"/>
        <v>0.1771154562033346</v>
      </c>
      <c r="AM9" s="66">
        <f t="shared" si="9"/>
        <v>-0.38336712753276586</v>
      </c>
      <c r="AN9" s="66">
        <f t="shared" si="9"/>
        <v>-0.33131291705309818</v>
      </c>
      <c r="AO9" s="66" t="e">
        <f t="shared" si="9"/>
        <v>#DIV/0!</v>
      </c>
      <c r="AP9" s="66" t="e">
        <f t="shared" si="9"/>
        <v>#DIV/0!</v>
      </c>
      <c r="AQ9" s="66" t="e">
        <f t="shared" si="9"/>
        <v>#DIV/0!</v>
      </c>
      <c r="AR9" s="66" t="e">
        <f t="shared" si="9"/>
        <v>#DIV/0!</v>
      </c>
      <c r="AS9" s="66" t="e">
        <f t="shared" si="9"/>
        <v>#DIV/0!</v>
      </c>
      <c r="AT9" s="66" t="e">
        <f t="shared" si="9"/>
        <v>#DIV/0!</v>
      </c>
      <c r="AU9" s="66" t="e">
        <f t="shared" si="9"/>
        <v>#DIV/0!</v>
      </c>
      <c r="AV9" s="66" t="e">
        <f t="shared" si="9"/>
        <v>#DIV/0!</v>
      </c>
      <c r="AW9" s="66" t="e">
        <f t="shared" si="9"/>
        <v>#DIV/0!</v>
      </c>
      <c r="AX9" s="66" t="e">
        <f t="shared" si="9"/>
        <v>#DIV/0!</v>
      </c>
      <c r="AY9" s="66" t="e">
        <f t="shared" si="9"/>
        <v>#DIV/0!</v>
      </c>
      <c r="AZ9" s="66" t="e">
        <f t="shared" si="9"/>
        <v>#DIV/0!</v>
      </c>
      <c r="BA9" s="66" t="e">
        <f t="shared" si="9"/>
        <v>#DIV/0!</v>
      </c>
      <c r="BB9" s="66" t="e">
        <f t="shared" si="9"/>
        <v>#DIV/0!</v>
      </c>
      <c r="BC9" s="66" t="e">
        <f t="shared" si="9"/>
        <v>#DIV/0!</v>
      </c>
      <c r="BD9" s="66" t="e">
        <f t="shared" si="9"/>
        <v>#DIV/0!</v>
      </c>
      <c r="BE9" s="66" t="e">
        <f t="shared" si="9"/>
        <v>#DIV/0!</v>
      </c>
      <c r="BF9" s="66" t="e">
        <f t="shared" si="9"/>
        <v>#DIV/0!</v>
      </c>
      <c r="BG9" s="66" t="e">
        <f t="shared" si="9"/>
        <v>#DIV/0!</v>
      </c>
      <c r="BH9" s="66" t="e">
        <f t="shared" si="9"/>
        <v>#DIV/0!</v>
      </c>
      <c r="BI9" s="66" t="e">
        <f t="shared" si="9"/>
        <v>#DIV/0!</v>
      </c>
      <c r="BJ9" s="66" t="e">
        <f t="shared" si="9"/>
        <v>#DIV/0!</v>
      </c>
      <c r="BK9" s="66" t="e">
        <f t="shared" si="9"/>
        <v>#DIV/0!</v>
      </c>
      <c r="BL9" s="66" t="e">
        <f t="shared" si="9"/>
        <v>#DIV/0!</v>
      </c>
      <c r="BM9" s="66" t="e">
        <f t="shared" si="9"/>
        <v>#DIV/0!</v>
      </c>
      <c r="BN9" s="66" t="e">
        <f t="shared" si="9"/>
        <v>#DIV/0!</v>
      </c>
      <c r="BO9" s="66" t="e">
        <f t="shared" si="9"/>
        <v>#DIV/0!</v>
      </c>
      <c r="BP9" s="66" t="e">
        <f t="shared" si="9"/>
        <v>#DIV/0!</v>
      </c>
      <c r="BQ9" s="66" t="e">
        <f t="shared" si="9"/>
        <v>#DIV/0!</v>
      </c>
      <c r="BR9" s="66" t="e">
        <f t="shared" ref="BR9:CK9" si="10">(BR7-BV7)/BV7</f>
        <v>#DIV/0!</v>
      </c>
      <c r="BS9" s="66" t="e">
        <f t="shared" si="10"/>
        <v>#DIV/0!</v>
      </c>
      <c r="BT9" s="66" t="e">
        <f t="shared" si="10"/>
        <v>#DIV/0!</v>
      </c>
      <c r="BU9" s="66" t="e">
        <f t="shared" si="10"/>
        <v>#DIV/0!</v>
      </c>
      <c r="BV9" s="66" t="e">
        <f t="shared" si="10"/>
        <v>#DIV/0!</v>
      </c>
      <c r="BW9" s="66" t="e">
        <f t="shared" si="10"/>
        <v>#DIV/0!</v>
      </c>
      <c r="BX9" s="66" t="e">
        <f t="shared" si="10"/>
        <v>#DIV/0!</v>
      </c>
      <c r="BY9" s="66" t="e">
        <f t="shared" si="10"/>
        <v>#DIV/0!</v>
      </c>
      <c r="BZ9" s="66" t="e">
        <f t="shared" si="10"/>
        <v>#DIV/0!</v>
      </c>
      <c r="CA9" s="66" t="e">
        <f t="shared" si="10"/>
        <v>#DIV/0!</v>
      </c>
      <c r="CB9" s="66" t="e">
        <f t="shared" si="10"/>
        <v>#DIV/0!</v>
      </c>
      <c r="CC9" s="66" t="e">
        <f t="shared" si="10"/>
        <v>#DIV/0!</v>
      </c>
      <c r="CD9" s="66" t="e">
        <f t="shared" si="10"/>
        <v>#DIV/0!</v>
      </c>
      <c r="CE9" s="66" t="e">
        <f t="shared" si="10"/>
        <v>#DIV/0!</v>
      </c>
      <c r="CF9" s="66" t="e">
        <f t="shared" si="10"/>
        <v>#DIV/0!</v>
      </c>
      <c r="CG9" s="66" t="e">
        <f t="shared" si="10"/>
        <v>#DIV/0!</v>
      </c>
      <c r="CH9" s="66" t="e">
        <f t="shared" si="10"/>
        <v>#DIV/0!</v>
      </c>
      <c r="CI9" s="66" t="e">
        <f t="shared" si="10"/>
        <v>#DIV/0!</v>
      </c>
      <c r="CJ9" s="66" t="e">
        <f t="shared" si="10"/>
        <v>#DIV/0!</v>
      </c>
      <c r="CK9" s="66" t="e">
        <f t="shared" si="10"/>
        <v>#DIV/0!</v>
      </c>
    </row>
    <row r="10" spans="1:89" s="27" customFormat="1" x14ac:dyDescent="0.25">
      <c r="A10" s="128" t="s">
        <v>358</v>
      </c>
      <c r="E10" s="27">
        <f>股权价值增加表!E8</f>
        <v>32932432.359999999</v>
      </c>
      <c r="F10" s="27">
        <f>股权价值增加表!F8</f>
        <v>24728521.48</v>
      </c>
      <c r="G10" s="27">
        <f>股权价值增加表!G8</f>
        <v>14894526.470000001</v>
      </c>
      <c r="H10" s="27">
        <f>股权价值增加表!H8</f>
        <v>9865506.8200000003</v>
      </c>
      <c r="I10" s="27">
        <f>股权价值增加表!I8</f>
        <v>32879503.960000001</v>
      </c>
      <c r="J10" s="27">
        <f>股权价值增加表!J8</f>
        <v>20342783.280000001</v>
      </c>
      <c r="K10" s="27">
        <f>股权价值增加表!K8</f>
        <v>13315984.83</v>
      </c>
      <c r="L10" s="27">
        <f>股权价值增加表!L8</f>
        <v>7704992.5800000001</v>
      </c>
      <c r="M10" s="27">
        <f>股权价值增加表!M8</f>
        <v>30934802.02</v>
      </c>
      <c r="N10" s="27">
        <f>股权价值增加表!N8</f>
        <v>20220350.57</v>
      </c>
      <c r="O10" s="27">
        <f>股权价值增加表!O8</f>
        <v>12017562.199999999</v>
      </c>
      <c r="P10" s="27">
        <f>股权价值增加表!P8</f>
        <v>7554547.1799999997</v>
      </c>
      <c r="Q10" s="27">
        <f>股权价值增加表!Q8</f>
        <v>27435568.34</v>
      </c>
      <c r="R10" s="27">
        <f>股权价值增加表!R8</f>
        <v>17807929.550000001</v>
      </c>
      <c r="S10" s="27">
        <f>股权价值增加表!S8</f>
        <v>11308254.77</v>
      </c>
      <c r="T10" s="27">
        <f>股权价值增加表!T8</f>
        <v>5527106.5300000003</v>
      </c>
      <c r="U10" s="27">
        <f>股权价值增加表!U8</f>
        <v>23672166.359999999</v>
      </c>
      <c r="V10" s="27">
        <f>股权价值增加表!V8</f>
        <v>12926448.15</v>
      </c>
      <c r="W10" s="27">
        <f>股权价值增加表!W8</f>
        <v>9723886.5899999999</v>
      </c>
      <c r="X10" s="27">
        <f>股权价值增加表!X8</f>
        <v>5275688.63</v>
      </c>
      <c r="Y10" s="27">
        <f>股权价值增加表!Y8</f>
        <v>22326739.899999999</v>
      </c>
      <c r="Z10" s="27">
        <f>股权价值增加表!Z8</f>
        <v>13533150.76</v>
      </c>
      <c r="AA10" s="27">
        <f>股权价值增加表!AA8</f>
        <v>7258365.5199999996</v>
      </c>
      <c r="AB10" s="27">
        <f>股权价值增加表!AB8</f>
        <v>5066982.6900000004</v>
      </c>
      <c r="AC10" s="27">
        <f>股权价值增加表!AC8</f>
        <v>19437504.949999999</v>
      </c>
      <c r="AD10" s="27">
        <f>股权价值增加表!AD8</f>
        <v>12671718.359999999</v>
      </c>
      <c r="AE10" s="27">
        <f>股权价值增加表!AE8</f>
        <v>7795564.7300000004</v>
      </c>
      <c r="AF10" s="27">
        <f>股权价值增加表!AF8</f>
        <v>5459671.6500000004</v>
      </c>
      <c r="AG10" s="27">
        <f>股权价值增加表!AG8</f>
        <v>3629038.82</v>
      </c>
      <c r="AH10" s="27">
        <f>股权价值增加表!AH8</f>
        <v>1551522</v>
      </c>
      <c r="AI10" s="27">
        <f>股权价值增加表!AI8</f>
        <v>1301715.54</v>
      </c>
      <c r="AJ10" s="27">
        <f>股权价值增加表!AJ8</f>
        <v>769782.76</v>
      </c>
      <c r="AK10" s="27">
        <f>股权价值增加表!AK8</f>
        <v>4176943.63</v>
      </c>
      <c r="AL10" s="27">
        <f>股权价值增加表!AL8</f>
        <v>2354174.79</v>
      </c>
      <c r="AM10" s="27">
        <f>股权价值增加表!AM8</f>
        <v>1255018.1100000001</v>
      </c>
      <c r="AN10" s="27">
        <f>股权价值增加表!AN8</f>
        <v>1133909.1599999999</v>
      </c>
      <c r="AO10" s="27">
        <f>股权价值增加表!AO8</f>
        <v>2255947.33</v>
      </c>
      <c r="AP10" s="27">
        <f>股权价值增加表!AP8</f>
        <v>1536038.19</v>
      </c>
      <c r="AQ10" s="27">
        <f>股权价值增加表!AQ8</f>
        <v>1488397.64</v>
      </c>
      <c r="AR10" s="27">
        <f>股权价值增加表!AR8</f>
        <v>355681.75</v>
      </c>
      <c r="AS10" s="27">
        <f>股权价值增加表!AS8</f>
        <v>0</v>
      </c>
      <c r="AT10" s="27">
        <f>股权价值增加表!AT8</f>
        <v>0</v>
      </c>
      <c r="AU10" s="27">
        <f>股权价值增加表!AU8</f>
        <v>0</v>
      </c>
      <c r="AV10" s="27">
        <f>股权价值增加表!AV8</f>
        <v>0</v>
      </c>
      <c r="AW10" s="27">
        <f>股权价值增加表!AW8</f>
        <v>0</v>
      </c>
      <c r="AX10" s="27">
        <f>股权价值增加表!AX8</f>
        <v>0</v>
      </c>
      <c r="AY10" s="27">
        <f>股权价值增加表!AY8</f>
        <v>0</v>
      </c>
      <c r="AZ10" s="27">
        <f>股权价值增加表!AZ8</f>
        <v>0</v>
      </c>
      <c r="BA10" s="27">
        <f>股权价值增加表!BA8</f>
        <v>0</v>
      </c>
      <c r="BB10" s="27">
        <f>股权价值增加表!BB8</f>
        <v>0</v>
      </c>
      <c r="BC10" s="27">
        <f>股权价值增加表!BC8</f>
        <v>0</v>
      </c>
      <c r="BD10" s="27">
        <f>股权价值增加表!BD8</f>
        <v>0</v>
      </c>
      <c r="BE10" s="27">
        <f>股权价值增加表!BE8</f>
        <v>0</v>
      </c>
      <c r="BF10" s="27">
        <f>股权价值增加表!BF8</f>
        <v>0</v>
      </c>
      <c r="BG10" s="27">
        <f>股权价值增加表!BG8</f>
        <v>0</v>
      </c>
      <c r="BH10" s="27">
        <f>股权价值增加表!BH8</f>
        <v>0</v>
      </c>
      <c r="BI10" s="27">
        <f>股权价值增加表!BI8</f>
        <v>0</v>
      </c>
      <c r="BJ10" s="27">
        <f>股权价值增加表!BJ8</f>
        <v>0</v>
      </c>
      <c r="BK10" s="27">
        <f>股权价值增加表!BK8</f>
        <v>0</v>
      </c>
      <c r="BL10" s="27">
        <f>股权价值增加表!BL8</f>
        <v>0</v>
      </c>
      <c r="BM10" s="27">
        <f>股权价值增加表!BM8</f>
        <v>0</v>
      </c>
      <c r="BN10" s="27">
        <f>股权价值增加表!BN8</f>
        <v>0</v>
      </c>
      <c r="BO10" s="27">
        <f>股权价值增加表!BO8</f>
        <v>0</v>
      </c>
      <c r="BP10" s="27">
        <f>股权价值增加表!BP8</f>
        <v>0</v>
      </c>
      <c r="BQ10" s="27">
        <f>股权价值增加表!BQ8</f>
        <v>0</v>
      </c>
      <c r="BR10" s="27">
        <f>股权价值增加表!BR8</f>
        <v>0</v>
      </c>
      <c r="BS10" s="27">
        <f>股权价值增加表!BS8</f>
        <v>0</v>
      </c>
      <c r="BT10" s="27">
        <f>股权价值增加表!BT8</f>
        <v>0</v>
      </c>
      <c r="BU10" s="27">
        <f>股权价值增加表!BU8</f>
        <v>0</v>
      </c>
      <c r="BV10" s="27">
        <f>股权价值增加表!BV8</f>
        <v>0</v>
      </c>
      <c r="BW10" s="27">
        <f>股权价值增加表!BW8</f>
        <v>0</v>
      </c>
      <c r="BX10" s="27">
        <f>股权价值增加表!BX8</f>
        <v>0</v>
      </c>
      <c r="BY10" s="27">
        <f>股权价值增加表!BY8</f>
        <v>0</v>
      </c>
      <c r="BZ10" s="27">
        <f>股权价值增加表!BZ8</f>
        <v>0</v>
      </c>
      <c r="CA10" s="27">
        <f>股权价值增加表!CA8</f>
        <v>0</v>
      </c>
      <c r="CB10" s="27">
        <f>股权价值增加表!CB8</f>
        <v>0</v>
      </c>
      <c r="CC10" s="27">
        <f>股权价值增加表!CC8</f>
        <v>0</v>
      </c>
      <c r="CD10" s="27">
        <f>股权价值增加表!CD8</f>
        <v>0</v>
      </c>
      <c r="CE10" s="27">
        <f>股权价值增加表!CE8</f>
        <v>0</v>
      </c>
      <c r="CF10" s="27">
        <f>股权价值增加表!CF8</f>
        <v>0</v>
      </c>
      <c r="CG10" s="27">
        <f>股权价值增加表!CG8</f>
        <v>0</v>
      </c>
      <c r="CH10" s="27">
        <f>股权价值增加表!CH8</f>
        <v>0</v>
      </c>
      <c r="CI10" s="27">
        <f>股权价值增加表!CI8</f>
        <v>0</v>
      </c>
      <c r="CJ10" s="27">
        <f>股权价值增加表!CJ8</f>
        <v>0</v>
      </c>
    </row>
    <row r="11" spans="1:89" s="57" customFormat="1" x14ac:dyDescent="0.25">
      <c r="A11" s="20" t="s">
        <v>359</v>
      </c>
      <c r="E11" s="57">
        <f>E10/E2</f>
        <v>7.0642397858853932E-3</v>
      </c>
      <c r="F11" s="57">
        <f t="shared" ref="F11:BQ11" si="11">F10/F2</f>
        <v>7.7697409431659627E-3</v>
      </c>
      <c r="G11" s="57">
        <f t="shared" si="11"/>
        <v>7.5170367815127438E-3</v>
      </c>
      <c r="H11" s="57">
        <f t="shared" si="11"/>
        <v>9.3267273332725154E-3</v>
      </c>
      <c r="I11" s="57">
        <f t="shared" si="11"/>
        <v>1.0430598457755081E-2</v>
      </c>
      <c r="J11" s="57">
        <f t="shared" si="11"/>
        <v>9.4386490649225434E-3</v>
      </c>
      <c r="K11" s="57">
        <f t="shared" si="11"/>
        <v>9.9144890897018001E-3</v>
      </c>
      <c r="L11" s="57">
        <f t="shared" si="11"/>
        <v>1.0100321365405377E-2</v>
      </c>
      <c r="M11" s="57">
        <f t="shared" si="11"/>
        <v>1.0609974765724874E-2</v>
      </c>
      <c r="N11" s="57">
        <f t="shared" si="11"/>
        <v>9.8824124300783186E-3</v>
      </c>
      <c r="O11" s="57">
        <f t="shared" si="11"/>
        <v>9.6142336391405962E-3</v>
      </c>
      <c r="P11" s="57">
        <f t="shared" si="11"/>
        <v>1.0709670290284197E-2</v>
      </c>
      <c r="Q11" s="57">
        <f t="shared" si="11"/>
        <v>9.9353815607877601E-3</v>
      </c>
      <c r="R11" s="57">
        <f t="shared" si="11"/>
        <v>9.4723336217804599E-3</v>
      </c>
      <c r="S11" s="57">
        <f t="shared" si="11"/>
        <v>1.0166735273909202E-2</v>
      </c>
      <c r="T11" s="57">
        <f t="shared" si="11"/>
        <v>8.4086937480014872E-3</v>
      </c>
      <c r="U11" s="57">
        <f t="shared" si="11"/>
        <v>9.3780516807361342E-3</v>
      </c>
      <c r="V11" s="57">
        <f t="shared" si="11"/>
        <v>7.5038289544790198E-3</v>
      </c>
      <c r="W11" s="57">
        <f t="shared" si="11"/>
        <v>9.0196894045177188E-3</v>
      </c>
      <c r="X11" s="57">
        <f t="shared" si="11"/>
        <v>8.573459875252442E-3</v>
      </c>
      <c r="Y11" s="57">
        <f t="shared" si="11"/>
        <v>8.193437774423799E-3</v>
      </c>
      <c r="Z11" s="57">
        <f t="shared" si="11"/>
        <v>7.3242361758036698E-3</v>
      </c>
      <c r="AA11" s="57">
        <f t="shared" si="11"/>
        <v>7.0028314128076615E-3</v>
      </c>
      <c r="AB11" s="57">
        <f t="shared" si="11"/>
        <v>8.2481120184116526E-3</v>
      </c>
      <c r="AC11" s="57">
        <f t="shared" si="11"/>
        <v>8.1586723985008543E-3</v>
      </c>
      <c r="AD11" s="57">
        <f t="shared" si="11"/>
        <v>7.7555194795939381E-3</v>
      </c>
      <c r="AE11" s="57">
        <f t="shared" si="11"/>
        <v>7.7703410530866124E-3</v>
      </c>
      <c r="AF11" s="57">
        <f t="shared" si="11"/>
        <v>9.3623819308810939E-3</v>
      </c>
      <c r="AG11" s="57">
        <f t="shared" si="11"/>
        <v>1.9952769126743994E-3</v>
      </c>
      <c r="AH11" s="57">
        <f t="shared" si="11"/>
        <v>1.3542494987595348E-3</v>
      </c>
      <c r="AI11" s="57">
        <f t="shared" si="11"/>
        <v>1.9668447265836319E-3</v>
      </c>
      <c r="AJ11" s="57">
        <f t="shared" si="11"/>
        <v>2.1422376518450744E-3</v>
      </c>
      <c r="AK11" s="57">
        <f t="shared" si="11"/>
        <v>3.6470086540540229E-3</v>
      </c>
      <c r="AL11" s="57">
        <f t="shared" si="11"/>
        <v>3.2520063905966626E-3</v>
      </c>
      <c r="AM11" s="57">
        <f t="shared" si="11"/>
        <v>3.0792660238096194E-3</v>
      </c>
      <c r="AN11" s="57">
        <f t="shared" si="11"/>
        <v>4.4433566129809974E-3</v>
      </c>
      <c r="AO11" s="57">
        <f t="shared" si="11"/>
        <v>2.4991532123976364E-3</v>
      </c>
      <c r="AP11" s="57">
        <f t="shared" si="11"/>
        <v>2.4270781501813262E-3</v>
      </c>
      <c r="AQ11" s="57">
        <f t="shared" si="11"/>
        <v>1.9704411918627903E-3</v>
      </c>
      <c r="AR11" s="57">
        <f t="shared" si="11"/>
        <v>6.4378233066179327E-4</v>
      </c>
      <c r="AS11" s="57" t="e">
        <f t="shared" si="11"/>
        <v>#DIV/0!</v>
      </c>
      <c r="AT11" s="57" t="e">
        <f t="shared" si="11"/>
        <v>#DIV/0!</v>
      </c>
      <c r="AU11" s="57" t="e">
        <f t="shared" si="11"/>
        <v>#DIV/0!</v>
      </c>
      <c r="AV11" s="57" t="e">
        <f t="shared" si="11"/>
        <v>#DIV/0!</v>
      </c>
      <c r="AW11" s="57" t="e">
        <f t="shared" si="11"/>
        <v>#DIV/0!</v>
      </c>
      <c r="AX11" s="57" t="e">
        <f t="shared" si="11"/>
        <v>#DIV/0!</v>
      </c>
      <c r="AY11" s="57" t="e">
        <f t="shared" si="11"/>
        <v>#DIV/0!</v>
      </c>
      <c r="AZ11" s="57" t="e">
        <f t="shared" si="11"/>
        <v>#DIV/0!</v>
      </c>
      <c r="BA11" s="57" t="e">
        <f t="shared" si="11"/>
        <v>#DIV/0!</v>
      </c>
      <c r="BB11" s="57" t="e">
        <f t="shared" si="11"/>
        <v>#DIV/0!</v>
      </c>
      <c r="BC11" s="57" t="e">
        <f t="shared" si="11"/>
        <v>#DIV/0!</v>
      </c>
      <c r="BD11" s="57" t="e">
        <f t="shared" si="11"/>
        <v>#DIV/0!</v>
      </c>
      <c r="BE11" s="57" t="e">
        <f t="shared" si="11"/>
        <v>#DIV/0!</v>
      </c>
      <c r="BF11" s="57" t="e">
        <f t="shared" si="11"/>
        <v>#DIV/0!</v>
      </c>
      <c r="BG11" s="57" t="e">
        <f t="shared" si="11"/>
        <v>#DIV/0!</v>
      </c>
      <c r="BH11" s="57" t="e">
        <f t="shared" si="11"/>
        <v>#DIV/0!</v>
      </c>
      <c r="BI11" s="57" t="e">
        <f t="shared" si="11"/>
        <v>#DIV/0!</v>
      </c>
      <c r="BJ11" s="57" t="e">
        <f t="shared" si="11"/>
        <v>#DIV/0!</v>
      </c>
      <c r="BK11" s="57" t="e">
        <f t="shared" si="11"/>
        <v>#DIV/0!</v>
      </c>
      <c r="BL11" s="57" t="e">
        <f t="shared" si="11"/>
        <v>#DIV/0!</v>
      </c>
      <c r="BM11" s="57" t="e">
        <f t="shared" si="11"/>
        <v>#DIV/0!</v>
      </c>
      <c r="BN11" s="57" t="e">
        <f t="shared" si="11"/>
        <v>#DIV/0!</v>
      </c>
      <c r="BO11" s="57" t="e">
        <f t="shared" si="11"/>
        <v>#DIV/0!</v>
      </c>
      <c r="BP11" s="57" t="e">
        <f t="shared" si="11"/>
        <v>#DIV/0!</v>
      </c>
      <c r="BQ11" s="57" t="e">
        <f t="shared" si="11"/>
        <v>#DIV/0!</v>
      </c>
      <c r="BR11" s="57" t="e">
        <f t="shared" ref="BR11:CJ11" si="12">BR10/BR2</f>
        <v>#DIV/0!</v>
      </c>
      <c r="BS11" s="57" t="e">
        <f t="shared" si="12"/>
        <v>#DIV/0!</v>
      </c>
      <c r="BT11" s="57" t="e">
        <f t="shared" si="12"/>
        <v>#DIV/0!</v>
      </c>
      <c r="BU11" s="57" t="e">
        <f t="shared" si="12"/>
        <v>#DIV/0!</v>
      </c>
      <c r="BV11" s="57" t="e">
        <f t="shared" si="12"/>
        <v>#DIV/0!</v>
      </c>
      <c r="BW11" s="57" t="e">
        <f t="shared" si="12"/>
        <v>#DIV/0!</v>
      </c>
      <c r="BX11" s="57" t="e">
        <f t="shared" si="12"/>
        <v>#DIV/0!</v>
      </c>
      <c r="BY11" s="57" t="e">
        <f t="shared" si="12"/>
        <v>#DIV/0!</v>
      </c>
      <c r="BZ11" s="57" t="e">
        <f t="shared" si="12"/>
        <v>#DIV/0!</v>
      </c>
      <c r="CA11" s="57" t="e">
        <f t="shared" si="12"/>
        <v>#DIV/0!</v>
      </c>
      <c r="CB11" s="57" t="e">
        <f t="shared" si="12"/>
        <v>#DIV/0!</v>
      </c>
      <c r="CC11" s="57" t="e">
        <f t="shared" si="12"/>
        <v>#DIV/0!</v>
      </c>
      <c r="CD11" s="57" t="e">
        <f t="shared" si="12"/>
        <v>#DIV/0!</v>
      </c>
      <c r="CE11" s="57" t="e">
        <f t="shared" si="12"/>
        <v>#DIV/0!</v>
      </c>
      <c r="CF11" s="57" t="e">
        <f t="shared" si="12"/>
        <v>#DIV/0!</v>
      </c>
      <c r="CG11" s="57" t="e">
        <f t="shared" si="12"/>
        <v>#DIV/0!</v>
      </c>
      <c r="CH11" s="57" t="e">
        <f t="shared" si="12"/>
        <v>#DIV/0!</v>
      </c>
      <c r="CI11" s="57" t="e">
        <f t="shared" si="12"/>
        <v>#DIV/0!</v>
      </c>
      <c r="CJ11" s="57" t="e">
        <f t="shared" si="12"/>
        <v>#DIV/0!</v>
      </c>
    </row>
    <row r="12" spans="1:89" s="27" customFormat="1" x14ac:dyDescent="0.25">
      <c r="A12" s="128" t="s">
        <v>360</v>
      </c>
      <c r="E12" s="27">
        <f>股权价值增加表!E9</f>
        <v>1007425379.27</v>
      </c>
      <c r="F12" s="27">
        <f>股权价值增加表!F9</f>
        <v>642493739.66999996</v>
      </c>
      <c r="G12" s="27">
        <f>股权价值增加表!G9</f>
        <v>417544038.85000002</v>
      </c>
      <c r="H12" s="27">
        <f>股权价值增加表!H9</f>
        <v>189585387.75999999</v>
      </c>
      <c r="I12" s="27">
        <f>股权价值增加表!I9</f>
        <v>786045478.57000005</v>
      </c>
      <c r="J12" s="27">
        <f>股权价值增加表!J9</f>
        <v>518638726.98000002</v>
      </c>
      <c r="K12" s="27">
        <f>股权价值增加表!K9</f>
        <v>333015243.95999998</v>
      </c>
      <c r="L12" s="27">
        <f>股权价值增加表!L9</f>
        <v>166825730.5</v>
      </c>
      <c r="M12" s="27">
        <f>股权价值增加表!M9</f>
        <v>702088845.51999998</v>
      </c>
      <c r="N12" s="27">
        <f>股权价值增加表!N9</f>
        <v>462448442.44999999</v>
      </c>
      <c r="O12" s="27">
        <f>股权价值增加表!O9</f>
        <v>299124416.25999999</v>
      </c>
      <c r="P12" s="27">
        <f>股权价值增加表!P9</f>
        <v>151757162.58000001</v>
      </c>
      <c r="Q12" s="27">
        <f>股权价值增加表!Q9</f>
        <v>602729979.85000002</v>
      </c>
      <c r="R12" s="27">
        <f>股权价值增加表!R9</f>
        <v>405825925.36000001</v>
      </c>
      <c r="S12" s="27">
        <f>股权价值增加表!S9</f>
        <v>244311835.50999999</v>
      </c>
      <c r="T12" s="27">
        <f>股权价值增加表!T9</f>
        <v>144974860.56999999</v>
      </c>
      <c r="U12" s="27">
        <f>股权价值增加表!U9</f>
        <v>555013206.99000001</v>
      </c>
      <c r="V12" s="27">
        <f>股权价值增加表!V9</f>
        <v>365059735.88999999</v>
      </c>
      <c r="W12" s="27">
        <f>股权价值增加表!W9</f>
        <v>236966282.15000001</v>
      </c>
      <c r="X12" s="27">
        <f>股权价值增加表!X9</f>
        <v>117960513.40000001</v>
      </c>
      <c r="Y12" s="27">
        <f>股权价值增加表!Y9</f>
        <v>566653559.66999996</v>
      </c>
      <c r="Z12" s="27">
        <f>股权价值增加表!Z9</f>
        <v>392084110.52999997</v>
      </c>
      <c r="AA12" s="27">
        <f>股权价值增加表!AA9</f>
        <v>240286794.72</v>
      </c>
      <c r="AB12" s="27">
        <f>股权价值增加表!AB9</f>
        <v>122620158.45999999</v>
      </c>
      <c r="AC12" s="27">
        <f>股权价值增加表!AC9</f>
        <v>441418204.77999997</v>
      </c>
      <c r="AD12" s="27">
        <f>股权价值增加表!AD9</f>
        <v>252776641.69999999</v>
      </c>
      <c r="AE12" s="27">
        <f>股权价值增加表!AE9</f>
        <v>190131843.62</v>
      </c>
      <c r="AF12" s="27">
        <f>股权价值增加表!AF9</f>
        <v>100718712.59</v>
      </c>
      <c r="AG12" s="27">
        <f>股权价值增加表!AG9</f>
        <v>342283901.14999998</v>
      </c>
      <c r="AH12" s="27">
        <f>股权价值增加表!AH9</f>
        <v>186370356</v>
      </c>
      <c r="AI12" s="27">
        <f>股权价值增加表!AI9</f>
        <v>123963819.84999999</v>
      </c>
      <c r="AJ12" s="27">
        <f>股权价值增加表!AJ9</f>
        <v>59543448.259999998</v>
      </c>
      <c r="AK12" s="27">
        <f>股权价值增加表!AK9</f>
        <v>201046926.90000001</v>
      </c>
      <c r="AL12" s="27">
        <f>股权价值增加表!AL9</f>
        <v>114316617.67</v>
      </c>
      <c r="AM12" s="27">
        <f>股权价值增加表!AM9</f>
        <v>73363262.760000005</v>
      </c>
      <c r="AN12" s="27">
        <f>股权价值增加表!AN9</f>
        <v>37534225.119999997</v>
      </c>
      <c r="AO12" s="27">
        <f>股权价值增加表!AO9</f>
        <v>136129878.31</v>
      </c>
      <c r="AP12" s="27">
        <f>股权价值增加表!AP9</f>
        <v>92577271.849999994</v>
      </c>
      <c r="AQ12" s="27">
        <f>股权价值增加表!AQ9</f>
        <v>105794634.05</v>
      </c>
      <c r="AR12" s="27">
        <f>股权价值增加表!AR9</f>
        <v>63423441.579999998</v>
      </c>
      <c r="AS12" s="27">
        <f>股权价值增加表!AS9</f>
        <v>0</v>
      </c>
      <c r="AT12" s="27">
        <f>股权价值增加表!AT9</f>
        <v>0</v>
      </c>
      <c r="AU12" s="27">
        <f>股权价值增加表!AU9</f>
        <v>0</v>
      </c>
      <c r="AV12" s="27">
        <f>股权价值增加表!AV9</f>
        <v>0</v>
      </c>
      <c r="AW12" s="27">
        <f>股权价值增加表!AW9</f>
        <v>0</v>
      </c>
      <c r="AX12" s="27">
        <f>股权价值增加表!AX9</f>
        <v>0</v>
      </c>
      <c r="AY12" s="27">
        <f>股权价值增加表!AY9</f>
        <v>0</v>
      </c>
      <c r="AZ12" s="27">
        <f>股权价值增加表!AZ9</f>
        <v>0</v>
      </c>
      <c r="BA12" s="27">
        <f>股权价值增加表!BA9</f>
        <v>0</v>
      </c>
      <c r="BB12" s="27">
        <f>股权价值增加表!BB9</f>
        <v>0</v>
      </c>
      <c r="BC12" s="27">
        <f>股权价值增加表!BC9</f>
        <v>0</v>
      </c>
      <c r="BD12" s="27">
        <f>股权价值增加表!BD9</f>
        <v>0</v>
      </c>
      <c r="BE12" s="27">
        <f>股权价值增加表!BE9</f>
        <v>0</v>
      </c>
      <c r="BF12" s="27">
        <f>股权价值增加表!BF9</f>
        <v>0</v>
      </c>
      <c r="BG12" s="27">
        <f>股权价值增加表!BG9</f>
        <v>0</v>
      </c>
      <c r="BH12" s="27">
        <f>股权价值增加表!BH9</f>
        <v>0</v>
      </c>
      <c r="BI12" s="27">
        <f>股权价值增加表!BI9</f>
        <v>0</v>
      </c>
      <c r="BJ12" s="27">
        <f>股权价值增加表!BJ9</f>
        <v>0</v>
      </c>
      <c r="BK12" s="27">
        <f>股权价值增加表!BK9</f>
        <v>0</v>
      </c>
      <c r="BL12" s="27">
        <f>股权价值增加表!BL9</f>
        <v>0</v>
      </c>
      <c r="BM12" s="27">
        <f>股权价值增加表!BM9</f>
        <v>0</v>
      </c>
      <c r="BN12" s="27">
        <f>股权价值增加表!BN9</f>
        <v>0</v>
      </c>
      <c r="BO12" s="27">
        <f>股权价值增加表!BO9</f>
        <v>0</v>
      </c>
      <c r="BP12" s="27">
        <f>股权价值增加表!BP9</f>
        <v>0</v>
      </c>
      <c r="BQ12" s="27">
        <f>股权价值增加表!BQ9</f>
        <v>0</v>
      </c>
      <c r="BR12" s="27">
        <f>股权价值增加表!BR9</f>
        <v>0</v>
      </c>
      <c r="BS12" s="27">
        <f>股权价值增加表!BS9</f>
        <v>0</v>
      </c>
      <c r="BT12" s="27">
        <f>股权价值增加表!BT9</f>
        <v>0</v>
      </c>
      <c r="BU12" s="27">
        <f>股权价值增加表!BU9</f>
        <v>0</v>
      </c>
      <c r="BV12" s="27">
        <f>股权价值增加表!BV9</f>
        <v>0</v>
      </c>
      <c r="BW12" s="27">
        <f>股权价值增加表!BW9</f>
        <v>0</v>
      </c>
      <c r="BX12" s="27">
        <f>股权价值增加表!BX9</f>
        <v>0</v>
      </c>
      <c r="BY12" s="27">
        <f>股权价值增加表!BY9</f>
        <v>0</v>
      </c>
      <c r="BZ12" s="27">
        <f>股权价值增加表!BZ9</f>
        <v>0</v>
      </c>
      <c r="CA12" s="27">
        <f>股权价值增加表!CA9</f>
        <v>0</v>
      </c>
      <c r="CB12" s="27">
        <f>股权价值增加表!CB9</f>
        <v>0</v>
      </c>
      <c r="CC12" s="27">
        <f>股权价值增加表!CC9</f>
        <v>0</v>
      </c>
      <c r="CD12" s="27">
        <f>股权价值增加表!CD9</f>
        <v>0</v>
      </c>
      <c r="CE12" s="27">
        <f>股权价值增加表!CE9</f>
        <v>0</v>
      </c>
      <c r="CF12" s="27">
        <f>股权价值增加表!CF9</f>
        <v>0</v>
      </c>
      <c r="CG12" s="27">
        <f>股权价值增加表!CG9</f>
        <v>0</v>
      </c>
      <c r="CH12" s="27">
        <f>股权价值增加表!CH9</f>
        <v>0</v>
      </c>
      <c r="CI12" s="27">
        <f>股权价值增加表!CI9</f>
        <v>0</v>
      </c>
      <c r="CJ12" s="27">
        <f>股权价值增加表!CJ9</f>
        <v>0</v>
      </c>
    </row>
    <row r="13" spans="1:89" s="57" customFormat="1" x14ac:dyDescent="0.25">
      <c r="A13" s="20" t="s">
        <v>361</v>
      </c>
      <c r="E13" s="57">
        <f>E12/E2</f>
        <v>0.2160998728473458</v>
      </c>
      <c r="F13" s="57">
        <f t="shared" ref="F13:BQ13" si="13">F12/F2</f>
        <v>0.20187255913699745</v>
      </c>
      <c r="G13" s="57">
        <f t="shared" si="13"/>
        <v>0.21072800832296859</v>
      </c>
      <c r="H13" s="57">
        <f t="shared" si="13"/>
        <v>0.17923166546554173</v>
      </c>
      <c r="I13" s="57">
        <f t="shared" si="13"/>
        <v>0.24936278742137075</v>
      </c>
      <c r="J13" s="57">
        <f t="shared" si="13"/>
        <v>0.24063811072770741</v>
      </c>
      <c r="K13" s="57">
        <f t="shared" si="13"/>
        <v>0.24794831513380472</v>
      </c>
      <c r="L13" s="57">
        <f t="shared" si="13"/>
        <v>0.21868852858369781</v>
      </c>
      <c r="M13" s="57">
        <f t="shared" si="13"/>
        <v>0.24080144199559059</v>
      </c>
      <c r="N13" s="57">
        <f t="shared" si="13"/>
        <v>0.22601518307594001</v>
      </c>
      <c r="O13" s="57">
        <f t="shared" si="13"/>
        <v>0.23930410987140027</v>
      </c>
      <c r="P13" s="57">
        <f t="shared" si="13"/>
        <v>0.21513786818667469</v>
      </c>
      <c r="Q13" s="57">
        <f t="shared" si="13"/>
        <v>0.21826966562981243</v>
      </c>
      <c r="R13" s="57">
        <f t="shared" si="13"/>
        <v>0.215865552847366</v>
      </c>
      <c r="S13" s="57">
        <f t="shared" si="13"/>
        <v>0.21964961052190904</v>
      </c>
      <c r="T13" s="57">
        <f t="shared" si="13"/>
        <v>0.22055829701772478</v>
      </c>
      <c r="U13" s="57">
        <f t="shared" si="13"/>
        <v>0.21987605441293132</v>
      </c>
      <c r="V13" s="57">
        <f t="shared" si="13"/>
        <v>0.21191790540589028</v>
      </c>
      <c r="W13" s="57">
        <f t="shared" si="13"/>
        <v>0.2198053468182532</v>
      </c>
      <c r="X13" s="57">
        <f t="shared" si="13"/>
        <v>0.19169625037159899</v>
      </c>
      <c r="Y13" s="57">
        <f t="shared" si="13"/>
        <v>0.20794978136561207</v>
      </c>
      <c r="Z13" s="57">
        <f t="shared" si="13"/>
        <v>0.21219867252122671</v>
      </c>
      <c r="AA13" s="57">
        <f t="shared" si="13"/>
        <v>0.23182738724187069</v>
      </c>
      <c r="AB13" s="57">
        <f t="shared" si="13"/>
        <v>0.19960297174282771</v>
      </c>
      <c r="AC13" s="57">
        <f t="shared" si="13"/>
        <v>0.18528028843199776</v>
      </c>
      <c r="AD13" s="57">
        <f t="shared" si="13"/>
        <v>0.15470783937867505</v>
      </c>
      <c r="AE13" s="57">
        <f t="shared" si="13"/>
        <v>0.18951664454712697</v>
      </c>
      <c r="AF13" s="57">
        <f t="shared" si="13"/>
        <v>0.17271497542424957</v>
      </c>
      <c r="AG13" s="57">
        <f t="shared" si="13"/>
        <v>0.18819064755684298</v>
      </c>
      <c r="AH13" s="57">
        <f t="shared" si="13"/>
        <v>0.16267378818775116</v>
      </c>
      <c r="AI13" s="57">
        <f t="shared" si="13"/>
        <v>0.18730481266217031</v>
      </c>
      <c r="AJ13" s="57">
        <f t="shared" si="13"/>
        <v>0.16570417449107469</v>
      </c>
      <c r="AK13" s="57">
        <f t="shared" si="13"/>
        <v>0.17553980786551016</v>
      </c>
      <c r="AL13" s="57">
        <f t="shared" si="13"/>
        <v>0.15791451543588886</v>
      </c>
      <c r="AM13" s="57">
        <f t="shared" si="13"/>
        <v>0.18000138851596775</v>
      </c>
      <c r="AN13" s="57">
        <f t="shared" si="13"/>
        <v>0.14708228249965763</v>
      </c>
      <c r="AO13" s="57">
        <f t="shared" si="13"/>
        <v>0.15080556986307647</v>
      </c>
      <c r="AP13" s="57">
        <f t="shared" si="13"/>
        <v>0.14628039535301643</v>
      </c>
      <c r="AQ13" s="57">
        <f t="shared" si="13"/>
        <v>0.14005807266005188</v>
      </c>
      <c r="AR13" s="57">
        <f t="shared" si="13"/>
        <v>0.11479613738676356</v>
      </c>
      <c r="AS13" s="57" t="e">
        <f t="shared" si="13"/>
        <v>#DIV/0!</v>
      </c>
      <c r="AT13" s="57" t="e">
        <f t="shared" si="13"/>
        <v>#DIV/0!</v>
      </c>
      <c r="AU13" s="57" t="e">
        <f t="shared" si="13"/>
        <v>#DIV/0!</v>
      </c>
      <c r="AV13" s="57" t="e">
        <f t="shared" si="13"/>
        <v>#DIV/0!</v>
      </c>
      <c r="AW13" s="57" t="e">
        <f t="shared" si="13"/>
        <v>#DIV/0!</v>
      </c>
      <c r="AX13" s="57" t="e">
        <f t="shared" si="13"/>
        <v>#DIV/0!</v>
      </c>
      <c r="AY13" s="57" t="e">
        <f t="shared" si="13"/>
        <v>#DIV/0!</v>
      </c>
      <c r="AZ13" s="57" t="e">
        <f t="shared" si="13"/>
        <v>#DIV/0!</v>
      </c>
      <c r="BA13" s="57" t="e">
        <f t="shared" si="13"/>
        <v>#DIV/0!</v>
      </c>
      <c r="BB13" s="57" t="e">
        <f t="shared" si="13"/>
        <v>#DIV/0!</v>
      </c>
      <c r="BC13" s="57" t="e">
        <f t="shared" si="13"/>
        <v>#DIV/0!</v>
      </c>
      <c r="BD13" s="57" t="e">
        <f t="shared" si="13"/>
        <v>#DIV/0!</v>
      </c>
      <c r="BE13" s="57" t="e">
        <f t="shared" si="13"/>
        <v>#DIV/0!</v>
      </c>
      <c r="BF13" s="57" t="e">
        <f t="shared" si="13"/>
        <v>#DIV/0!</v>
      </c>
      <c r="BG13" s="57" t="e">
        <f t="shared" si="13"/>
        <v>#DIV/0!</v>
      </c>
      <c r="BH13" s="57" t="e">
        <f t="shared" si="13"/>
        <v>#DIV/0!</v>
      </c>
      <c r="BI13" s="57" t="e">
        <f t="shared" si="13"/>
        <v>#DIV/0!</v>
      </c>
      <c r="BJ13" s="57" t="e">
        <f t="shared" si="13"/>
        <v>#DIV/0!</v>
      </c>
      <c r="BK13" s="57" t="e">
        <f t="shared" si="13"/>
        <v>#DIV/0!</v>
      </c>
      <c r="BL13" s="57" t="e">
        <f t="shared" si="13"/>
        <v>#DIV/0!</v>
      </c>
      <c r="BM13" s="57" t="e">
        <f t="shared" si="13"/>
        <v>#DIV/0!</v>
      </c>
      <c r="BN13" s="57" t="e">
        <f t="shared" si="13"/>
        <v>#DIV/0!</v>
      </c>
      <c r="BO13" s="57" t="e">
        <f t="shared" si="13"/>
        <v>#DIV/0!</v>
      </c>
      <c r="BP13" s="57" t="e">
        <f t="shared" si="13"/>
        <v>#DIV/0!</v>
      </c>
      <c r="BQ13" s="57" t="e">
        <f t="shared" si="13"/>
        <v>#DIV/0!</v>
      </c>
      <c r="BR13" s="57" t="e">
        <f t="shared" ref="BR13:CJ13" si="14">BR12/BR2</f>
        <v>#DIV/0!</v>
      </c>
      <c r="BS13" s="57" t="e">
        <f t="shared" si="14"/>
        <v>#DIV/0!</v>
      </c>
      <c r="BT13" s="57" t="e">
        <f t="shared" si="14"/>
        <v>#DIV/0!</v>
      </c>
      <c r="BU13" s="57" t="e">
        <f t="shared" si="14"/>
        <v>#DIV/0!</v>
      </c>
      <c r="BV13" s="57" t="e">
        <f t="shared" si="14"/>
        <v>#DIV/0!</v>
      </c>
      <c r="BW13" s="57" t="e">
        <f t="shared" si="14"/>
        <v>#DIV/0!</v>
      </c>
      <c r="BX13" s="57" t="e">
        <f t="shared" si="14"/>
        <v>#DIV/0!</v>
      </c>
      <c r="BY13" s="57" t="e">
        <f t="shared" si="14"/>
        <v>#DIV/0!</v>
      </c>
      <c r="BZ13" s="57" t="e">
        <f t="shared" si="14"/>
        <v>#DIV/0!</v>
      </c>
      <c r="CA13" s="57" t="e">
        <f t="shared" si="14"/>
        <v>#DIV/0!</v>
      </c>
      <c r="CB13" s="57" t="e">
        <f t="shared" si="14"/>
        <v>#DIV/0!</v>
      </c>
      <c r="CC13" s="57" t="e">
        <f t="shared" si="14"/>
        <v>#DIV/0!</v>
      </c>
      <c r="CD13" s="57" t="e">
        <f t="shared" si="14"/>
        <v>#DIV/0!</v>
      </c>
      <c r="CE13" s="57" t="e">
        <f t="shared" si="14"/>
        <v>#DIV/0!</v>
      </c>
      <c r="CF13" s="57" t="e">
        <f t="shared" si="14"/>
        <v>#DIV/0!</v>
      </c>
      <c r="CG13" s="57" t="e">
        <f t="shared" si="14"/>
        <v>#DIV/0!</v>
      </c>
      <c r="CH13" s="57" t="e">
        <f t="shared" si="14"/>
        <v>#DIV/0!</v>
      </c>
      <c r="CI13" s="57" t="e">
        <f t="shared" si="14"/>
        <v>#DIV/0!</v>
      </c>
      <c r="CJ13" s="57" t="e">
        <f t="shared" si="14"/>
        <v>#DIV/0!</v>
      </c>
    </row>
    <row r="14" spans="1:89" s="26" customFormat="1" x14ac:dyDescent="0.25">
      <c r="A14" s="128" t="s">
        <v>362</v>
      </c>
      <c r="E14" s="26">
        <f>股权价值增加表!E10</f>
        <v>412185796.76999998</v>
      </c>
      <c r="F14" s="26">
        <f>股权价值增加表!F10</f>
        <v>305179569.81</v>
      </c>
      <c r="G14" s="26">
        <f>股权价值增加表!G10</f>
        <v>217049153.30000001</v>
      </c>
      <c r="H14" s="26">
        <f>股权价值增加表!H10</f>
        <v>126733545.47</v>
      </c>
      <c r="I14" s="26">
        <f>股权价值增加表!I10</f>
        <v>306957023.29000002</v>
      </c>
      <c r="J14" s="26">
        <f>股权价值增加表!J10</f>
        <v>200845799.02000001</v>
      </c>
      <c r="K14" s="26">
        <f>股权价值增加表!K10</f>
        <v>135839900.40000001</v>
      </c>
      <c r="L14" s="26">
        <f>股权价值增加表!L10</f>
        <v>80503404.650000006</v>
      </c>
      <c r="M14" s="26">
        <f>股权价值增加表!M10</f>
        <v>250439497.83000001</v>
      </c>
      <c r="N14" s="26">
        <f>股权价值增加表!N10</f>
        <v>167560243.09</v>
      </c>
      <c r="O14" s="26">
        <f>股权价值增加表!O10</f>
        <v>109574535.88</v>
      </c>
      <c r="P14" s="26">
        <f>股权价值增加表!P10</f>
        <v>44760306.32</v>
      </c>
      <c r="Q14" s="26">
        <f>股权价值增加表!Q10</f>
        <v>199260636.24000001</v>
      </c>
      <c r="R14" s="26">
        <f>股权价值增加表!R10</f>
        <v>126303234.48999999</v>
      </c>
      <c r="S14" s="26">
        <f>股权价值增加表!S10</f>
        <v>83119643.409999996</v>
      </c>
      <c r="T14" s="26">
        <f>股权价值增加表!T10</f>
        <v>43236491.380000003</v>
      </c>
      <c r="U14" s="26">
        <f>股权价值增加表!U10</f>
        <v>172813849.13999999</v>
      </c>
      <c r="V14" s="26">
        <f>股权价值增加表!V10</f>
        <v>114401332.89</v>
      </c>
      <c r="W14" s="26">
        <f>股权价值增加表!W10</f>
        <v>78974700.060000002</v>
      </c>
      <c r="X14" s="26">
        <f>股权价值增加表!X10</f>
        <v>42789633.460000001</v>
      </c>
      <c r="Y14" s="26">
        <f>股权价值增加表!Y10</f>
        <v>155585073.68000001</v>
      </c>
      <c r="Z14" s="26">
        <f>股权价值增加表!Z10</f>
        <v>107818106.62</v>
      </c>
      <c r="AA14" s="26">
        <f>股权价值增加表!AA10</f>
        <v>70303997.909999996</v>
      </c>
      <c r="AB14" s="26">
        <f>股权价值增加表!AB10</f>
        <v>36267100.840000004</v>
      </c>
      <c r="AC14" s="26">
        <f>股权价值增加表!AC10</f>
        <v>145851485.24000001</v>
      </c>
      <c r="AD14" s="26">
        <f>股权价值增加表!AD10</f>
        <v>95195047.700000003</v>
      </c>
      <c r="AE14" s="26">
        <f>股权价值增加表!AE10</f>
        <v>52930645.890000001</v>
      </c>
      <c r="AF14" s="26">
        <f>股权价值增加表!AF10</f>
        <v>22465149.68</v>
      </c>
      <c r="AG14" s="26">
        <f>股权价值增加表!AG10</f>
        <v>76624889.430000007</v>
      </c>
      <c r="AH14" s="26">
        <f>股权价值增加表!AH10</f>
        <v>49568897</v>
      </c>
      <c r="AI14" s="26">
        <f>股权价值增加表!AI10</f>
        <v>31523521.989999998</v>
      </c>
      <c r="AJ14" s="26">
        <f>股权价值增加表!AJ10</f>
        <v>14004284.33</v>
      </c>
      <c r="AK14" s="26">
        <f>股权价值增加表!AK10</f>
        <v>54529063.93</v>
      </c>
      <c r="AL14" s="26">
        <f>股权价值增加表!AL10</f>
        <v>36218004.359999999</v>
      </c>
      <c r="AM14" s="26">
        <f>股权价值增加表!AM10</f>
        <v>24891093.989999998</v>
      </c>
      <c r="AN14" s="26">
        <f>股权价值增加表!AN10</f>
        <v>13710230.73</v>
      </c>
      <c r="AO14" s="26">
        <f>股权价值增加表!AO10</f>
        <v>50602456.740000002</v>
      </c>
      <c r="AP14" s="26">
        <f>股权价值增加表!AP10</f>
        <v>36383370.460000001</v>
      </c>
      <c r="AQ14" s="26">
        <f>股权价值增加表!AQ10</f>
        <v>39988361.549999997</v>
      </c>
      <c r="AR14" s="26">
        <f>股权价值增加表!AR10</f>
        <v>26062197.600000001</v>
      </c>
      <c r="AS14" s="26">
        <f>股权价值增加表!AS10</f>
        <v>0</v>
      </c>
      <c r="AT14" s="26">
        <f>股权价值增加表!AT10</f>
        <v>0</v>
      </c>
      <c r="AU14" s="26">
        <f>股权价值增加表!AU10</f>
        <v>0</v>
      </c>
      <c r="AV14" s="26">
        <f>股权价值增加表!AV10</f>
        <v>0</v>
      </c>
      <c r="AW14" s="26">
        <f>股权价值增加表!AW10</f>
        <v>0</v>
      </c>
      <c r="AX14" s="26">
        <f>股权价值增加表!AX10</f>
        <v>0</v>
      </c>
      <c r="AY14" s="26">
        <f>股权价值增加表!AY10</f>
        <v>0</v>
      </c>
      <c r="AZ14" s="26">
        <f>股权价值增加表!AZ10</f>
        <v>0</v>
      </c>
      <c r="BA14" s="26">
        <f>股权价值增加表!BA10</f>
        <v>0</v>
      </c>
      <c r="BB14" s="26">
        <f>股权价值增加表!BB10</f>
        <v>0</v>
      </c>
      <c r="BC14" s="26">
        <f>股权价值增加表!BC10</f>
        <v>0</v>
      </c>
      <c r="BD14" s="26">
        <f>股权价值增加表!BD10</f>
        <v>0</v>
      </c>
      <c r="BE14" s="26">
        <f>股权价值增加表!BE10</f>
        <v>0</v>
      </c>
      <c r="BF14" s="26">
        <f>股权价值增加表!BF10</f>
        <v>0</v>
      </c>
      <c r="BG14" s="26">
        <f>股权价值增加表!BG10</f>
        <v>0</v>
      </c>
      <c r="BH14" s="26">
        <f>股权价值增加表!BH10</f>
        <v>0</v>
      </c>
      <c r="BI14" s="26">
        <f>股权价值增加表!BI10</f>
        <v>0</v>
      </c>
      <c r="BJ14" s="26">
        <f>股权价值增加表!BJ10</f>
        <v>0</v>
      </c>
      <c r="BK14" s="26">
        <f>股权价值增加表!BK10</f>
        <v>0</v>
      </c>
      <c r="BL14" s="26">
        <f>股权价值增加表!BL10</f>
        <v>0</v>
      </c>
      <c r="BM14" s="26">
        <f>股权价值增加表!BM10</f>
        <v>0</v>
      </c>
      <c r="BN14" s="26">
        <f>股权价值增加表!BN10</f>
        <v>0</v>
      </c>
      <c r="BO14" s="26">
        <f>股权价值增加表!BO10</f>
        <v>0</v>
      </c>
      <c r="BP14" s="26">
        <f>股权价值增加表!BP10</f>
        <v>0</v>
      </c>
      <c r="BQ14" s="26">
        <f>股权价值增加表!BQ10</f>
        <v>0</v>
      </c>
      <c r="BR14" s="26">
        <f>股权价值增加表!BR10</f>
        <v>0</v>
      </c>
      <c r="BS14" s="26">
        <f>股权价值增加表!BS10</f>
        <v>0</v>
      </c>
      <c r="BT14" s="26">
        <f>股权价值增加表!BT10</f>
        <v>0</v>
      </c>
      <c r="BU14" s="26">
        <f>股权价值增加表!BU10</f>
        <v>0</v>
      </c>
      <c r="BV14" s="26">
        <f>股权价值增加表!BV10</f>
        <v>0</v>
      </c>
      <c r="BW14" s="26">
        <f>股权价值增加表!BW10</f>
        <v>0</v>
      </c>
      <c r="BX14" s="26">
        <f>股权价值增加表!BX10</f>
        <v>0</v>
      </c>
      <c r="BY14" s="26">
        <f>股权价值增加表!BY10</f>
        <v>0</v>
      </c>
      <c r="BZ14" s="26">
        <f>股权价值增加表!BZ10</f>
        <v>0</v>
      </c>
      <c r="CA14" s="26">
        <f>股权价值增加表!CA10</f>
        <v>0</v>
      </c>
      <c r="CB14" s="26">
        <f>股权价值增加表!CB10</f>
        <v>0</v>
      </c>
      <c r="CC14" s="26">
        <f>股权价值增加表!CC10</f>
        <v>0</v>
      </c>
      <c r="CD14" s="26">
        <f>股权价值增加表!CD10</f>
        <v>0</v>
      </c>
      <c r="CE14" s="26">
        <f>股权价值增加表!CE10</f>
        <v>0</v>
      </c>
      <c r="CF14" s="26">
        <f>股权价值增加表!CF10</f>
        <v>0</v>
      </c>
      <c r="CG14" s="26">
        <f>股权价值增加表!CG10</f>
        <v>0</v>
      </c>
      <c r="CH14" s="26">
        <f>股权价值增加表!CH10</f>
        <v>0</v>
      </c>
      <c r="CI14" s="26">
        <f>股权价值增加表!CI10</f>
        <v>0</v>
      </c>
      <c r="CJ14" s="26">
        <f>股权价值增加表!CJ10</f>
        <v>0</v>
      </c>
      <c r="CK14" s="26">
        <f>股权价值增加表!CK10</f>
        <v>0</v>
      </c>
    </row>
    <row r="15" spans="1:89" s="57" customFormat="1" x14ac:dyDescent="0.25">
      <c r="A15" s="20" t="s">
        <v>363</v>
      </c>
      <c r="E15" s="57">
        <f>E14/E2</f>
        <v>8.8416770218776058E-2</v>
      </c>
      <c r="F15" s="57">
        <f t="shared" ref="F15:BQ15" si="15">F14/F2</f>
        <v>9.5887908239410527E-2</v>
      </c>
      <c r="G15" s="57">
        <f t="shared" si="15"/>
        <v>0.10954134540890162</v>
      </c>
      <c r="H15" s="57">
        <f t="shared" si="15"/>
        <v>0.11981231619863034</v>
      </c>
      <c r="I15" s="57">
        <f t="shared" si="15"/>
        <v>9.7378155632180191E-2</v>
      </c>
      <c r="J15" s="57">
        <f t="shared" si="15"/>
        <v>9.3188478047520354E-2</v>
      </c>
      <c r="K15" s="57">
        <f t="shared" si="15"/>
        <v>0.10114033829685426</v>
      </c>
      <c r="L15" s="57">
        <f t="shared" si="15"/>
        <v>0.10553031031916577</v>
      </c>
      <c r="M15" s="57">
        <f t="shared" si="15"/>
        <v>8.5895385740603791E-2</v>
      </c>
      <c r="N15" s="57">
        <f t="shared" si="15"/>
        <v>8.1892716121170633E-2</v>
      </c>
      <c r="O15" s="57">
        <f t="shared" si="15"/>
        <v>8.76613052895798E-2</v>
      </c>
      <c r="P15" s="57">
        <f t="shared" si="15"/>
        <v>6.3454249653560849E-2</v>
      </c>
      <c r="Q15" s="57">
        <f t="shared" si="15"/>
        <v>7.215926517561376E-2</v>
      </c>
      <c r="R15" s="57">
        <f t="shared" si="15"/>
        <v>6.7182789062597587E-2</v>
      </c>
      <c r="S15" s="57">
        <f t="shared" si="15"/>
        <v>7.4729074273518659E-2</v>
      </c>
      <c r="T15" s="57">
        <f t="shared" si="15"/>
        <v>6.5778072627908288E-2</v>
      </c>
      <c r="U15" s="57">
        <f t="shared" si="15"/>
        <v>6.846256416651246E-2</v>
      </c>
      <c r="V15" s="57">
        <f t="shared" si="15"/>
        <v>6.6410202107295424E-2</v>
      </c>
      <c r="W15" s="57">
        <f t="shared" si="15"/>
        <v>7.3255406545845669E-2</v>
      </c>
      <c r="X15" s="57">
        <f t="shared" si="15"/>
        <v>6.9536932763613321E-2</v>
      </c>
      <c r="Y15" s="57">
        <f t="shared" si="15"/>
        <v>5.7096406619858639E-2</v>
      </c>
      <c r="Z15" s="57">
        <f t="shared" si="15"/>
        <v>5.8351916040641313E-2</v>
      </c>
      <c r="AA15" s="57">
        <f t="shared" si="15"/>
        <v>6.7828913224820916E-2</v>
      </c>
      <c r="AB15" s="57">
        <f t="shared" si="15"/>
        <v>5.9036142140708861E-2</v>
      </c>
      <c r="AC15" s="57">
        <f t="shared" si="15"/>
        <v>6.1219507851903748E-2</v>
      </c>
      <c r="AD15" s="57">
        <f t="shared" si="15"/>
        <v>5.8262583323247422E-2</v>
      </c>
      <c r="AE15" s="57">
        <f t="shared" si="15"/>
        <v>5.2759381131513884E-2</v>
      </c>
      <c r="AF15" s="57">
        <f t="shared" si="15"/>
        <v>3.8523802331330896E-2</v>
      </c>
      <c r="AG15" s="57">
        <f t="shared" si="15"/>
        <v>4.2129026554724933E-2</v>
      </c>
      <c r="AH15" s="57">
        <f t="shared" si="15"/>
        <v>4.3266324239239283E-2</v>
      </c>
      <c r="AI15" s="57">
        <f t="shared" si="15"/>
        <v>4.7630892529234657E-2</v>
      </c>
      <c r="AJ15" s="57">
        <f t="shared" si="15"/>
        <v>3.897269039757395E-2</v>
      </c>
      <c r="AK15" s="57">
        <f t="shared" si="15"/>
        <v>4.7610881464104193E-2</v>
      </c>
      <c r="AL15" s="57">
        <f t="shared" si="15"/>
        <v>5.0030771773483224E-2</v>
      </c>
      <c r="AM15" s="57">
        <f t="shared" si="15"/>
        <v>6.1071867734927593E-2</v>
      </c>
      <c r="AN15" s="57">
        <f t="shared" si="15"/>
        <v>5.3725154120494799E-2</v>
      </c>
      <c r="AO15" s="57">
        <f t="shared" si="15"/>
        <v>5.6057732658582694E-2</v>
      </c>
      <c r="AP15" s="57">
        <f t="shared" si="15"/>
        <v>5.7488989563090696E-2</v>
      </c>
      <c r="AQ15" s="57">
        <f t="shared" si="15"/>
        <v>5.2939290331864654E-2</v>
      </c>
      <c r="AR15" s="57">
        <f t="shared" si="15"/>
        <v>4.7172457718441266E-2</v>
      </c>
      <c r="AS15" s="57" t="e">
        <f t="shared" si="15"/>
        <v>#DIV/0!</v>
      </c>
      <c r="AT15" s="57" t="e">
        <f t="shared" si="15"/>
        <v>#DIV/0!</v>
      </c>
      <c r="AU15" s="57" t="e">
        <f t="shared" si="15"/>
        <v>#DIV/0!</v>
      </c>
      <c r="AV15" s="57" t="e">
        <f t="shared" si="15"/>
        <v>#DIV/0!</v>
      </c>
      <c r="AW15" s="57" t="e">
        <f t="shared" si="15"/>
        <v>#DIV/0!</v>
      </c>
      <c r="AX15" s="57" t="e">
        <f t="shared" si="15"/>
        <v>#DIV/0!</v>
      </c>
      <c r="AY15" s="57" t="e">
        <f t="shared" si="15"/>
        <v>#DIV/0!</v>
      </c>
      <c r="AZ15" s="57" t="e">
        <f t="shared" si="15"/>
        <v>#DIV/0!</v>
      </c>
      <c r="BA15" s="57" t="e">
        <f t="shared" si="15"/>
        <v>#DIV/0!</v>
      </c>
      <c r="BB15" s="57" t="e">
        <f t="shared" si="15"/>
        <v>#DIV/0!</v>
      </c>
      <c r="BC15" s="57" t="e">
        <f t="shared" si="15"/>
        <v>#DIV/0!</v>
      </c>
      <c r="BD15" s="57" t="e">
        <f t="shared" si="15"/>
        <v>#DIV/0!</v>
      </c>
      <c r="BE15" s="57" t="e">
        <f t="shared" si="15"/>
        <v>#DIV/0!</v>
      </c>
      <c r="BF15" s="57" t="e">
        <f t="shared" si="15"/>
        <v>#DIV/0!</v>
      </c>
      <c r="BG15" s="57" t="e">
        <f t="shared" si="15"/>
        <v>#DIV/0!</v>
      </c>
      <c r="BH15" s="57" t="e">
        <f t="shared" si="15"/>
        <v>#DIV/0!</v>
      </c>
      <c r="BI15" s="57" t="e">
        <f t="shared" si="15"/>
        <v>#DIV/0!</v>
      </c>
      <c r="BJ15" s="57" t="e">
        <f t="shared" si="15"/>
        <v>#DIV/0!</v>
      </c>
      <c r="BK15" s="57" t="e">
        <f t="shared" si="15"/>
        <v>#DIV/0!</v>
      </c>
      <c r="BL15" s="57" t="e">
        <f t="shared" si="15"/>
        <v>#DIV/0!</v>
      </c>
      <c r="BM15" s="57" t="e">
        <f t="shared" si="15"/>
        <v>#DIV/0!</v>
      </c>
      <c r="BN15" s="57" t="e">
        <f t="shared" si="15"/>
        <v>#DIV/0!</v>
      </c>
      <c r="BO15" s="57" t="e">
        <f t="shared" si="15"/>
        <v>#DIV/0!</v>
      </c>
      <c r="BP15" s="57" t="e">
        <f t="shared" si="15"/>
        <v>#DIV/0!</v>
      </c>
      <c r="BQ15" s="57" t="e">
        <f t="shared" si="15"/>
        <v>#DIV/0!</v>
      </c>
      <c r="BR15" s="57" t="e">
        <f t="shared" ref="BR15:CK15" si="16">BR14/BR2</f>
        <v>#DIV/0!</v>
      </c>
      <c r="BS15" s="57" t="e">
        <f t="shared" si="16"/>
        <v>#DIV/0!</v>
      </c>
      <c r="BT15" s="57" t="e">
        <f t="shared" si="16"/>
        <v>#DIV/0!</v>
      </c>
      <c r="BU15" s="57" t="e">
        <f t="shared" si="16"/>
        <v>#DIV/0!</v>
      </c>
      <c r="BV15" s="57" t="e">
        <f t="shared" si="16"/>
        <v>#DIV/0!</v>
      </c>
      <c r="BW15" s="57" t="e">
        <f t="shared" si="16"/>
        <v>#DIV/0!</v>
      </c>
      <c r="BX15" s="57" t="e">
        <f t="shared" si="16"/>
        <v>#DIV/0!</v>
      </c>
      <c r="BY15" s="57" t="e">
        <f t="shared" si="16"/>
        <v>#DIV/0!</v>
      </c>
      <c r="BZ15" s="57" t="e">
        <f t="shared" si="16"/>
        <v>#DIV/0!</v>
      </c>
      <c r="CA15" s="57" t="e">
        <f t="shared" si="16"/>
        <v>#DIV/0!</v>
      </c>
      <c r="CB15" s="57" t="e">
        <f t="shared" si="16"/>
        <v>#DIV/0!</v>
      </c>
      <c r="CC15" s="57" t="e">
        <f t="shared" si="16"/>
        <v>#DIV/0!</v>
      </c>
      <c r="CD15" s="57" t="e">
        <f t="shared" si="16"/>
        <v>#DIV/0!</v>
      </c>
      <c r="CE15" s="57" t="e">
        <f t="shared" si="16"/>
        <v>#DIV/0!</v>
      </c>
      <c r="CF15" s="57" t="e">
        <f t="shared" si="16"/>
        <v>#DIV/0!</v>
      </c>
      <c r="CG15" s="57" t="e">
        <f t="shared" si="16"/>
        <v>#DIV/0!</v>
      </c>
      <c r="CH15" s="57" t="e">
        <f t="shared" si="16"/>
        <v>#DIV/0!</v>
      </c>
      <c r="CI15" s="57" t="e">
        <f t="shared" si="16"/>
        <v>#DIV/0!</v>
      </c>
      <c r="CJ15" s="57" t="e">
        <f t="shared" si="16"/>
        <v>#DIV/0!</v>
      </c>
      <c r="CK15" s="57" t="e">
        <f t="shared" si="16"/>
        <v>#DIV/0!</v>
      </c>
    </row>
    <row r="16" spans="1:89" s="26" customFormat="1" x14ac:dyDescent="0.25">
      <c r="A16" s="128" t="s">
        <v>364</v>
      </c>
      <c r="E16" s="26">
        <f>股权价值增加表!E11</f>
        <v>65575512.200000003</v>
      </c>
      <c r="F16" s="26">
        <f>股权价值增加表!F11</f>
        <v>29317797.829999998</v>
      </c>
      <c r="G16" s="26">
        <f>股权价值增加表!G11</f>
        <v>26957049.120000001</v>
      </c>
      <c r="H16" s="26">
        <f>股权价值增加表!H11</f>
        <v>-89647.65</v>
      </c>
      <c r="I16" s="26">
        <f>股权价值增加表!I11</f>
        <v>48551810.390000001</v>
      </c>
      <c r="J16" s="26">
        <f>股权价值增加表!J11</f>
        <v>11019699.98</v>
      </c>
      <c r="K16" s="26">
        <f>股权价值增加表!K11</f>
        <v>6649353.46</v>
      </c>
      <c r="L16" s="26">
        <f>股权价值增加表!L11</f>
        <v>85801.17</v>
      </c>
      <c r="M16" s="26">
        <f>股权价值增加表!M11</f>
        <v>31301733.23</v>
      </c>
      <c r="N16" s="26">
        <f>股权价值增加表!N11</f>
        <v>8445470.3900000006</v>
      </c>
      <c r="O16" s="26">
        <f>股权价值增加表!O11</f>
        <v>3336644.17</v>
      </c>
      <c r="P16" s="26">
        <f>股权价值增加表!P11</f>
        <v>0</v>
      </c>
      <c r="Q16" s="26">
        <f>股权价值增加表!Q11</f>
        <v>16020971.09</v>
      </c>
      <c r="R16" s="26">
        <f>股权价值增加表!R11</f>
        <v>6427163.0099999998</v>
      </c>
      <c r="S16" s="26">
        <f>股权价值增加表!S11</f>
        <v>2690680.83</v>
      </c>
      <c r="T16" s="26">
        <f>股权价值增加表!T11</f>
        <v>-3177958.92</v>
      </c>
      <c r="U16" s="26">
        <f>股权价值增加表!U11</f>
        <v>11326349.439999999</v>
      </c>
      <c r="V16" s="26">
        <f>股权价值增加表!V11</f>
        <v>7270320.96</v>
      </c>
      <c r="W16" s="26">
        <f>股权价值增加表!W11</f>
        <v>2314149.34</v>
      </c>
      <c r="X16" s="26">
        <f>股权价值增加表!X11</f>
        <v>-3118573.26</v>
      </c>
      <c r="Y16" s="26">
        <f>股权价值增加表!Y11</f>
        <v>7773704.8799999999</v>
      </c>
      <c r="Z16" s="26">
        <f>股权价值增加表!Z11</f>
        <v>1176562.18</v>
      </c>
      <c r="AA16" s="26">
        <f>股权价值增加表!AA11</f>
        <v>1176562.18</v>
      </c>
      <c r="AB16" s="26">
        <f>股权价值增加表!AB11</f>
        <v>-1424905.41</v>
      </c>
      <c r="AC16" s="26">
        <f>股权价值增加表!AC11</f>
        <v>6385375.54</v>
      </c>
      <c r="AD16" s="26">
        <f>股权价值增加表!AD11</f>
        <v>-1478775.53</v>
      </c>
      <c r="AE16" s="26">
        <f>股权价值增加表!AE11</f>
        <v>1288432.1299999999</v>
      </c>
      <c r="AF16" s="26">
        <f>股权价值增加表!AF11</f>
        <v>1743020.67</v>
      </c>
      <c r="AG16" s="26">
        <f>股权价值增加表!AG11</f>
        <v>11604270.25</v>
      </c>
      <c r="AH16" s="26">
        <f>股权价值增加表!AH11</f>
        <v>3376746.29</v>
      </c>
      <c r="AI16" s="26">
        <f>股权价值增加表!AI11</f>
        <v>2759387.69</v>
      </c>
      <c r="AJ16" s="26">
        <f>股权价值增加表!AJ11</f>
        <v>1105608.6299999999</v>
      </c>
      <c r="AK16" s="26">
        <f>股权价值增加表!AK11</f>
        <v>-348833.67</v>
      </c>
      <c r="AL16" s="26">
        <f>股权价值增加表!AL11</f>
        <v>2011126.59</v>
      </c>
      <c r="AM16" s="26">
        <f>股权价值增加表!AM11</f>
        <v>527836.24</v>
      </c>
      <c r="AN16" s="26">
        <f>股权价值增加表!AN11</f>
        <v>2092025.91</v>
      </c>
      <c r="AO16" s="26">
        <f>股权价值增加表!AO11</f>
        <v>6621635.0700000003</v>
      </c>
      <c r="AP16" s="26">
        <f>股权价值增加表!AP11</f>
        <v>2127303.25</v>
      </c>
      <c r="AQ16" s="26">
        <f>股权价值增加表!AQ11</f>
        <v>1747683.12</v>
      </c>
      <c r="AR16" s="26">
        <f>股权价值增加表!AR11</f>
        <v>-2139051.2400000002</v>
      </c>
      <c r="AS16" s="26">
        <f>股权价值增加表!AS11</f>
        <v>0</v>
      </c>
      <c r="AT16" s="26">
        <f>股权价值增加表!AT11</f>
        <v>0</v>
      </c>
      <c r="AU16" s="26">
        <f>股权价值增加表!AU11</f>
        <v>0</v>
      </c>
      <c r="AV16" s="26">
        <f>股权价值增加表!AV11</f>
        <v>0</v>
      </c>
      <c r="AW16" s="26">
        <f>股权价值增加表!AW11</f>
        <v>0</v>
      </c>
      <c r="AX16" s="26">
        <f>股权价值增加表!AX11</f>
        <v>0</v>
      </c>
      <c r="AY16" s="26">
        <f>股权价值增加表!AY11</f>
        <v>0</v>
      </c>
      <c r="AZ16" s="26">
        <f>股权价值增加表!AZ11</f>
        <v>0</v>
      </c>
      <c r="BA16" s="26">
        <f>股权价值增加表!BA11</f>
        <v>0</v>
      </c>
      <c r="BB16" s="26">
        <f>股权价值增加表!BB11</f>
        <v>0</v>
      </c>
      <c r="BC16" s="26">
        <f>股权价值增加表!BC11</f>
        <v>0</v>
      </c>
      <c r="BD16" s="26">
        <f>股权价值增加表!BD11</f>
        <v>0</v>
      </c>
      <c r="BE16" s="26">
        <f>股权价值增加表!BE11</f>
        <v>0</v>
      </c>
      <c r="BF16" s="26">
        <f>股权价值增加表!BF11</f>
        <v>0</v>
      </c>
      <c r="BG16" s="26">
        <f>股权价值增加表!BG11</f>
        <v>0</v>
      </c>
      <c r="BH16" s="26">
        <f>股权价值增加表!BH11</f>
        <v>0</v>
      </c>
      <c r="BI16" s="26">
        <f>股权价值增加表!BI11</f>
        <v>0</v>
      </c>
      <c r="BJ16" s="26">
        <f>股权价值增加表!BJ11</f>
        <v>0</v>
      </c>
      <c r="BK16" s="26">
        <f>股权价值增加表!BK11</f>
        <v>0</v>
      </c>
      <c r="BL16" s="26">
        <f>股权价值增加表!BL11</f>
        <v>0</v>
      </c>
      <c r="BM16" s="26">
        <f>股权价值增加表!BM11</f>
        <v>0</v>
      </c>
      <c r="BN16" s="26">
        <f>股权价值增加表!BN11</f>
        <v>0</v>
      </c>
      <c r="BO16" s="26">
        <f>股权价值增加表!BO11</f>
        <v>0</v>
      </c>
      <c r="BP16" s="26">
        <f>股权价值增加表!BP11</f>
        <v>0</v>
      </c>
      <c r="BQ16" s="26">
        <f>股权价值增加表!BQ11</f>
        <v>0</v>
      </c>
      <c r="BR16" s="26">
        <f>股权价值增加表!BR11</f>
        <v>0</v>
      </c>
      <c r="BS16" s="26">
        <f>股权价值增加表!BS11</f>
        <v>0</v>
      </c>
      <c r="BT16" s="26">
        <f>股权价值增加表!BT11</f>
        <v>0</v>
      </c>
      <c r="BU16" s="26">
        <f>股权价值增加表!BU11</f>
        <v>0</v>
      </c>
      <c r="BV16" s="26">
        <f>股权价值增加表!BV11</f>
        <v>0</v>
      </c>
      <c r="BW16" s="26">
        <f>股权价值增加表!BW11</f>
        <v>0</v>
      </c>
      <c r="BX16" s="26">
        <f>股权价值增加表!BX11</f>
        <v>0</v>
      </c>
      <c r="BY16" s="26">
        <f>股权价值增加表!BY11</f>
        <v>0</v>
      </c>
      <c r="BZ16" s="26">
        <f>股权价值增加表!BZ11</f>
        <v>0</v>
      </c>
      <c r="CA16" s="26">
        <f>股权价值增加表!CA11</f>
        <v>0</v>
      </c>
      <c r="CB16" s="26">
        <f>股权价值增加表!CB11</f>
        <v>0</v>
      </c>
      <c r="CC16" s="26">
        <f>股权价值增加表!CC11</f>
        <v>0</v>
      </c>
      <c r="CD16" s="26">
        <f>股权价值增加表!CD11</f>
        <v>0</v>
      </c>
      <c r="CE16" s="26">
        <f>股权价值增加表!CE11</f>
        <v>0</v>
      </c>
      <c r="CF16" s="26">
        <f>股权价值增加表!CF11</f>
        <v>0</v>
      </c>
      <c r="CG16" s="26">
        <f>股权价值增加表!CG11</f>
        <v>0</v>
      </c>
      <c r="CH16" s="26">
        <f>股权价值增加表!CH11</f>
        <v>0</v>
      </c>
      <c r="CI16" s="26">
        <f>股权价值增加表!CI11</f>
        <v>0</v>
      </c>
      <c r="CJ16" s="26">
        <f>股权价值增加表!CJ11</f>
        <v>0</v>
      </c>
    </row>
    <row r="17" spans="1:89" s="57" customFormat="1" x14ac:dyDescent="0.25">
      <c r="A17" s="20" t="s">
        <v>669</v>
      </c>
      <c r="E17" s="57">
        <f>E16/E2</f>
        <v>1.4066411408642548E-2</v>
      </c>
      <c r="F17" s="57">
        <f t="shared" ref="F17:BQ17" si="17">F16/F2</f>
        <v>9.2116989019115914E-3</v>
      </c>
      <c r="G17" s="57">
        <f t="shared" si="17"/>
        <v>1.3604805105031696E-2</v>
      </c>
      <c r="H17" s="57">
        <f t="shared" si="17"/>
        <v>-8.4751772298571857E-5</v>
      </c>
      <c r="I17" s="57">
        <f t="shared" si="17"/>
        <v>1.5402435486595192E-2</v>
      </c>
      <c r="J17" s="57">
        <f t="shared" si="17"/>
        <v>5.1129228228180765E-3</v>
      </c>
      <c r="K17" s="57">
        <f t="shared" si="17"/>
        <v>4.9508123638152953E-3</v>
      </c>
      <c r="L17" s="57">
        <f t="shared" si="17"/>
        <v>1.1247504543706891E-4</v>
      </c>
      <c r="M17" s="57">
        <f t="shared" si="17"/>
        <v>1.0735824314603185E-2</v>
      </c>
      <c r="N17" s="57">
        <f t="shared" si="17"/>
        <v>4.1276050714878576E-3</v>
      </c>
      <c r="O17" s="57">
        <f t="shared" si="17"/>
        <v>2.669366389554144E-3</v>
      </c>
      <c r="P17" s="57">
        <f t="shared" si="17"/>
        <v>0</v>
      </c>
      <c r="Q17" s="57">
        <f t="shared" si="17"/>
        <v>5.8017555452434186E-3</v>
      </c>
      <c r="R17" s="57">
        <f t="shared" si="17"/>
        <v>3.4187147978854567E-3</v>
      </c>
      <c r="S17" s="57">
        <f t="shared" si="17"/>
        <v>2.4190682171190852E-3</v>
      </c>
      <c r="T17" s="57">
        <f t="shared" si="17"/>
        <v>-4.8348051836825294E-3</v>
      </c>
      <c r="U17" s="57">
        <f t="shared" si="17"/>
        <v>4.4870878645851481E-3</v>
      </c>
      <c r="V17" s="57">
        <f t="shared" si="17"/>
        <v>4.2204358300855982E-3</v>
      </c>
      <c r="W17" s="57">
        <f t="shared" si="17"/>
        <v>2.1465602348689746E-3</v>
      </c>
      <c r="X17" s="57">
        <f t="shared" si="17"/>
        <v>-5.0679569223639337E-3</v>
      </c>
      <c r="Y17" s="57">
        <f t="shared" si="17"/>
        <v>2.8527840381664779E-3</v>
      </c>
      <c r="Z17" s="57">
        <f t="shared" si="17"/>
        <v>6.3676370969789067E-4</v>
      </c>
      <c r="AA17" s="57">
        <f t="shared" si="17"/>
        <v>1.1351407655790613E-3</v>
      </c>
      <c r="AB17" s="57">
        <f t="shared" si="17"/>
        <v>-2.319482847359161E-3</v>
      </c>
      <c r="AC17" s="57">
        <f t="shared" si="17"/>
        <v>2.680189011206425E-3</v>
      </c>
      <c r="AD17" s="57">
        <f t="shared" si="17"/>
        <v>-9.0506055319728958E-4</v>
      </c>
      <c r="AE17" s="57">
        <f t="shared" si="17"/>
        <v>1.2842632215376171E-3</v>
      </c>
      <c r="AF17" s="57">
        <f t="shared" si="17"/>
        <v>2.9889755780387007E-3</v>
      </c>
      <c r="AG17" s="57">
        <f t="shared" si="17"/>
        <v>6.3801280908478628E-3</v>
      </c>
      <c r="AH17" s="57">
        <f t="shared" si="17"/>
        <v>2.9474006624918103E-3</v>
      </c>
      <c r="AI17" s="57">
        <f t="shared" si="17"/>
        <v>4.1693342054411444E-3</v>
      </c>
      <c r="AJ17" s="57">
        <f t="shared" si="17"/>
        <v>3.0768114830096345E-3</v>
      </c>
      <c r="AK17" s="57">
        <f t="shared" si="17"/>
        <v>-3.0457662971032846E-4</v>
      </c>
      <c r="AL17" s="57">
        <f t="shared" si="17"/>
        <v>2.7781269898735405E-3</v>
      </c>
      <c r="AM17" s="57">
        <f t="shared" si="17"/>
        <v>1.2950794789466584E-3</v>
      </c>
      <c r="AN17" s="57">
        <f t="shared" si="17"/>
        <v>8.1978499598028554E-3</v>
      </c>
      <c r="AO17" s="57">
        <f t="shared" si="17"/>
        <v>7.335490654613531E-3</v>
      </c>
      <c r="AP17" s="57">
        <f t="shared" si="17"/>
        <v>3.3613299919871939E-3</v>
      </c>
      <c r="AQ17" s="57">
        <f t="shared" si="17"/>
        <v>2.3137007997212898E-3</v>
      </c>
      <c r="AR17" s="57">
        <f t="shared" si="17"/>
        <v>-3.8716729005415628E-3</v>
      </c>
      <c r="AS17" s="57" t="e">
        <f t="shared" si="17"/>
        <v>#DIV/0!</v>
      </c>
      <c r="AT17" s="57" t="e">
        <f t="shared" si="17"/>
        <v>#DIV/0!</v>
      </c>
      <c r="AU17" s="57" t="e">
        <f t="shared" si="17"/>
        <v>#DIV/0!</v>
      </c>
      <c r="AV17" s="57" t="e">
        <f t="shared" si="17"/>
        <v>#DIV/0!</v>
      </c>
      <c r="AW17" s="57" t="e">
        <f t="shared" si="17"/>
        <v>#DIV/0!</v>
      </c>
      <c r="AX17" s="57" t="e">
        <f t="shared" si="17"/>
        <v>#DIV/0!</v>
      </c>
      <c r="AY17" s="57" t="e">
        <f t="shared" si="17"/>
        <v>#DIV/0!</v>
      </c>
      <c r="AZ17" s="57" t="e">
        <f t="shared" si="17"/>
        <v>#DIV/0!</v>
      </c>
      <c r="BA17" s="57" t="e">
        <f t="shared" si="17"/>
        <v>#DIV/0!</v>
      </c>
      <c r="BB17" s="57" t="e">
        <f t="shared" si="17"/>
        <v>#DIV/0!</v>
      </c>
      <c r="BC17" s="57" t="e">
        <f t="shared" si="17"/>
        <v>#DIV/0!</v>
      </c>
      <c r="BD17" s="57" t="e">
        <f t="shared" si="17"/>
        <v>#DIV/0!</v>
      </c>
      <c r="BE17" s="57" t="e">
        <f t="shared" si="17"/>
        <v>#DIV/0!</v>
      </c>
      <c r="BF17" s="57" t="e">
        <f t="shared" si="17"/>
        <v>#DIV/0!</v>
      </c>
      <c r="BG17" s="57" t="e">
        <f t="shared" si="17"/>
        <v>#DIV/0!</v>
      </c>
      <c r="BH17" s="57" t="e">
        <f t="shared" si="17"/>
        <v>#DIV/0!</v>
      </c>
      <c r="BI17" s="57" t="e">
        <f t="shared" si="17"/>
        <v>#DIV/0!</v>
      </c>
      <c r="BJ17" s="57" t="e">
        <f t="shared" si="17"/>
        <v>#DIV/0!</v>
      </c>
      <c r="BK17" s="57" t="e">
        <f t="shared" si="17"/>
        <v>#DIV/0!</v>
      </c>
      <c r="BL17" s="57" t="e">
        <f t="shared" si="17"/>
        <v>#DIV/0!</v>
      </c>
      <c r="BM17" s="57" t="e">
        <f t="shared" si="17"/>
        <v>#DIV/0!</v>
      </c>
      <c r="BN17" s="57" t="e">
        <f t="shared" si="17"/>
        <v>#DIV/0!</v>
      </c>
      <c r="BO17" s="57" t="e">
        <f t="shared" si="17"/>
        <v>#DIV/0!</v>
      </c>
      <c r="BP17" s="57" t="e">
        <f t="shared" si="17"/>
        <v>#DIV/0!</v>
      </c>
      <c r="BQ17" s="57" t="e">
        <f t="shared" si="17"/>
        <v>#DIV/0!</v>
      </c>
      <c r="BR17" s="57" t="e">
        <f t="shared" ref="BR17:CK17" si="18">BR16/BR2</f>
        <v>#DIV/0!</v>
      </c>
      <c r="BS17" s="57" t="e">
        <f t="shared" si="18"/>
        <v>#DIV/0!</v>
      </c>
      <c r="BT17" s="57" t="e">
        <f t="shared" si="18"/>
        <v>#DIV/0!</v>
      </c>
      <c r="BU17" s="57" t="e">
        <f t="shared" si="18"/>
        <v>#DIV/0!</v>
      </c>
      <c r="BV17" s="57" t="e">
        <f t="shared" si="18"/>
        <v>#DIV/0!</v>
      </c>
      <c r="BW17" s="57" t="e">
        <f t="shared" si="18"/>
        <v>#DIV/0!</v>
      </c>
      <c r="BX17" s="57" t="e">
        <f t="shared" si="18"/>
        <v>#DIV/0!</v>
      </c>
      <c r="BY17" s="57" t="e">
        <f t="shared" si="18"/>
        <v>#DIV/0!</v>
      </c>
      <c r="BZ17" s="57" t="e">
        <f t="shared" si="18"/>
        <v>#DIV/0!</v>
      </c>
      <c r="CA17" s="57" t="e">
        <f t="shared" si="18"/>
        <v>#DIV/0!</v>
      </c>
      <c r="CB17" s="57" t="e">
        <f t="shared" si="18"/>
        <v>#DIV/0!</v>
      </c>
      <c r="CC17" s="57" t="e">
        <f t="shared" si="18"/>
        <v>#DIV/0!</v>
      </c>
      <c r="CD17" s="57" t="e">
        <f t="shared" si="18"/>
        <v>#DIV/0!</v>
      </c>
      <c r="CE17" s="57" t="e">
        <f t="shared" si="18"/>
        <v>#DIV/0!</v>
      </c>
      <c r="CF17" s="57" t="e">
        <f t="shared" si="18"/>
        <v>#DIV/0!</v>
      </c>
      <c r="CG17" s="57" t="e">
        <f t="shared" si="18"/>
        <v>#DIV/0!</v>
      </c>
      <c r="CH17" s="57" t="e">
        <f t="shared" si="18"/>
        <v>#DIV/0!</v>
      </c>
      <c r="CI17" s="57" t="e">
        <f t="shared" si="18"/>
        <v>#DIV/0!</v>
      </c>
      <c r="CJ17" s="57" t="e">
        <f t="shared" si="18"/>
        <v>#DIV/0!</v>
      </c>
      <c r="CK17" s="57" t="e">
        <f t="shared" si="18"/>
        <v>#DIV/0!</v>
      </c>
    </row>
    <row r="18" spans="1:89" s="26" customFormat="1" x14ac:dyDescent="0.25">
      <c r="A18" s="128" t="s">
        <v>365</v>
      </c>
      <c r="E18" s="26">
        <f>股权价值增加表!E12</f>
        <v>2436461.2000000002</v>
      </c>
      <c r="F18" s="26">
        <f>股权价值增加表!F12</f>
        <v>1204</v>
      </c>
      <c r="G18" s="26">
        <f>股权价值增加表!G12</f>
        <v>868</v>
      </c>
      <c r="H18" s="26">
        <f>股权价值增加表!H12</f>
        <v>644</v>
      </c>
      <c r="I18" s="26">
        <f>股权价值增加表!I12</f>
        <v>1454244.2</v>
      </c>
      <c r="J18" s="26">
        <f>股权价值增加表!J12</f>
        <v>0</v>
      </c>
      <c r="K18" s="26">
        <f>股权价值增加表!K12</f>
        <v>0</v>
      </c>
      <c r="L18" s="26">
        <f>股权价值增加表!L12</f>
        <v>0</v>
      </c>
      <c r="M18" s="26">
        <f>股权价值增加表!M12</f>
        <v>1094925.45</v>
      </c>
      <c r="N18" s="26">
        <f>股权价值增加表!N12</f>
        <v>0</v>
      </c>
      <c r="O18" s="26">
        <f>股权价值增加表!O12</f>
        <v>0</v>
      </c>
      <c r="P18" s="26">
        <f>股权价值增加表!P12</f>
        <v>0</v>
      </c>
      <c r="Q18" s="26">
        <f>股权价值增加表!Q12</f>
        <v>1029644.95</v>
      </c>
      <c r="R18" s="26">
        <f>股权价值增加表!R12</f>
        <v>0</v>
      </c>
      <c r="S18" s="26">
        <f>股权价值增加表!S12</f>
        <v>0</v>
      </c>
      <c r="T18" s="26">
        <f>股权价值增加表!T12</f>
        <v>0</v>
      </c>
      <c r="U18" s="26">
        <f>股权价值增加表!U12</f>
        <v>1034258.26</v>
      </c>
      <c r="V18" s="26">
        <f>股权价值增加表!V12</f>
        <v>0</v>
      </c>
      <c r="W18" s="26">
        <f>股权价值增加表!W12</f>
        <v>0</v>
      </c>
      <c r="X18" s="26">
        <f>股权价值增加表!X12</f>
        <v>0</v>
      </c>
      <c r="Y18" s="26">
        <f>股权价值增加表!Y12</f>
        <v>1085164.3500000001</v>
      </c>
      <c r="Z18" s="26">
        <f>股权价值增加表!Z12</f>
        <v>0</v>
      </c>
      <c r="AA18" s="26">
        <f>股权价值增加表!AA12</f>
        <v>0</v>
      </c>
      <c r="AB18" s="26">
        <f>股权价值增加表!AB12</f>
        <v>0</v>
      </c>
      <c r="AC18" s="26">
        <f>股权价值增加表!AC12</f>
        <v>1026408.6</v>
      </c>
      <c r="AD18" s="26">
        <f>股权价值增加表!AD12</f>
        <v>0</v>
      </c>
      <c r="AE18" s="26">
        <f>股权价值增加表!AE12</f>
        <v>0</v>
      </c>
      <c r="AF18" s="26">
        <f>股权价值增加表!AF12</f>
        <v>0</v>
      </c>
      <c r="AG18" s="26">
        <f>股权价值增加表!AG12</f>
        <v>718382.01</v>
      </c>
      <c r="AH18" s="26">
        <f>股权价值增加表!AH12</f>
        <v>0</v>
      </c>
      <c r="AI18" s="26">
        <f>股权价值增加表!AI12</f>
        <v>0</v>
      </c>
      <c r="AJ18" s="26">
        <f>股权价值增加表!AJ12</f>
        <v>0</v>
      </c>
      <c r="AK18" s="26">
        <f>股权价值增加表!AK12</f>
        <v>542733.84</v>
      </c>
      <c r="AL18" s="26">
        <f>股权价值增加表!AL12</f>
        <v>0</v>
      </c>
      <c r="AM18" s="26">
        <f>股权价值增加表!AM12</f>
        <v>0</v>
      </c>
      <c r="AN18" s="26">
        <f>股权价值增加表!AN12</f>
        <v>0</v>
      </c>
      <c r="AO18" s="26">
        <f>股权价值增加表!AO12</f>
        <v>561409.23</v>
      </c>
      <c r="AP18" s="26">
        <f>股权价值增加表!AP12</f>
        <v>0</v>
      </c>
      <c r="AQ18" s="26">
        <f>股权价值增加表!AQ12</f>
        <v>0</v>
      </c>
      <c r="AR18" s="26">
        <f>股权价值增加表!AR12</f>
        <v>0</v>
      </c>
      <c r="AS18" s="26">
        <f>股权价值增加表!AS12</f>
        <v>0</v>
      </c>
      <c r="AT18" s="26">
        <f>股权价值增加表!AT12</f>
        <v>0</v>
      </c>
      <c r="AU18" s="26">
        <f>股权价值增加表!AU12</f>
        <v>0</v>
      </c>
      <c r="AV18" s="26">
        <f>股权价值增加表!AV12</f>
        <v>0</v>
      </c>
      <c r="AW18" s="26">
        <f>股权价值增加表!AW12</f>
        <v>0</v>
      </c>
      <c r="AX18" s="26">
        <f>股权价值增加表!AX12</f>
        <v>0</v>
      </c>
      <c r="AY18" s="26">
        <f>股权价值增加表!AY12</f>
        <v>0</v>
      </c>
      <c r="AZ18" s="26">
        <f>股权价值增加表!AZ12</f>
        <v>0</v>
      </c>
      <c r="BA18" s="26">
        <f>股权价值增加表!BA12</f>
        <v>0</v>
      </c>
      <c r="BB18" s="26">
        <f>股权价值增加表!BB12</f>
        <v>0</v>
      </c>
      <c r="BC18" s="26">
        <f>股权价值增加表!BC12</f>
        <v>0</v>
      </c>
      <c r="BD18" s="26">
        <f>股权价值增加表!BD12</f>
        <v>0</v>
      </c>
      <c r="BE18" s="26">
        <f>股权价值增加表!BE12</f>
        <v>0</v>
      </c>
      <c r="BF18" s="26">
        <f>股权价值增加表!BF12</f>
        <v>0</v>
      </c>
      <c r="BG18" s="26">
        <f>股权价值增加表!BG12</f>
        <v>0</v>
      </c>
      <c r="BH18" s="26">
        <f>股权价值增加表!BH12</f>
        <v>0</v>
      </c>
      <c r="BI18" s="26">
        <f>股权价值增加表!BI12</f>
        <v>0</v>
      </c>
      <c r="BJ18" s="26">
        <f>股权价值增加表!BJ12</f>
        <v>0</v>
      </c>
      <c r="BK18" s="26">
        <f>股权价值增加表!BK12</f>
        <v>0</v>
      </c>
      <c r="BL18" s="26">
        <f>股权价值增加表!BL12</f>
        <v>0</v>
      </c>
      <c r="BM18" s="26">
        <f>股权价值增加表!BM12</f>
        <v>0</v>
      </c>
      <c r="BN18" s="26">
        <f>股权价值增加表!BN12</f>
        <v>0</v>
      </c>
      <c r="BO18" s="26">
        <f>股权价值增加表!BO12</f>
        <v>0</v>
      </c>
      <c r="BP18" s="26">
        <f>股权价值增加表!BP12</f>
        <v>0</v>
      </c>
      <c r="BQ18" s="26">
        <f>股权价值增加表!BQ12</f>
        <v>0</v>
      </c>
      <c r="BR18" s="26">
        <f>股权价值增加表!BR12</f>
        <v>0</v>
      </c>
      <c r="BS18" s="26">
        <f>股权价值增加表!BS12</f>
        <v>0</v>
      </c>
      <c r="BT18" s="26">
        <f>股权价值增加表!BT12</f>
        <v>0</v>
      </c>
      <c r="BU18" s="26">
        <f>股权价值增加表!BU12</f>
        <v>0</v>
      </c>
      <c r="BV18" s="26">
        <f>股权价值增加表!BV12</f>
        <v>0</v>
      </c>
      <c r="BW18" s="26">
        <f>股权价值增加表!BW12</f>
        <v>0</v>
      </c>
      <c r="BX18" s="26">
        <f>股权价值增加表!BX12</f>
        <v>0</v>
      </c>
      <c r="BY18" s="26">
        <f>股权价值增加表!BY12</f>
        <v>0</v>
      </c>
      <c r="BZ18" s="26">
        <f>股权价值增加表!BZ12</f>
        <v>0</v>
      </c>
      <c r="CA18" s="26">
        <f>股权价值增加表!CA12</f>
        <v>0</v>
      </c>
      <c r="CB18" s="26">
        <f>股权价值增加表!CB12</f>
        <v>0</v>
      </c>
      <c r="CC18" s="26">
        <f>股权价值增加表!CC12</f>
        <v>0</v>
      </c>
      <c r="CD18" s="26">
        <f>股权价值增加表!CD12</f>
        <v>0</v>
      </c>
      <c r="CE18" s="26">
        <f>股权价值增加表!CE12</f>
        <v>0</v>
      </c>
      <c r="CF18" s="26">
        <f>股权价值增加表!CF12</f>
        <v>0</v>
      </c>
      <c r="CG18" s="26">
        <f>股权价值增加表!CG12</f>
        <v>0</v>
      </c>
      <c r="CH18" s="26">
        <f>股权价值增加表!CH12</f>
        <v>0</v>
      </c>
      <c r="CI18" s="26">
        <f>股权价值增加表!CI12</f>
        <v>0</v>
      </c>
      <c r="CJ18" s="26">
        <f>股权价值增加表!CJ12</f>
        <v>0</v>
      </c>
      <c r="CK18" s="26">
        <f>股权价值增加表!CK12</f>
        <v>0</v>
      </c>
    </row>
    <row r="19" spans="1:89" s="57" customFormat="1" x14ac:dyDescent="0.25">
      <c r="A19" s="20" t="s">
        <v>366</v>
      </c>
      <c r="E19" s="57">
        <f>E18/E2</f>
        <v>5.2263816889248655E-4</v>
      </c>
      <c r="F19" s="57">
        <f t="shared" ref="F19:BQ19" si="19">F18/F2</f>
        <v>3.7829872291951595E-7</v>
      </c>
      <c r="G19" s="57">
        <f t="shared" si="19"/>
        <v>4.3806615399925909E-7</v>
      </c>
      <c r="H19" s="57">
        <f t="shared" si="19"/>
        <v>6.0882958293140172E-7</v>
      </c>
      <c r="I19" s="57">
        <f t="shared" si="19"/>
        <v>4.6134021146343571E-4</v>
      </c>
      <c r="J19" s="57">
        <f t="shared" si="19"/>
        <v>0</v>
      </c>
      <c r="K19" s="57">
        <f t="shared" si="19"/>
        <v>0</v>
      </c>
      <c r="L19" s="57">
        <f t="shared" si="19"/>
        <v>0</v>
      </c>
      <c r="M19" s="57">
        <f t="shared" si="19"/>
        <v>3.7553598653514028E-4</v>
      </c>
      <c r="N19" s="57">
        <f t="shared" si="19"/>
        <v>0</v>
      </c>
      <c r="O19" s="57">
        <f t="shared" si="19"/>
        <v>0</v>
      </c>
      <c r="P19" s="57">
        <f t="shared" si="19"/>
        <v>0</v>
      </c>
      <c r="Q19" s="57">
        <f t="shared" si="19"/>
        <v>3.7287054977729083E-4</v>
      </c>
      <c r="R19" s="57">
        <f t="shared" si="19"/>
        <v>0</v>
      </c>
      <c r="S19" s="57">
        <f t="shared" si="19"/>
        <v>0</v>
      </c>
      <c r="T19" s="57">
        <f t="shared" si="19"/>
        <v>0</v>
      </c>
      <c r="U19" s="57">
        <f t="shared" si="19"/>
        <v>4.0973552086460713E-4</v>
      </c>
      <c r="V19" s="57">
        <f t="shared" si="19"/>
        <v>0</v>
      </c>
      <c r="W19" s="57">
        <f t="shared" si="19"/>
        <v>0</v>
      </c>
      <c r="X19" s="57">
        <f t="shared" si="19"/>
        <v>0</v>
      </c>
      <c r="Y19" s="57">
        <f t="shared" si="19"/>
        <v>3.982321922757764E-4</v>
      </c>
      <c r="Z19" s="57">
        <f t="shared" si="19"/>
        <v>0</v>
      </c>
      <c r="AA19" s="57">
        <f t="shared" si="19"/>
        <v>0</v>
      </c>
      <c r="AB19" s="57">
        <f t="shared" si="19"/>
        <v>0</v>
      </c>
      <c r="AC19" s="57">
        <f t="shared" si="19"/>
        <v>4.3082337655707734E-4</v>
      </c>
      <c r="AD19" s="57">
        <f t="shared" si="19"/>
        <v>0</v>
      </c>
      <c r="AE19" s="57">
        <f t="shared" si="19"/>
        <v>0</v>
      </c>
      <c r="AF19" s="57">
        <f t="shared" si="19"/>
        <v>0</v>
      </c>
      <c r="AG19" s="57">
        <f t="shared" si="19"/>
        <v>3.9497263879740738E-4</v>
      </c>
      <c r="AH19" s="57">
        <f t="shared" si="19"/>
        <v>0</v>
      </c>
      <c r="AI19" s="57">
        <f t="shared" si="19"/>
        <v>0</v>
      </c>
      <c r="AJ19" s="57">
        <f t="shared" si="19"/>
        <v>0</v>
      </c>
      <c r="AK19" s="57">
        <f t="shared" si="19"/>
        <v>4.7387640022519801E-4</v>
      </c>
      <c r="AL19" s="57">
        <f t="shared" si="19"/>
        <v>0</v>
      </c>
      <c r="AM19" s="57">
        <f t="shared" si="19"/>
        <v>0</v>
      </c>
      <c r="AN19" s="57">
        <f t="shared" si="19"/>
        <v>0</v>
      </c>
      <c r="AO19" s="57">
        <f t="shared" si="19"/>
        <v>6.2193281818515836E-4</v>
      </c>
      <c r="AP19" s="57">
        <f t="shared" si="19"/>
        <v>0</v>
      </c>
      <c r="AQ19" s="57">
        <f t="shared" si="19"/>
        <v>0</v>
      </c>
      <c r="AR19" s="57">
        <f t="shared" si="19"/>
        <v>0</v>
      </c>
      <c r="AS19" s="57" t="e">
        <f t="shared" si="19"/>
        <v>#DIV/0!</v>
      </c>
      <c r="AT19" s="57" t="e">
        <f t="shared" si="19"/>
        <v>#DIV/0!</v>
      </c>
      <c r="AU19" s="57" t="e">
        <f t="shared" si="19"/>
        <v>#DIV/0!</v>
      </c>
      <c r="AV19" s="57" t="e">
        <f t="shared" si="19"/>
        <v>#DIV/0!</v>
      </c>
      <c r="AW19" s="57" t="e">
        <f t="shared" si="19"/>
        <v>#DIV/0!</v>
      </c>
      <c r="AX19" s="57" t="e">
        <f t="shared" si="19"/>
        <v>#DIV/0!</v>
      </c>
      <c r="AY19" s="57" t="e">
        <f t="shared" si="19"/>
        <v>#DIV/0!</v>
      </c>
      <c r="AZ19" s="57" t="e">
        <f t="shared" si="19"/>
        <v>#DIV/0!</v>
      </c>
      <c r="BA19" s="57" t="e">
        <f t="shared" si="19"/>
        <v>#DIV/0!</v>
      </c>
      <c r="BB19" s="57" t="e">
        <f t="shared" si="19"/>
        <v>#DIV/0!</v>
      </c>
      <c r="BC19" s="57" t="e">
        <f t="shared" si="19"/>
        <v>#DIV/0!</v>
      </c>
      <c r="BD19" s="57" t="e">
        <f t="shared" si="19"/>
        <v>#DIV/0!</v>
      </c>
      <c r="BE19" s="57" t="e">
        <f t="shared" si="19"/>
        <v>#DIV/0!</v>
      </c>
      <c r="BF19" s="57" t="e">
        <f t="shared" si="19"/>
        <v>#DIV/0!</v>
      </c>
      <c r="BG19" s="57" t="e">
        <f t="shared" si="19"/>
        <v>#DIV/0!</v>
      </c>
      <c r="BH19" s="57" t="e">
        <f t="shared" si="19"/>
        <v>#DIV/0!</v>
      </c>
      <c r="BI19" s="57" t="e">
        <f t="shared" si="19"/>
        <v>#DIV/0!</v>
      </c>
      <c r="BJ19" s="57" t="e">
        <f t="shared" si="19"/>
        <v>#DIV/0!</v>
      </c>
      <c r="BK19" s="57" t="e">
        <f t="shared" si="19"/>
        <v>#DIV/0!</v>
      </c>
      <c r="BL19" s="57" t="e">
        <f t="shared" si="19"/>
        <v>#DIV/0!</v>
      </c>
      <c r="BM19" s="57" t="e">
        <f t="shared" si="19"/>
        <v>#DIV/0!</v>
      </c>
      <c r="BN19" s="57" t="e">
        <f t="shared" si="19"/>
        <v>#DIV/0!</v>
      </c>
      <c r="BO19" s="57" t="e">
        <f t="shared" si="19"/>
        <v>#DIV/0!</v>
      </c>
      <c r="BP19" s="57" t="e">
        <f t="shared" si="19"/>
        <v>#DIV/0!</v>
      </c>
      <c r="BQ19" s="57" t="e">
        <f t="shared" si="19"/>
        <v>#DIV/0!</v>
      </c>
      <c r="BR19" s="57" t="e">
        <f t="shared" ref="BR19:CK19" si="20">BR18/BR2</f>
        <v>#DIV/0!</v>
      </c>
      <c r="BS19" s="57" t="e">
        <f t="shared" si="20"/>
        <v>#DIV/0!</v>
      </c>
      <c r="BT19" s="57" t="e">
        <f t="shared" si="20"/>
        <v>#DIV/0!</v>
      </c>
      <c r="BU19" s="57" t="e">
        <f t="shared" si="20"/>
        <v>#DIV/0!</v>
      </c>
      <c r="BV19" s="57" t="e">
        <f t="shared" si="20"/>
        <v>#DIV/0!</v>
      </c>
      <c r="BW19" s="57" t="e">
        <f t="shared" si="20"/>
        <v>#DIV/0!</v>
      </c>
      <c r="BX19" s="57" t="e">
        <f t="shared" si="20"/>
        <v>#DIV/0!</v>
      </c>
      <c r="BY19" s="57" t="e">
        <f t="shared" si="20"/>
        <v>#DIV/0!</v>
      </c>
      <c r="BZ19" s="57" t="e">
        <f t="shared" si="20"/>
        <v>#DIV/0!</v>
      </c>
      <c r="CA19" s="57" t="e">
        <f t="shared" si="20"/>
        <v>#DIV/0!</v>
      </c>
      <c r="CB19" s="57" t="e">
        <f t="shared" si="20"/>
        <v>#DIV/0!</v>
      </c>
      <c r="CC19" s="57" t="e">
        <f t="shared" si="20"/>
        <v>#DIV/0!</v>
      </c>
      <c r="CD19" s="57" t="e">
        <f t="shared" si="20"/>
        <v>#DIV/0!</v>
      </c>
      <c r="CE19" s="57" t="e">
        <f t="shared" si="20"/>
        <v>#DIV/0!</v>
      </c>
      <c r="CF19" s="57" t="e">
        <f t="shared" si="20"/>
        <v>#DIV/0!</v>
      </c>
      <c r="CG19" s="57" t="e">
        <f t="shared" si="20"/>
        <v>#DIV/0!</v>
      </c>
      <c r="CH19" s="57" t="e">
        <f t="shared" si="20"/>
        <v>#DIV/0!</v>
      </c>
      <c r="CI19" s="57" t="e">
        <f t="shared" si="20"/>
        <v>#DIV/0!</v>
      </c>
      <c r="CJ19" s="57" t="e">
        <f t="shared" si="20"/>
        <v>#DIV/0!</v>
      </c>
      <c r="CK19" s="57" t="e">
        <f t="shared" si="20"/>
        <v>#DIV/0!</v>
      </c>
    </row>
    <row r="20" spans="1:89" s="26" customFormat="1" x14ac:dyDescent="0.25">
      <c r="A20" s="128" t="s">
        <v>367</v>
      </c>
      <c r="E20" s="26">
        <f>股权价值增加表!E13-股权价值增加表!E14</f>
        <v>17473910.710000001</v>
      </c>
      <c r="F20" s="26">
        <f>股权价值增加表!F13-股权价值增加表!F14</f>
        <v>12124550.130000001</v>
      </c>
      <c r="G20" s="26">
        <f>股权价值增加表!G13-股权价值增加表!G14</f>
        <v>-221796.5700000003</v>
      </c>
      <c r="H20" s="26">
        <f>股权价值增加表!H13-股权价值增加表!H14</f>
        <v>-39621.030000000028</v>
      </c>
      <c r="I20" s="26">
        <f>股权价值增加表!I13-股权价值增加表!I14</f>
        <v>28499640.240000002</v>
      </c>
      <c r="J20" s="26">
        <f>股权价值增加表!J13-股权价值增加表!J14</f>
        <v>12309031.73</v>
      </c>
      <c r="K20" s="26">
        <f>股权价值增加表!K13-股权价值增加表!K14</f>
        <v>8344591.0800000001</v>
      </c>
      <c r="L20" s="26">
        <f>股权价值增加表!L13-股权价值增加表!L14</f>
        <v>336150.54000000004</v>
      </c>
      <c r="M20" s="26">
        <f>股权价值增加表!M13-股权价值增加表!M14</f>
        <v>29881588.879999999</v>
      </c>
      <c r="N20" s="26">
        <f>股权价值增加表!N13-股权价值增加表!N14</f>
        <v>19845958.75</v>
      </c>
      <c r="O20" s="26">
        <f>股权价值增加表!O13-股权价值增加表!O14</f>
        <v>11593283.83</v>
      </c>
      <c r="P20" s="26">
        <f>股权价值增加表!P13-股权价值增加表!P14</f>
        <v>1226952.46</v>
      </c>
      <c r="Q20" s="26">
        <f>股权价值增加表!Q13-股权价值增加表!Q14</f>
        <v>19706152.98</v>
      </c>
      <c r="R20" s="26">
        <f>股权价值增加表!R13-股权价值增加表!R14</f>
        <v>12405916.18</v>
      </c>
      <c r="S20" s="26">
        <f>股权价值增加表!S13-股权价值增加表!S14</f>
        <v>4782330.97</v>
      </c>
      <c r="T20" s="26">
        <f>股权价值增加表!T13-股权价值增加表!T14</f>
        <v>4559261.09</v>
      </c>
      <c r="U20" s="26">
        <f>股权价值增加表!U13-股权价值增加表!U14</f>
        <v>18877620.279999997</v>
      </c>
      <c r="V20" s="26">
        <f>股权价值增加表!V13-股权价值增加表!V14</f>
        <v>18703185.310000002</v>
      </c>
      <c r="W20" s="26">
        <f>股权价值增加表!W13-股权价值增加表!W14</f>
        <v>10892484.98</v>
      </c>
      <c r="X20" s="26">
        <f>股权价值增加表!X13-股权价值增加表!X14</f>
        <v>100932.07999999984</v>
      </c>
      <c r="Y20" s="26">
        <f>股权价值增加表!Y13-股权价值增加表!Y14</f>
        <v>24440144.950000003</v>
      </c>
      <c r="Z20" s="26">
        <f>股权价值增加表!Z13-股权价值增加表!Z14</f>
        <v>21619165.120000001</v>
      </c>
      <c r="AA20" s="26">
        <f>股权价值增加表!AA13-股权价值增加表!AA14</f>
        <v>12002800.199999999</v>
      </c>
      <c r="AB20" s="26">
        <f>股权价值增加表!AB13-股权价值增加表!AB14</f>
        <v>555013.03</v>
      </c>
      <c r="AC20" s="26">
        <f>股权价值增加表!AC13-股权价值增加表!AC14</f>
        <v>27315644.580000002</v>
      </c>
      <c r="AD20" s="26">
        <f>股权价值增加表!AD13-股权价值增加表!AD14</f>
        <v>23239968.129999999</v>
      </c>
      <c r="AE20" s="26">
        <f>股权价值增加表!AE13-股权价值增加表!AE14</f>
        <v>22955718.439999998</v>
      </c>
      <c r="AF20" s="26">
        <f>股权价值增加表!AF13-股权价值增加表!AF14</f>
        <v>9284883.6500000004</v>
      </c>
      <c r="AG20" s="26">
        <f>股权价值增加表!AG13-股权价值增加表!AG14</f>
        <v>10786450.130000001</v>
      </c>
      <c r="AH20" s="26">
        <f>股权价值增加表!AH13-股权价值增加表!AH14</f>
        <v>9328617.5999999996</v>
      </c>
      <c r="AI20" s="26">
        <f>股权价值增加表!AI13-股权价值增加表!AI14</f>
        <v>9375280.4600000009</v>
      </c>
      <c r="AJ20" s="26">
        <f>股权价值增加表!AJ13-股权价值增加表!AJ14</f>
        <v>294233.92</v>
      </c>
      <c r="AK20" s="26">
        <f>股权价值增加表!AK13-股权价值增加表!AK14</f>
        <v>7442425.25</v>
      </c>
      <c r="AL20" s="26">
        <f>股权价值增加表!AL13-股权价值增加表!AL14</f>
        <v>5530179.8600000003</v>
      </c>
      <c r="AM20" s="26">
        <f>股权价值增加表!AM13-股权价值增加表!AM14</f>
        <v>4988958.01</v>
      </c>
      <c r="AN20" s="26">
        <f>股权价值增加表!AN13-股权价值增加表!AN14</f>
        <v>4709819.25</v>
      </c>
      <c r="AO20" s="26">
        <f>股权价值增加表!AO13-股权价值增加表!AO14</f>
        <v>-388500.75</v>
      </c>
      <c r="AP20" s="26">
        <f>股权价值增加表!AP13-股权价值增加表!AP14</f>
        <v>-1500652.41</v>
      </c>
      <c r="AQ20" s="26">
        <f>股权价值增加表!AQ13-股权价值增加表!AQ14</f>
        <v>-334399.91999999993</v>
      </c>
      <c r="AR20" s="26">
        <f>股权价值增加表!AR13-股权价值增加表!AR14</f>
        <v>1125135.2000000002</v>
      </c>
      <c r="AS20" s="26">
        <f>股权价值增加表!AS13-股权价值增加表!AS14</f>
        <v>0</v>
      </c>
      <c r="AT20" s="26">
        <f>股权价值增加表!AT13-股权价值增加表!AT14</f>
        <v>0</v>
      </c>
      <c r="AU20" s="26">
        <f>股权价值增加表!AU13-股权价值增加表!AU14</f>
        <v>0</v>
      </c>
      <c r="AV20" s="26">
        <f>股权价值增加表!AV13-股权价值增加表!AV14</f>
        <v>0</v>
      </c>
      <c r="AW20" s="26">
        <f>股权价值增加表!AW13-股权价值增加表!AW14</f>
        <v>0</v>
      </c>
      <c r="AX20" s="26">
        <f>股权价值增加表!AX13-股权价值增加表!AX14</f>
        <v>0</v>
      </c>
      <c r="AY20" s="26">
        <f>股权价值增加表!AY13-股权价值增加表!AY14</f>
        <v>0</v>
      </c>
      <c r="AZ20" s="26">
        <f>股权价值增加表!AZ13-股权价值增加表!AZ14</f>
        <v>0</v>
      </c>
      <c r="BA20" s="26">
        <f>股权价值增加表!BA13-股权价值增加表!BA14</f>
        <v>0</v>
      </c>
      <c r="BB20" s="26">
        <f>股权价值增加表!BB13-股权价值增加表!BB14</f>
        <v>0</v>
      </c>
      <c r="BC20" s="26">
        <f>股权价值增加表!BC13-股权价值增加表!BC14</f>
        <v>0</v>
      </c>
      <c r="BD20" s="26">
        <f>股权价值增加表!BD13-股权价值增加表!BD14</f>
        <v>0</v>
      </c>
      <c r="BE20" s="26">
        <f>股权价值增加表!BE13-股权价值增加表!BE14</f>
        <v>0</v>
      </c>
      <c r="BF20" s="26">
        <f>股权价值增加表!BF13-股权价值增加表!BF14</f>
        <v>0</v>
      </c>
      <c r="BG20" s="26">
        <f>股权价值增加表!BG13-股权价值增加表!BG14</f>
        <v>0</v>
      </c>
      <c r="BH20" s="26">
        <f>股权价值增加表!BH13-股权价值增加表!BH14</f>
        <v>0</v>
      </c>
      <c r="BI20" s="26">
        <f>股权价值增加表!BI13-股权价值增加表!BI14</f>
        <v>0</v>
      </c>
      <c r="BJ20" s="26">
        <f>股权价值增加表!BJ13-股权价值增加表!BJ14</f>
        <v>0</v>
      </c>
      <c r="BK20" s="26">
        <f>股权价值增加表!BK13-股权价值增加表!BK14</f>
        <v>0</v>
      </c>
      <c r="BL20" s="26">
        <f>股权价值增加表!BL13-股权价值增加表!BL14</f>
        <v>0</v>
      </c>
      <c r="BM20" s="26">
        <f>股权价值增加表!BM13-股权价值增加表!BM14</f>
        <v>0</v>
      </c>
      <c r="BN20" s="26">
        <f>股权价值增加表!BN13-股权价值增加表!BN14</f>
        <v>0</v>
      </c>
      <c r="BO20" s="26">
        <f>股权价值增加表!BO13-股权价值增加表!BO14</f>
        <v>0</v>
      </c>
      <c r="BP20" s="26">
        <f>股权价值增加表!BP13-股权价值增加表!BP14</f>
        <v>0</v>
      </c>
      <c r="BQ20" s="26">
        <f>股权价值增加表!BQ13-股权价值增加表!BQ14</f>
        <v>0</v>
      </c>
      <c r="BR20" s="26">
        <f>股权价值增加表!BR13-股权价值增加表!BR14</f>
        <v>0</v>
      </c>
      <c r="BS20" s="26">
        <f>股权价值增加表!BS13-股权价值增加表!BS14</f>
        <v>0</v>
      </c>
      <c r="BT20" s="26">
        <f>股权价值增加表!BT13-股权价值增加表!BT14</f>
        <v>0</v>
      </c>
      <c r="BU20" s="26">
        <f>股权价值增加表!BU13-股权价值增加表!BU14</f>
        <v>0</v>
      </c>
      <c r="BV20" s="26">
        <f>股权价值增加表!BV13-股权价值增加表!BV14</f>
        <v>0</v>
      </c>
      <c r="BW20" s="26">
        <f>股权价值增加表!BW13-股权价值增加表!BW14</f>
        <v>0</v>
      </c>
      <c r="BX20" s="26">
        <f>股权价值增加表!BX13-股权价值增加表!BX14</f>
        <v>0</v>
      </c>
      <c r="BY20" s="26">
        <f>股权价值增加表!BY13-股权价值增加表!BY14</f>
        <v>0</v>
      </c>
      <c r="BZ20" s="26">
        <f>股权价值增加表!BZ13-股权价值增加表!BZ14</f>
        <v>0</v>
      </c>
      <c r="CA20" s="26">
        <f>股权价值增加表!CA13-股权价值增加表!CA14</f>
        <v>0</v>
      </c>
      <c r="CB20" s="26">
        <f>股权价值增加表!CB13-股权价值增加表!CB14</f>
        <v>0</v>
      </c>
      <c r="CC20" s="26">
        <f>股权价值增加表!CC13-股权价值增加表!CC14</f>
        <v>0</v>
      </c>
      <c r="CD20" s="26">
        <f>股权价值增加表!CD13-股权价值增加表!CD14</f>
        <v>0</v>
      </c>
      <c r="CE20" s="26">
        <f>股权价值增加表!CE13-股权价值增加表!CE14</f>
        <v>0</v>
      </c>
      <c r="CF20" s="26">
        <f>股权价值增加表!CF13-股权价值增加表!CF14</f>
        <v>0</v>
      </c>
      <c r="CG20" s="26">
        <f>股权价值增加表!CG13-股权价值增加表!CG14</f>
        <v>0</v>
      </c>
      <c r="CH20" s="26">
        <f>股权价值增加表!CH13-股权价值增加表!CH14</f>
        <v>0</v>
      </c>
      <c r="CI20" s="26">
        <f>股权价值增加表!CI13-股权价值增加表!CI14</f>
        <v>0</v>
      </c>
      <c r="CJ20" s="26">
        <f>股权价值增加表!CJ13-股权价值增加表!CJ14</f>
        <v>0</v>
      </c>
    </row>
    <row r="21" spans="1:89" s="57" customFormat="1" x14ac:dyDescent="0.25">
      <c r="A21" s="20" t="s">
        <v>368</v>
      </c>
      <c r="E21" s="57">
        <f>E20/E2</f>
        <v>3.7482775005262588E-3</v>
      </c>
      <c r="F21" s="57">
        <f t="shared" ref="F21:BQ21" si="21">F20/F2</f>
        <v>3.809553015076953E-3</v>
      </c>
      <c r="G21" s="57">
        <f t="shared" si="21"/>
        <v>-1.1193729307618385E-4</v>
      </c>
      <c r="H21" s="57">
        <f t="shared" si="21"/>
        <v>-3.7457228525174801E-5</v>
      </c>
      <c r="I21" s="57">
        <f t="shared" si="21"/>
        <v>9.0411431965507875E-3</v>
      </c>
      <c r="J21" s="57">
        <f t="shared" si="21"/>
        <v>5.7111472520424162E-3</v>
      </c>
      <c r="K21" s="57">
        <f t="shared" si="21"/>
        <v>6.2130107744109656E-3</v>
      </c>
      <c r="L21" s="57">
        <f t="shared" si="21"/>
        <v>4.4065305007140644E-4</v>
      </c>
      <c r="M21" s="57">
        <f t="shared" si="21"/>
        <v>1.0248745208441613E-2</v>
      </c>
      <c r="N21" s="57">
        <f t="shared" si="21"/>
        <v>9.699433684834554E-3</v>
      </c>
      <c r="O21" s="57">
        <f t="shared" si="21"/>
        <v>9.2748044513129915E-3</v>
      </c>
      <c r="P21" s="57">
        <f t="shared" si="21"/>
        <v>1.7393837109444209E-3</v>
      </c>
      <c r="Q21" s="57">
        <f t="shared" si="21"/>
        <v>7.136289160305208E-3</v>
      </c>
      <c r="R21" s="57">
        <f t="shared" si="21"/>
        <v>6.5989129511579972E-3</v>
      </c>
      <c r="S21" s="57">
        <f t="shared" si="21"/>
        <v>4.2995753061024653E-3</v>
      </c>
      <c r="T21" s="57">
        <f t="shared" si="21"/>
        <v>6.936256794563618E-3</v>
      </c>
      <c r="U21" s="57">
        <f t="shared" si="21"/>
        <v>7.4786268355353227E-3</v>
      </c>
      <c r="V21" s="57">
        <f t="shared" si="21"/>
        <v>1.0857236407215596E-2</v>
      </c>
      <c r="W21" s="57">
        <f t="shared" si="21"/>
        <v>1.0103658702067853E-2</v>
      </c>
      <c r="X21" s="57">
        <f t="shared" si="21"/>
        <v>1.6402354245947378E-4</v>
      </c>
      <c r="Y21" s="57">
        <f t="shared" si="21"/>
        <v>8.9690123924327653E-3</v>
      </c>
      <c r="Z21" s="57">
        <f t="shared" si="21"/>
        <v>1.1700443900366104E-2</v>
      </c>
      <c r="AA21" s="57">
        <f t="shared" si="21"/>
        <v>1.1580236080782838E-2</v>
      </c>
      <c r="AB21" s="57">
        <f t="shared" si="21"/>
        <v>9.0345870968784906E-4</v>
      </c>
      <c r="AC21" s="57">
        <f t="shared" si="21"/>
        <v>1.14654322175288E-2</v>
      </c>
      <c r="AD21" s="57">
        <f t="shared" si="21"/>
        <v>1.4223645161362103E-2</v>
      </c>
      <c r="AE21" s="57">
        <f t="shared" si="21"/>
        <v>2.2881441893617543E-2</v>
      </c>
      <c r="AF21" s="57">
        <f t="shared" si="21"/>
        <v>1.59219514446612E-2</v>
      </c>
      <c r="AG21" s="57">
        <f t="shared" si="21"/>
        <v>5.930483519628698E-3</v>
      </c>
      <c r="AH21" s="57">
        <f t="shared" si="21"/>
        <v>8.1425050427382743E-3</v>
      </c>
      <c r="AI21" s="57">
        <f t="shared" si="21"/>
        <v>1.4165706996932348E-2</v>
      </c>
      <c r="AJ21" s="57">
        <f t="shared" si="21"/>
        <v>8.1882709593804283E-4</v>
      </c>
      <c r="AK21" s="57">
        <f t="shared" si="21"/>
        <v>6.4981938226205309E-3</v>
      </c>
      <c r="AL21" s="57">
        <f t="shared" si="21"/>
        <v>7.6392714433361842E-3</v>
      </c>
      <c r="AM21" s="57">
        <f t="shared" si="21"/>
        <v>1.2240722880409949E-2</v>
      </c>
      <c r="AN21" s="57">
        <f t="shared" si="21"/>
        <v>1.845598152715576E-2</v>
      </c>
      <c r="AO21" s="57">
        <f t="shared" si="21"/>
        <v>-4.3038367273467813E-4</v>
      </c>
      <c r="AP21" s="57">
        <f t="shared" si="21"/>
        <v>-2.3711654430466664E-3</v>
      </c>
      <c r="AQ21" s="57">
        <f t="shared" si="21"/>
        <v>-4.4270117018166031E-4</v>
      </c>
      <c r="AR21" s="57">
        <f t="shared" si="21"/>
        <v>2.0364895341569338E-3</v>
      </c>
      <c r="AS21" s="57" t="e">
        <f t="shared" si="21"/>
        <v>#DIV/0!</v>
      </c>
      <c r="AT21" s="57" t="e">
        <f t="shared" si="21"/>
        <v>#DIV/0!</v>
      </c>
      <c r="AU21" s="57" t="e">
        <f t="shared" si="21"/>
        <v>#DIV/0!</v>
      </c>
      <c r="AV21" s="57" t="e">
        <f t="shared" si="21"/>
        <v>#DIV/0!</v>
      </c>
      <c r="AW21" s="57" t="e">
        <f t="shared" si="21"/>
        <v>#DIV/0!</v>
      </c>
      <c r="AX21" s="57" t="e">
        <f t="shared" si="21"/>
        <v>#DIV/0!</v>
      </c>
      <c r="AY21" s="57" t="e">
        <f t="shared" si="21"/>
        <v>#DIV/0!</v>
      </c>
      <c r="AZ21" s="57" t="e">
        <f t="shared" si="21"/>
        <v>#DIV/0!</v>
      </c>
      <c r="BA21" s="57" t="e">
        <f t="shared" si="21"/>
        <v>#DIV/0!</v>
      </c>
      <c r="BB21" s="57" t="e">
        <f t="shared" si="21"/>
        <v>#DIV/0!</v>
      </c>
      <c r="BC21" s="57" t="e">
        <f t="shared" si="21"/>
        <v>#DIV/0!</v>
      </c>
      <c r="BD21" s="57" t="e">
        <f t="shared" si="21"/>
        <v>#DIV/0!</v>
      </c>
      <c r="BE21" s="57" t="e">
        <f t="shared" si="21"/>
        <v>#DIV/0!</v>
      </c>
      <c r="BF21" s="57" t="e">
        <f t="shared" si="21"/>
        <v>#DIV/0!</v>
      </c>
      <c r="BG21" s="57" t="e">
        <f t="shared" si="21"/>
        <v>#DIV/0!</v>
      </c>
      <c r="BH21" s="57" t="e">
        <f t="shared" si="21"/>
        <v>#DIV/0!</v>
      </c>
      <c r="BI21" s="57" t="e">
        <f t="shared" si="21"/>
        <v>#DIV/0!</v>
      </c>
      <c r="BJ21" s="57" t="e">
        <f t="shared" si="21"/>
        <v>#DIV/0!</v>
      </c>
      <c r="BK21" s="57" t="e">
        <f t="shared" si="21"/>
        <v>#DIV/0!</v>
      </c>
      <c r="BL21" s="57" t="e">
        <f t="shared" si="21"/>
        <v>#DIV/0!</v>
      </c>
      <c r="BM21" s="57" t="e">
        <f t="shared" si="21"/>
        <v>#DIV/0!</v>
      </c>
      <c r="BN21" s="57" t="e">
        <f t="shared" si="21"/>
        <v>#DIV/0!</v>
      </c>
      <c r="BO21" s="57" t="e">
        <f t="shared" si="21"/>
        <v>#DIV/0!</v>
      </c>
      <c r="BP21" s="57" t="e">
        <f t="shared" si="21"/>
        <v>#DIV/0!</v>
      </c>
      <c r="BQ21" s="57" t="e">
        <f t="shared" si="21"/>
        <v>#DIV/0!</v>
      </c>
      <c r="BR21" s="57" t="e">
        <f t="shared" ref="BR21:CK21" si="22">BR20/BR2</f>
        <v>#DIV/0!</v>
      </c>
      <c r="BS21" s="57" t="e">
        <f t="shared" si="22"/>
        <v>#DIV/0!</v>
      </c>
      <c r="BT21" s="57" t="e">
        <f t="shared" si="22"/>
        <v>#DIV/0!</v>
      </c>
      <c r="BU21" s="57" t="e">
        <f t="shared" si="22"/>
        <v>#DIV/0!</v>
      </c>
      <c r="BV21" s="57" t="e">
        <f t="shared" si="22"/>
        <v>#DIV/0!</v>
      </c>
      <c r="BW21" s="57" t="e">
        <f t="shared" si="22"/>
        <v>#DIV/0!</v>
      </c>
      <c r="BX21" s="57" t="e">
        <f t="shared" si="22"/>
        <v>#DIV/0!</v>
      </c>
      <c r="BY21" s="57" t="e">
        <f t="shared" si="22"/>
        <v>#DIV/0!</v>
      </c>
      <c r="BZ21" s="57" t="e">
        <f t="shared" si="22"/>
        <v>#DIV/0!</v>
      </c>
      <c r="CA21" s="57" t="e">
        <f t="shared" si="22"/>
        <v>#DIV/0!</v>
      </c>
      <c r="CB21" s="57" t="e">
        <f t="shared" si="22"/>
        <v>#DIV/0!</v>
      </c>
      <c r="CC21" s="57" t="e">
        <f t="shared" si="22"/>
        <v>#DIV/0!</v>
      </c>
      <c r="CD21" s="57" t="e">
        <f t="shared" si="22"/>
        <v>#DIV/0!</v>
      </c>
      <c r="CE21" s="57" t="e">
        <f t="shared" si="22"/>
        <v>#DIV/0!</v>
      </c>
      <c r="CF21" s="57" t="e">
        <f t="shared" si="22"/>
        <v>#DIV/0!</v>
      </c>
      <c r="CG21" s="57" t="e">
        <f t="shared" si="22"/>
        <v>#DIV/0!</v>
      </c>
      <c r="CH21" s="57" t="e">
        <f t="shared" si="22"/>
        <v>#DIV/0!</v>
      </c>
      <c r="CI21" s="57" t="e">
        <f t="shared" si="22"/>
        <v>#DIV/0!</v>
      </c>
      <c r="CJ21" s="57" t="e">
        <f t="shared" si="22"/>
        <v>#DIV/0!</v>
      </c>
      <c r="CK21" s="57" t="e">
        <f t="shared" si="22"/>
        <v>#DIV/0!</v>
      </c>
    </row>
    <row r="22" spans="1:89" s="66" customFormat="1" x14ac:dyDescent="0.25">
      <c r="A22" s="46" t="s">
        <v>369</v>
      </c>
      <c r="E22" s="66">
        <f>E11+E13+E15+E17+E19+E21</f>
        <v>0.32991820993006854</v>
      </c>
      <c r="F22" s="66">
        <f t="shared" ref="F22:BQ22" si="23">F11+F13+F15+F17+F19+F21</f>
        <v>0.3185518385352854</v>
      </c>
      <c r="G22" s="66">
        <f t="shared" si="23"/>
        <v>0.34127969639149253</v>
      </c>
      <c r="H22" s="66">
        <f t="shared" si="23"/>
        <v>0.30824910882620377</v>
      </c>
      <c r="I22" s="66">
        <f t="shared" si="23"/>
        <v>0.38207646040591547</v>
      </c>
      <c r="J22" s="66">
        <f t="shared" si="23"/>
        <v>0.35408930791501075</v>
      </c>
      <c r="K22" s="66">
        <f t="shared" si="23"/>
        <v>0.37016696565858698</v>
      </c>
      <c r="L22" s="66">
        <f t="shared" si="23"/>
        <v>0.33487228836377736</v>
      </c>
      <c r="M22" s="66">
        <f t="shared" si="23"/>
        <v>0.35866690801149914</v>
      </c>
      <c r="N22" s="66">
        <f t="shared" si="23"/>
        <v>0.33161735038351137</v>
      </c>
      <c r="O22" s="66">
        <f t="shared" si="23"/>
        <v>0.34852381964098783</v>
      </c>
      <c r="P22" s="66">
        <f t="shared" si="23"/>
        <v>0.29104117184146411</v>
      </c>
      <c r="Q22" s="66">
        <f t="shared" si="23"/>
        <v>0.31367522762153993</v>
      </c>
      <c r="R22" s="66">
        <f t="shared" si="23"/>
        <v>0.30253830328078751</v>
      </c>
      <c r="S22" s="66">
        <f t="shared" si="23"/>
        <v>0.31126406359255848</v>
      </c>
      <c r="T22" s="66">
        <f t="shared" si="23"/>
        <v>0.29684651500451564</v>
      </c>
      <c r="U22" s="66">
        <f t="shared" si="23"/>
        <v>0.31009212048116491</v>
      </c>
      <c r="V22" s="66">
        <f t="shared" si="23"/>
        <v>0.30090960870496586</v>
      </c>
      <c r="W22" s="66">
        <f t="shared" si="23"/>
        <v>0.3143306617055534</v>
      </c>
      <c r="X22" s="66">
        <f t="shared" si="23"/>
        <v>0.26490270963056028</v>
      </c>
      <c r="Y22" s="66">
        <f t="shared" si="23"/>
        <v>0.28545965438276949</v>
      </c>
      <c r="Z22" s="66">
        <f t="shared" si="23"/>
        <v>0.29021203234773568</v>
      </c>
      <c r="AA22" s="66">
        <f t="shared" si="23"/>
        <v>0.31937450872586121</v>
      </c>
      <c r="AB22" s="66">
        <f t="shared" si="23"/>
        <v>0.26547120176427691</v>
      </c>
      <c r="AC22" s="66">
        <f t="shared" si="23"/>
        <v>0.26923491328769472</v>
      </c>
      <c r="AD22" s="66">
        <f t="shared" si="23"/>
        <v>0.23404452678968124</v>
      </c>
      <c r="AE22" s="66">
        <f t="shared" si="23"/>
        <v>0.27421207184688268</v>
      </c>
      <c r="AF22" s="66">
        <f t="shared" si="23"/>
        <v>0.23951208670916146</v>
      </c>
      <c r="AG22" s="66">
        <f t="shared" si="23"/>
        <v>0.24502053527351628</v>
      </c>
      <c r="AH22" s="66">
        <f t="shared" si="23"/>
        <v>0.21838426763098007</v>
      </c>
      <c r="AI22" s="66">
        <f t="shared" si="23"/>
        <v>0.2552375911203621</v>
      </c>
      <c r="AJ22" s="66">
        <f t="shared" si="23"/>
        <v>0.21071474111944138</v>
      </c>
      <c r="AK22" s="66">
        <f t="shared" si="23"/>
        <v>0.23346519157680376</v>
      </c>
      <c r="AL22" s="66">
        <f t="shared" si="23"/>
        <v>0.22161469203317846</v>
      </c>
      <c r="AM22" s="66">
        <f t="shared" si="23"/>
        <v>0.25768832463406155</v>
      </c>
      <c r="AN22" s="66">
        <f t="shared" si="23"/>
        <v>0.23190462472009205</v>
      </c>
      <c r="AO22" s="66">
        <f t="shared" si="23"/>
        <v>0.21688949553412079</v>
      </c>
      <c r="AP22" s="66">
        <f t="shared" si="23"/>
        <v>0.20718662761522899</v>
      </c>
      <c r="AQ22" s="66">
        <f t="shared" si="23"/>
        <v>0.19683880381331895</v>
      </c>
      <c r="AR22" s="66">
        <f t="shared" si="23"/>
        <v>0.16077719406948202</v>
      </c>
      <c r="AS22" s="66" t="e">
        <f t="shared" si="23"/>
        <v>#DIV/0!</v>
      </c>
      <c r="AT22" s="66" t="e">
        <f t="shared" si="23"/>
        <v>#DIV/0!</v>
      </c>
      <c r="AU22" s="66" t="e">
        <f t="shared" si="23"/>
        <v>#DIV/0!</v>
      </c>
      <c r="AV22" s="66" t="e">
        <f t="shared" si="23"/>
        <v>#DIV/0!</v>
      </c>
      <c r="AW22" s="66" t="e">
        <f t="shared" si="23"/>
        <v>#DIV/0!</v>
      </c>
      <c r="AX22" s="66" t="e">
        <f t="shared" si="23"/>
        <v>#DIV/0!</v>
      </c>
      <c r="AY22" s="66" t="e">
        <f t="shared" si="23"/>
        <v>#DIV/0!</v>
      </c>
      <c r="AZ22" s="66" t="e">
        <f t="shared" si="23"/>
        <v>#DIV/0!</v>
      </c>
      <c r="BA22" s="66" t="e">
        <f t="shared" si="23"/>
        <v>#DIV/0!</v>
      </c>
      <c r="BB22" s="66" t="e">
        <f t="shared" si="23"/>
        <v>#DIV/0!</v>
      </c>
      <c r="BC22" s="66" t="e">
        <f t="shared" si="23"/>
        <v>#DIV/0!</v>
      </c>
      <c r="BD22" s="66" t="e">
        <f t="shared" si="23"/>
        <v>#DIV/0!</v>
      </c>
      <c r="BE22" s="66" t="e">
        <f t="shared" si="23"/>
        <v>#DIV/0!</v>
      </c>
      <c r="BF22" s="66" t="e">
        <f t="shared" si="23"/>
        <v>#DIV/0!</v>
      </c>
      <c r="BG22" s="66" t="e">
        <f t="shared" si="23"/>
        <v>#DIV/0!</v>
      </c>
      <c r="BH22" s="66" t="e">
        <f t="shared" si="23"/>
        <v>#DIV/0!</v>
      </c>
      <c r="BI22" s="66" t="e">
        <f t="shared" si="23"/>
        <v>#DIV/0!</v>
      </c>
      <c r="BJ22" s="66" t="e">
        <f t="shared" si="23"/>
        <v>#DIV/0!</v>
      </c>
      <c r="BK22" s="66" t="e">
        <f t="shared" si="23"/>
        <v>#DIV/0!</v>
      </c>
      <c r="BL22" s="66" t="e">
        <f t="shared" si="23"/>
        <v>#DIV/0!</v>
      </c>
      <c r="BM22" s="66" t="e">
        <f t="shared" si="23"/>
        <v>#DIV/0!</v>
      </c>
      <c r="BN22" s="66" t="e">
        <f t="shared" si="23"/>
        <v>#DIV/0!</v>
      </c>
      <c r="BO22" s="66" t="e">
        <f t="shared" si="23"/>
        <v>#DIV/0!</v>
      </c>
      <c r="BP22" s="66" t="e">
        <f t="shared" si="23"/>
        <v>#DIV/0!</v>
      </c>
      <c r="BQ22" s="66" t="e">
        <f t="shared" si="23"/>
        <v>#DIV/0!</v>
      </c>
      <c r="BR22" s="66" t="e">
        <f t="shared" ref="BR22:CJ22" si="24">BR11+BR13+BR15+BR17+BR19+BR21</f>
        <v>#DIV/0!</v>
      </c>
      <c r="BS22" s="66" t="e">
        <f t="shared" si="24"/>
        <v>#DIV/0!</v>
      </c>
      <c r="BT22" s="66" t="e">
        <f t="shared" si="24"/>
        <v>#DIV/0!</v>
      </c>
      <c r="BU22" s="66" t="e">
        <f t="shared" si="24"/>
        <v>#DIV/0!</v>
      </c>
      <c r="BV22" s="66" t="e">
        <f t="shared" si="24"/>
        <v>#DIV/0!</v>
      </c>
      <c r="BW22" s="66" t="e">
        <f t="shared" si="24"/>
        <v>#DIV/0!</v>
      </c>
      <c r="BX22" s="66" t="e">
        <f t="shared" si="24"/>
        <v>#DIV/0!</v>
      </c>
      <c r="BY22" s="66" t="e">
        <f t="shared" si="24"/>
        <v>#DIV/0!</v>
      </c>
      <c r="BZ22" s="66" t="e">
        <f t="shared" si="24"/>
        <v>#DIV/0!</v>
      </c>
      <c r="CA22" s="66" t="e">
        <f t="shared" si="24"/>
        <v>#DIV/0!</v>
      </c>
      <c r="CB22" s="66" t="e">
        <f t="shared" si="24"/>
        <v>#DIV/0!</v>
      </c>
      <c r="CC22" s="66" t="e">
        <f t="shared" si="24"/>
        <v>#DIV/0!</v>
      </c>
      <c r="CD22" s="66" t="e">
        <f t="shared" si="24"/>
        <v>#DIV/0!</v>
      </c>
      <c r="CE22" s="66" t="e">
        <f t="shared" si="24"/>
        <v>#DIV/0!</v>
      </c>
      <c r="CF22" s="66" t="e">
        <f t="shared" si="24"/>
        <v>#DIV/0!</v>
      </c>
      <c r="CG22" s="66" t="e">
        <f t="shared" si="24"/>
        <v>#DIV/0!</v>
      </c>
      <c r="CH22" s="66" t="e">
        <f t="shared" si="24"/>
        <v>#DIV/0!</v>
      </c>
      <c r="CI22" s="66" t="e">
        <f t="shared" si="24"/>
        <v>#DIV/0!</v>
      </c>
      <c r="CJ22" s="66" t="e">
        <f t="shared" si="24"/>
        <v>#DIV/0!</v>
      </c>
    </row>
    <row r="23" spans="1:89" s="27" customFormat="1" x14ac:dyDescent="0.25">
      <c r="A23" s="128" t="s">
        <v>370</v>
      </c>
      <c r="E23" s="27">
        <f>股权价值增加表!E17</f>
        <v>428144030.063025</v>
      </c>
      <c r="F23" s="27">
        <f>股权价值增加表!F17</f>
        <v>324591800.59195822</v>
      </c>
      <c r="G23" s="27">
        <f>股权价值增加表!G17</f>
        <v>169231697.49786973</v>
      </c>
      <c r="H23" s="27">
        <f>股权价值增加表!H17</f>
        <v>123606189.79480192</v>
      </c>
      <c r="I23" s="27">
        <f>股权价值增加表!I17</f>
        <v>308520479.7763046</v>
      </c>
      <c r="J23" s="27">
        <f>股权价值增加表!J17</f>
        <v>252146262.21428594</v>
      </c>
      <c r="K23" s="27">
        <f>股权价值增加表!K17</f>
        <v>145532799.57464889</v>
      </c>
      <c r="L23" s="27">
        <f>股权价值增加表!L17</f>
        <v>104622458.65169166</v>
      </c>
      <c r="M23" s="27">
        <f>股权价值增加表!M17</f>
        <v>365311550.00787956</v>
      </c>
      <c r="N23" s="27">
        <f>股权价值增加表!N17</f>
        <v>293409183.21914089</v>
      </c>
      <c r="O23" s="27">
        <f>股权价值增加表!O17</f>
        <v>164979107.10671088</v>
      </c>
      <c r="P23" s="27">
        <f>股权价值增加表!P17</f>
        <v>113834650.5501582</v>
      </c>
      <c r="Q23" s="27">
        <f>股权价值增加表!Q17</f>
        <v>362984361.74733239</v>
      </c>
      <c r="R23" s="27">
        <f>股权价值增加表!R17</f>
        <v>250115802.33708391</v>
      </c>
      <c r="S23" s="27">
        <f>股权价值增加表!S17</f>
        <v>139150733.29980132</v>
      </c>
      <c r="T23" s="27">
        <f>股权价值增加表!T17</f>
        <v>90529610.928688839</v>
      </c>
      <c r="U23" s="27">
        <f>股权价值增加表!U17</f>
        <v>309180519.11409795</v>
      </c>
      <c r="V23" s="27">
        <f>股权价值增加表!V17</f>
        <v>219176919.57929215</v>
      </c>
      <c r="W23" s="27">
        <f>股权价值增加表!W17</f>
        <v>124376194.05783701</v>
      </c>
      <c r="X23" s="27">
        <f>股权价值增加表!X17</f>
        <v>79521329.740607604</v>
      </c>
      <c r="Y23" s="27">
        <f>股权价值增加表!Y17</f>
        <v>362461551.15202373</v>
      </c>
      <c r="Z23" s="27">
        <f>股权价值增加表!Z17</f>
        <v>239216405.10780725</v>
      </c>
      <c r="AA23" s="27">
        <f>股权价值增加表!AA17</f>
        <v>123232480.25873438</v>
      </c>
      <c r="AB23" s="27">
        <f>股权价值增加表!AB17</f>
        <v>102703921.19152451</v>
      </c>
      <c r="AC23" s="27">
        <f>股权价值增加表!AC17</f>
        <v>351540275.08176368</v>
      </c>
      <c r="AD23" s="27">
        <f>股权价值增加表!AD17</f>
        <v>265208318.95739347</v>
      </c>
      <c r="AE23" s="27">
        <f>股权价值增加表!AE17</f>
        <v>156047768.02113977</v>
      </c>
      <c r="AF23" s="27">
        <f>股权价值增加表!AF17</f>
        <v>84547194.378944635</v>
      </c>
      <c r="AG23" s="27">
        <f>股权价值增加表!AG17</f>
        <v>196811587.3324005</v>
      </c>
      <c r="AH23" s="27">
        <f>股权价值增加表!AH17</f>
        <v>135705521.34270978</v>
      </c>
      <c r="AI23" s="27">
        <f>股权价值增加表!AI17</f>
        <v>75088134.739324301</v>
      </c>
      <c r="AJ23" s="27">
        <f>股权价值增加表!AJ17</f>
        <v>48389010.878503993</v>
      </c>
      <c r="AK23" s="27">
        <f>股权价值增加表!AK17</f>
        <v>144699302.76251644</v>
      </c>
      <c r="AL23" s="27">
        <f>股权价值增加表!AL17</f>
        <v>101049269.93433616</v>
      </c>
      <c r="AM23" s="27">
        <f>股权价值增加表!AM17</f>
        <v>50905125.005242623</v>
      </c>
      <c r="AN23" s="27">
        <f>股权价值增加表!AN17</f>
        <v>33775054.624605685</v>
      </c>
      <c r="AO23" s="27">
        <f>股权价值增加表!AO17</f>
        <v>111533133.40988022</v>
      </c>
      <c r="AP23" s="27">
        <f>股权价值增加表!AP17</f>
        <v>84794520.52972129</v>
      </c>
      <c r="AQ23" s="27">
        <f>股权价值增加表!AQ17</f>
        <v>87008309.938071549</v>
      </c>
      <c r="AR23" s="27">
        <f>股权价值增加表!AR17</f>
        <v>50857099.536314316</v>
      </c>
      <c r="AS23" s="27" t="e">
        <f>股权价值增加表!AS17</f>
        <v>#DIV/0!</v>
      </c>
      <c r="AT23" s="27">
        <f>股权价值增加表!AT17</f>
        <v>0</v>
      </c>
      <c r="AU23" s="27">
        <f>股权价值增加表!AU17</f>
        <v>0</v>
      </c>
      <c r="AV23" s="27">
        <f>股权价值增加表!AV17</f>
        <v>0</v>
      </c>
      <c r="AW23" s="27">
        <f>股权价值增加表!AW17</f>
        <v>0</v>
      </c>
      <c r="AX23" s="27">
        <f>股权价值增加表!AX17</f>
        <v>0</v>
      </c>
      <c r="AY23" s="27">
        <f>股权价值增加表!AY17</f>
        <v>0</v>
      </c>
      <c r="AZ23" s="27">
        <f>股权价值增加表!AZ17</f>
        <v>0</v>
      </c>
      <c r="BA23" s="27">
        <f>股权价值增加表!BA17</f>
        <v>0</v>
      </c>
      <c r="BB23" s="27">
        <f>股权价值增加表!BB17</f>
        <v>0</v>
      </c>
      <c r="BC23" s="27">
        <f>股权价值增加表!BC17</f>
        <v>0</v>
      </c>
      <c r="BD23" s="27">
        <f>股权价值增加表!BD17</f>
        <v>0</v>
      </c>
      <c r="BE23" s="27">
        <f>股权价值增加表!BE17</f>
        <v>0</v>
      </c>
      <c r="BF23" s="27">
        <f>股权价值增加表!BF17</f>
        <v>0</v>
      </c>
      <c r="BG23" s="27">
        <f>股权价值增加表!BG17</f>
        <v>0</v>
      </c>
      <c r="BH23" s="27">
        <f>股权价值增加表!BH17</f>
        <v>0</v>
      </c>
      <c r="BI23" s="27">
        <f>股权价值增加表!BI17</f>
        <v>0</v>
      </c>
      <c r="BJ23" s="27">
        <f>股权价值增加表!BJ17</f>
        <v>0</v>
      </c>
      <c r="BK23" s="27">
        <f>股权价值增加表!BK17</f>
        <v>0</v>
      </c>
      <c r="BL23" s="27">
        <f>股权价值增加表!BL17</f>
        <v>0</v>
      </c>
      <c r="BM23" s="27">
        <f>股权价值增加表!BM17</f>
        <v>0</v>
      </c>
      <c r="BN23" s="27">
        <f>股权价值增加表!BN17</f>
        <v>0</v>
      </c>
      <c r="BO23" s="27">
        <f>股权价值增加表!BO17</f>
        <v>0</v>
      </c>
      <c r="BP23" s="27">
        <f>股权价值增加表!BP17</f>
        <v>0</v>
      </c>
      <c r="BQ23" s="27">
        <f>股权价值增加表!BQ17</f>
        <v>0</v>
      </c>
      <c r="BR23" s="27">
        <f>股权价值增加表!BR17</f>
        <v>0</v>
      </c>
      <c r="BS23" s="27">
        <f>股权价值增加表!BS17</f>
        <v>0</v>
      </c>
      <c r="BT23" s="27">
        <f>股权价值增加表!BT17</f>
        <v>0</v>
      </c>
      <c r="BU23" s="27">
        <f>股权价值增加表!BU17</f>
        <v>0</v>
      </c>
      <c r="BV23" s="27">
        <f>股权价值增加表!BV17</f>
        <v>0</v>
      </c>
      <c r="BW23" s="27">
        <f>股权价值增加表!BW17</f>
        <v>0</v>
      </c>
      <c r="BX23" s="27">
        <f>股权价值增加表!BX17</f>
        <v>0</v>
      </c>
      <c r="BY23" s="27">
        <f>股权价值增加表!BY17</f>
        <v>0</v>
      </c>
      <c r="BZ23" s="27">
        <f>股权价值增加表!BZ17</f>
        <v>0</v>
      </c>
      <c r="CA23" s="27">
        <f>股权价值增加表!CA17</f>
        <v>0</v>
      </c>
      <c r="CB23" s="27">
        <f>股权价值增加表!CB17</f>
        <v>0</v>
      </c>
      <c r="CC23" s="27">
        <f>股权价值增加表!CC17</f>
        <v>0</v>
      </c>
      <c r="CD23" s="27" t="e">
        <f>股权价值增加表!CD17</f>
        <v>#DIV/0!</v>
      </c>
      <c r="CE23" s="27">
        <f>股权价值增加表!CE17</f>
        <v>0</v>
      </c>
      <c r="CF23" s="27">
        <f>股权价值增加表!CF17</f>
        <v>0</v>
      </c>
      <c r="CG23" s="27" t="e">
        <f>股权价值增加表!CG17</f>
        <v>#DIV/0!</v>
      </c>
      <c r="CH23" s="27" t="e">
        <f>股权价值增加表!CH17</f>
        <v>#DIV/0!</v>
      </c>
      <c r="CI23" s="27" t="e">
        <f>股权价值增加表!CI17</f>
        <v>#DIV/0!</v>
      </c>
      <c r="CJ23" s="27" t="e">
        <f>股权价值增加表!CJ17</f>
        <v>#DIV/0!</v>
      </c>
    </row>
    <row r="24" spans="1:89" s="57" customFormat="1" x14ac:dyDescent="0.25">
      <c r="A24" s="20" t="s">
        <v>371</v>
      </c>
      <c r="E24" s="57">
        <f>E23/E2</f>
        <v>9.1839924187747821E-2</v>
      </c>
      <c r="F24" s="57">
        <f t="shared" ref="F24:BQ24" si="25">F23/F2</f>
        <v>0.10198726215455479</v>
      </c>
      <c r="G24" s="57">
        <f t="shared" si="25"/>
        <v>8.5408616195458337E-2</v>
      </c>
      <c r="H24" s="57">
        <f t="shared" si="25"/>
        <v>0.11685575307532445</v>
      </c>
      <c r="I24" s="57">
        <f t="shared" si="25"/>
        <v>9.7874142032542411E-2</v>
      </c>
      <c r="J24" s="57">
        <f t="shared" si="25"/>
        <v>0.11699087825471757</v>
      </c>
      <c r="K24" s="57">
        <f t="shared" si="25"/>
        <v>0.10835723921267153</v>
      </c>
      <c r="L24" s="57">
        <f t="shared" si="25"/>
        <v>0.13714749799550383</v>
      </c>
      <c r="M24" s="57">
        <f t="shared" si="25"/>
        <v>0.12529404017861698</v>
      </c>
      <c r="N24" s="57">
        <f t="shared" si="25"/>
        <v>0.14339961858257558</v>
      </c>
      <c r="O24" s="57">
        <f t="shared" si="25"/>
        <v>0.13198581000901491</v>
      </c>
      <c r="P24" s="57">
        <f t="shared" si="25"/>
        <v>0.1613771872693385</v>
      </c>
      <c r="Q24" s="57">
        <f t="shared" si="25"/>
        <v>0.13144936856659847</v>
      </c>
      <c r="R24" s="57">
        <f t="shared" si="25"/>
        <v>0.1330407511532499</v>
      </c>
      <c r="S24" s="57">
        <f t="shared" si="25"/>
        <v>0.12510406755094908</v>
      </c>
      <c r="T24" s="57">
        <f t="shared" si="25"/>
        <v>0.13772771870656758</v>
      </c>
      <c r="U24" s="57">
        <f t="shared" si="25"/>
        <v>0.12248608103009449</v>
      </c>
      <c r="V24" s="57">
        <f t="shared" si="25"/>
        <v>0.12723263933044221</v>
      </c>
      <c r="W24" s="57">
        <f t="shared" si="25"/>
        <v>0.11536895554411358</v>
      </c>
      <c r="X24" s="57">
        <f t="shared" si="25"/>
        <v>0.12922918268544933</v>
      </c>
      <c r="Y24" s="57">
        <f t="shared" si="25"/>
        <v>0.13301566544362509</v>
      </c>
      <c r="Z24" s="57">
        <f t="shared" si="25"/>
        <v>0.12946559742132863</v>
      </c>
      <c r="AA24" s="57">
        <f t="shared" si="25"/>
        <v>0.11889402393089528</v>
      </c>
      <c r="AB24" s="57">
        <f t="shared" si="25"/>
        <v>0.16718301572050889</v>
      </c>
      <c r="AC24" s="57">
        <f t="shared" si="25"/>
        <v>0.14755504611567871</v>
      </c>
      <c r="AD24" s="57">
        <f t="shared" si="25"/>
        <v>0.16231644559881361</v>
      </c>
      <c r="AE24" s="57">
        <f t="shared" si="25"/>
        <v>0.15554285290338402</v>
      </c>
      <c r="AF24" s="57">
        <f t="shared" si="25"/>
        <v>0.14498365024572912</v>
      </c>
      <c r="AG24" s="57">
        <f t="shared" si="25"/>
        <v>0.10820871195617027</v>
      </c>
      <c r="AH24" s="57">
        <f t="shared" si="25"/>
        <v>0.11845087227720011</v>
      </c>
      <c r="AI24" s="57">
        <f t="shared" si="25"/>
        <v>0.11345543423491834</v>
      </c>
      <c r="AJ24" s="57">
        <f t="shared" si="25"/>
        <v>0.13466235725969253</v>
      </c>
      <c r="AK24" s="57">
        <f t="shared" si="25"/>
        <v>0.12634108959964122</v>
      </c>
      <c r="AL24" s="57">
        <f t="shared" si="25"/>
        <v>0.1395872868010741</v>
      </c>
      <c r="AM24" s="57">
        <f t="shared" si="25"/>
        <v>0.12489893222849595</v>
      </c>
      <c r="AN24" s="57">
        <f t="shared" si="25"/>
        <v>0.13235153009967404</v>
      </c>
      <c r="AO24" s="57">
        <f t="shared" si="25"/>
        <v>0.12355713493101644</v>
      </c>
      <c r="AP24" s="57">
        <f t="shared" si="25"/>
        <v>0.13398295001557772</v>
      </c>
      <c r="AQ24" s="57">
        <f t="shared" si="25"/>
        <v>0.11518746961755513</v>
      </c>
      <c r="AR24" s="57">
        <f t="shared" si="25"/>
        <v>9.2051116117673276E-2</v>
      </c>
      <c r="AS24" s="57" t="e">
        <f t="shared" si="25"/>
        <v>#DIV/0!</v>
      </c>
      <c r="AT24" s="57" t="e">
        <f t="shared" si="25"/>
        <v>#DIV/0!</v>
      </c>
      <c r="AU24" s="57" t="e">
        <f t="shared" si="25"/>
        <v>#DIV/0!</v>
      </c>
      <c r="AV24" s="57" t="e">
        <f t="shared" si="25"/>
        <v>#DIV/0!</v>
      </c>
      <c r="AW24" s="57" t="e">
        <f t="shared" si="25"/>
        <v>#DIV/0!</v>
      </c>
      <c r="AX24" s="57" t="e">
        <f t="shared" si="25"/>
        <v>#DIV/0!</v>
      </c>
      <c r="AY24" s="57" t="e">
        <f t="shared" si="25"/>
        <v>#DIV/0!</v>
      </c>
      <c r="AZ24" s="57" t="e">
        <f t="shared" si="25"/>
        <v>#DIV/0!</v>
      </c>
      <c r="BA24" s="57" t="e">
        <f t="shared" si="25"/>
        <v>#DIV/0!</v>
      </c>
      <c r="BB24" s="57" t="e">
        <f t="shared" si="25"/>
        <v>#DIV/0!</v>
      </c>
      <c r="BC24" s="57" t="e">
        <f t="shared" si="25"/>
        <v>#DIV/0!</v>
      </c>
      <c r="BD24" s="57" t="e">
        <f t="shared" si="25"/>
        <v>#DIV/0!</v>
      </c>
      <c r="BE24" s="57" t="e">
        <f t="shared" si="25"/>
        <v>#DIV/0!</v>
      </c>
      <c r="BF24" s="57" t="e">
        <f t="shared" si="25"/>
        <v>#DIV/0!</v>
      </c>
      <c r="BG24" s="57" t="e">
        <f t="shared" si="25"/>
        <v>#DIV/0!</v>
      </c>
      <c r="BH24" s="57" t="e">
        <f t="shared" si="25"/>
        <v>#DIV/0!</v>
      </c>
      <c r="BI24" s="57" t="e">
        <f t="shared" si="25"/>
        <v>#DIV/0!</v>
      </c>
      <c r="BJ24" s="57" t="e">
        <f t="shared" si="25"/>
        <v>#DIV/0!</v>
      </c>
      <c r="BK24" s="57" t="e">
        <f t="shared" si="25"/>
        <v>#DIV/0!</v>
      </c>
      <c r="BL24" s="57" t="e">
        <f t="shared" si="25"/>
        <v>#DIV/0!</v>
      </c>
      <c r="BM24" s="57" t="e">
        <f t="shared" si="25"/>
        <v>#DIV/0!</v>
      </c>
      <c r="BN24" s="57" t="e">
        <f t="shared" si="25"/>
        <v>#DIV/0!</v>
      </c>
      <c r="BO24" s="57" t="e">
        <f t="shared" si="25"/>
        <v>#DIV/0!</v>
      </c>
      <c r="BP24" s="57" t="e">
        <f t="shared" si="25"/>
        <v>#DIV/0!</v>
      </c>
      <c r="BQ24" s="57" t="e">
        <f t="shared" si="25"/>
        <v>#DIV/0!</v>
      </c>
      <c r="BR24" s="57" t="e">
        <f t="shared" ref="BR24:CJ24" si="26">BR23/BR2</f>
        <v>#DIV/0!</v>
      </c>
      <c r="BS24" s="57" t="e">
        <f t="shared" si="26"/>
        <v>#DIV/0!</v>
      </c>
      <c r="BT24" s="57" t="e">
        <f t="shared" si="26"/>
        <v>#DIV/0!</v>
      </c>
      <c r="BU24" s="57" t="e">
        <f t="shared" si="26"/>
        <v>#DIV/0!</v>
      </c>
      <c r="BV24" s="57" t="e">
        <f t="shared" si="26"/>
        <v>#DIV/0!</v>
      </c>
      <c r="BW24" s="57" t="e">
        <f t="shared" si="26"/>
        <v>#DIV/0!</v>
      </c>
      <c r="BX24" s="57" t="e">
        <f t="shared" si="26"/>
        <v>#DIV/0!</v>
      </c>
      <c r="BY24" s="57" t="e">
        <f t="shared" si="26"/>
        <v>#DIV/0!</v>
      </c>
      <c r="BZ24" s="57" t="e">
        <f t="shared" si="26"/>
        <v>#DIV/0!</v>
      </c>
      <c r="CA24" s="57" t="e">
        <f t="shared" si="26"/>
        <v>#DIV/0!</v>
      </c>
      <c r="CB24" s="57" t="e">
        <f t="shared" si="26"/>
        <v>#DIV/0!</v>
      </c>
      <c r="CC24" s="57" t="e">
        <f t="shared" si="26"/>
        <v>#DIV/0!</v>
      </c>
      <c r="CD24" s="57" t="e">
        <f t="shared" si="26"/>
        <v>#DIV/0!</v>
      </c>
      <c r="CE24" s="57" t="e">
        <f t="shared" si="26"/>
        <v>#DIV/0!</v>
      </c>
      <c r="CF24" s="57" t="e">
        <f t="shared" si="26"/>
        <v>#DIV/0!</v>
      </c>
      <c r="CG24" s="57" t="e">
        <f t="shared" si="26"/>
        <v>#DIV/0!</v>
      </c>
      <c r="CH24" s="57" t="e">
        <f t="shared" si="26"/>
        <v>#DIV/0!</v>
      </c>
      <c r="CI24" s="57" t="e">
        <f t="shared" si="26"/>
        <v>#DIV/0!</v>
      </c>
      <c r="CJ24" s="57" t="e">
        <f t="shared" si="26"/>
        <v>#DIV/0!</v>
      </c>
    </row>
    <row r="25" spans="1:89" s="16" customFormat="1" ht="369.6" customHeight="1" thickBot="1" x14ac:dyDescent="0.3">
      <c r="A25" s="283" t="s">
        <v>670</v>
      </c>
      <c r="B25" s="284"/>
      <c r="C25" s="284"/>
      <c r="D25" s="284"/>
      <c r="E25" s="284"/>
      <c r="F25" s="284"/>
      <c r="G25" s="284"/>
      <c r="H25" s="284"/>
      <c r="I25" s="284"/>
      <c r="J25" s="284"/>
      <c r="K25" s="284"/>
      <c r="L25" s="284"/>
      <c r="M25" s="284"/>
      <c r="N25" s="284"/>
      <c r="O25" s="284"/>
      <c r="P25" s="284"/>
      <c r="Q25" s="284"/>
      <c r="R25" s="284"/>
      <c r="S25" s="284"/>
      <c r="T25" s="284"/>
      <c r="U25" s="284"/>
      <c r="V25" s="284"/>
      <c r="W25" s="284"/>
      <c r="X25" s="284"/>
      <c r="Y25" s="284"/>
      <c r="Z25" s="284"/>
      <c r="AA25" s="284"/>
      <c r="AB25" s="284"/>
      <c r="AC25" s="284"/>
      <c r="AD25" s="284"/>
      <c r="AE25" s="284"/>
      <c r="AF25" s="284"/>
      <c r="AG25" s="284"/>
    </row>
    <row r="26" spans="1:89" s="63" customFormat="1" ht="15" thickBot="1" x14ac:dyDescent="0.3">
      <c r="A26" s="151" t="s">
        <v>600</v>
      </c>
      <c r="B26" s="152"/>
      <c r="C26" s="152"/>
      <c r="D26" s="152"/>
      <c r="E26" s="153">
        <f>POWER(E2/Y2,1/6)-1</f>
        <v>9.3620234676191627E-2</v>
      </c>
    </row>
    <row r="27" spans="1:89" s="26" customFormat="1" x14ac:dyDescent="0.25">
      <c r="A27" s="20" t="s">
        <v>377</v>
      </c>
      <c r="B27" s="1">
        <v>43373</v>
      </c>
      <c r="C27" s="1">
        <v>43281</v>
      </c>
      <c r="D27" s="1">
        <v>43190</v>
      </c>
      <c r="E27" s="1">
        <v>43100</v>
      </c>
      <c r="F27" s="1">
        <v>43008</v>
      </c>
      <c r="G27" s="1">
        <v>42916</v>
      </c>
      <c r="H27" s="1">
        <v>42825</v>
      </c>
      <c r="I27" s="1">
        <v>42735</v>
      </c>
      <c r="J27" s="1">
        <v>42643</v>
      </c>
      <c r="K27" s="1">
        <v>42551</v>
      </c>
      <c r="L27" s="1">
        <v>42460</v>
      </c>
      <c r="M27" s="1">
        <v>42369</v>
      </c>
      <c r="N27" s="1">
        <v>42277</v>
      </c>
      <c r="O27" s="1">
        <v>42185</v>
      </c>
      <c r="P27" s="1">
        <v>42094</v>
      </c>
      <c r="Q27" s="1">
        <v>42004</v>
      </c>
      <c r="R27" s="1">
        <v>41912</v>
      </c>
      <c r="S27" s="1">
        <v>41820</v>
      </c>
      <c r="T27" s="1">
        <v>41729</v>
      </c>
      <c r="U27" s="1">
        <v>41639</v>
      </c>
      <c r="V27" s="1">
        <v>41547</v>
      </c>
      <c r="W27" s="1">
        <v>41455</v>
      </c>
      <c r="X27" s="1">
        <v>41364</v>
      </c>
      <c r="Y27" s="1">
        <v>41274</v>
      </c>
      <c r="Z27" s="1">
        <v>41182</v>
      </c>
      <c r="AA27" s="1">
        <v>41090</v>
      </c>
      <c r="AB27" s="1">
        <v>40999</v>
      </c>
      <c r="AC27" s="1">
        <v>40908</v>
      </c>
      <c r="AD27" s="1">
        <v>40816</v>
      </c>
      <c r="AE27" s="1">
        <v>40724</v>
      </c>
      <c r="AF27" s="1">
        <v>40633</v>
      </c>
      <c r="AG27" s="1">
        <v>40543</v>
      </c>
      <c r="AH27" s="1">
        <v>40451</v>
      </c>
      <c r="AI27" s="1">
        <v>40359</v>
      </c>
      <c r="AJ27" s="1">
        <v>40268</v>
      </c>
      <c r="AK27" s="1">
        <v>40178</v>
      </c>
      <c r="AL27" s="1">
        <v>40086</v>
      </c>
      <c r="AM27" s="1">
        <v>39994</v>
      </c>
      <c r="AN27" s="1">
        <v>39903</v>
      </c>
      <c r="AO27" s="1">
        <v>39813</v>
      </c>
      <c r="AP27" s="1">
        <v>39721</v>
      </c>
      <c r="AQ27" s="1">
        <v>39447</v>
      </c>
      <c r="AR27" s="1">
        <v>39082</v>
      </c>
      <c r="AS27" s="1">
        <v>25569</v>
      </c>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row>
    <row r="28" spans="1:89" s="26" customFormat="1" x14ac:dyDescent="0.25">
      <c r="A28" s="17" t="s">
        <v>373</v>
      </c>
      <c r="E28" s="26">
        <f>股权价值增加表!E15</f>
        <v>523178348.21000004</v>
      </c>
      <c r="F28" s="26">
        <f>股权价值增加表!F15</f>
        <v>419080678.67000008</v>
      </c>
      <c r="G28" s="26">
        <f>股权价值增加表!G15</f>
        <v>214545258.82999974</v>
      </c>
      <c r="H28" s="26">
        <f>股权价值增加表!H15</f>
        <v>145280786.59999999</v>
      </c>
      <c r="I28" s="26">
        <f>股权价值增加表!I15</f>
        <v>380273224.21999973</v>
      </c>
      <c r="J28" s="26">
        <f>股权价值增加表!J15</f>
        <v>311019714.43000007</v>
      </c>
      <c r="K28" s="26">
        <f>股权价值增加表!K15</f>
        <v>185716513.07000017</v>
      </c>
      <c r="L28" s="26">
        <f>股权价值增加表!L15</f>
        <v>125880653.19</v>
      </c>
      <c r="M28" s="26">
        <f>股权价值增加表!M15</f>
        <v>441577738.04999995</v>
      </c>
      <c r="N28" s="26">
        <f>股权价值增加表!N15</f>
        <v>336580179.87</v>
      </c>
      <c r="O28" s="26">
        <f>股权价值增加表!O15</f>
        <v>191471550.28999993</v>
      </c>
      <c r="P28" s="26">
        <f>股权价值增加表!P15</f>
        <v>134196355.73999994</v>
      </c>
      <c r="Q28" s="26">
        <f>股权价值增加表!Q15</f>
        <v>412039612.28000009</v>
      </c>
      <c r="R28" s="26">
        <f>股权价值增加表!R15</f>
        <v>286533512.59000009</v>
      </c>
      <c r="S28" s="26">
        <f>股权价值增加表!S15</f>
        <v>161518149.71000001</v>
      </c>
      <c r="T28" s="26">
        <f>股权价值增加表!T15</f>
        <v>106722857.55000003</v>
      </c>
      <c r="U28" s="26">
        <f>股权价值增加表!U15</f>
        <v>365169041.95000005</v>
      </c>
      <c r="V28" s="26">
        <f>股权价值增加表!V15</f>
        <v>254301756.83000004</v>
      </c>
      <c r="W28" s="26">
        <f>股权价值增加表!W15</f>
        <v>147345474.63999996</v>
      </c>
      <c r="X28" s="26">
        <f>股权价值增加表!X15</f>
        <v>97637075.229999915</v>
      </c>
      <c r="Y28" s="26">
        <f>股权价值增加表!Y15</f>
        <v>421385488.86000007</v>
      </c>
      <c r="Z28" s="26">
        <f>股权价值增加表!Z15</f>
        <v>279095083.70000011</v>
      </c>
      <c r="AA28" s="26">
        <f>股权价值增加表!AA15</f>
        <v>146333664.48000002</v>
      </c>
      <c r="AB28" s="26">
        <f>股权价值增加表!AB15</f>
        <v>124906415.53999996</v>
      </c>
      <c r="AC28" s="26">
        <f>股权价值增加表!AC15</f>
        <v>418194537.60000008</v>
      </c>
      <c r="AD28" s="26">
        <f>股权价值增加表!AD15</f>
        <v>310682288.46999991</v>
      </c>
      <c r="AE28" s="26">
        <f>股权价值增加表!AE15</f>
        <v>180381562.75000006</v>
      </c>
      <c r="AF28" s="26">
        <f>股权价值增加表!AF15</f>
        <v>112630629.38000003</v>
      </c>
      <c r="AG28" s="26">
        <f>股权价值增加表!AG15</f>
        <v>263460306.01000023</v>
      </c>
      <c r="AH28" s="26">
        <f>股权价值增加表!AH15</f>
        <v>201391132.57000011</v>
      </c>
      <c r="AI28" s="26">
        <f>股权价值增加表!AI15</f>
        <v>110012381.93999997</v>
      </c>
      <c r="AJ28" s="26">
        <f>股权价值增加表!AJ15</f>
        <v>67077628.009999976</v>
      </c>
      <c r="AK28" s="26">
        <f>股权价值增加表!AK15</f>
        <v>195366080.11999986</v>
      </c>
      <c r="AL28" s="26">
        <f>股权价值增加表!AL15</f>
        <v>133034906.21999998</v>
      </c>
      <c r="AM28" s="26">
        <f>股权价值增加表!AM15</f>
        <v>67100112.639999993</v>
      </c>
      <c r="AN28" s="26">
        <f>股权价值增加表!AN15</f>
        <v>44924420.930000037</v>
      </c>
      <c r="AO28" s="26">
        <f>股权价值增加表!AO15</f>
        <v>138003723.61999995</v>
      </c>
      <c r="AP28" s="26">
        <f>股权价值增加表!AP15</f>
        <v>105787811.07000008</v>
      </c>
      <c r="AQ28" s="26">
        <f>股权价值增加表!AQ15</f>
        <v>113604229.94999996</v>
      </c>
      <c r="AR28" s="26">
        <f>股权价值增加表!AR15</f>
        <v>55021222.969999909</v>
      </c>
      <c r="AS28" s="26">
        <f>股权价值增加表!AS15</f>
        <v>0</v>
      </c>
      <c r="AT28" s="26">
        <f>股权价值增加表!AT15</f>
        <v>0</v>
      </c>
      <c r="AU28" s="26">
        <f>股权价值增加表!AU15</f>
        <v>0</v>
      </c>
      <c r="AV28" s="26">
        <f>股权价值增加表!AV15</f>
        <v>0</v>
      </c>
      <c r="AW28" s="26">
        <f>股权价值增加表!AW15</f>
        <v>0</v>
      </c>
      <c r="AX28" s="26">
        <f>股权价值增加表!AX15</f>
        <v>0</v>
      </c>
      <c r="AY28" s="26">
        <f>股权价值增加表!AY15</f>
        <v>0</v>
      </c>
      <c r="AZ28" s="26">
        <f>股权价值增加表!AZ15</f>
        <v>0</v>
      </c>
      <c r="BA28" s="26">
        <f>股权价值增加表!BA15</f>
        <v>0</v>
      </c>
      <c r="BB28" s="26">
        <f>股权价值增加表!BB15</f>
        <v>0</v>
      </c>
      <c r="BC28" s="26">
        <f>股权价值增加表!BC15</f>
        <v>0</v>
      </c>
      <c r="BD28" s="26">
        <f>股权价值增加表!BD15</f>
        <v>0</v>
      </c>
      <c r="BE28" s="26">
        <f>股权价值增加表!BE15</f>
        <v>0</v>
      </c>
      <c r="BF28" s="26">
        <f>股权价值增加表!BF15</f>
        <v>0</v>
      </c>
      <c r="BG28" s="26">
        <f>股权价值增加表!BG15</f>
        <v>0</v>
      </c>
      <c r="BH28" s="26">
        <f>股权价值增加表!BH15</f>
        <v>0</v>
      </c>
      <c r="BI28" s="26">
        <f>股权价值增加表!BI15</f>
        <v>0</v>
      </c>
      <c r="BJ28" s="26">
        <f>股权价值增加表!BJ15</f>
        <v>0</v>
      </c>
      <c r="BK28" s="26">
        <f>股权价值增加表!BK15</f>
        <v>0</v>
      </c>
      <c r="BL28" s="26">
        <f>股权价值增加表!BL15</f>
        <v>0</v>
      </c>
      <c r="BM28" s="26">
        <f>股权价值增加表!BM15</f>
        <v>0</v>
      </c>
      <c r="BN28" s="26">
        <f>股权价值增加表!BN15</f>
        <v>0</v>
      </c>
      <c r="BO28" s="26">
        <f>股权价值增加表!BO15</f>
        <v>0</v>
      </c>
      <c r="BP28" s="26">
        <f>股权价值增加表!BP15</f>
        <v>0</v>
      </c>
      <c r="BQ28" s="26">
        <f>股权价值增加表!BQ15</f>
        <v>0</v>
      </c>
      <c r="BR28" s="26">
        <f>股权价值增加表!BR15</f>
        <v>0</v>
      </c>
      <c r="BS28" s="26">
        <f>股权价值增加表!BS15</f>
        <v>0</v>
      </c>
      <c r="BT28" s="26">
        <f>股权价值增加表!BT15</f>
        <v>0</v>
      </c>
      <c r="BU28" s="26">
        <f>股权价值增加表!BU15</f>
        <v>0</v>
      </c>
      <c r="BV28" s="26">
        <f>股权价值增加表!BV15</f>
        <v>0</v>
      </c>
      <c r="BW28" s="26">
        <f>股权价值增加表!BW15</f>
        <v>0</v>
      </c>
      <c r="BX28" s="26">
        <f>股权价值增加表!BX15</f>
        <v>0</v>
      </c>
      <c r="BY28" s="26">
        <f>股权价值增加表!BY15</f>
        <v>0</v>
      </c>
      <c r="BZ28" s="26">
        <f>股权价值增加表!BZ15</f>
        <v>0</v>
      </c>
      <c r="CA28" s="26">
        <f>股权价值增加表!CA15</f>
        <v>0</v>
      </c>
      <c r="CB28" s="26">
        <f>股权价值增加表!CB15</f>
        <v>0</v>
      </c>
      <c r="CC28" s="26">
        <f>股权价值增加表!CC15</f>
        <v>0</v>
      </c>
      <c r="CD28" s="26">
        <f>股权价值增加表!CD15</f>
        <v>0</v>
      </c>
      <c r="CE28" s="26">
        <f>股权价值增加表!CE15</f>
        <v>0</v>
      </c>
      <c r="CF28" s="26">
        <f>股权价值增加表!CF15</f>
        <v>0</v>
      </c>
      <c r="CG28" s="26">
        <f>股权价值增加表!CG15</f>
        <v>0</v>
      </c>
      <c r="CH28" s="26">
        <f>股权价值增加表!CH15</f>
        <v>0</v>
      </c>
      <c r="CI28" s="26">
        <f>股权价值增加表!CI15</f>
        <v>0</v>
      </c>
      <c r="CJ28" s="26">
        <f>股权价值增加表!CJ15</f>
        <v>0</v>
      </c>
      <c r="CK28" s="26">
        <f>股权价值增加表!CK15</f>
        <v>0</v>
      </c>
    </row>
    <row r="29" spans="1:89" s="59" customFormat="1" x14ac:dyDescent="0.25">
      <c r="A29" s="146" t="s">
        <v>378</v>
      </c>
      <c r="E29" s="59">
        <f t="shared" ref="E29:AJ29" si="27">E28/E34</f>
        <v>0.97175081047278278</v>
      </c>
      <c r="F29" s="59">
        <f t="shared" si="27"/>
        <v>0.9852391856819066</v>
      </c>
      <c r="G29" s="59">
        <f t="shared" si="27"/>
        <v>0.92242005918521397</v>
      </c>
      <c r="H29" s="59">
        <f t="shared" si="27"/>
        <v>0.99277037577840066</v>
      </c>
      <c r="I29" s="59">
        <f t="shared" si="27"/>
        <v>0.8811300777590737</v>
      </c>
      <c r="J29" s="59">
        <f t="shared" si="27"/>
        <v>0.93413850417106825</v>
      </c>
      <c r="K29" s="59">
        <f t="shared" si="27"/>
        <v>0.92135346075999858</v>
      </c>
      <c r="L29" s="59">
        <f t="shared" si="27"/>
        <v>0.92404212796046836</v>
      </c>
      <c r="M29" s="59">
        <f t="shared" si="27"/>
        <v>0.85708451001171437</v>
      </c>
      <c r="N29" s="59">
        <f t="shared" si="27"/>
        <v>0.90797514904389676</v>
      </c>
      <c r="O29" s="59">
        <f t="shared" si="27"/>
        <v>0.91216108734303092</v>
      </c>
      <c r="P29" s="59">
        <f t="shared" si="27"/>
        <v>0.9914612740097386</v>
      </c>
      <c r="Q29" s="59">
        <f t="shared" si="27"/>
        <v>0.91186124618502906</v>
      </c>
      <c r="R29" s="59">
        <f t="shared" si="27"/>
        <v>0.9574480648799657</v>
      </c>
      <c r="S29" s="59">
        <f t="shared" si="27"/>
        <v>0.94997209719073072</v>
      </c>
      <c r="T29" s="59">
        <f t="shared" si="27"/>
        <v>0.98127990202570914</v>
      </c>
      <c r="U29" s="59">
        <f t="shared" si="27"/>
        <v>0.93316216535487861</v>
      </c>
      <c r="V29" s="59">
        <f t="shared" si="27"/>
        <v>0.98550963977990536</v>
      </c>
      <c r="W29" s="59">
        <f t="shared" si="27"/>
        <v>0.9805891525442697</v>
      </c>
      <c r="X29" s="59">
        <f t="shared" si="27"/>
        <v>0.98430156073754338</v>
      </c>
      <c r="Y29" s="59">
        <f t="shared" si="27"/>
        <v>0.94897968732373328</v>
      </c>
      <c r="Z29" s="59">
        <f t="shared" si="27"/>
        <v>0.99947287606113078</v>
      </c>
      <c r="AA29" s="59">
        <f t="shared" si="27"/>
        <v>0.99936967086061257</v>
      </c>
      <c r="AB29" s="59">
        <f t="shared" si="27"/>
        <v>1.0000192147545428</v>
      </c>
      <c r="AC29" s="59">
        <f t="shared" si="27"/>
        <v>0.9421942786405193</v>
      </c>
      <c r="AD29" s="59">
        <f t="shared" si="27"/>
        <v>1.001927312150217</v>
      </c>
      <c r="AE29" s="59">
        <f t="shared" si="27"/>
        <v>1.0017076457871372</v>
      </c>
      <c r="AF29" s="59">
        <f t="shared" si="27"/>
        <v>1</v>
      </c>
      <c r="AG29" s="59">
        <f t="shared" si="27"/>
        <v>0.93138153226572928</v>
      </c>
      <c r="AH29" s="59">
        <f t="shared" si="27"/>
        <v>1.001049428029344</v>
      </c>
      <c r="AI29" s="59">
        <f t="shared" si="27"/>
        <v>1.0008767040659605</v>
      </c>
      <c r="AJ29" s="59">
        <f t="shared" si="27"/>
        <v>1</v>
      </c>
      <c r="AK29" s="59">
        <f t="shared" ref="AK29:BP29" si="28">AK28/AK34</f>
        <v>0.9921296324287191</v>
      </c>
      <c r="AL29" s="59">
        <f t="shared" si="28"/>
        <v>1</v>
      </c>
      <c r="AM29" s="59">
        <f t="shared" si="28"/>
        <v>1</v>
      </c>
      <c r="AN29" s="59">
        <f t="shared" si="28"/>
        <v>1</v>
      </c>
      <c r="AO29" s="59">
        <f t="shared" si="28"/>
        <v>0.9993508082375917</v>
      </c>
      <c r="AP29" s="59">
        <f t="shared" si="28"/>
        <v>0.99997144799833748</v>
      </c>
      <c r="AQ29" s="59">
        <f t="shared" si="28"/>
        <v>0.99990884832348925</v>
      </c>
      <c r="AR29" s="59">
        <f t="shared" si="28"/>
        <v>1</v>
      </c>
      <c r="AS29" s="59" t="e">
        <f t="shared" si="28"/>
        <v>#DIV/0!</v>
      </c>
      <c r="AT29" s="59">
        <f t="shared" si="28"/>
        <v>0</v>
      </c>
      <c r="AU29" s="59">
        <f t="shared" si="28"/>
        <v>0</v>
      </c>
      <c r="AV29" s="59">
        <f t="shared" si="28"/>
        <v>0</v>
      </c>
      <c r="AW29" s="59">
        <f t="shared" si="28"/>
        <v>0</v>
      </c>
      <c r="AX29" s="59">
        <f t="shared" si="28"/>
        <v>0</v>
      </c>
      <c r="AY29" s="59">
        <f t="shared" si="28"/>
        <v>0</v>
      </c>
      <c r="AZ29" s="59">
        <f t="shared" si="28"/>
        <v>0</v>
      </c>
      <c r="BA29" s="59">
        <f t="shared" si="28"/>
        <v>0</v>
      </c>
      <c r="BB29" s="59">
        <f t="shared" si="28"/>
        <v>0</v>
      </c>
      <c r="BC29" s="59">
        <f t="shared" si="28"/>
        <v>0</v>
      </c>
      <c r="BD29" s="59" t="e">
        <f t="shared" si="28"/>
        <v>#DIV/0!</v>
      </c>
      <c r="BE29" s="59">
        <f t="shared" si="28"/>
        <v>0</v>
      </c>
      <c r="BF29" s="59">
        <f t="shared" si="28"/>
        <v>0</v>
      </c>
      <c r="BG29" s="59">
        <f t="shared" si="28"/>
        <v>0</v>
      </c>
      <c r="BH29" s="59">
        <f t="shared" si="28"/>
        <v>0</v>
      </c>
      <c r="BI29" s="59">
        <f t="shared" si="28"/>
        <v>0</v>
      </c>
      <c r="BJ29" s="59">
        <f t="shared" si="28"/>
        <v>0</v>
      </c>
      <c r="BK29" s="59">
        <f t="shared" si="28"/>
        <v>0</v>
      </c>
      <c r="BL29" s="59">
        <f t="shared" si="28"/>
        <v>0</v>
      </c>
      <c r="BM29" s="59">
        <f t="shared" si="28"/>
        <v>0</v>
      </c>
      <c r="BN29" s="59">
        <f t="shared" si="28"/>
        <v>0</v>
      </c>
      <c r="BO29" s="59">
        <f t="shared" si="28"/>
        <v>0</v>
      </c>
      <c r="BP29" s="59">
        <f t="shared" si="28"/>
        <v>0</v>
      </c>
      <c r="BQ29" s="59">
        <f t="shared" ref="BQ29:CK29" si="29">BQ28/BQ34</f>
        <v>0</v>
      </c>
      <c r="BR29" s="59">
        <f t="shared" si="29"/>
        <v>0</v>
      </c>
      <c r="BS29" s="59">
        <f t="shared" si="29"/>
        <v>0</v>
      </c>
      <c r="BT29" s="59">
        <f t="shared" si="29"/>
        <v>0</v>
      </c>
      <c r="BU29" s="59">
        <f t="shared" si="29"/>
        <v>0</v>
      </c>
      <c r="BV29" s="59" t="e">
        <f t="shared" si="29"/>
        <v>#DIV/0!</v>
      </c>
      <c r="BW29" s="59" t="e">
        <f t="shared" si="29"/>
        <v>#DIV/0!</v>
      </c>
      <c r="BX29" s="59" t="e">
        <f t="shared" si="29"/>
        <v>#DIV/0!</v>
      </c>
      <c r="BY29" s="59" t="e">
        <f t="shared" si="29"/>
        <v>#DIV/0!</v>
      </c>
      <c r="BZ29" s="59" t="e">
        <f t="shared" si="29"/>
        <v>#DIV/0!</v>
      </c>
      <c r="CA29" s="59" t="e">
        <f t="shared" si="29"/>
        <v>#DIV/0!</v>
      </c>
      <c r="CB29" s="59" t="e">
        <f t="shared" si="29"/>
        <v>#DIV/0!</v>
      </c>
      <c r="CC29" s="59" t="e">
        <f t="shared" si="29"/>
        <v>#DIV/0!</v>
      </c>
      <c r="CD29" s="59" t="e">
        <f t="shared" si="29"/>
        <v>#DIV/0!</v>
      </c>
      <c r="CE29" s="59">
        <f t="shared" si="29"/>
        <v>0</v>
      </c>
      <c r="CF29" s="59">
        <f t="shared" si="29"/>
        <v>0</v>
      </c>
      <c r="CG29" s="59" t="e">
        <f t="shared" si="29"/>
        <v>#DIV/0!</v>
      </c>
      <c r="CH29" s="59" t="e">
        <f t="shared" si="29"/>
        <v>#DIV/0!</v>
      </c>
      <c r="CI29" s="59" t="e">
        <f t="shared" si="29"/>
        <v>#DIV/0!</v>
      </c>
      <c r="CJ29" s="59" t="e">
        <f t="shared" si="29"/>
        <v>#DIV/0!</v>
      </c>
      <c r="CK29" s="59" t="e">
        <f t="shared" si="29"/>
        <v>#DIV/0!</v>
      </c>
    </row>
    <row r="30" spans="1:89" s="26" customFormat="1" x14ac:dyDescent="0.25">
      <c r="A30" s="17" t="s">
        <v>374</v>
      </c>
      <c r="E30" s="26">
        <f>股权价值增加表!E20</f>
        <v>0</v>
      </c>
      <c r="F30" s="26">
        <f>股权价值增加表!F20</f>
        <v>0</v>
      </c>
      <c r="G30" s="26">
        <f>股权价值增加表!G20</f>
        <v>0</v>
      </c>
      <c r="H30" s="26">
        <f>股权价值增加表!H20</f>
        <v>0</v>
      </c>
      <c r="I30" s="26">
        <f>股权价值增加表!I20</f>
        <v>0</v>
      </c>
      <c r="J30" s="26">
        <f>股权价值增加表!J20</f>
        <v>0</v>
      </c>
      <c r="K30" s="26">
        <f>股权价值增加表!K20</f>
        <v>0</v>
      </c>
      <c r="L30" s="26">
        <f>股权价值增加表!L20</f>
        <v>0</v>
      </c>
      <c r="M30" s="26">
        <f>股权价值增加表!M20</f>
        <v>0</v>
      </c>
      <c r="N30" s="26">
        <f>股权价值增加表!N20</f>
        <v>0</v>
      </c>
      <c r="O30" s="26">
        <f>股权价值增加表!O20</f>
        <v>0</v>
      </c>
      <c r="P30" s="26">
        <f>股权价值增加表!P20</f>
        <v>0</v>
      </c>
      <c r="Q30" s="26">
        <f>股权价值增加表!Q20</f>
        <v>0</v>
      </c>
      <c r="R30" s="26">
        <f>股权价值增加表!R20</f>
        <v>0</v>
      </c>
      <c r="S30" s="26">
        <f>股权价值增加表!S20</f>
        <v>0</v>
      </c>
      <c r="T30" s="26">
        <f>股权价值增加表!T20</f>
        <v>0</v>
      </c>
      <c r="U30" s="26">
        <f>股权价值增加表!U20</f>
        <v>0</v>
      </c>
      <c r="V30" s="26">
        <f>股权价值增加表!V20</f>
        <v>0</v>
      </c>
      <c r="W30" s="26">
        <f>股权价值增加表!W20</f>
        <v>0</v>
      </c>
      <c r="X30" s="26">
        <f>股权价值增加表!X20</f>
        <v>0</v>
      </c>
      <c r="Y30" s="26">
        <f>股权价值增加表!Y20</f>
        <v>0</v>
      </c>
      <c r="Z30" s="26">
        <f>股权价值增加表!Z20</f>
        <v>0</v>
      </c>
      <c r="AA30" s="26">
        <f>股权价值增加表!AA20</f>
        <v>0</v>
      </c>
      <c r="AB30" s="26">
        <f>股权价值增加表!AB20</f>
        <v>0</v>
      </c>
      <c r="AC30" s="26">
        <f>股权价值增加表!AC20</f>
        <v>0</v>
      </c>
      <c r="AD30" s="26">
        <f>股权价值增加表!AD20</f>
        <v>0</v>
      </c>
      <c r="AE30" s="26">
        <f>股权价值增加表!AE20</f>
        <v>0</v>
      </c>
      <c r="AF30" s="26">
        <f>股权价值增加表!AF20</f>
        <v>0</v>
      </c>
      <c r="AG30" s="26">
        <f>股权价值增加表!AG20</f>
        <v>0</v>
      </c>
      <c r="AH30" s="26">
        <f>股权价值增加表!AH20</f>
        <v>0</v>
      </c>
      <c r="AI30" s="26">
        <f>股权价值增加表!AI20</f>
        <v>0</v>
      </c>
      <c r="AJ30" s="26">
        <f>股权价值增加表!AJ20</f>
        <v>0</v>
      </c>
      <c r="AK30" s="26">
        <f>股权价值增加表!AK20</f>
        <v>0</v>
      </c>
      <c r="AL30" s="26">
        <f>股权价值增加表!AL20</f>
        <v>0</v>
      </c>
      <c r="AM30" s="26">
        <f>股权价值增加表!AM20</f>
        <v>0</v>
      </c>
      <c r="AN30" s="26">
        <f>股权价值增加表!AN20</f>
        <v>0</v>
      </c>
      <c r="AO30" s="26">
        <f>股权价值增加表!AO20</f>
        <v>0</v>
      </c>
      <c r="AP30" s="26">
        <f>股权价值增加表!AP20</f>
        <v>0</v>
      </c>
      <c r="AQ30" s="26">
        <f>股权价值增加表!AQ20</f>
        <v>0</v>
      </c>
      <c r="AR30" s="26">
        <f>股权价值增加表!AR20</f>
        <v>0</v>
      </c>
      <c r="AS30" s="26">
        <f>股权价值增加表!AS20</f>
        <v>0</v>
      </c>
      <c r="AT30" s="26">
        <f>股权价值增加表!AT20</f>
        <v>0</v>
      </c>
      <c r="AU30" s="26">
        <f>股权价值增加表!AU20</f>
        <v>0</v>
      </c>
      <c r="AV30" s="26">
        <f>股权价值增加表!AV20</f>
        <v>0</v>
      </c>
      <c r="AW30" s="26">
        <f>股权价值增加表!AW20</f>
        <v>0</v>
      </c>
      <c r="AX30" s="26">
        <f>股权价值增加表!AX20</f>
        <v>0</v>
      </c>
      <c r="AY30" s="26">
        <f>股权价值增加表!AY20</f>
        <v>0</v>
      </c>
      <c r="AZ30" s="26">
        <f>股权价值增加表!AZ20</f>
        <v>0</v>
      </c>
      <c r="BA30" s="26">
        <f>股权价值增加表!BA20</f>
        <v>0</v>
      </c>
      <c r="BB30" s="26">
        <f>股权价值增加表!BB20</f>
        <v>0</v>
      </c>
      <c r="BC30" s="26">
        <f>股权价值增加表!BC20</f>
        <v>0</v>
      </c>
      <c r="BD30" s="26">
        <f>股权价值增加表!BD20</f>
        <v>0</v>
      </c>
      <c r="BE30" s="26">
        <f>股权价值增加表!BE20</f>
        <v>0</v>
      </c>
      <c r="BF30" s="26">
        <f>股权价值增加表!BF20</f>
        <v>0</v>
      </c>
      <c r="BG30" s="26">
        <f>股权价值增加表!BG20</f>
        <v>0</v>
      </c>
      <c r="BH30" s="26">
        <f>股权价值增加表!BH20</f>
        <v>0</v>
      </c>
      <c r="BI30" s="26">
        <f>股权价值增加表!BI20</f>
        <v>0</v>
      </c>
      <c r="BJ30" s="26">
        <f>股权价值增加表!BJ20</f>
        <v>0</v>
      </c>
      <c r="BK30" s="26">
        <f>股权价值增加表!BK20</f>
        <v>0</v>
      </c>
      <c r="BL30" s="26">
        <f>股权价值增加表!BL20</f>
        <v>0</v>
      </c>
      <c r="BM30" s="26">
        <f>股权价值增加表!BM20</f>
        <v>0</v>
      </c>
      <c r="BN30" s="26">
        <f>股权价值增加表!BN20</f>
        <v>0</v>
      </c>
      <c r="BO30" s="26">
        <f>股权价值增加表!BO20</f>
        <v>0</v>
      </c>
      <c r="BP30" s="26">
        <f>股权价值增加表!BP20</f>
        <v>0</v>
      </c>
      <c r="BQ30" s="26">
        <f>股权价值增加表!BQ20</f>
        <v>0</v>
      </c>
      <c r="BR30" s="26">
        <f>股权价值增加表!BR20</f>
        <v>0</v>
      </c>
      <c r="BS30" s="26">
        <f>股权价值增加表!BS20</f>
        <v>0</v>
      </c>
      <c r="BT30" s="26">
        <f>股权价值增加表!BT20</f>
        <v>0</v>
      </c>
      <c r="BU30" s="26">
        <f>股权价值增加表!BU20</f>
        <v>0</v>
      </c>
      <c r="BV30" s="26">
        <f>股权价值增加表!BV20</f>
        <v>0</v>
      </c>
      <c r="BW30" s="26">
        <f>股权价值增加表!BW20</f>
        <v>0</v>
      </c>
      <c r="BX30" s="26">
        <f>股权价值增加表!BX20</f>
        <v>0</v>
      </c>
      <c r="BY30" s="26">
        <f>股权价值增加表!BY20</f>
        <v>0</v>
      </c>
      <c r="BZ30" s="26">
        <f>股权价值增加表!BZ20</f>
        <v>0</v>
      </c>
      <c r="CA30" s="26">
        <f>股权价值增加表!CA20</f>
        <v>0</v>
      </c>
      <c r="CB30" s="26">
        <f>股权价值增加表!CB20</f>
        <v>0</v>
      </c>
      <c r="CC30" s="26">
        <f>股权价值增加表!CC20</f>
        <v>0</v>
      </c>
      <c r="CD30" s="26">
        <f>股权价值增加表!CD20</f>
        <v>0</v>
      </c>
      <c r="CE30" s="26">
        <f>股权价值增加表!CE20</f>
        <v>0</v>
      </c>
      <c r="CF30" s="26">
        <f>股权价值增加表!CF20</f>
        <v>0</v>
      </c>
      <c r="CG30" s="26">
        <f>股权价值增加表!CG20</f>
        <v>0</v>
      </c>
      <c r="CH30" s="26">
        <f>股权价值增加表!CH20</f>
        <v>0</v>
      </c>
      <c r="CI30" s="26">
        <f>股权价值增加表!CI20</f>
        <v>0</v>
      </c>
      <c r="CJ30" s="26">
        <f>股权价值增加表!CJ20</f>
        <v>0</v>
      </c>
    </row>
    <row r="31" spans="1:89" s="59" customFormat="1" x14ac:dyDescent="0.25">
      <c r="A31" s="146" t="s">
        <v>379</v>
      </c>
      <c r="E31" s="59">
        <f>E30/E34</f>
        <v>0</v>
      </c>
      <c r="F31" s="59">
        <f t="shared" ref="F31:BQ31" si="30">F30/F34</f>
        <v>0</v>
      </c>
      <c r="G31" s="59">
        <f t="shared" si="30"/>
        <v>0</v>
      </c>
      <c r="H31" s="59">
        <f t="shared" si="30"/>
        <v>0</v>
      </c>
      <c r="I31" s="59">
        <f t="shared" si="30"/>
        <v>0</v>
      </c>
      <c r="J31" s="59">
        <f t="shared" si="30"/>
        <v>0</v>
      </c>
      <c r="K31" s="59">
        <f t="shared" si="30"/>
        <v>0</v>
      </c>
      <c r="L31" s="59">
        <f t="shared" si="30"/>
        <v>0</v>
      </c>
      <c r="M31" s="59">
        <f t="shared" si="30"/>
        <v>0</v>
      </c>
      <c r="N31" s="59">
        <f t="shared" si="30"/>
        <v>0</v>
      </c>
      <c r="O31" s="59">
        <f t="shared" si="30"/>
        <v>0</v>
      </c>
      <c r="P31" s="59">
        <f t="shared" si="30"/>
        <v>0</v>
      </c>
      <c r="Q31" s="59">
        <f t="shared" si="30"/>
        <v>0</v>
      </c>
      <c r="R31" s="59">
        <f t="shared" si="30"/>
        <v>0</v>
      </c>
      <c r="S31" s="59">
        <f t="shared" si="30"/>
        <v>0</v>
      </c>
      <c r="T31" s="59">
        <f t="shared" si="30"/>
        <v>0</v>
      </c>
      <c r="U31" s="59">
        <f t="shared" si="30"/>
        <v>0</v>
      </c>
      <c r="V31" s="59">
        <f t="shared" si="30"/>
        <v>0</v>
      </c>
      <c r="W31" s="59">
        <f t="shared" si="30"/>
        <v>0</v>
      </c>
      <c r="X31" s="59">
        <f t="shared" si="30"/>
        <v>0</v>
      </c>
      <c r="Y31" s="59">
        <f t="shared" si="30"/>
        <v>0</v>
      </c>
      <c r="Z31" s="59">
        <f t="shared" si="30"/>
        <v>0</v>
      </c>
      <c r="AA31" s="59">
        <f t="shared" si="30"/>
        <v>0</v>
      </c>
      <c r="AB31" s="59">
        <f t="shared" si="30"/>
        <v>0</v>
      </c>
      <c r="AC31" s="59">
        <f t="shared" si="30"/>
        <v>0</v>
      </c>
      <c r="AD31" s="59">
        <f t="shared" si="30"/>
        <v>0</v>
      </c>
      <c r="AE31" s="59">
        <f t="shared" si="30"/>
        <v>0</v>
      </c>
      <c r="AF31" s="59">
        <f t="shared" si="30"/>
        <v>0</v>
      </c>
      <c r="AG31" s="59">
        <f t="shared" si="30"/>
        <v>0</v>
      </c>
      <c r="AH31" s="59">
        <f t="shared" si="30"/>
        <v>0</v>
      </c>
      <c r="AI31" s="59">
        <f t="shared" si="30"/>
        <v>0</v>
      </c>
      <c r="AJ31" s="59">
        <f t="shared" si="30"/>
        <v>0</v>
      </c>
      <c r="AK31" s="59">
        <f t="shared" si="30"/>
        <v>0</v>
      </c>
      <c r="AL31" s="59">
        <f t="shared" si="30"/>
        <v>0</v>
      </c>
      <c r="AM31" s="59">
        <f t="shared" si="30"/>
        <v>0</v>
      </c>
      <c r="AN31" s="59">
        <f t="shared" si="30"/>
        <v>0</v>
      </c>
      <c r="AO31" s="59">
        <f t="shared" si="30"/>
        <v>0</v>
      </c>
      <c r="AP31" s="59">
        <f t="shared" si="30"/>
        <v>0</v>
      </c>
      <c r="AQ31" s="59">
        <f t="shared" si="30"/>
        <v>0</v>
      </c>
      <c r="AR31" s="59">
        <f t="shared" si="30"/>
        <v>0</v>
      </c>
      <c r="AS31" s="59" t="e">
        <f t="shared" si="30"/>
        <v>#DIV/0!</v>
      </c>
      <c r="AT31" s="59">
        <f t="shared" si="30"/>
        <v>0</v>
      </c>
      <c r="AU31" s="59">
        <f t="shared" si="30"/>
        <v>0</v>
      </c>
      <c r="AV31" s="59">
        <f t="shared" si="30"/>
        <v>0</v>
      </c>
      <c r="AW31" s="59">
        <f t="shared" si="30"/>
        <v>0</v>
      </c>
      <c r="AX31" s="59">
        <f t="shared" si="30"/>
        <v>0</v>
      </c>
      <c r="AY31" s="59">
        <f t="shared" si="30"/>
        <v>0</v>
      </c>
      <c r="AZ31" s="59">
        <f t="shared" si="30"/>
        <v>0</v>
      </c>
      <c r="BA31" s="59">
        <f t="shared" si="30"/>
        <v>0</v>
      </c>
      <c r="BB31" s="59">
        <f t="shared" si="30"/>
        <v>0</v>
      </c>
      <c r="BC31" s="59">
        <f t="shared" si="30"/>
        <v>0</v>
      </c>
      <c r="BD31" s="59" t="e">
        <f t="shared" si="30"/>
        <v>#DIV/0!</v>
      </c>
      <c r="BE31" s="59">
        <f t="shared" si="30"/>
        <v>0</v>
      </c>
      <c r="BF31" s="59">
        <f t="shared" si="30"/>
        <v>0</v>
      </c>
      <c r="BG31" s="59">
        <f t="shared" si="30"/>
        <v>0</v>
      </c>
      <c r="BH31" s="59">
        <f t="shared" si="30"/>
        <v>0</v>
      </c>
      <c r="BI31" s="59">
        <f t="shared" si="30"/>
        <v>0</v>
      </c>
      <c r="BJ31" s="59">
        <f t="shared" si="30"/>
        <v>0</v>
      </c>
      <c r="BK31" s="59">
        <f t="shared" si="30"/>
        <v>0</v>
      </c>
      <c r="BL31" s="59">
        <f t="shared" si="30"/>
        <v>0</v>
      </c>
      <c r="BM31" s="59">
        <f t="shared" si="30"/>
        <v>0</v>
      </c>
      <c r="BN31" s="59">
        <f t="shared" si="30"/>
        <v>0</v>
      </c>
      <c r="BO31" s="59">
        <f t="shared" si="30"/>
        <v>0</v>
      </c>
      <c r="BP31" s="59">
        <f t="shared" si="30"/>
        <v>0</v>
      </c>
      <c r="BQ31" s="59">
        <f t="shared" si="30"/>
        <v>0</v>
      </c>
      <c r="BR31" s="59">
        <f t="shared" ref="BR31:CK31" si="31">BR30/BR34</f>
        <v>0</v>
      </c>
      <c r="BS31" s="59">
        <f t="shared" si="31"/>
        <v>0</v>
      </c>
      <c r="BT31" s="59">
        <f t="shared" si="31"/>
        <v>0</v>
      </c>
      <c r="BU31" s="59">
        <f t="shared" si="31"/>
        <v>0</v>
      </c>
      <c r="BV31" s="59" t="e">
        <f t="shared" si="31"/>
        <v>#DIV/0!</v>
      </c>
      <c r="BW31" s="59" t="e">
        <f t="shared" si="31"/>
        <v>#DIV/0!</v>
      </c>
      <c r="BX31" s="59" t="e">
        <f t="shared" si="31"/>
        <v>#DIV/0!</v>
      </c>
      <c r="BY31" s="59" t="e">
        <f t="shared" si="31"/>
        <v>#DIV/0!</v>
      </c>
      <c r="BZ31" s="59" t="e">
        <f t="shared" si="31"/>
        <v>#DIV/0!</v>
      </c>
      <c r="CA31" s="59" t="e">
        <f t="shared" si="31"/>
        <v>#DIV/0!</v>
      </c>
      <c r="CB31" s="59" t="e">
        <f t="shared" si="31"/>
        <v>#DIV/0!</v>
      </c>
      <c r="CC31" s="59" t="e">
        <f t="shared" si="31"/>
        <v>#DIV/0!</v>
      </c>
      <c r="CD31" s="59" t="e">
        <f t="shared" si="31"/>
        <v>#DIV/0!</v>
      </c>
      <c r="CE31" s="59">
        <f t="shared" si="31"/>
        <v>0</v>
      </c>
      <c r="CF31" s="59">
        <f t="shared" si="31"/>
        <v>0</v>
      </c>
      <c r="CG31" s="59" t="e">
        <f t="shared" si="31"/>
        <v>#DIV/0!</v>
      </c>
      <c r="CH31" s="59" t="e">
        <f t="shared" si="31"/>
        <v>#DIV/0!</v>
      </c>
      <c r="CI31" s="59" t="e">
        <f t="shared" si="31"/>
        <v>#DIV/0!</v>
      </c>
      <c r="CJ31" s="59" t="e">
        <f t="shared" si="31"/>
        <v>#DIV/0!</v>
      </c>
      <c r="CK31" s="59" t="e">
        <f t="shared" si="31"/>
        <v>#DIV/0!</v>
      </c>
    </row>
    <row r="32" spans="1:89" s="26" customFormat="1" x14ac:dyDescent="0.25">
      <c r="A32" s="17" t="s">
        <v>375</v>
      </c>
      <c r="E32" s="26">
        <f>股权价值增加表!E27</f>
        <v>15209006.420000006</v>
      </c>
      <c r="F32" s="26">
        <f>股权价值增加表!F27</f>
        <v>6278650.0700000003</v>
      </c>
      <c r="G32" s="26">
        <f>股权价值增加表!G27</f>
        <v>18044282.880000003</v>
      </c>
      <c r="H32" s="26">
        <f>股权价值增加表!H27</f>
        <v>1057974.25</v>
      </c>
      <c r="I32" s="26">
        <f>股权价值增加表!I27</f>
        <v>51301220.710000001</v>
      </c>
      <c r="J32" s="26">
        <f>股权价值增加表!J27</f>
        <v>21928465.140000001</v>
      </c>
      <c r="K32" s="26">
        <f>股权价值增加表!K27</f>
        <v>15852722.82</v>
      </c>
      <c r="L32" s="26">
        <f>股权价值增加表!L27</f>
        <v>10347608.9</v>
      </c>
      <c r="M32" s="26">
        <f>股权价值增加表!M27</f>
        <v>73631360.809999987</v>
      </c>
      <c r="N32" s="26">
        <f>股权价值增加表!N27</f>
        <v>34112983.07</v>
      </c>
      <c r="O32" s="26">
        <f>股权价值增加表!O27</f>
        <v>18438248.48</v>
      </c>
      <c r="P32" s="26">
        <f>股权价值增加表!P27</f>
        <v>1155734.4099999999</v>
      </c>
      <c r="Q32" s="26">
        <f>股权价值增加表!Q27</f>
        <v>39826956.240000002</v>
      </c>
      <c r="R32" s="26">
        <f>股权价值增加表!R27</f>
        <v>12734430.08</v>
      </c>
      <c r="S32" s="26">
        <f>股权价值增加表!S27</f>
        <v>8505949.0899999999</v>
      </c>
      <c r="T32" s="26">
        <f>股权价值增加表!T27</f>
        <v>2035976.02</v>
      </c>
      <c r="U32" s="26">
        <f>股权价值增加表!U27</f>
        <v>26155269.629999999</v>
      </c>
      <c r="V32" s="26">
        <f>股权价值增加表!V27</f>
        <v>3739105.04</v>
      </c>
      <c r="W32" s="26">
        <f>股权价值增加表!W27</f>
        <v>2916716.47</v>
      </c>
      <c r="X32" s="26">
        <f>股权价值增加表!X27</f>
        <v>1557195.23</v>
      </c>
      <c r="Y32" s="26">
        <f>股权价值增加表!Y27</f>
        <v>22655089.129999999</v>
      </c>
      <c r="Z32" s="26">
        <f>股权价值增加表!Z27</f>
        <v>147195.29</v>
      </c>
      <c r="AA32" s="26">
        <f>股权价值增加表!AA27</f>
        <v>92296.55</v>
      </c>
      <c r="AB32" s="26">
        <f>股权价值增加表!AB27</f>
        <v>-2400</v>
      </c>
      <c r="AC32" s="26">
        <f>股权价值增加表!AC27</f>
        <v>25657168.020000003</v>
      </c>
      <c r="AD32" s="26">
        <f>股权价值增加表!AD27</f>
        <v>-597629.93000000005</v>
      </c>
      <c r="AE32" s="26">
        <f>股权价值增加表!AE27</f>
        <v>-307502.71000000002</v>
      </c>
      <c r="AF32" s="26">
        <f>股权价值增加表!AF27</f>
        <v>0</v>
      </c>
      <c r="AG32" s="26">
        <f>股权价值增加表!AG27</f>
        <v>19410136.32</v>
      </c>
      <c r="AH32" s="26">
        <f>股权价值增加表!AH27</f>
        <v>-211123.94</v>
      </c>
      <c r="AI32" s="26">
        <f>股权价值增加表!AI27</f>
        <v>-96363.82</v>
      </c>
      <c r="AJ32" s="26">
        <f>股权价值增加表!AJ27</f>
        <v>0</v>
      </c>
      <c r="AK32" s="26">
        <f>股权价值增加表!AK27</f>
        <v>1549800.36</v>
      </c>
      <c r="AL32" s="26">
        <f>股权价值增加表!AL27</f>
        <v>0</v>
      </c>
      <c r="AM32" s="26">
        <f>股权价值增加表!AM27</f>
        <v>0</v>
      </c>
      <c r="AN32" s="26">
        <f>股权价值增加表!AN27</f>
        <v>0</v>
      </c>
      <c r="AO32" s="26">
        <f>股权价值增加表!AO27</f>
        <v>89649.079999999958</v>
      </c>
      <c r="AP32" s="26">
        <f>股权价值增加表!AP27</f>
        <v>3020.54</v>
      </c>
      <c r="AQ32" s="26">
        <f>股权价值增加表!AQ27</f>
        <v>10356.16</v>
      </c>
      <c r="AR32" s="26">
        <f>股权价值增加表!AR27</f>
        <v>0</v>
      </c>
      <c r="AS32" s="26">
        <f>股权价值增加表!AS27</f>
        <v>0</v>
      </c>
      <c r="AT32" s="26">
        <f>股权价值增加表!AT27</f>
        <v>556604.28</v>
      </c>
      <c r="AU32" s="26">
        <f>股权价值增加表!AU27</f>
        <v>47918.79</v>
      </c>
      <c r="AV32" s="26">
        <f>股权价值增加表!AV27</f>
        <v>665864.48</v>
      </c>
      <c r="AW32" s="26">
        <f>股权价值增加表!AW27</f>
        <v>5051692.58</v>
      </c>
      <c r="AX32" s="26">
        <f>股权价值增加表!AX27</f>
        <v>2496157.7200000002</v>
      </c>
      <c r="AY32" s="26">
        <f>股权价值增加表!AY27</f>
        <v>1832311.81</v>
      </c>
      <c r="AZ32" s="26">
        <f>股权价值增加表!AZ27</f>
        <v>100000</v>
      </c>
      <c r="BA32" s="26">
        <f>股权价值增加表!BA27</f>
        <v>-3923017.4</v>
      </c>
      <c r="BB32" s="26">
        <f>股权价值增加表!BB27</f>
        <v>-497364.9</v>
      </c>
      <c r="BC32" s="26">
        <f>股权价值增加表!BC27</f>
        <v>-499893.8</v>
      </c>
      <c r="BD32" s="26">
        <f>股权价值增加表!BD27</f>
        <v>0</v>
      </c>
      <c r="BE32" s="26">
        <f>股权价值增加表!BE27</f>
        <v>-126753.75</v>
      </c>
      <c r="BF32" s="26">
        <f>股权价值增加表!BF27</f>
        <v>344265.81</v>
      </c>
      <c r="BG32" s="26">
        <f>股权价值增加表!BG27</f>
        <v>344265.81</v>
      </c>
      <c r="BH32" s="26">
        <f>股权价值增加表!BH27</f>
        <v>1026367.48</v>
      </c>
      <c r="BI32" s="26">
        <f>股权价值增加表!BI27</f>
        <v>-554425.18000000005</v>
      </c>
      <c r="BJ32" s="26">
        <f>股权价值增加表!BJ27</f>
        <v>287254.11</v>
      </c>
      <c r="BK32" s="26">
        <f>股权价值增加表!BK27</f>
        <v>52424.27</v>
      </c>
      <c r="BL32" s="26">
        <f>股权价值增加表!BL27</f>
        <v>265460.88</v>
      </c>
      <c r="BM32" s="26">
        <f>股权价值增加表!BM27</f>
        <v>178932.4</v>
      </c>
      <c r="BN32" s="26">
        <f>股权价值增加表!BN27</f>
        <v>1871129.6000000001</v>
      </c>
      <c r="BO32" s="26">
        <f>股权价值增加表!BO27</f>
        <v>1511721.55</v>
      </c>
      <c r="BP32" s="26">
        <f>股权价值增加表!BP27</f>
        <v>-174029.22</v>
      </c>
      <c r="BQ32" s="26">
        <f>股权价值增加表!BQ27</f>
        <v>12349967.949999999</v>
      </c>
      <c r="BR32" s="26">
        <f>股权价值增加表!BR27</f>
        <v>12720000</v>
      </c>
      <c r="BS32" s="26">
        <f>股权价值增加表!BS27</f>
        <v>9766309.1799999997</v>
      </c>
      <c r="BT32" s="26">
        <f>股权价值增加表!BT27</f>
        <v>5348519.25</v>
      </c>
      <c r="BU32" s="26">
        <f>股权价值增加表!BU27</f>
        <v>2373601.7000000002</v>
      </c>
      <c r="BV32" s="26">
        <f>股权价值增加表!BV27</f>
        <v>0</v>
      </c>
      <c r="BW32" s="26">
        <f>股权价值增加表!BW27</f>
        <v>0</v>
      </c>
      <c r="BX32" s="26">
        <f>股权价值增加表!BX27</f>
        <v>0</v>
      </c>
      <c r="BY32" s="26">
        <f>股权价值增加表!BY27</f>
        <v>0</v>
      </c>
      <c r="BZ32" s="26">
        <f>股权价值增加表!BZ27</f>
        <v>0</v>
      </c>
      <c r="CA32" s="26">
        <f>股权价值增加表!CA27</f>
        <v>0</v>
      </c>
      <c r="CB32" s="26">
        <f>股权价值增加表!CB27</f>
        <v>0</v>
      </c>
      <c r="CC32" s="26">
        <f>股权价值增加表!CC27</f>
        <v>0</v>
      </c>
      <c r="CD32" s="26">
        <f>股权价值增加表!CD27</f>
        <v>0</v>
      </c>
      <c r="CE32" s="26">
        <f>股权价值增加表!CE27</f>
        <v>7729000</v>
      </c>
      <c r="CF32" s="26">
        <f>股权价值增加表!CF27</f>
        <v>2092581.44</v>
      </c>
      <c r="CG32" s="26">
        <f>股权价值增加表!CG27</f>
        <v>0</v>
      </c>
      <c r="CH32" s="26">
        <f>股权价值增加表!CH27</f>
        <v>0</v>
      </c>
      <c r="CI32" s="26">
        <f>股权价值增加表!CI27</f>
        <v>0</v>
      </c>
      <c r="CJ32" s="26">
        <f>股权价值增加表!CJ27</f>
        <v>0</v>
      </c>
      <c r="CK32" s="26">
        <f>股权价值增加表!CK27</f>
        <v>0</v>
      </c>
    </row>
    <row r="33" spans="1:89" s="59" customFormat="1" x14ac:dyDescent="0.25">
      <c r="A33" s="146" t="s">
        <v>380</v>
      </c>
      <c r="E33" s="59">
        <f>E32/E34</f>
        <v>2.8249189527217267E-2</v>
      </c>
      <c r="F33" s="59">
        <f t="shared" ref="F33:BQ33" si="32">F32/F34</f>
        <v>1.4760814318093424E-2</v>
      </c>
      <c r="G33" s="59">
        <f t="shared" si="32"/>
        <v>7.75799408147861E-2</v>
      </c>
      <c r="H33" s="59">
        <f t="shared" si="32"/>
        <v>7.2296242215993869E-3</v>
      </c>
      <c r="I33" s="59">
        <f t="shared" si="32"/>
        <v>0.11886992224092631</v>
      </c>
      <c r="J33" s="59">
        <f t="shared" si="32"/>
        <v>6.5861495828931818E-2</v>
      </c>
      <c r="K33" s="59">
        <f t="shared" si="32"/>
        <v>7.8646539240001423E-2</v>
      </c>
      <c r="L33" s="59">
        <f t="shared" si="32"/>
        <v>7.5957872039531651E-2</v>
      </c>
      <c r="M33" s="59">
        <f t="shared" si="32"/>
        <v>0.14291548998828563</v>
      </c>
      <c r="N33" s="59">
        <f t="shared" si="32"/>
        <v>9.2024850956103257E-2</v>
      </c>
      <c r="O33" s="59">
        <f t="shared" si="32"/>
        <v>8.7838912656969179E-2</v>
      </c>
      <c r="P33" s="59">
        <f t="shared" si="32"/>
        <v>8.5387259902613352E-3</v>
      </c>
      <c r="Q33" s="59">
        <f t="shared" si="32"/>
        <v>8.813875381497098E-2</v>
      </c>
      <c r="R33" s="59">
        <f t="shared" si="32"/>
        <v>4.2551935120034343E-2</v>
      </c>
      <c r="S33" s="59">
        <f t="shared" si="32"/>
        <v>5.002790280926929E-2</v>
      </c>
      <c r="T33" s="59">
        <f t="shared" si="32"/>
        <v>1.8720097974290913E-2</v>
      </c>
      <c r="U33" s="59">
        <f t="shared" si="32"/>
        <v>6.6837834645121372E-2</v>
      </c>
      <c r="V33" s="59">
        <f t="shared" si="32"/>
        <v>1.44903602200947E-2</v>
      </c>
      <c r="W33" s="59">
        <f t="shared" si="32"/>
        <v>1.9410847455730282E-2</v>
      </c>
      <c r="X33" s="59">
        <f t="shared" si="32"/>
        <v>1.5698439262456582E-2</v>
      </c>
      <c r="Y33" s="59">
        <f t="shared" si="32"/>
        <v>5.1020312676266714E-2</v>
      </c>
      <c r="Z33" s="59">
        <f t="shared" si="32"/>
        <v>5.2712393886912513E-4</v>
      </c>
      <c r="AA33" s="59">
        <f t="shared" si="32"/>
        <v>6.3032913938731202E-4</v>
      </c>
      <c r="AB33" s="59">
        <f t="shared" si="32"/>
        <v>-1.9214754542710522E-5</v>
      </c>
      <c r="AC33" s="59">
        <f t="shared" si="32"/>
        <v>5.7805721359480755E-2</v>
      </c>
      <c r="AD33" s="59">
        <f t="shared" si="32"/>
        <v>-1.9273121502168989E-3</v>
      </c>
      <c r="AE33" s="59">
        <f t="shared" si="32"/>
        <v>-1.707645787137215E-3</v>
      </c>
      <c r="AF33" s="59">
        <f t="shared" si="32"/>
        <v>0</v>
      </c>
      <c r="AG33" s="59">
        <f t="shared" si="32"/>
        <v>6.8618467734270702E-2</v>
      </c>
      <c r="AH33" s="59">
        <f t="shared" si="32"/>
        <v>-1.04942802934405E-3</v>
      </c>
      <c r="AI33" s="59">
        <f t="shared" si="32"/>
        <v>-8.7670406596057312E-4</v>
      </c>
      <c r="AJ33" s="59">
        <f t="shared" si="32"/>
        <v>0</v>
      </c>
      <c r="AK33" s="59">
        <f t="shared" si="32"/>
        <v>7.8703675712808157E-3</v>
      </c>
      <c r="AL33" s="59">
        <f t="shared" si="32"/>
        <v>0</v>
      </c>
      <c r="AM33" s="59">
        <f t="shared" si="32"/>
        <v>0</v>
      </c>
      <c r="AN33" s="59">
        <f t="shared" si="32"/>
        <v>0</v>
      </c>
      <c r="AO33" s="59">
        <f t="shared" si="32"/>
        <v>6.4919176240816072E-4</v>
      </c>
      <c r="AP33" s="59">
        <f t="shared" si="32"/>
        <v>2.8552001662443472E-5</v>
      </c>
      <c r="AQ33" s="59">
        <f t="shared" si="32"/>
        <v>9.1151676510737101E-5</v>
      </c>
      <c r="AR33" s="59">
        <f t="shared" si="32"/>
        <v>0</v>
      </c>
      <c r="AS33" s="59" t="e">
        <f t="shared" si="32"/>
        <v>#DIV/0!</v>
      </c>
      <c r="AT33" s="59">
        <f t="shared" si="32"/>
        <v>1</v>
      </c>
      <c r="AU33" s="59">
        <f t="shared" si="32"/>
        <v>1</v>
      </c>
      <c r="AV33" s="59">
        <f t="shared" si="32"/>
        <v>1</v>
      </c>
      <c r="AW33" s="59">
        <f t="shared" si="32"/>
        <v>1</v>
      </c>
      <c r="AX33" s="59">
        <f t="shared" si="32"/>
        <v>1</v>
      </c>
      <c r="AY33" s="59">
        <f t="shared" si="32"/>
        <v>1</v>
      </c>
      <c r="AZ33" s="59">
        <f t="shared" si="32"/>
        <v>1</v>
      </c>
      <c r="BA33" s="59">
        <f t="shared" si="32"/>
        <v>1</v>
      </c>
      <c r="BB33" s="59">
        <f t="shared" si="32"/>
        <v>1</v>
      </c>
      <c r="BC33" s="59">
        <f t="shared" si="32"/>
        <v>1</v>
      </c>
      <c r="BD33" s="59" t="e">
        <f t="shared" si="32"/>
        <v>#DIV/0!</v>
      </c>
      <c r="BE33" s="59">
        <f t="shared" si="32"/>
        <v>1</v>
      </c>
      <c r="BF33" s="59">
        <f t="shared" si="32"/>
        <v>1</v>
      </c>
      <c r="BG33" s="59">
        <f t="shared" si="32"/>
        <v>1</v>
      </c>
      <c r="BH33" s="59">
        <f t="shared" si="32"/>
        <v>1</v>
      </c>
      <c r="BI33" s="59">
        <f t="shared" si="32"/>
        <v>1</v>
      </c>
      <c r="BJ33" s="59">
        <f t="shared" si="32"/>
        <v>1</v>
      </c>
      <c r="BK33" s="59">
        <f t="shared" si="32"/>
        <v>1</v>
      </c>
      <c r="BL33" s="59">
        <f t="shared" si="32"/>
        <v>1</v>
      </c>
      <c r="BM33" s="59">
        <f t="shared" si="32"/>
        <v>1</v>
      </c>
      <c r="BN33" s="59">
        <f t="shared" si="32"/>
        <v>1</v>
      </c>
      <c r="BO33" s="59">
        <f t="shared" si="32"/>
        <v>1</v>
      </c>
      <c r="BP33" s="59">
        <f t="shared" si="32"/>
        <v>1</v>
      </c>
      <c r="BQ33" s="59">
        <f t="shared" si="32"/>
        <v>1</v>
      </c>
      <c r="BR33" s="59">
        <f t="shared" ref="BR33:CJ33" si="33">BR32/BR34</f>
        <v>1</v>
      </c>
      <c r="BS33" s="59">
        <f t="shared" si="33"/>
        <v>1</v>
      </c>
      <c r="BT33" s="59">
        <f t="shared" si="33"/>
        <v>1</v>
      </c>
      <c r="BU33" s="59">
        <f t="shared" si="33"/>
        <v>1</v>
      </c>
      <c r="BV33" s="59" t="e">
        <f t="shared" si="33"/>
        <v>#DIV/0!</v>
      </c>
      <c r="BW33" s="59" t="e">
        <f t="shared" si="33"/>
        <v>#DIV/0!</v>
      </c>
      <c r="BX33" s="59" t="e">
        <f t="shared" si="33"/>
        <v>#DIV/0!</v>
      </c>
      <c r="BY33" s="59" t="e">
        <f t="shared" si="33"/>
        <v>#DIV/0!</v>
      </c>
      <c r="BZ33" s="59" t="e">
        <f t="shared" si="33"/>
        <v>#DIV/0!</v>
      </c>
      <c r="CA33" s="59" t="e">
        <f t="shared" si="33"/>
        <v>#DIV/0!</v>
      </c>
      <c r="CB33" s="59" t="e">
        <f t="shared" si="33"/>
        <v>#DIV/0!</v>
      </c>
      <c r="CC33" s="59" t="e">
        <f t="shared" si="33"/>
        <v>#DIV/0!</v>
      </c>
      <c r="CD33" s="59" t="e">
        <f t="shared" si="33"/>
        <v>#DIV/0!</v>
      </c>
      <c r="CE33" s="59">
        <f t="shared" si="33"/>
        <v>1</v>
      </c>
      <c r="CF33" s="59">
        <f t="shared" si="33"/>
        <v>1</v>
      </c>
      <c r="CG33" s="59" t="e">
        <f t="shared" si="33"/>
        <v>#DIV/0!</v>
      </c>
      <c r="CH33" s="59" t="e">
        <f t="shared" si="33"/>
        <v>#DIV/0!</v>
      </c>
      <c r="CI33" s="59" t="e">
        <f t="shared" si="33"/>
        <v>#DIV/0!</v>
      </c>
      <c r="CJ33" s="59" t="e">
        <f t="shared" si="33"/>
        <v>#DIV/0!</v>
      </c>
    </row>
    <row r="34" spans="1:89" s="58" customFormat="1" x14ac:dyDescent="0.25">
      <c r="A34" s="146" t="s">
        <v>376</v>
      </c>
      <c r="E34" s="58">
        <f>股权价值增加表!E31</f>
        <v>538387354.63</v>
      </c>
      <c r="F34" s="58">
        <f>股权价值增加表!F31</f>
        <v>425359328.74000007</v>
      </c>
      <c r="G34" s="58">
        <f>股权价值增加表!G31</f>
        <v>232589541.70999974</v>
      </c>
      <c r="H34" s="58">
        <f>股权价值增加表!H31</f>
        <v>146338760.84999999</v>
      </c>
      <c r="I34" s="58">
        <f>股权价值增加表!I31</f>
        <v>431574444.92999971</v>
      </c>
      <c r="J34" s="58">
        <f>股权价值增加表!J31</f>
        <v>332948179.57000005</v>
      </c>
      <c r="K34" s="58">
        <f>股权价值增加表!K31</f>
        <v>201569235.89000016</v>
      </c>
      <c r="L34" s="58">
        <f>股权价值增加表!L31</f>
        <v>136228262.09</v>
      </c>
      <c r="M34" s="58">
        <f>股权价值增加表!M31</f>
        <v>515209098.85999995</v>
      </c>
      <c r="N34" s="58">
        <f>股权价值增加表!N31</f>
        <v>370693162.94</v>
      </c>
      <c r="O34" s="58">
        <f>股权价值增加表!O31</f>
        <v>209909798.76999992</v>
      </c>
      <c r="P34" s="58">
        <f>股权价值增加表!P31</f>
        <v>135352090.14999995</v>
      </c>
      <c r="Q34" s="58">
        <f>股权价值增加表!Q31</f>
        <v>451866568.5200001</v>
      </c>
      <c r="R34" s="58">
        <f>股权价值增加表!R31</f>
        <v>299267942.67000008</v>
      </c>
      <c r="S34" s="58">
        <f>股权价值增加表!S31</f>
        <v>170024098.80000001</v>
      </c>
      <c r="T34" s="58">
        <f>股权价值增加表!T31</f>
        <v>108758833.57000002</v>
      </c>
      <c r="U34" s="58">
        <f>股权价值增加表!U31</f>
        <v>391324311.58000004</v>
      </c>
      <c r="V34" s="58">
        <f>股权价值增加表!V31</f>
        <v>258040861.87000003</v>
      </c>
      <c r="W34" s="58">
        <f>股权价值增加表!W31</f>
        <v>150262191.10999995</v>
      </c>
      <c r="X34" s="58">
        <f>股权价值增加表!X31</f>
        <v>99194270.459999919</v>
      </c>
      <c r="Y34" s="58">
        <f>股权价值增加表!Y31</f>
        <v>444040577.99000007</v>
      </c>
      <c r="Z34" s="58">
        <f>股权价值增加表!Z31</f>
        <v>279242278.99000013</v>
      </c>
      <c r="AA34" s="58">
        <f>股权价值增加表!AA31</f>
        <v>146425961.03000003</v>
      </c>
      <c r="AB34" s="58">
        <f>股权价值增加表!AB31</f>
        <v>124904015.53999996</v>
      </c>
      <c r="AC34" s="58">
        <f>股权价值增加表!AC31</f>
        <v>443851705.62000006</v>
      </c>
      <c r="AD34" s="58">
        <f>股权价值增加表!AD31</f>
        <v>310084658.5399999</v>
      </c>
      <c r="AE34" s="58">
        <f>股权价值增加表!AE31</f>
        <v>180074060.04000005</v>
      </c>
      <c r="AF34" s="58">
        <f>股权价值增加表!AF31</f>
        <v>112630629.38000003</v>
      </c>
      <c r="AG34" s="58">
        <f>股权价值增加表!AG31</f>
        <v>282870442.33000022</v>
      </c>
      <c r="AH34" s="58">
        <f>股权价值增加表!AH31</f>
        <v>201180008.63000011</v>
      </c>
      <c r="AI34" s="58">
        <f>股权价值增加表!AI31</f>
        <v>109916018.11999997</v>
      </c>
      <c r="AJ34" s="58">
        <f>股权价值增加表!AJ31</f>
        <v>67077628.009999976</v>
      </c>
      <c r="AK34" s="58">
        <f>股权价值增加表!AK31</f>
        <v>196915880.47999987</v>
      </c>
      <c r="AL34" s="58">
        <f>股权价值增加表!AL31</f>
        <v>133034906.21999998</v>
      </c>
      <c r="AM34" s="58">
        <f>股权价值增加表!AM31</f>
        <v>67100112.639999993</v>
      </c>
      <c r="AN34" s="58">
        <f>股权价值增加表!AN31</f>
        <v>44924420.930000037</v>
      </c>
      <c r="AO34" s="58">
        <f>股权价值增加表!AO31</f>
        <v>138093372.69999996</v>
      </c>
      <c r="AP34" s="58">
        <f>股权价值增加表!AP31</f>
        <v>105790831.61000009</v>
      </c>
      <c r="AQ34" s="58">
        <f>股权价值增加表!AQ31</f>
        <v>113614586.10999995</v>
      </c>
      <c r="AR34" s="58">
        <f>股权价值增加表!AR31</f>
        <v>55021222.969999909</v>
      </c>
      <c r="AS34" s="58">
        <f>股权价值增加表!AS31</f>
        <v>0</v>
      </c>
      <c r="AT34" s="58">
        <f>股权价值增加表!AT31</f>
        <v>556604.28</v>
      </c>
      <c r="AU34" s="58">
        <f>股权价值增加表!AU31</f>
        <v>47918.79</v>
      </c>
      <c r="AV34" s="58">
        <f>股权价值增加表!AV31</f>
        <v>665864.48</v>
      </c>
      <c r="AW34" s="58">
        <f>股权价值增加表!AW31</f>
        <v>5051692.58</v>
      </c>
      <c r="AX34" s="58">
        <f>股权价值增加表!AX31</f>
        <v>2496157.7200000002</v>
      </c>
      <c r="AY34" s="58">
        <f>股权价值增加表!AY31</f>
        <v>1832311.81</v>
      </c>
      <c r="AZ34" s="58">
        <f>股权价值增加表!AZ31</f>
        <v>100000</v>
      </c>
      <c r="BA34" s="58">
        <f>股权价值增加表!BA31</f>
        <v>-3923017.4</v>
      </c>
      <c r="BB34" s="58">
        <f>股权价值增加表!BB31</f>
        <v>-497364.9</v>
      </c>
      <c r="BC34" s="58">
        <f>股权价值增加表!BC31</f>
        <v>-499893.8</v>
      </c>
      <c r="BD34" s="58">
        <f>股权价值增加表!BD31</f>
        <v>0</v>
      </c>
      <c r="BE34" s="58">
        <f>股权价值增加表!BE31</f>
        <v>-126753.75</v>
      </c>
      <c r="BF34" s="58">
        <f>股权价值增加表!BF31</f>
        <v>344265.81</v>
      </c>
      <c r="BG34" s="58">
        <f>股权价值增加表!BG31</f>
        <v>344265.81</v>
      </c>
      <c r="BH34" s="58">
        <f>股权价值增加表!BH31</f>
        <v>1026367.48</v>
      </c>
      <c r="BI34" s="58">
        <f>股权价值增加表!BI31</f>
        <v>-554425.18000000005</v>
      </c>
      <c r="BJ34" s="58">
        <f>股权价值增加表!BJ31</f>
        <v>287254.11</v>
      </c>
      <c r="BK34" s="58">
        <f>股权价值增加表!BK31</f>
        <v>52424.27</v>
      </c>
      <c r="BL34" s="58">
        <f>股权价值增加表!BL31</f>
        <v>265460.88</v>
      </c>
      <c r="BM34" s="58">
        <f>股权价值增加表!BM31</f>
        <v>178932.4</v>
      </c>
      <c r="BN34" s="58">
        <f>股权价值增加表!BN31</f>
        <v>1871129.6000000001</v>
      </c>
      <c r="BO34" s="58">
        <f>股权价值增加表!BO31</f>
        <v>1511721.55</v>
      </c>
      <c r="BP34" s="58">
        <f>股权价值增加表!BP31</f>
        <v>-174029.22</v>
      </c>
      <c r="BQ34" s="58">
        <f>股权价值增加表!BQ31</f>
        <v>12349967.949999999</v>
      </c>
      <c r="BR34" s="58">
        <f>股权价值增加表!BR31</f>
        <v>12720000</v>
      </c>
      <c r="BS34" s="58">
        <f>股权价值增加表!BS31</f>
        <v>9766309.1799999997</v>
      </c>
      <c r="BT34" s="58">
        <f>股权价值增加表!BT31</f>
        <v>5348519.25</v>
      </c>
      <c r="BU34" s="58">
        <f>股权价值增加表!BU31</f>
        <v>2373601.7000000002</v>
      </c>
      <c r="BV34" s="58">
        <f>股权价值增加表!BV31</f>
        <v>0</v>
      </c>
      <c r="BW34" s="58">
        <f>股权价值增加表!BW31</f>
        <v>0</v>
      </c>
      <c r="BX34" s="58">
        <f>股权价值增加表!BX31</f>
        <v>0</v>
      </c>
      <c r="BY34" s="58">
        <f>股权价值增加表!BY31</f>
        <v>0</v>
      </c>
      <c r="BZ34" s="58">
        <f>股权价值增加表!BZ31</f>
        <v>0</v>
      </c>
      <c r="CA34" s="58">
        <f>股权价值增加表!CA31</f>
        <v>0</v>
      </c>
      <c r="CB34" s="58">
        <f>股权价值增加表!CB31</f>
        <v>0</v>
      </c>
      <c r="CC34" s="58">
        <f>股权价值增加表!CC31</f>
        <v>0</v>
      </c>
      <c r="CD34" s="58">
        <f>股权价值增加表!CD31</f>
        <v>0</v>
      </c>
      <c r="CE34" s="58">
        <f>股权价值增加表!CE31</f>
        <v>7729000</v>
      </c>
      <c r="CF34" s="58">
        <f>股权价值增加表!CF31</f>
        <v>2092581.44</v>
      </c>
      <c r="CG34" s="58">
        <f>股权价值增加表!CG31</f>
        <v>0</v>
      </c>
      <c r="CH34" s="58">
        <f>股权价值增加表!CH31</f>
        <v>0</v>
      </c>
      <c r="CI34" s="58">
        <f>股权价值增加表!CI31</f>
        <v>0</v>
      </c>
      <c r="CJ34" s="58">
        <f>股权价值增加表!CJ31</f>
        <v>0</v>
      </c>
      <c r="CK34" s="58">
        <f>股权价值增加表!CK31</f>
        <v>0</v>
      </c>
    </row>
    <row r="35" spans="1:89" s="16" customFormat="1" ht="37.5" customHeight="1" x14ac:dyDescent="0.25">
      <c r="A35" s="283" t="s">
        <v>677</v>
      </c>
      <c r="B35" s="284"/>
      <c r="C35" s="284"/>
      <c r="D35" s="284"/>
      <c r="E35" s="284"/>
      <c r="F35" s="284"/>
      <c r="G35" s="284"/>
      <c r="H35" s="284"/>
      <c r="I35" s="284"/>
      <c r="J35" s="284"/>
      <c r="K35" s="284"/>
      <c r="L35" s="284"/>
      <c r="M35" s="284"/>
      <c r="N35" s="284"/>
      <c r="O35" s="284"/>
      <c r="P35" s="284"/>
      <c r="Q35" s="284"/>
      <c r="R35" s="284"/>
      <c r="S35" s="284"/>
      <c r="T35" s="284"/>
      <c r="U35" s="284"/>
      <c r="V35" s="284"/>
      <c r="W35" s="284"/>
      <c r="X35" s="284"/>
      <c r="Y35" s="284"/>
      <c r="Z35" s="284"/>
      <c r="AA35" s="284"/>
      <c r="AB35" s="284"/>
      <c r="AC35" s="284"/>
      <c r="AD35" s="284"/>
      <c r="AE35" s="284"/>
      <c r="AF35" s="284"/>
      <c r="AG35" s="284"/>
    </row>
    <row r="38" spans="1:89" x14ac:dyDescent="0.25">
      <c r="A38" s="20" t="s">
        <v>381</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39447</v>
      </c>
      <c r="AR38" s="1">
        <v>39082</v>
      </c>
      <c r="AS38" s="1">
        <v>25569</v>
      </c>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row>
    <row r="39" spans="1:89" x14ac:dyDescent="0.25">
      <c r="A39" s="17" t="s">
        <v>376</v>
      </c>
      <c r="E39" s="26">
        <f>股权价值增加表!E31</f>
        <v>538387354.63</v>
      </c>
      <c r="F39" s="26">
        <f>股权价值增加表!F31</f>
        <v>425359328.74000007</v>
      </c>
      <c r="G39" s="26">
        <f>股权价值增加表!G31</f>
        <v>232589541.70999974</v>
      </c>
      <c r="H39" s="26">
        <f>股权价值增加表!H31</f>
        <v>146338760.84999999</v>
      </c>
      <c r="I39" s="26">
        <f>股权价值增加表!I31</f>
        <v>431574444.92999971</v>
      </c>
      <c r="J39" s="26">
        <f>股权价值增加表!J31</f>
        <v>332948179.57000005</v>
      </c>
      <c r="K39" s="26">
        <f>股权价值增加表!K31</f>
        <v>201569235.89000016</v>
      </c>
      <c r="L39" s="26">
        <f>股权价值增加表!L31</f>
        <v>136228262.09</v>
      </c>
      <c r="M39" s="26">
        <f>股权价值增加表!M31</f>
        <v>515209098.85999995</v>
      </c>
      <c r="N39" s="26">
        <f>股权价值增加表!N31</f>
        <v>370693162.94</v>
      </c>
      <c r="O39" s="26">
        <f>股权价值增加表!O31</f>
        <v>209909798.76999992</v>
      </c>
      <c r="P39" s="26">
        <f>股权价值增加表!P31</f>
        <v>135352090.14999995</v>
      </c>
      <c r="Q39" s="26">
        <f>股权价值增加表!Q31</f>
        <v>451866568.5200001</v>
      </c>
      <c r="R39" s="26">
        <f>股权价值增加表!R31</f>
        <v>299267942.67000008</v>
      </c>
      <c r="S39" s="26">
        <f>股权价值增加表!S31</f>
        <v>170024098.80000001</v>
      </c>
      <c r="T39" s="26">
        <f>股权价值增加表!T31</f>
        <v>108758833.57000002</v>
      </c>
      <c r="U39" s="26">
        <f>股权价值增加表!U31</f>
        <v>391324311.58000004</v>
      </c>
      <c r="V39" s="26">
        <f>股权价值增加表!V31</f>
        <v>258040861.87000003</v>
      </c>
      <c r="W39" s="26">
        <f>股权价值增加表!W31</f>
        <v>150262191.10999995</v>
      </c>
      <c r="X39" s="26">
        <f>股权价值增加表!X31</f>
        <v>99194270.459999919</v>
      </c>
      <c r="Y39" s="26">
        <f>股权价值增加表!Y31</f>
        <v>444040577.99000007</v>
      </c>
      <c r="Z39" s="26">
        <f>股权价值增加表!Z31</f>
        <v>279242278.99000013</v>
      </c>
      <c r="AA39" s="26">
        <f>股权价值增加表!AA31</f>
        <v>146425961.03000003</v>
      </c>
      <c r="AB39" s="26">
        <f>股权价值增加表!AB31</f>
        <v>124904015.53999996</v>
      </c>
      <c r="AC39" s="26">
        <f>股权价值增加表!AC31</f>
        <v>443851705.62000006</v>
      </c>
      <c r="AD39" s="26">
        <f>股权价值增加表!AD31</f>
        <v>310084658.5399999</v>
      </c>
      <c r="AE39" s="26">
        <f>股权价值增加表!AE31</f>
        <v>180074060.04000005</v>
      </c>
      <c r="AF39" s="26">
        <f>股权价值增加表!AF31</f>
        <v>112630629.38000003</v>
      </c>
      <c r="AG39" s="26">
        <f>股权价值增加表!AG31</f>
        <v>282870442.33000022</v>
      </c>
      <c r="AH39" s="26">
        <f>股权价值增加表!AH31</f>
        <v>201180008.63000011</v>
      </c>
      <c r="AI39" s="26">
        <f>股权价值增加表!AI31</f>
        <v>109916018.11999997</v>
      </c>
      <c r="AJ39" s="26">
        <f>股权价值增加表!AJ31</f>
        <v>67077628.009999976</v>
      </c>
      <c r="AK39" s="26">
        <f>股权价值增加表!AK31</f>
        <v>196915880.47999987</v>
      </c>
      <c r="AL39" s="26">
        <f>股权价值增加表!AL31</f>
        <v>133034906.21999998</v>
      </c>
      <c r="AM39" s="26">
        <f>股权价值增加表!AM31</f>
        <v>67100112.639999993</v>
      </c>
      <c r="AN39" s="26">
        <f>股权价值增加表!AN31</f>
        <v>44924420.930000037</v>
      </c>
      <c r="AO39" s="26">
        <f>股权价值增加表!AO31</f>
        <v>138093372.69999996</v>
      </c>
      <c r="AP39" s="26">
        <f>股权价值增加表!AP31</f>
        <v>105790831.61000009</v>
      </c>
      <c r="AQ39" s="26">
        <f>股权价值增加表!AQ31</f>
        <v>113614586.10999995</v>
      </c>
      <c r="AR39" s="26">
        <f>股权价值增加表!AR31</f>
        <v>55021222.969999909</v>
      </c>
      <c r="AS39" s="26">
        <f>股权价值增加表!AS31</f>
        <v>0</v>
      </c>
      <c r="AT39" s="26">
        <f>股权价值增加表!AT31</f>
        <v>556604.28</v>
      </c>
      <c r="AU39" s="26">
        <f>股权价值增加表!AU31</f>
        <v>47918.79</v>
      </c>
      <c r="AV39" s="26">
        <f>股权价值增加表!AV31</f>
        <v>665864.48</v>
      </c>
      <c r="AW39" s="26">
        <f>股权价值增加表!AW31</f>
        <v>5051692.58</v>
      </c>
      <c r="AX39" s="26">
        <f>股权价值增加表!AX31</f>
        <v>2496157.7200000002</v>
      </c>
      <c r="AY39" s="26">
        <f>股权价值增加表!AY31</f>
        <v>1832311.81</v>
      </c>
      <c r="AZ39" s="26">
        <f>股权价值增加表!AZ31</f>
        <v>100000</v>
      </c>
      <c r="BA39" s="26">
        <f>股权价值增加表!BA31</f>
        <v>-3923017.4</v>
      </c>
      <c r="BB39" s="26">
        <f>股权价值增加表!BB31</f>
        <v>-497364.9</v>
      </c>
      <c r="BC39" s="26">
        <f>股权价值增加表!BC31</f>
        <v>-499893.8</v>
      </c>
      <c r="BD39" s="26">
        <f>股权价值增加表!BD31</f>
        <v>0</v>
      </c>
      <c r="BE39" s="26">
        <f>股权价值增加表!BE31</f>
        <v>-126753.75</v>
      </c>
      <c r="BF39" s="26">
        <f>股权价值增加表!BF31</f>
        <v>344265.81</v>
      </c>
      <c r="BG39" s="26">
        <f>股权价值增加表!BG31</f>
        <v>344265.81</v>
      </c>
      <c r="BH39" s="26">
        <f>股权价值增加表!BH31</f>
        <v>1026367.48</v>
      </c>
      <c r="BI39" s="26">
        <f>股权价值增加表!BI31</f>
        <v>-554425.18000000005</v>
      </c>
      <c r="BJ39" s="26">
        <f>股权价值增加表!BJ31</f>
        <v>287254.11</v>
      </c>
      <c r="BK39" s="26">
        <f>股权价值增加表!BK31</f>
        <v>52424.27</v>
      </c>
      <c r="BL39" s="26">
        <f>股权价值增加表!BL31</f>
        <v>265460.88</v>
      </c>
      <c r="BM39" s="26">
        <f>股权价值增加表!BM31</f>
        <v>178932.4</v>
      </c>
      <c r="BN39" s="26">
        <f>股权价值增加表!BN31</f>
        <v>1871129.6000000001</v>
      </c>
      <c r="BO39" s="26">
        <f>股权价值增加表!BO31</f>
        <v>1511721.55</v>
      </c>
      <c r="BP39" s="26">
        <f>股权价值增加表!BP31</f>
        <v>-174029.22</v>
      </c>
      <c r="BQ39" s="26">
        <f>股权价值增加表!BQ31</f>
        <v>12349967.949999999</v>
      </c>
      <c r="BR39" s="26">
        <f>股权价值增加表!BR31</f>
        <v>12720000</v>
      </c>
      <c r="BS39" s="26">
        <f>股权价值增加表!BS31</f>
        <v>9766309.1799999997</v>
      </c>
      <c r="BT39" s="26">
        <f>股权价值增加表!BT31</f>
        <v>5348519.25</v>
      </c>
      <c r="BU39" s="26">
        <f>股权价值增加表!BU31</f>
        <v>2373601.7000000002</v>
      </c>
      <c r="BV39" s="26">
        <f>股权价值增加表!BV31</f>
        <v>0</v>
      </c>
      <c r="BW39" s="26">
        <f>股权价值增加表!BW31</f>
        <v>0</v>
      </c>
      <c r="BX39" s="26">
        <f>股权价值增加表!BX31</f>
        <v>0</v>
      </c>
      <c r="BY39" s="26">
        <f>股权价值增加表!BY31</f>
        <v>0</v>
      </c>
      <c r="BZ39" s="26">
        <f>股权价值增加表!BZ31</f>
        <v>0</v>
      </c>
      <c r="CA39" s="26">
        <f>股权价值增加表!CA31</f>
        <v>0</v>
      </c>
      <c r="CB39" s="26">
        <f>股权价值增加表!CB31</f>
        <v>0</v>
      </c>
      <c r="CC39" s="26">
        <f>股权价值增加表!CC31</f>
        <v>0</v>
      </c>
      <c r="CD39" s="26">
        <f>股权价值增加表!CD31</f>
        <v>0</v>
      </c>
      <c r="CE39" s="26">
        <f>股权价值增加表!CE31</f>
        <v>7729000</v>
      </c>
      <c r="CF39" s="26">
        <f>股权价值增加表!CF31</f>
        <v>2092581.44</v>
      </c>
      <c r="CG39" s="26">
        <f>股权价值增加表!CG31</f>
        <v>0</v>
      </c>
      <c r="CH39" s="26">
        <f>股权价值增加表!CH31</f>
        <v>0</v>
      </c>
      <c r="CI39" s="26">
        <f>股权价值增加表!CI31</f>
        <v>0</v>
      </c>
      <c r="CJ39" s="26">
        <f>股权价值增加表!CJ31</f>
        <v>0</v>
      </c>
      <c r="CK39" s="26"/>
    </row>
    <row r="40" spans="1:89" x14ac:dyDescent="0.25">
      <c r="A40" s="17" t="s">
        <v>382</v>
      </c>
      <c r="E40" s="26">
        <f>股权价值增加表!E38</f>
        <v>499927833.65999997</v>
      </c>
      <c r="F40" s="26">
        <f>股权价值增加表!F38</f>
        <v>401428922.01000005</v>
      </c>
      <c r="G40" s="26">
        <f>股权价值增加表!G38</f>
        <v>209898062.10999975</v>
      </c>
      <c r="H40" s="26">
        <f>股权价值增加表!H38</f>
        <v>147365458.57999998</v>
      </c>
      <c r="I40" s="26">
        <f>股权价值增加表!I38</f>
        <v>427742954.32999969</v>
      </c>
      <c r="J40" s="26">
        <f>股权价值增加表!J38</f>
        <v>334819772.02000004</v>
      </c>
      <c r="K40" s="26">
        <f>股权价值增加表!K38</f>
        <v>203723495.75000018</v>
      </c>
      <c r="L40" s="26">
        <f>股权价值增加表!L38</f>
        <v>136959989.61000001</v>
      </c>
      <c r="M40" s="26">
        <f>股权价值增加表!M38</f>
        <v>513059262.03999996</v>
      </c>
      <c r="N40" s="26">
        <f>股权价值增加表!N38</f>
        <v>381008120.25999999</v>
      </c>
      <c r="O40" s="26">
        <f>股权价值增加表!O38</f>
        <v>217267458.76999992</v>
      </c>
      <c r="P40" s="26">
        <f>股权价值增加表!P38</f>
        <v>139584865.06999993</v>
      </c>
      <c r="Q40" s="26">
        <f>股权价值增加表!Q38</f>
        <v>450483006.57000011</v>
      </c>
      <c r="R40" s="26">
        <f>股权价值增加表!R38</f>
        <v>317210179.42000008</v>
      </c>
      <c r="S40" s="26">
        <f>股权价值增加表!S38</f>
        <v>182941247.09</v>
      </c>
      <c r="T40" s="26">
        <f>股权价值增加表!T38</f>
        <v>116670305.96000002</v>
      </c>
      <c r="U40" s="26">
        <f>股权价值增加表!U38</f>
        <v>390428605.66000003</v>
      </c>
      <c r="V40" s="26">
        <f>股权价值增加表!V38</f>
        <v>274655166.74000001</v>
      </c>
      <c r="W40" s="26">
        <f>股权价值增加表!W38</f>
        <v>161995567.14999995</v>
      </c>
      <c r="X40" s="26">
        <f>股权价值增加表!X38</f>
        <v>105193117.48999992</v>
      </c>
      <c r="Y40" s="26">
        <f>股权价值增加表!Y38</f>
        <v>443029151.84000009</v>
      </c>
      <c r="Z40" s="26">
        <f>股权价值增加表!Z38</f>
        <v>295514436.34000015</v>
      </c>
      <c r="AA40" s="26">
        <f>股权价值增加表!AA38</f>
        <v>158856513.42000002</v>
      </c>
      <c r="AB40" s="26">
        <f>股权价值增加表!AB38</f>
        <v>129330228.97999996</v>
      </c>
      <c r="AC40" s="26">
        <f>股权价值增加表!AC38</f>
        <v>442624871.00000006</v>
      </c>
      <c r="AD40" s="26">
        <f>股权价值增加表!AD38</f>
        <v>327496170.33999991</v>
      </c>
      <c r="AE40" s="26">
        <f>股权价值增加表!AE38</f>
        <v>187409909.66000006</v>
      </c>
      <c r="AF40" s="26">
        <f>股权价值增加表!AF38</f>
        <v>118124505.07000002</v>
      </c>
      <c r="AG40" s="26">
        <f>股权价值增加表!AG38</f>
        <v>282106837.75000024</v>
      </c>
      <c r="AH40" s="26">
        <f>股权价值增加表!AH38</f>
        <v>214068795.29000011</v>
      </c>
      <c r="AI40" s="26">
        <f>股权价值增加表!AI38</f>
        <v>113308355.36999997</v>
      </c>
      <c r="AJ40" s="26">
        <f>股权价值增加表!AJ38</f>
        <v>69539699.089999974</v>
      </c>
      <c r="AK40" s="26">
        <f>股权价值增加表!AK38</f>
        <v>196366845.73999986</v>
      </c>
      <c r="AL40" s="26">
        <f>股权价值增加表!AL38</f>
        <v>133841809.75999999</v>
      </c>
      <c r="AM40" s="26">
        <f>股权价值增加表!AM38</f>
        <v>67293163.789999992</v>
      </c>
      <c r="AN40" s="26">
        <f>股权价值增加表!AN38</f>
        <v>44927934.520000041</v>
      </c>
      <c r="AO40" s="26">
        <f>股权价值增加表!AO38</f>
        <v>136391056.76999995</v>
      </c>
      <c r="AP40" s="26">
        <f>股权价值增加表!AP38</f>
        <v>104921539.81000009</v>
      </c>
      <c r="AQ40" s="26">
        <f>股权价值增加表!AQ38</f>
        <v>111162605.29999995</v>
      </c>
      <c r="AR40" s="26">
        <f>股权价值增加表!AR38</f>
        <v>53571633.85999991</v>
      </c>
      <c r="AS40" s="26">
        <f>股权价值增加表!AS38</f>
        <v>0</v>
      </c>
      <c r="AT40" s="26">
        <f>股权价值增加表!AT38</f>
        <v>41574884.270000003</v>
      </c>
      <c r="AU40" s="26">
        <f>股权价值增加表!AU38</f>
        <v>36535126.310000002</v>
      </c>
      <c r="AV40" s="26">
        <f>股权价值增加表!AV38</f>
        <v>4042843.62</v>
      </c>
      <c r="AW40" s="26">
        <f>股权价值增加表!AW38</f>
        <v>55549045.109999999</v>
      </c>
      <c r="AX40" s="26">
        <f>股权价值增加表!AX38</f>
        <v>28863876.779999997</v>
      </c>
      <c r="AY40" s="26">
        <f>股权价值增加表!AY38</f>
        <v>26228829.809999999</v>
      </c>
      <c r="AZ40" s="26">
        <f>股权价值增加表!AZ38</f>
        <v>3017708.8</v>
      </c>
      <c r="BA40" s="26">
        <f>股权价值增加表!BA38</f>
        <v>21302963.41</v>
      </c>
      <c r="BB40" s="26">
        <f>股权价值增加表!BB38</f>
        <v>6940683.96</v>
      </c>
      <c r="BC40" s="26">
        <f>股权价值增加表!BC38</f>
        <v>4996075.1100000003</v>
      </c>
      <c r="BD40" s="26">
        <f>股权价值增加表!BD38</f>
        <v>6057952.7199999997</v>
      </c>
      <c r="BE40" s="26">
        <f>股权价值增加表!BE38</f>
        <v>26329845.359999999</v>
      </c>
      <c r="BF40" s="26">
        <f>股权价值增加表!BF38</f>
        <v>13124671.940000001</v>
      </c>
      <c r="BG40" s="26">
        <f>股权价值增加表!BG38</f>
        <v>11452035.85</v>
      </c>
      <c r="BH40" s="26">
        <f>股权价值增加表!BH38</f>
        <v>2762185.67</v>
      </c>
      <c r="BI40" s="26">
        <f>股权价值增加表!BI38</f>
        <v>27804282.080000002</v>
      </c>
      <c r="BJ40" s="26">
        <f>股权价值增加表!BJ38</f>
        <v>19869707.960000001</v>
      </c>
      <c r="BK40" s="26">
        <f>股权价值增加表!BK38</f>
        <v>12179434.549999999</v>
      </c>
      <c r="BL40" s="26">
        <f>股权价值增加表!BL38</f>
        <v>2711192.57</v>
      </c>
      <c r="BM40" s="26">
        <f>股权价值增加表!BM38</f>
        <v>26872741.259999998</v>
      </c>
      <c r="BN40" s="26">
        <f>股权价值增加表!BN38</f>
        <v>23612016.5</v>
      </c>
      <c r="BO40" s="26">
        <f>股权价值增加表!BO38</f>
        <v>13157561.25</v>
      </c>
      <c r="BP40" s="26">
        <f>股权价值增加表!BP38</f>
        <v>7352696.9100000001</v>
      </c>
      <c r="BQ40" s="26">
        <f>股权价值增加表!BQ38</f>
        <v>37770902.789999999</v>
      </c>
      <c r="BR40" s="26">
        <f>股权价值增加表!BR38</f>
        <v>12720000</v>
      </c>
      <c r="BS40" s="26">
        <f>股权价值增加表!BS38</f>
        <v>26247406.899999999</v>
      </c>
      <c r="BT40" s="26">
        <f>股权价值增加表!BT38</f>
        <v>10799911</v>
      </c>
      <c r="BU40" s="26">
        <f>股权价值增加表!BU38</f>
        <v>16722225.84</v>
      </c>
      <c r="BV40" s="26">
        <f>股权价值增加表!BV38</f>
        <v>7438579.8600000003</v>
      </c>
      <c r="BW40" s="26">
        <f>股权价值增加表!BW38</f>
        <v>15086567.960000001</v>
      </c>
      <c r="BX40" s="26">
        <f>股权价值增加表!BX38</f>
        <v>9593131.2100000009</v>
      </c>
      <c r="BY40" s="26">
        <f>股权价值增加表!BY38</f>
        <v>42791521.079999998</v>
      </c>
      <c r="BZ40" s="26">
        <f>股权价值增加表!BZ38</f>
        <v>3834295.55</v>
      </c>
      <c r="CA40" s="26">
        <f>股权价值增加表!CA38</f>
        <v>-11835075.34</v>
      </c>
      <c r="CB40" s="26">
        <f>股权价值增加表!CB38</f>
        <v>-16252757.800000001</v>
      </c>
      <c r="CC40" s="26">
        <f>股权价值增加表!CC38</f>
        <v>-12407743.33</v>
      </c>
      <c r="CD40" s="26">
        <f>股权价值增加表!CD38</f>
        <v>0</v>
      </c>
      <c r="CE40" s="26">
        <f>股权价值增加表!CE38</f>
        <v>7729000</v>
      </c>
      <c r="CF40" s="26">
        <f>股权价值增加表!CF38</f>
        <v>2092581.44</v>
      </c>
      <c r="CG40" s="26">
        <f>股权价值增加表!CG38</f>
        <v>0</v>
      </c>
      <c r="CH40" s="26">
        <f>股权价值增加表!CH38</f>
        <v>0</v>
      </c>
      <c r="CI40" s="26">
        <f>股权价值增加表!CI38</f>
        <v>0</v>
      </c>
      <c r="CJ40" s="26">
        <f>股权价值增加表!CJ38</f>
        <v>0</v>
      </c>
      <c r="CK40" s="26"/>
    </row>
    <row r="41" spans="1:89" s="59" customFormat="1" x14ac:dyDescent="0.25">
      <c r="A41" s="59" t="s">
        <v>383</v>
      </c>
      <c r="E41" s="59">
        <f>1-E40/E39</f>
        <v>7.1434666210596354E-2</v>
      </c>
      <c r="F41" s="59">
        <f t="shared" ref="F41:BQ41" si="34">1-F40/F39</f>
        <v>5.6259273308726265E-2</v>
      </c>
      <c r="G41" s="59">
        <f t="shared" si="34"/>
        <v>9.7560188790829061E-2</v>
      </c>
      <c r="H41" s="59">
        <f t="shared" si="34"/>
        <v>-7.0158973879270725E-3</v>
      </c>
      <c r="I41" s="59">
        <f t="shared" si="34"/>
        <v>8.8779366920612723E-3</v>
      </c>
      <c r="J41" s="59">
        <f t="shared" si="34"/>
        <v>-5.6212725127890995E-3</v>
      </c>
      <c r="K41" s="59">
        <f t="shared" si="34"/>
        <v>-1.0687443698876864E-2</v>
      </c>
      <c r="L41" s="59">
        <f t="shared" si="34"/>
        <v>-5.3713341767260836E-3</v>
      </c>
      <c r="M41" s="59">
        <f t="shared" si="34"/>
        <v>4.1727462204315113E-3</v>
      </c>
      <c r="N41" s="59">
        <f t="shared" si="34"/>
        <v>-2.7826133177615509E-2</v>
      </c>
      <c r="O41" s="59">
        <f t="shared" si="34"/>
        <v>-3.5051531863273588E-2</v>
      </c>
      <c r="P41" s="59">
        <f t="shared" si="34"/>
        <v>-3.127232771440136E-2</v>
      </c>
      <c r="Q41" s="59">
        <f t="shared" si="34"/>
        <v>3.0618816402628868E-3</v>
      </c>
      <c r="R41" s="59">
        <f t="shared" si="34"/>
        <v>-5.9953754451357089E-2</v>
      </c>
      <c r="S41" s="59">
        <f t="shared" si="34"/>
        <v>-7.5972455558752872E-2</v>
      </c>
      <c r="T41" s="59">
        <f t="shared" si="34"/>
        <v>-7.2743262595842184E-2</v>
      </c>
      <c r="U41" s="59">
        <f t="shared" si="34"/>
        <v>2.2889094633132823E-3</v>
      </c>
      <c r="V41" s="59">
        <f t="shared" si="34"/>
        <v>-6.438633303887431E-2</v>
      </c>
      <c r="W41" s="59">
        <f t="shared" si="34"/>
        <v>-7.8086017203160107E-2</v>
      </c>
      <c r="X41" s="59">
        <f t="shared" si="34"/>
        <v>-6.047574121147492E-2</v>
      </c>
      <c r="Y41" s="59">
        <f t="shared" si="34"/>
        <v>2.2777786538751288E-3</v>
      </c>
      <c r="Z41" s="59">
        <f t="shared" si="34"/>
        <v>-5.8272541711288373E-2</v>
      </c>
      <c r="AA41" s="59">
        <f t="shared" si="34"/>
        <v>-8.4893090696213314E-2</v>
      </c>
      <c r="AB41" s="59">
        <f t="shared" si="34"/>
        <v>-3.5436918668019235E-2</v>
      </c>
      <c r="AC41" s="59">
        <f t="shared" si="34"/>
        <v>2.7640642234015855E-3</v>
      </c>
      <c r="AD41" s="59">
        <f t="shared" si="34"/>
        <v>-5.6150832749934265E-2</v>
      </c>
      <c r="AE41" s="59">
        <f t="shared" si="34"/>
        <v>-4.0737958695274967E-2</v>
      </c>
      <c r="AF41" s="59">
        <f t="shared" si="34"/>
        <v>-4.8777812218951722E-2</v>
      </c>
      <c r="AG41" s="59">
        <f t="shared" si="34"/>
        <v>2.6994852262052227E-3</v>
      </c>
      <c r="AH41" s="59">
        <f t="shared" si="34"/>
        <v>-6.406594148081779E-2</v>
      </c>
      <c r="AI41" s="59">
        <f t="shared" si="34"/>
        <v>-3.0862992564891112E-2</v>
      </c>
      <c r="AJ41" s="59">
        <f t="shared" si="34"/>
        <v>-3.6704802376627654E-2</v>
      </c>
      <c r="AK41" s="59">
        <f t="shared" si="34"/>
        <v>2.7881689311277658E-3</v>
      </c>
      <c r="AL41" s="59">
        <f t="shared" si="34"/>
        <v>-6.0653520412576878E-3</v>
      </c>
      <c r="AM41" s="59">
        <f t="shared" si="34"/>
        <v>-2.8770614892368318E-3</v>
      </c>
      <c r="AN41" s="59">
        <f t="shared" si="34"/>
        <v>-7.8211136109729296E-5</v>
      </c>
      <c r="AO41" s="59">
        <f t="shared" si="34"/>
        <v>1.2327281872521079E-2</v>
      </c>
      <c r="AP41" s="59">
        <f t="shared" si="34"/>
        <v>8.2170806937661434E-3</v>
      </c>
      <c r="AQ41" s="59">
        <f t="shared" si="34"/>
        <v>2.1581567067682883E-2</v>
      </c>
      <c r="AR41" s="59">
        <f t="shared" si="34"/>
        <v>2.6345999448074475E-2</v>
      </c>
      <c r="AS41" s="59" t="e">
        <f t="shared" si="34"/>
        <v>#DIV/0!</v>
      </c>
      <c r="AT41" s="59">
        <f t="shared" si="34"/>
        <v>-73.693791916224583</v>
      </c>
      <c r="AU41" s="59">
        <f t="shared" si="34"/>
        <v>-761.43841528552787</v>
      </c>
      <c r="AV41" s="59">
        <f t="shared" si="34"/>
        <v>-5.0715712302299112</v>
      </c>
      <c r="AW41" s="59">
        <f t="shared" si="34"/>
        <v>-9.9961254035771105</v>
      </c>
      <c r="AX41" s="59">
        <f t="shared" si="34"/>
        <v>-10.563322521142613</v>
      </c>
      <c r="AY41" s="59">
        <f t="shared" si="34"/>
        <v>-13.314610464689412</v>
      </c>
      <c r="AZ41" s="59">
        <f t="shared" si="34"/>
        <v>-29.177087999999998</v>
      </c>
      <c r="BA41" s="59">
        <f t="shared" si="34"/>
        <v>6.4302495344527406</v>
      </c>
      <c r="BB41" s="59">
        <f t="shared" si="34"/>
        <v>14.954913103035617</v>
      </c>
      <c r="BC41" s="59">
        <f t="shared" si="34"/>
        <v>10.994273003585963</v>
      </c>
      <c r="BD41" s="59" t="e">
        <f t="shared" si="34"/>
        <v>#DIV/0!</v>
      </c>
      <c r="BE41" s="59">
        <f t="shared" si="34"/>
        <v>208.72438969261265</v>
      </c>
      <c r="BF41" s="59">
        <f t="shared" si="34"/>
        <v>-37.123657821263173</v>
      </c>
      <c r="BG41" s="59">
        <f t="shared" si="34"/>
        <v>-32.265097832398752</v>
      </c>
      <c r="BH41" s="59">
        <f t="shared" si="34"/>
        <v>-1.6912248525255302</v>
      </c>
      <c r="BI41" s="59">
        <f t="shared" si="34"/>
        <v>51.149746229058351</v>
      </c>
      <c r="BJ41" s="59">
        <f t="shared" si="34"/>
        <v>-68.171187698585072</v>
      </c>
      <c r="BK41" s="59">
        <f t="shared" si="34"/>
        <v>-231.32435186984958</v>
      </c>
      <c r="BL41" s="59">
        <f t="shared" si="34"/>
        <v>-9.2131529511994383</v>
      </c>
      <c r="BM41" s="59">
        <f t="shared" si="34"/>
        <v>-149.18376358893079</v>
      </c>
      <c r="BN41" s="59">
        <f t="shared" si="34"/>
        <v>-11.619124030745919</v>
      </c>
      <c r="BO41" s="59">
        <f t="shared" si="34"/>
        <v>-7.7036936464919741</v>
      </c>
      <c r="BP41" s="59">
        <f t="shared" si="34"/>
        <v>43.249783743212781</v>
      </c>
      <c r="BQ41" s="59">
        <f t="shared" si="34"/>
        <v>-2.0583806324776739</v>
      </c>
      <c r="BR41" s="59">
        <f t="shared" ref="BR41:CK41" si="35">1-BR40/BR39</f>
        <v>0</v>
      </c>
      <c r="BS41" s="59">
        <f t="shared" si="35"/>
        <v>-1.6875461769888385</v>
      </c>
      <c r="BT41" s="59">
        <f t="shared" si="35"/>
        <v>-1.0192338281291593</v>
      </c>
      <c r="BU41" s="59">
        <f t="shared" si="35"/>
        <v>-6.0450850452289444</v>
      </c>
      <c r="BV41" s="59" t="e">
        <f t="shared" si="35"/>
        <v>#DIV/0!</v>
      </c>
      <c r="BW41" s="59" t="e">
        <f t="shared" si="35"/>
        <v>#DIV/0!</v>
      </c>
      <c r="BX41" s="59" t="e">
        <f t="shared" si="35"/>
        <v>#DIV/0!</v>
      </c>
      <c r="BY41" s="59" t="e">
        <f t="shared" si="35"/>
        <v>#DIV/0!</v>
      </c>
      <c r="BZ41" s="59" t="e">
        <f t="shared" si="35"/>
        <v>#DIV/0!</v>
      </c>
      <c r="CA41" s="59" t="e">
        <f t="shared" si="35"/>
        <v>#DIV/0!</v>
      </c>
      <c r="CB41" s="59" t="e">
        <f t="shared" si="35"/>
        <v>#DIV/0!</v>
      </c>
      <c r="CC41" s="59" t="e">
        <f t="shared" si="35"/>
        <v>#DIV/0!</v>
      </c>
      <c r="CD41" s="59" t="e">
        <f t="shared" si="35"/>
        <v>#DIV/0!</v>
      </c>
      <c r="CE41" s="59">
        <f t="shared" si="35"/>
        <v>0</v>
      </c>
      <c r="CF41" s="59">
        <f t="shared" si="35"/>
        <v>0</v>
      </c>
      <c r="CG41" s="59" t="e">
        <f t="shared" si="35"/>
        <v>#DIV/0!</v>
      </c>
      <c r="CH41" s="59" t="e">
        <f t="shared" si="35"/>
        <v>#DIV/0!</v>
      </c>
      <c r="CI41" s="59" t="e">
        <f t="shared" si="35"/>
        <v>#DIV/0!</v>
      </c>
      <c r="CJ41" s="59" t="e">
        <f t="shared" si="35"/>
        <v>#DIV/0!</v>
      </c>
      <c r="CK41" s="59" t="e">
        <f t="shared" si="35"/>
        <v>#DIV/0!</v>
      </c>
    </row>
    <row r="42" spans="1:89" s="60" customFormat="1" x14ac:dyDescent="0.25">
      <c r="A42" s="21" t="s">
        <v>428</v>
      </c>
      <c r="E42" s="150">
        <f>E39/(E39-E40)</f>
        <v>13.998805524644048</v>
      </c>
      <c r="F42" s="29">
        <f t="shared" ref="F42:BQ42" si="36">F39/(F39-F40)</f>
        <v>17.774847437371562</v>
      </c>
      <c r="G42" s="29">
        <f t="shared" si="36"/>
        <v>10.25008266583021</v>
      </c>
      <c r="H42" s="29">
        <f t="shared" si="36"/>
        <v>-142.53344151252924</v>
      </c>
      <c r="I42" s="29">
        <f t="shared" si="36"/>
        <v>112.63878474085178</v>
      </c>
      <c r="J42" s="29">
        <f t="shared" si="36"/>
        <v>-177.89566289926108</v>
      </c>
      <c r="K42" s="29">
        <f t="shared" si="36"/>
        <v>-93.567744371377202</v>
      </c>
      <c r="L42" s="29">
        <f t="shared" si="36"/>
        <v>-186.1734844823084</v>
      </c>
      <c r="M42" s="29">
        <f t="shared" si="36"/>
        <v>239.65032790721375</v>
      </c>
      <c r="N42" s="29">
        <f t="shared" si="36"/>
        <v>-35.937440305375908</v>
      </c>
      <c r="O42" s="29">
        <f t="shared" si="36"/>
        <v>-28.529423589836977</v>
      </c>
      <c r="P42" s="29">
        <f t="shared" si="36"/>
        <v>-31.977152744516914</v>
      </c>
      <c r="Q42" s="29">
        <f t="shared" si="36"/>
        <v>326.59655646066591</v>
      </c>
      <c r="R42" s="29">
        <f t="shared" si="36"/>
        <v>-16.679522561199072</v>
      </c>
      <c r="S42" s="29">
        <f t="shared" si="36"/>
        <v>-13.16266524025483</v>
      </c>
      <c r="T42" s="29">
        <f t="shared" si="36"/>
        <v>-13.746977579984959</v>
      </c>
      <c r="U42" s="29">
        <f t="shared" si="36"/>
        <v>436.88927676172193</v>
      </c>
      <c r="V42" s="29">
        <f t="shared" si="36"/>
        <v>-15.531246350001547</v>
      </c>
      <c r="W42" s="29">
        <f t="shared" si="36"/>
        <v>-12.80639012998002</v>
      </c>
      <c r="X42" s="29">
        <f t="shared" si="36"/>
        <v>-16.535555909982904</v>
      </c>
      <c r="Y42" s="29">
        <f t="shared" si="36"/>
        <v>439.02422138285681</v>
      </c>
      <c r="Z42" s="29">
        <f t="shared" si="36"/>
        <v>-17.160741073463115</v>
      </c>
      <c r="AA42" s="29">
        <f t="shared" si="36"/>
        <v>-11.779521652456525</v>
      </c>
      <c r="AB42" s="29">
        <f t="shared" si="36"/>
        <v>-28.219157804554502</v>
      </c>
      <c r="AC42" s="29">
        <f t="shared" si="36"/>
        <v>361.78609438002195</v>
      </c>
      <c r="AD42" s="29">
        <f t="shared" si="36"/>
        <v>-17.809174878197521</v>
      </c>
      <c r="AE42" s="29">
        <f t="shared" si="36"/>
        <v>-24.547130784831975</v>
      </c>
      <c r="AF42" s="29">
        <f t="shared" si="36"/>
        <v>-20.501124476662497</v>
      </c>
      <c r="AG42" s="29">
        <f t="shared" si="36"/>
        <v>370.4409975251935</v>
      </c>
      <c r="AH42" s="29">
        <f t="shared" si="36"/>
        <v>-15.608917575954367</v>
      </c>
      <c r="AI42" s="29">
        <f t="shared" si="36"/>
        <v>-32.401264974465604</v>
      </c>
      <c r="AJ42" s="29">
        <f t="shared" si="36"/>
        <v>-27.244391339830866</v>
      </c>
      <c r="AK42" s="29">
        <f t="shared" si="36"/>
        <v>358.65832548227542</v>
      </c>
      <c r="AL42" s="29">
        <f t="shared" si="36"/>
        <v>-164.87089177970256</v>
      </c>
      <c r="AM42" s="29">
        <f t="shared" si="36"/>
        <v>-347.57686053670494</v>
      </c>
      <c r="AN42" s="29">
        <f t="shared" si="36"/>
        <v>-12785.903002329331</v>
      </c>
      <c r="AO42" s="29">
        <f t="shared" si="36"/>
        <v>81.120883771556663</v>
      </c>
      <c r="AP42" s="29">
        <f t="shared" si="36"/>
        <v>121.69772176615545</v>
      </c>
      <c r="AQ42" s="29">
        <f t="shared" si="36"/>
        <v>46.335838211555924</v>
      </c>
      <c r="AR42" s="29">
        <f t="shared" si="36"/>
        <v>37.956426818079457</v>
      </c>
      <c r="AS42" s="29" t="e">
        <f t="shared" si="36"/>
        <v>#DIV/0!</v>
      </c>
      <c r="AT42" s="29">
        <f t="shared" si="36"/>
        <v>-1.3569664065282519E-2</v>
      </c>
      <c r="AU42" s="29">
        <f t="shared" si="36"/>
        <v>-1.3133038469368729E-3</v>
      </c>
      <c r="AV42" s="29">
        <f t="shared" si="36"/>
        <v>-0.19717755200584389</v>
      </c>
      <c r="AW42" s="29">
        <f t="shared" si="36"/>
        <v>-0.10003876098254531</v>
      </c>
      <c r="AX42" s="29">
        <f t="shared" si="36"/>
        <v>-9.4667184306688384E-2</v>
      </c>
      <c r="AY42" s="29">
        <f t="shared" si="36"/>
        <v>-7.510546423059225E-2</v>
      </c>
      <c r="AZ42" s="29">
        <f t="shared" si="36"/>
        <v>-3.4273468277574513E-2</v>
      </c>
      <c r="BA42" s="29">
        <f t="shared" si="36"/>
        <v>0.15551496013367497</v>
      </c>
      <c r="BB42" s="29">
        <f t="shared" si="36"/>
        <v>6.6867657010793016E-2</v>
      </c>
      <c r="BC42" s="29">
        <f t="shared" si="36"/>
        <v>9.0956446112792869E-2</v>
      </c>
      <c r="BD42" s="29">
        <f t="shared" si="36"/>
        <v>0</v>
      </c>
      <c r="BE42" s="29">
        <f t="shared" si="36"/>
        <v>4.7910069420861404E-3</v>
      </c>
      <c r="BF42" s="29">
        <f t="shared" si="36"/>
        <v>-2.6937000788409216E-2</v>
      </c>
      <c r="BG42" s="29">
        <f t="shared" si="36"/>
        <v>-3.0993242456430977E-2</v>
      </c>
      <c r="BH42" s="29">
        <f t="shared" si="36"/>
        <v>-0.5912874320092244</v>
      </c>
      <c r="BI42" s="29">
        <f t="shared" si="36"/>
        <v>1.9550439126751647E-2</v>
      </c>
      <c r="BJ42" s="29">
        <f t="shared" si="36"/>
        <v>-1.4668953758315634E-2</v>
      </c>
      <c r="BK42" s="29">
        <f t="shared" si="36"/>
        <v>-4.322934407539729E-3</v>
      </c>
      <c r="BL42" s="29">
        <f t="shared" si="36"/>
        <v>-0.10854047526366231</v>
      </c>
      <c r="BM42" s="29">
        <f t="shared" si="36"/>
        <v>-6.7031423255646998E-3</v>
      </c>
      <c r="BN42" s="29">
        <f t="shared" si="36"/>
        <v>-8.6065007771141122E-2</v>
      </c>
      <c r="BO42" s="29">
        <f t="shared" si="36"/>
        <v>-0.12980786177230313</v>
      </c>
      <c r="BP42" s="29">
        <f t="shared" si="36"/>
        <v>2.3121502894379923E-2</v>
      </c>
      <c r="BQ42" s="29">
        <f t="shared" si="36"/>
        <v>-0.4858187957182144</v>
      </c>
      <c r="BR42" s="29" t="e">
        <f t="shared" ref="BR42:CK42" si="37">BR39/(BR39-BR40)</f>
        <v>#DIV/0!</v>
      </c>
      <c r="BS42" s="29">
        <f t="shared" si="37"/>
        <v>-0.59257637724873591</v>
      </c>
      <c r="BT42" s="29">
        <f t="shared" si="37"/>
        <v>-0.98112913092330967</v>
      </c>
      <c r="BU42" s="29">
        <f t="shared" si="37"/>
        <v>-0.16542364458366809</v>
      </c>
      <c r="BV42" s="29">
        <f t="shared" si="37"/>
        <v>0</v>
      </c>
      <c r="BW42" s="29">
        <f t="shared" si="37"/>
        <v>0</v>
      </c>
      <c r="BX42" s="29">
        <f t="shared" si="37"/>
        <v>0</v>
      </c>
      <c r="BY42" s="29">
        <f t="shared" si="37"/>
        <v>0</v>
      </c>
      <c r="BZ42" s="29">
        <f t="shared" si="37"/>
        <v>0</v>
      </c>
      <c r="CA42" s="29">
        <f t="shared" si="37"/>
        <v>0</v>
      </c>
      <c r="CB42" s="29">
        <f t="shared" si="37"/>
        <v>0</v>
      </c>
      <c r="CC42" s="29">
        <f t="shared" si="37"/>
        <v>0</v>
      </c>
      <c r="CD42" s="29" t="e">
        <f t="shared" si="37"/>
        <v>#DIV/0!</v>
      </c>
      <c r="CE42" s="29" t="e">
        <f t="shared" si="37"/>
        <v>#DIV/0!</v>
      </c>
      <c r="CF42" s="29" t="e">
        <f t="shared" si="37"/>
        <v>#DIV/0!</v>
      </c>
      <c r="CG42" s="29" t="e">
        <f t="shared" si="37"/>
        <v>#DIV/0!</v>
      </c>
      <c r="CH42" s="29" t="e">
        <f t="shared" si="37"/>
        <v>#DIV/0!</v>
      </c>
      <c r="CI42" s="29" t="e">
        <f t="shared" si="37"/>
        <v>#DIV/0!</v>
      </c>
      <c r="CJ42" s="29" t="e">
        <f t="shared" si="37"/>
        <v>#DIV/0!</v>
      </c>
      <c r="CK42" s="29" t="e">
        <f t="shared" si="37"/>
        <v>#DIV/0!</v>
      </c>
    </row>
    <row r="43" spans="1:89" s="16" customFormat="1" ht="106.2" customHeight="1" x14ac:dyDescent="0.25">
      <c r="A43" s="283" t="s">
        <v>699</v>
      </c>
      <c r="B43" s="284"/>
      <c r="C43" s="284"/>
      <c r="D43" s="284"/>
      <c r="E43" s="284"/>
      <c r="F43" s="284"/>
      <c r="G43" s="284"/>
      <c r="H43" s="284"/>
      <c r="I43" s="284"/>
      <c r="J43" s="284"/>
      <c r="K43" s="284"/>
      <c r="L43" s="284"/>
      <c r="M43" s="284"/>
      <c r="N43" s="284"/>
      <c r="O43" s="284"/>
      <c r="P43" s="284"/>
      <c r="Q43" s="284"/>
      <c r="R43" s="284"/>
      <c r="S43" s="284"/>
      <c r="T43" s="284"/>
      <c r="U43" s="284"/>
      <c r="V43" s="284"/>
      <c r="W43" s="284"/>
      <c r="X43" s="284"/>
      <c r="Y43" s="284"/>
      <c r="Z43" s="284"/>
      <c r="AA43" s="284"/>
      <c r="AB43" s="284"/>
      <c r="AC43" s="284"/>
      <c r="AD43" s="284"/>
      <c r="AE43" s="284"/>
      <c r="AF43" s="284"/>
      <c r="AG43" s="284"/>
    </row>
    <row r="45" spans="1:89" x14ac:dyDescent="0.25">
      <c r="B45" s="40"/>
      <c r="C45" s="40"/>
      <c r="D45" s="40"/>
      <c r="E45" s="40"/>
      <c r="F45" s="40"/>
      <c r="G45" s="40"/>
      <c r="H45" s="40"/>
      <c r="I45" s="40"/>
      <c r="J45" s="40"/>
      <c r="K45" s="40"/>
      <c r="L45" s="40"/>
      <c r="M45" s="40"/>
      <c r="N45" s="40"/>
      <c r="O45" s="40"/>
      <c r="P45" s="40"/>
      <c r="Q45" s="40"/>
      <c r="R45" s="40"/>
      <c r="S45" s="40"/>
      <c r="T45" s="40"/>
      <c r="U45" s="40"/>
      <c r="V45" s="40"/>
      <c r="W45" s="40"/>
      <c r="X45" s="40"/>
      <c r="Y45" s="40"/>
      <c r="Z45" s="40"/>
      <c r="AA45" s="40"/>
      <c r="AB45" s="40"/>
      <c r="AC45" s="40"/>
      <c r="AD45" s="40"/>
      <c r="AE45" s="40"/>
      <c r="AF45" s="40"/>
      <c r="AG45" s="40"/>
      <c r="AH45" s="40"/>
      <c r="AI45" s="40"/>
      <c r="AJ45" s="40"/>
      <c r="AK45" s="40"/>
      <c r="AL45" s="40"/>
      <c r="AM45" s="40"/>
      <c r="AN45" s="40"/>
      <c r="AO45" s="40"/>
      <c r="AP45" s="40"/>
      <c r="AQ45" s="40"/>
      <c r="AR45" s="40"/>
      <c r="AS45" s="40"/>
      <c r="AT45" s="40"/>
      <c r="AU45" s="40"/>
      <c r="AV45" s="40"/>
      <c r="AW45" s="40"/>
      <c r="AX45" s="40"/>
      <c r="AY45" s="40"/>
      <c r="AZ45" s="40"/>
      <c r="BA45" s="40"/>
      <c r="BB45" s="40"/>
      <c r="BC45" s="40"/>
      <c r="BD45" s="40"/>
      <c r="BE45" s="40"/>
      <c r="BF45" s="40"/>
      <c r="BG45" s="40"/>
      <c r="BH45" s="40"/>
      <c r="BI45" s="40"/>
      <c r="BJ45" s="40"/>
      <c r="BK45" s="40"/>
      <c r="BL45" s="40"/>
      <c r="BM45" s="40"/>
      <c r="BN45" s="40"/>
      <c r="BO45" s="40"/>
      <c r="BP45" s="40"/>
      <c r="BQ45" s="40"/>
      <c r="BR45" s="40"/>
      <c r="BS45" s="40"/>
      <c r="BT45" s="40"/>
      <c r="BU45" s="40"/>
      <c r="BV45" s="40"/>
      <c r="BW45" s="40"/>
      <c r="BX45" s="40"/>
      <c r="BY45" s="40"/>
      <c r="BZ45" s="40"/>
      <c r="CA45" s="40"/>
      <c r="CB45" s="40"/>
      <c r="CC45" s="40"/>
      <c r="CD45" s="40"/>
      <c r="CE45" s="40"/>
      <c r="CF45" s="40"/>
      <c r="CG45" s="40"/>
      <c r="CH45" s="40"/>
      <c r="CI45" s="40"/>
      <c r="CJ45" s="40"/>
      <c r="CK45" s="40"/>
    </row>
    <row r="46" spans="1:89" s="26" customFormat="1" x14ac:dyDescent="0.25">
      <c r="A46" s="20" t="s">
        <v>423</v>
      </c>
      <c r="B46" s="1">
        <v>43373</v>
      </c>
      <c r="C46" s="1">
        <v>43281</v>
      </c>
      <c r="D46" s="1">
        <v>43190</v>
      </c>
      <c r="E46" s="1">
        <v>43100</v>
      </c>
      <c r="F46" s="1">
        <v>43008</v>
      </c>
      <c r="G46" s="1">
        <v>42916</v>
      </c>
      <c r="H46" s="1">
        <v>42825</v>
      </c>
      <c r="I46" s="1">
        <v>42735</v>
      </c>
      <c r="J46" s="1">
        <v>42643</v>
      </c>
      <c r="K46" s="1">
        <v>42551</v>
      </c>
      <c r="L46" s="1">
        <v>42460</v>
      </c>
      <c r="M46" s="1">
        <v>42369</v>
      </c>
      <c r="N46" s="1">
        <v>42277</v>
      </c>
      <c r="O46" s="1">
        <v>42185</v>
      </c>
      <c r="P46" s="1">
        <v>42094</v>
      </c>
      <c r="Q46" s="1">
        <v>42004</v>
      </c>
      <c r="R46" s="1">
        <v>41912</v>
      </c>
      <c r="S46" s="1">
        <v>41820</v>
      </c>
      <c r="T46" s="1">
        <v>41729</v>
      </c>
      <c r="U46" s="1">
        <v>41639</v>
      </c>
      <c r="V46" s="1">
        <v>41547</v>
      </c>
      <c r="W46" s="1">
        <v>41455</v>
      </c>
      <c r="X46" s="1">
        <v>41364</v>
      </c>
      <c r="Y46" s="1">
        <v>41274</v>
      </c>
      <c r="Z46" s="1">
        <v>41182</v>
      </c>
      <c r="AA46" s="1">
        <v>41090</v>
      </c>
      <c r="AB46" s="1">
        <v>40999</v>
      </c>
      <c r="AC46" s="1">
        <v>40908</v>
      </c>
      <c r="AD46" s="1">
        <v>40816</v>
      </c>
      <c r="AE46" s="1">
        <v>40724</v>
      </c>
      <c r="AF46" s="1">
        <v>40633</v>
      </c>
      <c r="AG46" s="1">
        <v>40543</v>
      </c>
      <c r="AH46" s="1">
        <v>40451</v>
      </c>
      <c r="AI46" s="1">
        <v>40359</v>
      </c>
      <c r="AJ46" s="1">
        <v>40268</v>
      </c>
      <c r="AK46" s="1">
        <v>40178</v>
      </c>
      <c r="AL46" s="1">
        <v>40086</v>
      </c>
      <c r="AM46" s="1">
        <v>39994</v>
      </c>
      <c r="AN46" s="1">
        <v>39903</v>
      </c>
      <c r="AO46" s="1">
        <v>39813</v>
      </c>
      <c r="AP46" s="1">
        <v>39721</v>
      </c>
      <c r="AQ46" s="1">
        <v>39447</v>
      </c>
      <c r="AR46" s="1">
        <v>39082</v>
      </c>
      <c r="AS46" s="1">
        <v>25569</v>
      </c>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row>
    <row r="47" spans="1:89" s="26" customFormat="1" x14ac:dyDescent="0.25">
      <c r="A47" s="17" t="s">
        <v>424</v>
      </c>
      <c r="E47" s="26">
        <f>股权价值增加表!E42</f>
        <v>409116925.75999999</v>
      </c>
      <c r="F47" s="26">
        <f>股权价值增加表!F42</f>
        <v>310919933.17000008</v>
      </c>
      <c r="G47" s="26">
        <f>股权价值增加表!G42</f>
        <v>165566023.43999976</v>
      </c>
      <c r="H47" s="26">
        <f>股权价值增加表!H42</f>
        <v>125379847.31999998</v>
      </c>
      <c r="I47" s="26">
        <f>股权价值增加表!I42</f>
        <v>347033272.61999971</v>
      </c>
      <c r="J47" s="26">
        <f>股权价值增加表!J42</f>
        <v>271441166.31000006</v>
      </c>
      <c r="K47" s="26">
        <f>股权价值增加表!K42</f>
        <v>159643588.96000019</v>
      </c>
      <c r="L47" s="26">
        <f>股权价值增加表!L42</f>
        <v>113830763.40000001</v>
      </c>
      <c r="M47" s="26">
        <f>股权价值增加表!M42</f>
        <v>424447290.04999995</v>
      </c>
      <c r="N47" s="26">
        <f>股权价值增加表!N42</f>
        <v>332138634.56999999</v>
      </c>
      <c r="O47" s="26">
        <f>股权价值增加表!O42</f>
        <v>187205834.47999993</v>
      </c>
      <c r="P47" s="26">
        <f>股权价值增加表!P42</f>
        <v>118405557.65999994</v>
      </c>
      <c r="Q47" s="26">
        <f>股权价值增加表!Q42</f>
        <v>396850889.44000012</v>
      </c>
      <c r="R47" s="26">
        <f>股权价值增加表!R42</f>
        <v>276893539.67000008</v>
      </c>
      <c r="S47" s="26">
        <f>股权价值增加表!S42</f>
        <v>157607109.34999999</v>
      </c>
      <c r="T47" s="26">
        <f>股权价值增加表!T42</f>
        <v>98967715.520000026</v>
      </c>
      <c r="U47" s="26">
        <f>股权价值增加表!U42</f>
        <v>330567230.81</v>
      </c>
      <c r="V47" s="26">
        <f>股权价值增加表!V42</f>
        <v>236719062.20000002</v>
      </c>
      <c r="W47" s="26">
        <f>股权价值增加表!W42</f>
        <v>136742523.95999995</v>
      </c>
      <c r="X47" s="26">
        <f>股权价值增加表!X42</f>
        <v>85675411.339999914</v>
      </c>
      <c r="Y47" s="26">
        <f>股权价值增加表!Y42</f>
        <v>381078698.31000006</v>
      </c>
      <c r="Z47" s="26">
        <f>股权价值增加表!Z42</f>
        <v>253289668.10000014</v>
      </c>
      <c r="AA47" s="26">
        <f>股权价值增加表!AA42</f>
        <v>133778390.80000001</v>
      </c>
      <c r="AB47" s="26">
        <f>股权价值增加表!AB42</f>
        <v>106341388.36999996</v>
      </c>
      <c r="AC47" s="26">
        <f>股权价值增加表!AC42</f>
        <v>372076760.74000007</v>
      </c>
      <c r="AD47" s="26">
        <f>股权价值增加表!AD42</f>
        <v>279561185.24999988</v>
      </c>
      <c r="AE47" s="26">
        <f>股权价值增加表!AE42</f>
        <v>162127978.39000005</v>
      </c>
      <c r="AF47" s="26">
        <f>股权价值增加表!AF42</f>
        <v>88671221.550000027</v>
      </c>
      <c r="AG47" s="26">
        <f>股权价值增加表!AG42</f>
        <v>210741023.48000026</v>
      </c>
      <c r="AH47" s="26">
        <f>股权价值增加表!AH42</f>
        <v>144248245.18000013</v>
      </c>
      <c r="AI47" s="26">
        <f>股权价值增加表!AI42</f>
        <v>77337776.939999968</v>
      </c>
      <c r="AJ47" s="26">
        <f>股权价值增加表!AJ42</f>
        <v>50165119.959999979</v>
      </c>
      <c r="AK47" s="26">
        <f>股权价值增加表!AK42</f>
        <v>145440527.06999987</v>
      </c>
      <c r="AL47" s="26">
        <f>股权价值增加表!AL42</f>
        <v>101662169.32999998</v>
      </c>
      <c r="AM47" s="26">
        <f>股权价值增加表!AM42</f>
        <v>51051582.179999992</v>
      </c>
      <c r="AN47" s="26">
        <f>股权价值增加表!AN42</f>
        <v>33777696.210000038</v>
      </c>
      <c r="AO47" s="26">
        <f>股权价值增加表!AO42</f>
        <v>110229793.30999994</v>
      </c>
      <c r="AP47" s="26">
        <f>股权价值增加表!AP42</f>
        <v>84100158.340000093</v>
      </c>
      <c r="AQ47" s="26">
        <f>股权价值增加表!AQ42</f>
        <v>85138294.759999961</v>
      </c>
      <c r="AR47" s="26">
        <f>股权价值增加表!AR42</f>
        <v>49517218.419999912</v>
      </c>
      <c r="AS47" s="26">
        <f>股权价值增加表!AS42</f>
        <v>0</v>
      </c>
      <c r="AT47" s="26">
        <f>股权价值增加表!AT42</f>
        <v>-606675948.97000003</v>
      </c>
      <c r="AU47" s="26">
        <f>股权价值增加表!AU42</f>
        <v>-525244177.46999997</v>
      </c>
      <c r="AV47" s="26">
        <f>股权价值增加表!AV42</f>
        <v>-370504198.70999998</v>
      </c>
      <c r="AW47" s="26">
        <f>股权价值增加表!AW42</f>
        <v>-550836582.15999997</v>
      </c>
      <c r="AX47" s="26">
        <f>股权价值增加表!AX42</f>
        <v>-497364124.85000002</v>
      </c>
      <c r="AY47" s="26">
        <f>股权价值增加表!AY42</f>
        <v>-393993423.18000001</v>
      </c>
      <c r="AZ47" s="26">
        <f>股权价值增加表!AZ42</f>
        <v>-277925918.08999997</v>
      </c>
      <c r="BA47" s="26">
        <f>股权价值增加表!BA42</f>
        <v>-375599127.04999995</v>
      </c>
      <c r="BB47" s="26">
        <f>股权价值增加表!BB42</f>
        <v>-376909155.56</v>
      </c>
      <c r="BC47" s="26">
        <f>股权价值增加表!BC42</f>
        <v>-331126120.21999997</v>
      </c>
      <c r="BD47" s="26">
        <f>股权价值增加表!BD42</f>
        <v>-232460368.78999999</v>
      </c>
      <c r="BE47" s="26">
        <f>股权价值增加表!BE42</f>
        <v>-415071515.56999999</v>
      </c>
      <c r="BF47" s="26">
        <f>股权价值增加表!BF42</f>
        <v>-341885591.56999999</v>
      </c>
      <c r="BG47" s="26">
        <f>股权价值增加表!BG42</f>
        <v>-266868592.27000001</v>
      </c>
      <c r="BH47" s="26">
        <f>股权价值增加表!BH42</f>
        <v>-190592880.15000001</v>
      </c>
      <c r="BI47" s="26">
        <f>股权价值增加表!BI42</f>
        <v>-355643656.85000002</v>
      </c>
      <c r="BJ47" s="26">
        <f>股权价值增加表!BJ42</f>
        <v>-291496615.11000001</v>
      </c>
      <c r="BK47" s="26">
        <f>股权价值增加表!BK42</f>
        <v>-237870081.79999998</v>
      </c>
      <c r="BL47" s="26">
        <f>股权价值增加表!BL42</f>
        <v>-204685096.5</v>
      </c>
      <c r="BM47" s="26">
        <f>股权价值增加表!BM42</f>
        <v>-223212941.22</v>
      </c>
      <c r="BN47" s="26">
        <f>股权价值增加表!BN42</f>
        <v>-167173236.28999999</v>
      </c>
      <c r="BO47" s="26">
        <f>股权价值增加表!BO42</f>
        <v>-113551397.55</v>
      </c>
      <c r="BP47" s="26">
        <f>股权价值增加表!BP42</f>
        <v>-114049159.08</v>
      </c>
      <c r="BQ47" s="26">
        <f>股权价值增加表!BQ42</f>
        <v>-79004755.060000002</v>
      </c>
      <c r="BR47" s="26">
        <f>股权价值增加表!BR42</f>
        <v>-147870000</v>
      </c>
      <c r="BS47" s="26">
        <f>股权价值增加表!BS42</f>
        <v>-152979249.54999998</v>
      </c>
      <c r="BT47" s="26">
        <f>股权价值增加表!BT42</f>
        <v>-128012163.46000001</v>
      </c>
      <c r="BU47" s="26">
        <f>股权价值增加表!BU42</f>
        <v>-222157134.44</v>
      </c>
      <c r="BV47" s="26">
        <f>股权价值增加表!BV42</f>
        <v>-287911344.69999999</v>
      </c>
      <c r="BW47" s="26">
        <f>股权价值增加表!BW42</f>
        <v>-288342438.87</v>
      </c>
      <c r="BX47" s="26">
        <f>股权价值增加表!BX42</f>
        <v>-57060547.329999998</v>
      </c>
      <c r="BY47" s="26">
        <f>股权价值增加表!BY42</f>
        <v>-217786839.49000001</v>
      </c>
      <c r="BZ47" s="26">
        <f>股权价值增加表!BZ42</f>
        <v>-40798540.960000001</v>
      </c>
      <c r="CA47" s="26">
        <f>股权价值增加表!CA42</f>
        <v>-179937260.47</v>
      </c>
      <c r="CB47" s="26">
        <f>股权价值增加表!CB42</f>
        <v>-144282576.27000001</v>
      </c>
      <c r="CC47" s="26">
        <f>股权价值增加表!CC42</f>
        <v>-119252620.25</v>
      </c>
      <c r="CD47" s="26">
        <f>股权价值增加表!CD42</f>
        <v>0</v>
      </c>
      <c r="CE47" s="26">
        <f>股权价值增加表!CE42</f>
        <v>-20081000</v>
      </c>
      <c r="CF47" s="26">
        <f>股权价值增加表!CF42</f>
        <v>-14354563.84</v>
      </c>
      <c r="CG47" s="26">
        <f>股权价值增加表!CG42</f>
        <v>-4330000</v>
      </c>
      <c r="CH47" s="26">
        <f>股权价值增加表!CH42</f>
        <v>-4220000</v>
      </c>
      <c r="CI47" s="26">
        <f>股权价值增加表!CI42</f>
        <v>-12510000</v>
      </c>
      <c r="CJ47" s="26">
        <f>股权价值增加表!CJ42</f>
        <v>-3630000</v>
      </c>
    </row>
    <row r="48" spans="1:89" s="63" customFormat="1" x14ac:dyDescent="0.25">
      <c r="A48" s="63" t="s">
        <v>427</v>
      </c>
      <c r="E48" s="63">
        <f>股权价值增加表!E43</f>
        <v>8.7758475670423053E-2</v>
      </c>
      <c r="F48" s="63">
        <f>股权价值增加表!F43</f>
        <v>9.769153957510987E-2</v>
      </c>
      <c r="G48" s="63">
        <f>股权价值增加表!G43</f>
        <v>8.3558607282617367E-2</v>
      </c>
      <c r="H48" s="63">
        <f>股权价值增加表!H43</f>
        <v>0.11853254681962487</v>
      </c>
      <c r="I48" s="63">
        <f>股权价值增加表!I43</f>
        <v>0.11009182871443379</v>
      </c>
      <c r="J48" s="63">
        <f>股权价值增加表!J43</f>
        <v>0.12594333210501402</v>
      </c>
      <c r="K48" s="63">
        <f>股权价值增加表!K43</f>
        <v>0.11886350436648557</v>
      </c>
      <c r="L48" s="63">
        <f>股权价值增加表!L43</f>
        <v>0.14921848135114291</v>
      </c>
      <c r="M48" s="63">
        <f>股权价值增加表!M43</f>
        <v>0.14557633289197322</v>
      </c>
      <c r="N48" s="63">
        <f>股权价值增加表!N43</f>
        <v>0.16232809413569965</v>
      </c>
      <c r="O48" s="63">
        <f>股权价值增加表!O43</f>
        <v>0.149767531995882</v>
      </c>
      <c r="P48" s="63">
        <f>股权价值增加表!P43</f>
        <v>0.16785711345254103</v>
      </c>
      <c r="Q48" s="63">
        <f>股权价值增加表!Q43</f>
        <v>0.14371362606605287</v>
      </c>
      <c r="R48" s="63">
        <f>股权价值增加表!R43</f>
        <v>0.14728427457586968</v>
      </c>
      <c r="S48" s="63">
        <f>股权价值增加表!S43</f>
        <v>0.14169735212355053</v>
      </c>
      <c r="T48" s="63">
        <f>股权价值增加表!T43</f>
        <v>0.15056507527583585</v>
      </c>
      <c r="U48" s="63">
        <f>股权价值增加表!U43</f>
        <v>0.13095871866346628</v>
      </c>
      <c r="V48" s="63">
        <f>股权价值增加表!V43</f>
        <v>0.1374158881388837</v>
      </c>
      <c r="W48" s="63">
        <f>股权价值增加表!W43</f>
        <v>0.12683972433177276</v>
      </c>
      <c r="X48" s="63">
        <f>股权价值增加表!X43</f>
        <v>0.13923010869942817</v>
      </c>
      <c r="Y48" s="63">
        <f>股权价值增加表!Y43</f>
        <v>0.13984776173082955</v>
      </c>
      <c r="Z48" s="63">
        <f>股权价值增加表!Z43</f>
        <v>0.13708214612805555</v>
      </c>
      <c r="AA48" s="63">
        <f>股权价值增加表!AA43</f>
        <v>0.12906866082559859</v>
      </c>
      <c r="AB48" s="63">
        <f>股权价值增加表!AB43</f>
        <v>0.17310414049770076</v>
      </c>
      <c r="AC48" s="63">
        <f>股权价值增加表!AC43</f>
        <v>0.15617500321063818</v>
      </c>
      <c r="AD48" s="63">
        <f>股权价值增加表!AD43</f>
        <v>0.1711008843748279</v>
      </c>
      <c r="AE48" s="63">
        <f>股权价值增加表!AE43</f>
        <v>0.16160338987240458</v>
      </c>
      <c r="AF48" s="63">
        <f>股权价值增加表!AF43</f>
        <v>0.1520556355122335</v>
      </c>
      <c r="AG48" s="63">
        <f>股权价值增加表!AG43</f>
        <v>0.11586723635626968</v>
      </c>
      <c r="AH48" s="63">
        <f>股权价值增加表!AH43</f>
        <v>0.12590740816563198</v>
      </c>
      <c r="AI48" s="63">
        <f>股权价值增加表!AI43</f>
        <v>0.11685456158888612</v>
      </c>
      <c r="AJ48" s="63">
        <f>股权价值增加表!AJ43</f>
        <v>0.13960511247048041</v>
      </c>
      <c r="AK48" s="63">
        <f>股权价值增加表!AK43</f>
        <v>0.12698827369007801</v>
      </c>
      <c r="AL48" s="63">
        <f>股权价值增加表!AL43</f>
        <v>0.14043393283600661</v>
      </c>
      <c r="AM48" s="63">
        <f>股权价值增加表!AM43</f>
        <v>0.12525827413645735</v>
      </c>
      <c r="AN48" s="63">
        <f>股权价值增加表!AN43</f>
        <v>0.13236188146320896</v>
      </c>
      <c r="AO48" s="63">
        <f>股权价值增加表!AO43</f>
        <v>0.12211328624086885</v>
      </c>
      <c r="AP48" s="63">
        <f>股权价值增加表!AP43</f>
        <v>0.13288579545916374</v>
      </c>
      <c r="AQ48" s="63">
        <f>股权价值增加表!AQ43</f>
        <v>0.11271181738776465</v>
      </c>
      <c r="AR48" s="63">
        <f>股权价值增加表!AR43</f>
        <v>8.9625937463242419E-2</v>
      </c>
      <c r="AS48" s="63" t="e">
        <f>股权价值增加表!AS43</f>
        <v>#DIV/0!</v>
      </c>
      <c r="AT48" s="63" t="e">
        <f>股权价值增加表!AT43</f>
        <v>#DIV/0!</v>
      </c>
      <c r="AU48" s="63" t="e">
        <f>股权价值增加表!AU43</f>
        <v>#DIV/0!</v>
      </c>
      <c r="AV48" s="63" t="e">
        <f>股权价值增加表!AV43</f>
        <v>#DIV/0!</v>
      </c>
      <c r="AW48" s="63" t="e">
        <f>股权价值增加表!AW43</f>
        <v>#DIV/0!</v>
      </c>
      <c r="AX48" s="63" t="e">
        <f>股权价值增加表!AX43</f>
        <v>#DIV/0!</v>
      </c>
      <c r="AY48" s="63" t="e">
        <f>股权价值增加表!AY43</f>
        <v>#DIV/0!</v>
      </c>
      <c r="AZ48" s="63" t="e">
        <f>股权价值增加表!AZ43</f>
        <v>#DIV/0!</v>
      </c>
      <c r="BA48" s="63" t="e">
        <f>股权价值增加表!BA43</f>
        <v>#DIV/0!</v>
      </c>
      <c r="BB48" s="63" t="e">
        <f>股权价值增加表!BB43</f>
        <v>#DIV/0!</v>
      </c>
      <c r="BC48" s="63" t="e">
        <f>股权价值增加表!BC43</f>
        <v>#DIV/0!</v>
      </c>
      <c r="BD48" s="63" t="e">
        <f>股权价值增加表!BD43</f>
        <v>#DIV/0!</v>
      </c>
      <c r="BE48" s="63" t="e">
        <f>股权价值增加表!BE43</f>
        <v>#DIV/0!</v>
      </c>
      <c r="BF48" s="63" t="e">
        <f>股权价值增加表!BF43</f>
        <v>#DIV/0!</v>
      </c>
      <c r="BG48" s="63" t="e">
        <f>股权价值增加表!BG43</f>
        <v>#DIV/0!</v>
      </c>
      <c r="BH48" s="63" t="e">
        <f>股权价值增加表!BH43</f>
        <v>#DIV/0!</v>
      </c>
      <c r="BI48" s="63" t="e">
        <f>股权价值增加表!BI43</f>
        <v>#DIV/0!</v>
      </c>
      <c r="BJ48" s="63" t="e">
        <f>股权价值增加表!BJ43</f>
        <v>#DIV/0!</v>
      </c>
      <c r="BK48" s="63" t="e">
        <f>股权价值增加表!BK43</f>
        <v>#DIV/0!</v>
      </c>
      <c r="BL48" s="63" t="e">
        <f>股权价值增加表!BL43</f>
        <v>#DIV/0!</v>
      </c>
      <c r="BM48" s="63" t="e">
        <f>股权价值增加表!BM43</f>
        <v>#DIV/0!</v>
      </c>
      <c r="BN48" s="63" t="e">
        <f>股权价值增加表!BN43</f>
        <v>#DIV/0!</v>
      </c>
      <c r="BO48" s="63" t="e">
        <f>股权价值增加表!BO43</f>
        <v>#DIV/0!</v>
      </c>
      <c r="BP48" s="63" t="e">
        <f>股权价值增加表!BP43</f>
        <v>#DIV/0!</v>
      </c>
      <c r="BQ48" s="63" t="e">
        <f>股权价值增加表!BQ43</f>
        <v>#DIV/0!</v>
      </c>
      <c r="BR48" s="63" t="e">
        <f>股权价值增加表!BR43</f>
        <v>#DIV/0!</v>
      </c>
      <c r="BS48" s="63" t="e">
        <f>股权价值增加表!BS43</f>
        <v>#DIV/0!</v>
      </c>
      <c r="BT48" s="63" t="e">
        <f>股权价值增加表!BT43</f>
        <v>#DIV/0!</v>
      </c>
      <c r="BU48" s="63" t="e">
        <f>股权价值增加表!BU43</f>
        <v>#DIV/0!</v>
      </c>
      <c r="BV48" s="63" t="e">
        <f>股权价值增加表!BV43</f>
        <v>#DIV/0!</v>
      </c>
      <c r="BW48" s="63" t="e">
        <f>股权价值增加表!BW43</f>
        <v>#DIV/0!</v>
      </c>
      <c r="BX48" s="63" t="e">
        <f>股权价值增加表!BX43</f>
        <v>#DIV/0!</v>
      </c>
      <c r="BY48" s="63" t="e">
        <f>股权价值增加表!BY43</f>
        <v>#DIV/0!</v>
      </c>
      <c r="BZ48" s="63" t="e">
        <f>股权价值增加表!BZ43</f>
        <v>#DIV/0!</v>
      </c>
      <c r="CA48" s="63" t="e">
        <f>股权价值增加表!CA43</f>
        <v>#DIV/0!</v>
      </c>
      <c r="CB48" s="63" t="e">
        <f>股权价值增加表!CB43</f>
        <v>#DIV/0!</v>
      </c>
      <c r="CC48" s="63" t="e">
        <f>股权价值增加表!CC43</f>
        <v>#DIV/0!</v>
      </c>
      <c r="CD48" s="63" t="e">
        <f>股权价值增加表!CD43</f>
        <v>#DIV/0!</v>
      </c>
      <c r="CE48" s="63" t="e">
        <f>股权价值增加表!CE43</f>
        <v>#DIV/0!</v>
      </c>
      <c r="CF48" s="63" t="e">
        <f>股权价值增加表!CF43</f>
        <v>#DIV/0!</v>
      </c>
      <c r="CG48" s="63" t="e">
        <f>股权价值增加表!CG43</f>
        <v>#DIV/0!</v>
      </c>
      <c r="CH48" s="63" t="e">
        <f>股权价值增加表!CH43</f>
        <v>#DIV/0!</v>
      </c>
      <c r="CI48" s="63" t="e">
        <f>股权价值增加表!CI43</f>
        <v>#DIV/0!</v>
      </c>
      <c r="CJ48" s="63" t="e">
        <f>股权价值增加表!CJ43</f>
        <v>#DIV/0!</v>
      </c>
    </row>
    <row r="49" spans="1:88" s="59" customFormat="1" x14ac:dyDescent="0.25">
      <c r="A49" s="59" t="s">
        <v>425</v>
      </c>
      <c r="E49" s="59">
        <f>(E47-I47)/I47</f>
        <v>0.17889827298485492</v>
      </c>
      <c r="F49" s="59">
        <f t="shared" ref="F49:BQ49" si="38">(F47-J47)/J47</f>
        <v>0.14544133963421446</v>
      </c>
      <c r="G49" s="59">
        <f t="shared" si="38"/>
        <v>3.7097853528483875E-2</v>
      </c>
      <c r="H49" s="59">
        <f t="shared" si="38"/>
        <v>0.10145837184115705</v>
      </c>
      <c r="I49" s="59">
        <f t="shared" si="38"/>
        <v>-0.18238782351721661</v>
      </c>
      <c r="J49" s="59">
        <f t="shared" si="38"/>
        <v>-0.18274738901898996</v>
      </c>
      <c r="K49" s="59">
        <f t="shared" si="38"/>
        <v>-0.14722962880168325</v>
      </c>
      <c r="L49" s="59">
        <f t="shared" si="38"/>
        <v>-3.8636651441112203E-2</v>
      </c>
      <c r="M49" s="59">
        <f t="shared" si="38"/>
        <v>6.9538462289807049E-2</v>
      </c>
      <c r="N49" s="59">
        <f t="shared" si="38"/>
        <v>0.19951745701918747</v>
      </c>
      <c r="O49" s="59">
        <f t="shared" si="38"/>
        <v>0.18780069790043349</v>
      </c>
      <c r="P49" s="59">
        <f t="shared" si="38"/>
        <v>0.19640588890901284</v>
      </c>
      <c r="Q49" s="59">
        <f t="shared" si="38"/>
        <v>0.20051491028794063</v>
      </c>
      <c r="R49" s="59">
        <f t="shared" si="38"/>
        <v>0.16971374040024417</v>
      </c>
      <c r="S49" s="59">
        <f t="shared" si="38"/>
        <v>0.15258300626441101</v>
      </c>
      <c r="T49" s="59">
        <f t="shared" si="38"/>
        <v>0.15514724670827737</v>
      </c>
      <c r="U49" s="59">
        <f t="shared" si="38"/>
        <v>-0.13254865129960627</v>
      </c>
      <c r="V49" s="59">
        <f t="shared" si="38"/>
        <v>-6.5421562688684001E-2</v>
      </c>
      <c r="W49" s="59">
        <f t="shared" si="38"/>
        <v>2.2157040029217756E-2</v>
      </c>
      <c r="X49" s="59">
        <f t="shared" si="38"/>
        <v>-0.19433615967186429</v>
      </c>
      <c r="Y49" s="59">
        <f t="shared" si="38"/>
        <v>2.4193764620226765E-2</v>
      </c>
      <c r="Z49" s="59">
        <f t="shared" si="38"/>
        <v>-9.3974122789993966E-2</v>
      </c>
      <c r="AA49" s="59">
        <f t="shared" si="38"/>
        <v>-0.17485931713652095</v>
      </c>
      <c r="AB49" s="59">
        <f t="shared" si="38"/>
        <v>0.19927735866406285</v>
      </c>
      <c r="AC49" s="59">
        <f t="shared" si="38"/>
        <v>0.76556398273025794</v>
      </c>
      <c r="AD49" s="59">
        <f t="shared" si="38"/>
        <v>0.93805605677316595</v>
      </c>
      <c r="AE49" s="59">
        <f t="shared" si="38"/>
        <v>1.0963620213156868</v>
      </c>
      <c r="AF49" s="59">
        <f t="shared" si="38"/>
        <v>0.76758715260132038</v>
      </c>
      <c r="AG49" s="59">
        <f t="shared" si="38"/>
        <v>0.44898418429528619</v>
      </c>
      <c r="AH49" s="59">
        <f t="shared" si="38"/>
        <v>0.41889796500174831</v>
      </c>
      <c r="AI49" s="59">
        <f t="shared" si="38"/>
        <v>0.51489481104266099</v>
      </c>
      <c r="AJ49" s="59">
        <f t="shared" si="38"/>
        <v>0.4851551641686081</v>
      </c>
      <c r="AK49" s="59">
        <f t="shared" si="38"/>
        <v>0.31943028016914232</v>
      </c>
      <c r="AL49" s="59">
        <f t="shared" si="38"/>
        <v>0.20882256747960209</v>
      </c>
      <c r="AM49" s="59">
        <f t="shared" si="38"/>
        <v>-0.40036874917554416</v>
      </c>
      <c r="AN49" s="59">
        <f t="shared" si="38"/>
        <v>-0.31785957919725777</v>
      </c>
      <c r="AO49" s="59" t="e">
        <f t="shared" si="38"/>
        <v>#DIV/0!</v>
      </c>
      <c r="AP49" s="59">
        <f t="shared" si="38"/>
        <v>-1.1386245136020035</v>
      </c>
      <c r="AQ49" s="59">
        <f t="shared" si="38"/>
        <v>-1.1620927911473378</v>
      </c>
      <c r="AR49" s="59">
        <f t="shared" si="38"/>
        <v>-1.1336481977597179</v>
      </c>
      <c r="AS49" s="59">
        <f t="shared" si="38"/>
        <v>-1</v>
      </c>
      <c r="AT49" s="59">
        <f t="shared" si="38"/>
        <v>0.21978228556988774</v>
      </c>
      <c r="AU49" s="59">
        <f t="shared" si="38"/>
        <v>0.33312930259253765</v>
      </c>
      <c r="AV49" s="59">
        <f t="shared" si="38"/>
        <v>0.33310416407447341</v>
      </c>
      <c r="AW49" s="59">
        <f t="shared" si="38"/>
        <v>0.46655447920322857</v>
      </c>
      <c r="AX49" s="59">
        <f t="shared" si="38"/>
        <v>0.31958621199061016</v>
      </c>
      <c r="AY49" s="59">
        <f t="shared" si="38"/>
        <v>0.18985908728139914</v>
      </c>
      <c r="AZ49" s="59">
        <f t="shared" si="38"/>
        <v>0.19558408831860988</v>
      </c>
      <c r="BA49" s="59">
        <f t="shared" si="38"/>
        <v>-9.5097801316947256E-2</v>
      </c>
      <c r="BB49" s="59">
        <f t="shared" si="38"/>
        <v>0.10244235163337981</v>
      </c>
      <c r="BC49" s="59">
        <f t="shared" si="38"/>
        <v>0.24078340355986305</v>
      </c>
      <c r="BD49" s="59">
        <f t="shared" si="38"/>
        <v>0.21966974111021106</v>
      </c>
      <c r="BE49" s="59">
        <f t="shared" si="38"/>
        <v>0.16709944793157067</v>
      </c>
      <c r="BF49" s="59">
        <f t="shared" si="38"/>
        <v>0.17286298999041566</v>
      </c>
      <c r="BG49" s="59">
        <f t="shared" si="38"/>
        <v>0.12190902803145222</v>
      </c>
      <c r="BH49" s="59">
        <f t="shared" si="38"/>
        <v>-6.8848277627286819E-2</v>
      </c>
      <c r="BI49" s="59">
        <f t="shared" si="38"/>
        <v>0.59329317962561823</v>
      </c>
      <c r="BJ49" s="59">
        <f t="shared" si="38"/>
        <v>0.74367991898136643</v>
      </c>
      <c r="BK49" s="59">
        <f t="shared" si="38"/>
        <v>1.0948230222816839</v>
      </c>
      <c r="BL49" s="59">
        <f t="shared" si="38"/>
        <v>0.79470938804926439</v>
      </c>
      <c r="BM49" s="59">
        <f t="shared" si="38"/>
        <v>1.8253102113977997</v>
      </c>
      <c r="BN49" s="59">
        <f t="shared" si="38"/>
        <v>0.13054193744505302</v>
      </c>
      <c r="BO49" s="59">
        <f t="shared" si="38"/>
        <v>-0.25773333387358083</v>
      </c>
      <c r="BP49" s="59">
        <f t="shared" si="38"/>
        <v>-0.10907560658767425</v>
      </c>
      <c r="BQ49" s="59">
        <f t="shared" si="38"/>
        <v>-0.64437444127486465</v>
      </c>
      <c r="BR49" s="59">
        <f t="shared" ref="BR49:CJ49" si="39">(BR47-BV47)/BV47</f>
        <v>-0.48640439940260538</v>
      </c>
      <c r="BS49" s="59">
        <f t="shared" si="39"/>
        <v>-0.46945288335106611</v>
      </c>
      <c r="BT49" s="59">
        <f t="shared" si="39"/>
        <v>1.2434443665544141</v>
      </c>
      <c r="BU49" s="59">
        <f t="shared" si="39"/>
        <v>2.006684591334389E-2</v>
      </c>
      <c r="BV49" s="59">
        <f t="shared" si="39"/>
        <v>6.0569029657770379</v>
      </c>
      <c r="BW49" s="59">
        <f t="shared" si="39"/>
        <v>0.602460980659833</v>
      </c>
      <c r="BX49" s="59">
        <f t="shared" si="39"/>
        <v>-0.60452225899251344</v>
      </c>
      <c r="BY49" s="59">
        <f t="shared" si="39"/>
        <v>0.82626460561985016</v>
      </c>
      <c r="BZ49" s="59" t="e">
        <f t="shared" si="39"/>
        <v>#DIV/0!</v>
      </c>
      <c r="CA49" s="59">
        <f t="shared" si="39"/>
        <v>7.9605727040486034</v>
      </c>
      <c r="CB49" s="59">
        <f t="shared" si="39"/>
        <v>9.0513382279123302</v>
      </c>
      <c r="CC49" s="59">
        <f t="shared" si="39"/>
        <v>26.541020842956119</v>
      </c>
      <c r="CD49" s="59">
        <f t="shared" si="39"/>
        <v>-1</v>
      </c>
      <c r="CE49" s="59">
        <f t="shared" si="39"/>
        <v>0.60519584332533971</v>
      </c>
      <c r="CF49" s="59">
        <f t="shared" si="39"/>
        <v>2.9544253002754819</v>
      </c>
      <c r="CG49" s="59" t="e">
        <f t="shared" si="39"/>
        <v>#DIV/0!</v>
      </c>
      <c r="CH49" s="59" t="e">
        <f t="shared" si="39"/>
        <v>#DIV/0!</v>
      </c>
      <c r="CI49" s="59" t="e">
        <f t="shared" si="39"/>
        <v>#DIV/0!</v>
      </c>
      <c r="CJ49" s="59" t="e">
        <f t="shared" si="39"/>
        <v>#DIV/0!</v>
      </c>
    </row>
    <row r="50" spans="1:88" s="26" customFormat="1" x14ac:dyDescent="0.25">
      <c r="A50" s="17" t="s">
        <v>426</v>
      </c>
      <c r="E50" s="26">
        <f>股权价值增加表!E47</f>
        <v>156898905.18959999</v>
      </c>
      <c r="F50" s="26">
        <f>股权价值增加表!F47</f>
        <v>67435940.143600076</v>
      </c>
      <c r="G50" s="26">
        <f>股权价值增加表!G47</f>
        <v>-66829377.048000246</v>
      </c>
      <c r="H50" s="26">
        <f>股权价值增加表!H47</f>
        <v>-115103573.74880002</v>
      </c>
      <c r="I50" s="26">
        <f>股权价值增加表!I47</f>
        <v>116612618.8871997</v>
      </c>
      <c r="J50" s="26">
        <f>股权价值增加表!J47</f>
        <v>46637974.101200044</v>
      </c>
      <c r="K50" s="26">
        <f>股权价值增加表!K47</f>
        <v>-54455797.05919981</v>
      </c>
      <c r="L50" s="26">
        <f>股权价值增加表!L47</f>
        <v>-107832644.57599998</v>
      </c>
      <c r="M50" s="26">
        <f>股权价值增加表!M47</f>
        <v>212010520.97879997</v>
      </c>
      <c r="N50" s="26">
        <f>股权价值增加表!N47</f>
        <v>128426523.47959998</v>
      </c>
      <c r="O50" s="26">
        <f>股权价值增加表!O47</f>
        <v>-4710796.6016000807</v>
      </c>
      <c r="P50" s="26">
        <f>股权价值增加表!P47</f>
        <v>-90053147.276000053</v>
      </c>
      <c r="Q50" s="26">
        <f>股权价值增加表!Q47</f>
        <v>197864629.11680013</v>
      </c>
      <c r="R50" s="26">
        <f>股权价值增加表!R47</f>
        <v>92568040.539600074</v>
      </c>
      <c r="S50" s="26">
        <f>股权价值增加表!S47</f>
        <v>-17175475.354800016</v>
      </c>
      <c r="T50" s="26">
        <f>股权价值增加表!T47</f>
        <v>-78984051.278399989</v>
      </c>
      <c r="U50" s="26">
        <f>股权价值增加表!U47</f>
        <v>160532881.25319999</v>
      </c>
      <c r="V50" s="26">
        <f>股权价值增加表!V47</f>
        <v>74264222.605599999</v>
      </c>
      <c r="W50" s="26">
        <f>股权价值增加表!W47</f>
        <v>-17714192.575200051</v>
      </c>
      <c r="X50" s="26">
        <f>股权价值增加表!X47</f>
        <v>-72556269.785600096</v>
      </c>
      <c r="Y50" s="26">
        <f>股权价值增加表!Y47</f>
        <v>229701050.09160006</v>
      </c>
      <c r="Z50" s="26">
        <f>股权价值增加表!Z47</f>
        <v>112216056.39040014</v>
      </c>
      <c r="AA50" s="26">
        <f>股权价值增加表!AA47</f>
        <v>2265681.2744000107</v>
      </c>
      <c r="AB50" s="26">
        <f>股权价值增加表!AB47</f>
        <v>-34205408.961200044</v>
      </c>
      <c r="AC50" s="26">
        <f>股权价值增加表!AC47</f>
        <v>240037274.47840005</v>
      </c>
      <c r="AD50" s="26">
        <f>股权价值增加表!AD47</f>
        <v>155021091.79719988</v>
      </c>
      <c r="AE50" s="26">
        <f>股权价值增加表!AE47</f>
        <v>46982541.486000046</v>
      </c>
      <c r="AF50" s="26">
        <f>股权价值增加表!AF47</f>
        <v>-34038917.839599967</v>
      </c>
      <c r="AG50" s="26">
        <f>股权价值增加表!AG47</f>
        <v>92620576.687200248</v>
      </c>
      <c r="AH50" s="26">
        <f>股权价值增加表!AH47</f>
        <v>33988838.515200123</v>
      </c>
      <c r="AI50" s="26">
        <f>股权价值增加表!AI47</f>
        <v>-27568792.265600026</v>
      </c>
      <c r="AJ50" s="26">
        <f>股权价值增加表!AJ47</f>
        <v>-60426874.409600019</v>
      </c>
      <c r="AK50" s="26">
        <f>股权价值增加表!AK47</f>
        <v>38860646.419599861</v>
      </c>
      <c r="AL50" s="26">
        <f>股权价值增加表!AL47</f>
        <v>-1437995.956400007</v>
      </c>
      <c r="AM50" s="26">
        <f>股权价值增加表!AM47</f>
        <v>24570903.86559999</v>
      </c>
      <c r="AN50" s="26">
        <f>股权价值增加表!AN47</f>
        <v>9670668.0916000344</v>
      </c>
      <c r="AO50" s="26">
        <f>股权价值增加表!AO47</f>
        <v>91566826.173199937</v>
      </c>
      <c r="AP50" s="26">
        <f>股权价值增加表!AP47</f>
        <v>73883528.459200084</v>
      </c>
      <c r="AQ50" s="26">
        <f>股权价值增加表!AQ47</f>
        <v>85138294.759999961</v>
      </c>
      <c r="AR50" s="26">
        <f>股权价值增加表!AR47</f>
        <v>49517218.419999912</v>
      </c>
      <c r="AS50" s="26">
        <f>股权价值增加表!AS47</f>
        <v>0</v>
      </c>
      <c r="AT50" s="26">
        <f>股权价值增加表!AT47</f>
        <v>-1365523001.1691999</v>
      </c>
      <c r="AU50" s="26">
        <f>股权价值增加表!AU47</f>
        <v>-1269565389.4956</v>
      </c>
      <c r="AV50" s="26">
        <f>股权价值增加表!AV47</f>
        <v>-1094636149.8116</v>
      </c>
      <c r="AW50" s="26">
        <f>股权价值增加表!AW47</f>
        <v>-1214450063.3312001</v>
      </c>
      <c r="AX50" s="26">
        <f>股权价值增加表!AX47</f>
        <v>-1148538939.4868002</v>
      </c>
      <c r="AY50" s="26">
        <f>股权价值增加表!AY47</f>
        <v>-1029093452.312</v>
      </c>
      <c r="AZ50" s="26">
        <f>股权价值增加表!AZ47</f>
        <v>-912708678.76999998</v>
      </c>
      <c r="BA50" s="26">
        <f>股权价值增加表!BA47</f>
        <v>-966476645.33319998</v>
      </c>
      <c r="BB50" s="26">
        <f>股权价值增加表!BB47</f>
        <v>-965766447.68720007</v>
      </c>
      <c r="BC50" s="26">
        <f>股权价值增加表!BC47</f>
        <v>-905480197.47199988</v>
      </c>
      <c r="BD50" s="26">
        <f>股权价值增加表!BD47</f>
        <v>-792737615.93959999</v>
      </c>
      <c r="BE50" s="26">
        <f>股权价值增加表!BE47</f>
        <v>-942028467.71160007</v>
      </c>
      <c r="BF50" s="26">
        <f>股权价值增加表!BF47</f>
        <v>-856598894.06439996</v>
      </c>
      <c r="BG50" s="26">
        <f>股权价值增加表!BG47</f>
        <v>-770285781.60280001</v>
      </c>
      <c r="BH50" s="26">
        <f>股权价值增加表!BH47</f>
        <v>-703335824.93879998</v>
      </c>
      <c r="BI50" s="26">
        <f>股权价值增加表!BI47</f>
        <v>-837715071.78279996</v>
      </c>
      <c r="BJ50" s="26">
        <f>股权价值增加表!BJ47</f>
        <v>-761129027.17720008</v>
      </c>
      <c r="BK50" s="26">
        <f>股权价值增加表!BK47</f>
        <v>-694810452.53199995</v>
      </c>
      <c r="BL50" s="26">
        <f>股权价值增加表!BL47</f>
        <v>-653614035.78559995</v>
      </c>
      <c r="BM50" s="26">
        <f>股权价值增加表!BM47</f>
        <v>-648980937.67680001</v>
      </c>
      <c r="BN50" s="26">
        <f>股权价值增加表!BN47</f>
        <v>-584316686.89160001</v>
      </c>
      <c r="BO50" s="26">
        <f>股权价值增加表!BO47</f>
        <v>-519580365.63720006</v>
      </c>
      <c r="BP50" s="26">
        <f>股权价值增加表!BP47</f>
        <v>-510447612.64480001</v>
      </c>
      <c r="BQ50" s="26">
        <f>股权价值增加表!BQ47</f>
        <v>-455184205.68400002</v>
      </c>
      <c r="BR50" s="26">
        <f>股权价值增加表!BR47</f>
        <v>-147870000</v>
      </c>
      <c r="BS50" s="26">
        <f>股权价值增加表!BS47</f>
        <v>-503831715.28120005</v>
      </c>
      <c r="BT50" s="26">
        <f>股权价值增加表!BT47</f>
        <v>-467102018.77999997</v>
      </c>
      <c r="BU50" s="26">
        <f>股权价值增加表!BU47</f>
        <v>-477454430.35599995</v>
      </c>
      <c r="BV50" s="26">
        <f>股权价值增加表!BV47</f>
        <v>-515936318.05199999</v>
      </c>
      <c r="BW50" s="26">
        <f>股权价值增加表!BW47</f>
        <v>-481982388.18599999</v>
      </c>
      <c r="BX50" s="26">
        <f>股权价值增加表!BX47</f>
        <v>-224236423.546</v>
      </c>
      <c r="BY50" s="26">
        <f>股权价值增加表!BY47</f>
        <v>-358986056.90359998</v>
      </c>
      <c r="BZ50" s="26">
        <f>股权价值增加表!BZ47</f>
        <v>-189968023.31680003</v>
      </c>
      <c r="CA50" s="26">
        <f>股权价值增加表!CA47</f>
        <v>-211328042.74439999</v>
      </c>
      <c r="CB50" s="26">
        <f>股权价值增加表!CB47</f>
        <v>-165479246.60680002</v>
      </c>
      <c r="CC50" s="26">
        <f>股权价值增加表!CC47</f>
        <v>-137330018.646</v>
      </c>
      <c r="CD50" s="26">
        <f>股权价值增加表!CD47</f>
        <v>0</v>
      </c>
      <c r="CE50" s="26">
        <f>股权价值增加表!CE47</f>
        <v>-106460040</v>
      </c>
      <c r="CF50" s="26">
        <f>股权价值增加表!CF47</f>
        <v>-94692832.060800001</v>
      </c>
      <c r="CG50" s="26">
        <f>股权价值增加表!CG47</f>
        <v>-43745192.029600002</v>
      </c>
      <c r="CH50" s="26">
        <f>股权价值增加表!CH47</f>
        <v>-4220000</v>
      </c>
      <c r="CI50" s="26">
        <f>股权价值增加表!CI47</f>
        <v>-12510000</v>
      </c>
      <c r="CJ50" s="26">
        <f>股权价值增加表!CJ47</f>
        <v>-3630000</v>
      </c>
    </row>
    <row r="51" spans="1:88" s="16" customFormat="1" ht="73.2" customHeight="1" x14ac:dyDescent="0.25">
      <c r="A51" s="283" t="s">
        <v>684</v>
      </c>
      <c r="B51" s="284"/>
      <c r="C51" s="284"/>
      <c r="D51" s="284"/>
      <c r="E51" s="284"/>
      <c r="F51" s="284"/>
      <c r="G51" s="284"/>
      <c r="H51" s="284"/>
      <c r="I51" s="284"/>
      <c r="J51" s="284"/>
      <c r="K51" s="284"/>
      <c r="L51" s="284"/>
      <c r="M51" s="284"/>
      <c r="N51" s="284"/>
      <c r="O51" s="284"/>
      <c r="P51" s="284"/>
      <c r="Q51" s="284"/>
      <c r="R51" s="284"/>
      <c r="S51" s="284"/>
      <c r="T51" s="284"/>
      <c r="U51" s="284"/>
      <c r="V51" s="284"/>
      <c r="W51" s="284"/>
      <c r="X51" s="284"/>
      <c r="Y51" s="284"/>
      <c r="Z51" s="284"/>
      <c r="AA51" s="284"/>
      <c r="AB51" s="284"/>
      <c r="AC51" s="284"/>
      <c r="AD51" s="284"/>
      <c r="AE51" s="284"/>
      <c r="AF51" s="284"/>
      <c r="AG51" s="284"/>
    </row>
    <row r="53" spans="1:88" x14ac:dyDescent="0.25">
      <c r="A53" s="20" t="s">
        <v>671</v>
      </c>
      <c r="E53" s="1">
        <f>E1</f>
        <v>43100</v>
      </c>
      <c r="F53" s="1">
        <f t="shared" ref="F53:AC53" si="40">F1</f>
        <v>43008</v>
      </c>
      <c r="G53" s="1">
        <f t="shared" si="40"/>
        <v>42916</v>
      </c>
      <c r="H53" s="1">
        <f t="shared" si="40"/>
        <v>42825</v>
      </c>
      <c r="I53" s="1">
        <f t="shared" si="40"/>
        <v>42735</v>
      </c>
      <c r="J53" s="1">
        <f t="shared" si="40"/>
        <v>42643</v>
      </c>
      <c r="K53" s="1">
        <f t="shared" si="40"/>
        <v>42551</v>
      </c>
      <c r="L53" s="1">
        <f t="shared" si="40"/>
        <v>42460</v>
      </c>
      <c r="M53" s="1">
        <f t="shared" si="40"/>
        <v>42369</v>
      </c>
      <c r="N53" s="1">
        <f t="shared" si="40"/>
        <v>42277</v>
      </c>
      <c r="O53" s="1">
        <f t="shared" si="40"/>
        <v>42185</v>
      </c>
      <c r="P53" s="1">
        <f t="shared" si="40"/>
        <v>42094</v>
      </c>
      <c r="Q53" s="1">
        <f t="shared" si="40"/>
        <v>42004</v>
      </c>
      <c r="R53" s="1">
        <f t="shared" si="40"/>
        <v>41912</v>
      </c>
      <c r="S53" s="1">
        <f t="shared" si="40"/>
        <v>41820</v>
      </c>
      <c r="T53" s="1">
        <f t="shared" si="40"/>
        <v>41729</v>
      </c>
      <c r="U53" s="1">
        <f t="shared" si="40"/>
        <v>41639</v>
      </c>
      <c r="V53" s="1">
        <f t="shared" si="40"/>
        <v>41547</v>
      </c>
      <c r="W53" s="1">
        <f t="shared" si="40"/>
        <v>41455</v>
      </c>
      <c r="X53" s="1">
        <f t="shared" si="40"/>
        <v>41364</v>
      </c>
      <c r="Y53" s="1">
        <f t="shared" si="40"/>
        <v>41274</v>
      </c>
      <c r="Z53" s="1">
        <f t="shared" si="40"/>
        <v>41182</v>
      </c>
      <c r="AA53" s="1">
        <f t="shared" si="40"/>
        <v>41090</v>
      </c>
      <c r="AB53" s="1">
        <f t="shared" si="40"/>
        <v>40999</v>
      </c>
      <c r="AC53" s="1">
        <f t="shared" si="40"/>
        <v>40908</v>
      </c>
    </row>
    <row r="54" spans="1:88" x14ac:dyDescent="0.25">
      <c r="A54" s="17" t="s">
        <v>672</v>
      </c>
      <c r="E54" s="193">
        <f>E39</f>
        <v>538387354.63</v>
      </c>
      <c r="F54" s="193">
        <f t="shared" ref="F54:AC54" si="41">F39</f>
        <v>425359328.74000007</v>
      </c>
      <c r="G54" s="193">
        <f t="shared" si="41"/>
        <v>232589541.70999974</v>
      </c>
      <c r="H54" s="193">
        <f t="shared" si="41"/>
        <v>146338760.84999999</v>
      </c>
      <c r="I54" s="193">
        <f t="shared" si="41"/>
        <v>431574444.92999971</v>
      </c>
      <c r="J54" s="193">
        <f t="shared" si="41"/>
        <v>332948179.57000005</v>
      </c>
      <c r="K54" s="193">
        <f t="shared" si="41"/>
        <v>201569235.89000016</v>
      </c>
      <c r="L54" s="193">
        <f t="shared" si="41"/>
        <v>136228262.09</v>
      </c>
      <c r="M54" s="193">
        <f t="shared" si="41"/>
        <v>515209098.85999995</v>
      </c>
      <c r="N54" s="193">
        <f t="shared" si="41"/>
        <v>370693162.94</v>
      </c>
      <c r="O54" s="193">
        <f t="shared" si="41"/>
        <v>209909798.76999992</v>
      </c>
      <c r="P54" s="193">
        <f t="shared" si="41"/>
        <v>135352090.14999995</v>
      </c>
      <c r="Q54" s="193">
        <f t="shared" si="41"/>
        <v>451866568.5200001</v>
      </c>
      <c r="R54" s="193">
        <f t="shared" si="41"/>
        <v>299267942.67000008</v>
      </c>
      <c r="S54" s="193">
        <f t="shared" si="41"/>
        <v>170024098.80000001</v>
      </c>
      <c r="T54" s="193">
        <f t="shared" si="41"/>
        <v>108758833.57000002</v>
      </c>
      <c r="U54" s="193">
        <f t="shared" si="41"/>
        <v>391324311.58000004</v>
      </c>
      <c r="V54" s="193">
        <f t="shared" si="41"/>
        <v>258040861.87000003</v>
      </c>
      <c r="W54" s="193">
        <f t="shared" si="41"/>
        <v>150262191.10999995</v>
      </c>
      <c r="X54" s="193">
        <f t="shared" si="41"/>
        <v>99194270.459999919</v>
      </c>
      <c r="Y54" s="193">
        <f t="shared" si="41"/>
        <v>444040577.99000007</v>
      </c>
      <c r="Z54" s="193">
        <f t="shared" si="41"/>
        <v>279242278.99000013</v>
      </c>
      <c r="AA54" s="193">
        <f t="shared" si="41"/>
        <v>146425961.03000003</v>
      </c>
      <c r="AB54" s="193">
        <f t="shared" si="41"/>
        <v>124904015.53999996</v>
      </c>
      <c r="AC54" s="193">
        <f t="shared" si="41"/>
        <v>443851705.62000006</v>
      </c>
    </row>
    <row r="55" spans="1:88" s="63" customFormat="1" x14ac:dyDescent="0.25">
      <c r="A55" s="63" t="s">
        <v>673</v>
      </c>
      <c r="E55" s="63">
        <f>E54/E2</f>
        <v>0.11548789743858551</v>
      </c>
      <c r="F55" s="63">
        <f t="shared" ref="F55:AC55" si="42">F54/F2</f>
        <v>0.13364858043541908</v>
      </c>
      <c r="G55" s="63">
        <f t="shared" si="42"/>
        <v>0.11738433870662425</v>
      </c>
      <c r="H55" s="63">
        <f t="shared" si="42"/>
        <v>0.13834684275621684</v>
      </c>
      <c r="I55" s="63">
        <f t="shared" si="42"/>
        <v>0.13691142497678241</v>
      </c>
      <c r="J55" s="63">
        <f t="shared" si="42"/>
        <v>0.15448136965877582</v>
      </c>
      <c r="K55" s="63">
        <f t="shared" si="42"/>
        <v>0.15007947332205959</v>
      </c>
      <c r="L55" s="63">
        <f t="shared" si="42"/>
        <v>0.17857891644584431</v>
      </c>
      <c r="M55" s="63">
        <f t="shared" si="42"/>
        <v>0.1767056900652649</v>
      </c>
      <c r="N55" s="63">
        <f t="shared" si="42"/>
        <v>0.18117107853799705</v>
      </c>
      <c r="O55" s="63">
        <f t="shared" si="42"/>
        <v>0.16793105081825721</v>
      </c>
      <c r="P55" s="63">
        <f t="shared" si="42"/>
        <v>0.19188129004541116</v>
      </c>
      <c r="Q55" s="63">
        <f t="shared" si="42"/>
        <v>0.16363673306029453</v>
      </c>
      <c r="R55" s="63">
        <f t="shared" si="42"/>
        <v>0.15918559130160692</v>
      </c>
      <c r="S55" s="63">
        <f t="shared" si="42"/>
        <v>0.15286090009843167</v>
      </c>
      <c r="T55" s="63">
        <f t="shared" si="42"/>
        <v>0.16546084627031665</v>
      </c>
      <c r="U55" s="63">
        <f t="shared" si="42"/>
        <v>0.15502846516518526</v>
      </c>
      <c r="V55" s="63">
        <f t="shared" si="42"/>
        <v>0.14979323540928197</v>
      </c>
      <c r="W55" s="63">
        <f t="shared" si="42"/>
        <v>0.13938030647624852</v>
      </c>
      <c r="X55" s="63">
        <f t="shared" si="42"/>
        <v>0.16119944850569162</v>
      </c>
      <c r="Y55" s="63">
        <f t="shared" si="42"/>
        <v>0.16295342989507589</v>
      </c>
      <c r="Z55" s="63">
        <f t="shared" si="42"/>
        <v>0.1511278812940986</v>
      </c>
      <c r="AA55" s="63">
        <f t="shared" si="42"/>
        <v>0.14127096750997389</v>
      </c>
      <c r="AB55" s="63">
        <f t="shared" si="42"/>
        <v>0.20332066927257439</v>
      </c>
      <c r="AC55" s="63">
        <f t="shared" si="42"/>
        <v>0.18630172282834179</v>
      </c>
    </row>
    <row r="56" spans="1:88" x14ac:dyDescent="0.25">
      <c r="A56" s="17" t="s">
        <v>674</v>
      </c>
      <c r="E56" s="193">
        <f>E23</f>
        <v>428144030.063025</v>
      </c>
      <c r="F56" s="193">
        <f t="shared" ref="F56:AC56" si="43">F23</f>
        <v>324591800.59195822</v>
      </c>
      <c r="G56" s="193">
        <f t="shared" si="43"/>
        <v>169231697.49786973</v>
      </c>
      <c r="H56" s="193">
        <f t="shared" si="43"/>
        <v>123606189.79480192</v>
      </c>
      <c r="I56" s="193">
        <f t="shared" si="43"/>
        <v>308520479.7763046</v>
      </c>
      <c r="J56" s="193">
        <f t="shared" si="43"/>
        <v>252146262.21428594</v>
      </c>
      <c r="K56" s="193">
        <f t="shared" si="43"/>
        <v>145532799.57464889</v>
      </c>
      <c r="L56" s="193">
        <f t="shared" si="43"/>
        <v>104622458.65169166</v>
      </c>
      <c r="M56" s="193">
        <f t="shared" si="43"/>
        <v>365311550.00787956</v>
      </c>
      <c r="N56" s="193">
        <f t="shared" si="43"/>
        <v>293409183.21914089</v>
      </c>
      <c r="O56" s="193">
        <f t="shared" si="43"/>
        <v>164979107.10671088</v>
      </c>
      <c r="P56" s="193">
        <f t="shared" si="43"/>
        <v>113834650.5501582</v>
      </c>
      <c r="Q56" s="193">
        <f t="shared" si="43"/>
        <v>362984361.74733239</v>
      </c>
      <c r="R56" s="193">
        <f t="shared" si="43"/>
        <v>250115802.33708391</v>
      </c>
      <c r="S56" s="193">
        <f t="shared" si="43"/>
        <v>139150733.29980132</v>
      </c>
      <c r="T56" s="193">
        <f t="shared" si="43"/>
        <v>90529610.928688839</v>
      </c>
      <c r="U56" s="193">
        <f t="shared" si="43"/>
        <v>309180519.11409795</v>
      </c>
      <c r="V56" s="193">
        <f t="shared" si="43"/>
        <v>219176919.57929215</v>
      </c>
      <c r="W56" s="193">
        <f t="shared" si="43"/>
        <v>124376194.05783701</v>
      </c>
      <c r="X56" s="193">
        <f t="shared" si="43"/>
        <v>79521329.740607604</v>
      </c>
      <c r="Y56" s="193">
        <f t="shared" si="43"/>
        <v>362461551.15202373</v>
      </c>
      <c r="Z56" s="193">
        <f t="shared" si="43"/>
        <v>239216405.10780725</v>
      </c>
      <c r="AA56" s="193">
        <f t="shared" si="43"/>
        <v>123232480.25873438</v>
      </c>
      <c r="AB56" s="193">
        <f t="shared" si="43"/>
        <v>102703921.19152451</v>
      </c>
      <c r="AC56" s="193">
        <f t="shared" si="43"/>
        <v>351540275.08176368</v>
      </c>
    </row>
    <row r="57" spans="1:88" s="63" customFormat="1" x14ac:dyDescent="0.25">
      <c r="A57" s="63" t="s">
        <v>675</v>
      </c>
      <c r="E57" s="63">
        <f>E56/E2</f>
        <v>9.1839924187747821E-2</v>
      </c>
      <c r="F57" s="63">
        <f t="shared" ref="F57:AC57" si="44">F56/F2</f>
        <v>0.10198726215455479</v>
      </c>
      <c r="G57" s="63">
        <f t="shared" si="44"/>
        <v>8.5408616195458337E-2</v>
      </c>
      <c r="H57" s="63">
        <f t="shared" si="44"/>
        <v>0.11685575307532445</v>
      </c>
      <c r="I57" s="63">
        <f t="shared" si="44"/>
        <v>9.7874142032542411E-2</v>
      </c>
      <c r="J57" s="63">
        <f t="shared" si="44"/>
        <v>0.11699087825471757</v>
      </c>
      <c r="K57" s="63">
        <f t="shared" si="44"/>
        <v>0.10835723921267153</v>
      </c>
      <c r="L57" s="63">
        <f t="shared" si="44"/>
        <v>0.13714749799550383</v>
      </c>
      <c r="M57" s="63">
        <f t="shared" si="44"/>
        <v>0.12529404017861698</v>
      </c>
      <c r="N57" s="63">
        <f t="shared" si="44"/>
        <v>0.14339961858257558</v>
      </c>
      <c r="O57" s="63">
        <f t="shared" si="44"/>
        <v>0.13198581000901491</v>
      </c>
      <c r="P57" s="63">
        <f t="shared" si="44"/>
        <v>0.1613771872693385</v>
      </c>
      <c r="Q57" s="63">
        <f t="shared" si="44"/>
        <v>0.13144936856659847</v>
      </c>
      <c r="R57" s="63">
        <f t="shared" si="44"/>
        <v>0.1330407511532499</v>
      </c>
      <c r="S57" s="63">
        <f t="shared" si="44"/>
        <v>0.12510406755094908</v>
      </c>
      <c r="T57" s="63">
        <f t="shared" si="44"/>
        <v>0.13772771870656758</v>
      </c>
      <c r="U57" s="63">
        <f t="shared" si="44"/>
        <v>0.12248608103009449</v>
      </c>
      <c r="V57" s="63">
        <f t="shared" si="44"/>
        <v>0.12723263933044221</v>
      </c>
      <c r="W57" s="63">
        <f t="shared" si="44"/>
        <v>0.11536895554411358</v>
      </c>
      <c r="X57" s="63">
        <f t="shared" si="44"/>
        <v>0.12922918268544933</v>
      </c>
      <c r="Y57" s="63">
        <f t="shared" si="44"/>
        <v>0.13301566544362509</v>
      </c>
      <c r="Z57" s="63">
        <f t="shared" si="44"/>
        <v>0.12946559742132863</v>
      </c>
      <c r="AA57" s="63">
        <f t="shared" si="44"/>
        <v>0.11889402393089528</v>
      </c>
      <c r="AB57" s="63">
        <f t="shared" si="44"/>
        <v>0.16718301572050889</v>
      </c>
      <c r="AC57" s="63">
        <f t="shared" si="44"/>
        <v>0.14755504611567871</v>
      </c>
    </row>
    <row r="58" spans="1:88" ht="93" customHeight="1" x14ac:dyDescent="0.25">
      <c r="A58" s="279" t="s">
        <v>676</v>
      </c>
      <c r="B58" s="285"/>
      <c r="C58" s="285"/>
      <c r="D58" s="285"/>
      <c r="E58" s="285"/>
      <c r="F58" s="285"/>
      <c r="G58" s="285"/>
      <c r="H58" s="285"/>
      <c r="I58" s="285"/>
      <c r="J58" s="285"/>
      <c r="K58" s="285"/>
      <c r="L58" s="285"/>
      <c r="M58" s="285"/>
      <c r="N58" s="285"/>
      <c r="O58" s="285"/>
      <c r="P58" s="285"/>
      <c r="Q58" s="285"/>
      <c r="R58" s="285"/>
      <c r="S58" s="285"/>
      <c r="T58" s="285"/>
      <c r="U58" s="285"/>
      <c r="V58" s="285"/>
      <c r="W58" s="285"/>
      <c r="X58" s="285"/>
      <c r="Y58" s="285"/>
      <c r="Z58" s="285"/>
      <c r="AA58" s="285"/>
      <c r="AB58" s="285"/>
      <c r="AC58" s="285"/>
    </row>
    <row r="60" spans="1:88" s="225" customFormat="1" x14ac:dyDescent="0.25">
      <c r="A60" s="227" t="s">
        <v>678</v>
      </c>
      <c r="B60" s="223"/>
      <c r="C60" s="223"/>
      <c r="D60" s="223"/>
      <c r="E60" s="228">
        <f>E53</f>
        <v>43100</v>
      </c>
      <c r="F60" s="228">
        <f t="shared" ref="F60:AC60" si="45">F53</f>
        <v>43008</v>
      </c>
      <c r="G60" s="228">
        <f t="shared" si="45"/>
        <v>42916</v>
      </c>
      <c r="H60" s="228">
        <f t="shared" si="45"/>
        <v>42825</v>
      </c>
      <c r="I60" s="228">
        <f t="shared" si="45"/>
        <v>42735</v>
      </c>
      <c r="J60" s="228">
        <f t="shared" si="45"/>
        <v>42643</v>
      </c>
      <c r="K60" s="228">
        <f t="shared" si="45"/>
        <v>42551</v>
      </c>
      <c r="L60" s="228">
        <f t="shared" si="45"/>
        <v>42460</v>
      </c>
      <c r="M60" s="228">
        <f t="shared" si="45"/>
        <v>42369</v>
      </c>
      <c r="N60" s="228">
        <f t="shared" si="45"/>
        <v>42277</v>
      </c>
      <c r="O60" s="228">
        <f t="shared" si="45"/>
        <v>42185</v>
      </c>
      <c r="P60" s="228">
        <f t="shared" si="45"/>
        <v>42094</v>
      </c>
      <c r="Q60" s="228">
        <f t="shared" si="45"/>
        <v>42004</v>
      </c>
      <c r="R60" s="228">
        <f t="shared" si="45"/>
        <v>41912</v>
      </c>
      <c r="S60" s="228">
        <f t="shared" si="45"/>
        <v>41820</v>
      </c>
      <c r="T60" s="228">
        <f t="shared" si="45"/>
        <v>41729</v>
      </c>
      <c r="U60" s="228">
        <f t="shared" si="45"/>
        <v>41639</v>
      </c>
      <c r="V60" s="228">
        <f t="shared" si="45"/>
        <v>41547</v>
      </c>
      <c r="W60" s="228">
        <f t="shared" si="45"/>
        <v>41455</v>
      </c>
      <c r="X60" s="228">
        <f t="shared" si="45"/>
        <v>41364</v>
      </c>
      <c r="Y60" s="228">
        <f t="shared" si="45"/>
        <v>41274</v>
      </c>
      <c r="Z60" s="228">
        <f t="shared" si="45"/>
        <v>41182</v>
      </c>
      <c r="AA60" s="228">
        <f t="shared" si="45"/>
        <v>41090</v>
      </c>
      <c r="AB60" s="228">
        <f t="shared" si="45"/>
        <v>40999</v>
      </c>
      <c r="AC60" s="228">
        <f t="shared" si="45"/>
        <v>40908</v>
      </c>
    </row>
    <row r="61" spans="1:88" s="193" customFormat="1" x14ac:dyDescent="0.25">
      <c r="A61" s="89" t="s">
        <v>679</v>
      </c>
      <c r="B61" s="89"/>
      <c r="C61" s="89"/>
      <c r="D61" s="89"/>
      <c r="E61" s="89">
        <f>股权价值增加表!E38</f>
        <v>499927833.65999997</v>
      </c>
      <c r="F61" s="89">
        <f>股权价值增加表!F38</f>
        <v>401428922.01000005</v>
      </c>
      <c r="G61" s="89">
        <f>股权价值增加表!G38</f>
        <v>209898062.10999975</v>
      </c>
      <c r="H61" s="89">
        <f>股权价值增加表!H38</f>
        <v>147365458.57999998</v>
      </c>
      <c r="I61" s="89">
        <f>股权价值增加表!I38</f>
        <v>427742954.32999969</v>
      </c>
      <c r="J61" s="89">
        <f>股权价值增加表!J38</f>
        <v>334819772.02000004</v>
      </c>
      <c r="K61" s="89">
        <f>股权价值增加表!K38</f>
        <v>203723495.75000018</v>
      </c>
      <c r="L61" s="89">
        <f>股权价值增加表!L38</f>
        <v>136959989.61000001</v>
      </c>
      <c r="M61" s="89">
        <f>股权价值增加表!M38</f>
        <v>513059262.03999996</v>
      </c>
      <c r="N61" s="89">
        <f>股权价值增加表!N38</f>
        <v>381008120.25999999</v>
      </c>
      <c r="O61" s="89">
        <f>股权价值增加表!O38</f>
        <v>217267458.76999992</v>
      </c>
      <c r="P61" s="89">
        <f>股权价值增加表!P38</f>
        <v>139584865.06999993</v>
      </c>
      <c r="Q61" s="89">
        <f>股权价值增加表!Q38</f>
        <v>450483006.57000011</v>
      </c>
      <c r="R61" s="89">
        <f>股权价值增加表!R38</f>
        <v>317210179.42000008</v>
      </c>
      <c r="S61" s="89">
        <f>股权价值增加表!S38</f>
        <v>182941247.09</v>
      </c>
      <c r="T61" s="89">
        <f>股权价值增加表!T38</f>
        <v>116670305.96000002</v>
      </c>
      <c r="U61" s="89">
        <f>股权价值增加表!U38</f>
        <v>390428605.66000003</v>
      </c>
      <c r="V61" s="89">
        <f>股权价值增加表!V38</f>
        <v>274655166.74000001</v>
      </c>
      <c r="W61" s="89">
        <f>股权价值增加表!W38</f>
        <v>161995567.14999995</v>
      </c>
      <c r="X61" s="89">
        <f>股权价值增加表!X38</f>
        <v>105193117.48999992</v>
      </c>
      <c r="Y61" s="89">
        <f>股权价值增加表!Y38</f>
        <v>443029151.84000009</v>
      </c>
      <c r="Z61" s="89">
        <f>股权价值增加表!Z38</f>
        <v>295514436.34000015</v>
      </c>
      <c r="AA61" s="89">
        <f>股权价值增加表!AA38</f>
        <v>158856513.42000002</v>
      </c>
      <c r="AB61" s="89">
        <f>股权价值增加表!AB38</f>
        <v>129330228.97999996</v>
      </c>
      <c r="AC61" s="89">
        <f>股权价值增加表!AC38</f>
        <v>442624871.00000006</v>
      </c>
    </row>
    <row r="62" spans="1:88" s="193" customFormat="1" x14ac:dyDescent="0.25">
      <c r="A62" s="89" t="s">
        <v>680</v>
      </c>
      <c r="B62" s="89"/>
      <c r="C62" s="89"/>
      <c r="D62" s="89"/>
      <c r="E62" s="89">
        <f>股权价值增加表!E40</f>
        <v>90810907.900000006</v>
      </c>
      <c r="F62" s="89">
        <f>股权价值增加表!F40</f>
        <v>90508988.840000004</v>
      </c>
      <c r="G62" s="89">
        <f>股权价值增加表!G40</f>
        <v>44332038.670000002</v>
      </c>
      <c r="H62" s="89">
        <f>股权价值增加表!H40</f>
        <v>21985611.260000002</v>
      </c>
      <c r="I62" s="89">
        <f>股权价值增加表!I40</f>
        <v>80709681.709999993</v>
      </c>
      <c r="J62" s="89">
        <f>股权价值增加表!J40</f>
        <v>63378605.710000001</v>
      </c>
      <c r="K62" s="89">
        <f>股权价值增加表!K40</f>
        <v>44079906.789999999</v>
      </c>
      <c r="L62" s="89">
        <f>股权价值增加表!L40</f>
        <v>23129226.210000001</v>
      </c>
      <c r="M62" s="89">
        <f>股权价值增加表!M40</f>
        <v>88611971.989999995</v>
      </c>
      <c r="N62" s="89">
        <f>股权价值增加表!N40</f>
        <v>48869485.689999998</v>
      </c>
      <c r="O62" s="89">
        <f>股权价值增加表!O40</f>
        <v>30061624.289999999</v>
      </c>
      <c r="P62" s="89">
        <f>股权价值增加表!P40</f>
        <v>21179307.41</v>
      </c>
      <c r="Q62" s="89">
        <f>股权价值增加表!Q40</f>
        <v>53632117.130000003</v>
      </c>
      <c r="R62" s="89">
        <f>股权价值增加表!R40</f>
        <v>40316639.75</v>
      </c>
      <c r="S62" s="89">
        <f>股权价值增加表!S40</f>
        <v>25334137.739999998</v>
      </c>
      <c r="T62" s="89">
        <f>股权价值增加表!T40</f>
        <v>17702590.440000001</v>
      </c>
      <c r="U62" s="89">
        <f>股权价值增加表!U40</f>
        <v>59861374.850000001</v>
      </c>
      <c r="V62" s="89">
        <f>股权价值增加表!V40</f>
        <v>37936104.539999999</v>
      </c>
      <c r="W62" s="89">
        <f>股权价值增加表!W40</f>
        <v>25253043.190000001</v>
      </c>
      <c r="X62" s="89">
        <f>股权价值增加表!X40</f>
        <v>19517706.149999999</v>
      </c>
      <c r="Y62" s="89">
        <f>股权价值增加表!Y40</f>
        <v>61950453.530000001</v>
      </c>
      <c r="Z62" s="89">
        <f>股权价值增加表!Z40</f>
        <v>42224768.240000002</v>
      </c>
      <c r="AA62" s="89">
        <f>股权价值增加表!AA40</f>
        <v>25078122.620000001</v>
      </c>
      <c r="AB62" s="89">
        <f>股权价值增加表!AB40</f>
        <v>22988840.609999999</v>
      </c>
      <c r="AC62" s="89">
        <f>股权价值增加表!AC40</f>
        <v>70548110.260000005</v>
      </c>
    </row>
    <row r="63" spans="1:88" x14ac:dyDescent="0.25">
      <c r="A63" s="184" t="s">
        <v>681</v>
      </c>
      <c r="B63" s="64"/>
      <c r="C63" s="64"/>
      <c r="D63" s="64"/>
      <c r="E63" s="64">
        <f>股权价值增加表!E42</f>
        <v>409116925.75999999</v>
      </c>
      <c r="F63" s="64">
        <f>股权价值增加表!F42</f>
        <v>310919933.17000008</v>
      </c>
      <c r="G63" s="64">
        <f>股权价值增加表!G42</f>
        <v>165566023.43999976</v>
      </c>
      <c r="H63" s="64">
        <f>股权价值增加表!H42</f>
        <v>125379847.31999998</v>
      </c>
      <c r="I63" s="64">
        <f>股权价值增加表!I42</f>
        <v>347033272.61999971</v>
      </c>
      <c r="J63" s="64">
        <f>股权价值增加表!J42</f>
        <v>271441166.31000006</v>
      </c>
      <c r="K63" s="64">
        <f>股权价值增加表!K42</f>
        <v>159643588.96000019</v>
      </c>
      <c r="L63" s="64">
        <f>股权价值增加表!L42</f>
        <v>113830763.40000001</v>
      </c>
      <c r="M63" s="64">
        <f>股权价值增加表!M42</f>
        <v>424447290.04999995</v>
      </c>
      <c r="N63" s="64">
        <f>股权价值增加表!N42</f>
        <v>332138634.56999999</v>
      </c>
      <c r="O63" s="64">
        <f>股权价值增加表!O42</f>
        <v>187205834.47999993</v>
      </c>
      <c r="P63" s="64">
        <f>股权价值增加表!P42</f>
        <v>118405557.65999994</v>
      </c>
      <c r="Q63" s="64">
        <f>股权价值增加表!Q42</f>
        <v>396850889.44000012</v>
      </c>
      <c r="R63" s="64">
        <f>股权价值增加表!R42</f>
        <v>276893539.67000008</v>
      </c>
      <c r="S63" s="64">
        <f>股权价值增加表!S42</f>
        <v>157607109.34999999</v>
      </c>
      <c r="T63" s="64">
        <f>股权价值增加表!T42</f>
        <v>98967715.520000026</v>
      </c>
      <c r="U63" s="64">
        <f>股权价值增加表!U42</f>
        <v>330567230.81</v>
      </c>
      <c r="V63" s="64">
        <f>股权价值增加表!V42</f>
        <v>236719062.20000002</v>
      </c>
      <c r="W63" s="64">
        <f>股权价值增加表!W42</f>
        <v>136742523.95999995</v>
      </c>
      <c r="X63" s="64">
        <f>股权价值增加表!X42</f>
        <v>85675411.339999914</v>
      </c>
      <c r="Y63" s="64">
        <f>股权价值增加表!Y42</f>
        <v>381078698.31000006</v>
      </c>
      <c r="Z63" s="64">
        <f>股权价值增加表!Z42</f>
        <v>253289668.10000014</v>
      </c>
      <c r="AA63" s="64">
        <f>股权价值增加表!AA42</f>
        <v>133778390.80000001</v>
      </c>
      <c r="AB63" s="64">
        <f>股权价值增加表!AB42</f>
        <v>106341388.36999996</v>
      </c>
      <c r="AC63" s="64">
        <f>股权价值增加表!AC42</f>
        <v>372076760.74000007</v>
      </c>
    </row>
    <row r="64" spans="1:88" s="63" customFormat="1" x14ac:dyDescent="0.25">
      <c r="A64" s="214" t="s">
        <v>682</v>
      </c>
      <c r="B64" s="214"/>
      <c r="C64" s="214"/>
      <c r="D64" s="214"/>
      <c r="E64" s="214">
        <f>1-E63/E61</f>
        <v>0.18164803354749859</v>
      </c>
      <c r="F64" s="214">
        <f t="shared" ref="F64:AC64" si="46">1-F63/F61</f>
        <v>0.22546703507762023</v>
      </c>
      <c r="G64" s="214">
        <f t="shared" si="46"/>
        <v>0.21120747006595619</v>
      </c>
      <c r="H64" s="214">
        <f t="shared" si="46"/>
        <v>0.14919107551967292</v>
      </c>
      <c r="I64" s="214">
        <f t="shared" si="46"/>
        <v>0.18868734339860849</v>
      </c>
      <c r="J64" s="214">
        <f t="shared" si="46"/>
        <v>0.18929170558724995</v>
      </c>
      <c r="K64" s="214">
        <f t="shared" si="46"/>
        <v>0.21637124685948239</v>
      </c>
      <c r="L64" s="214">
        <f t="shared" si="46"/>
        <v>0.16887578829307426</v>
      </c>
      <c r="M64" s="214">
        <f t="shared" si="46"/>
        <v>0.17271293697664791</v>
      </c>
      <c r="N64" s="214">
        <f t="shared" si="46"/>
        <v>0.12826363295525423</v>
      </c>
      <c r="O64" s="214">
        <f t="shared" si="46"/>
        <v>0.13836229530269106</v>
      </c>
      <c r="P64" s="214">
        <f t="shared" si="46"/>
        <v>0.15173068655673272</v>
      </c>
      <c r="Q64" s="214">
        <f t="shared" si="46"/>
        <v>0.11905469539985003</v>
      </c>
      <c r="R64" s="214">
        <f t="shared" si="46"/>
        <v>0.12709755980629811</v>
      </c>
      <c r="S64" s="214">
        <f t="shared" si="46"/>
        <v>0.13848237148802534</v>
      </c>
      <c r="T64" s="214">
        <f t="shared" si="46"/>
        <v>0.15173175637397629</v>
      </c>
      <c r="U64" s="214">
        <f t="shared" si="46"/>
        <v>0.1533222053461154</v>
      </c>
      <c r="V64" s="214">
        <f t="shared" si="46"/>
        <v>0.13812266847290688</v>
      </c>
      <c r="W64" s="214">
        <f t="shared" si="46"/>
        <v>0.15588724823943434</v>
      </c>
      <c r="X64" s="214">
        <f t="shared" si="46"/>
        <v>0.18554166485136669</v>
      </c>
      <c r="Y64" s="214">
        <f t="shared" si="46"/>
        <v>0.13983380839095083</v>
      </c>
      <c r="Z64" s="214">
        <f t="shared" si="46"/>
        <v>0.14288563619077777</v>
      </c>
      <c r="AA64" s="214">
        <f t="shared" si="46"/>
        <v>0.15786650531411373</v>
      </c>
      <c r="AB64" s="214">
        <f t="shared" si="46"/>
        <v>0.17775303416152666</v>
      </c>
      <c r="AC64" s="214">
        <f t="shared" si="46"/>
        <v>0.15938577988311908</v>
      </c>
    </row>
    <row r="65" spans="1:29" ht="42.6" customHeight="1" x14ac:dyDescent="0.25">
      <c r="A65" s="281" t="s">
        <v>683</v>
      </c>
      <c r="B65" s="281"/>
      <c r="C65" s="281"/>
      <c r="D65" s="281"/>
      <c r="E65" s="281"/>
      <c r="F65" s="281"/>
      <c r="G65" s="281"/>
      <c r="H65" s="281"/>
      <c r="I65" s="281"/>
      <c r="J65" s="281"/>
      <c r="K65" s="281"/>
      <c r="L65" s="281"/>
      <c r="M65" s="281"/>
      <c r="N65" s="281"/>
      <c r="O65" s="281"/>
      <c r="P65" s="281"/>
      <c r="Q65" s="281"/>
      <c r="R65" s="281"/>
      <c r="S65" s="281"/>
      <c r="T65" s="281"/>
      <c r="U65" s="281"/>
      <c r="V65" s="281"/>
      <c r="W65" s="281"/>
      <c r="X65" s="281"/>
      <c r="Y65" s="281"/>
      <c r="Z65" s="281"/>
      <c r="AA65" s="281"/>
      <c r="AB65" s="281"/>
      <c r="AC65" s="281"/>
    </row>
    <row r="68" spans="1:29" ht="55.8" customHeight="1" x14ac:dyDescent="0.25">
      <c r="A68" s="279" t="s">
        <v>735</v>
      </c>
      <c r="B68" s="278"/>
      <c r="C68" s="278"/>
      <c r="D68" s="278"/>
      <c r="E68" s="278"/>
      <c r="F68" s="278"/>
      <c r="G68" s="278"/>
      <c r="H68" s="278"/>
      <c r="I68" s="278"/>
      <c r="J68" s="278"/>
      <c r="K68" s="278"/>
      <c r="L68" s="278"/>
      <c r="M68" s="278"/>
      <c r="N68" s="278"/>
      <c r="O68" s="278"/>
      <c r="P68" s="278"/>
      <c r="Q68" s="278"/>
      <c r="R68" s="278"/>
      <c r="S68" s="278"/>
      <c r="T68" s="278"/>
      <c r="U68" s="278"/>
      <c r="V68" s="278"/>
      <c r="W68" s="278"/>
      <c r="X68" s="278"/>
      <c r="Y68" s="278"/>
      <c r="Z68" s="278"/>
      <c r="AA68" s="278"/>
      <c r="AB68" s="278"/>
      <c r="AC68" s="278"/>
    </row>
    <row r="69" spans="1:29" x14ac:dyDescent="0.25">
      <c r="A69" s="286" t="s">
        <v>703</v>
      </c>
      <c r="B69" s="286"/>
      <c r="C69" s="286"/>
      <c r="D69" s="286"/>
      <c r="E69" s="286"/>
      <c r="F69" s="257"/>
      <c r="G69" s="257"/>
      <c r="H69" s="257"/>
      <c r="I69" s="257" t="s">
        <v>707</v>
      </c>
      <c r="J69" s="257"/>
      <c r="K69" s="257"/>
      <c r="L69" s="257"/>
      <c r="M69" s="257" t="s">
        <v>708</v>
      </c>
    </row>
    <row r="70" spans="1:29" ht="57.6" x14ac:dyDescent="0.25">
      <c r="A70" s="287" t="s">
        <v>704</v>
      </c>
      <c r="B70" s="65"/>
      <c r="C70" s="65"/>
      <c r="D70" s="65"/>
      <c r="E70" s="65" t="s">
        <v>705</v>
      </c>
      <c r="F70" s="65"/>
      <c r="G70" s="65"/>
      <c r="H70" s="65"/>
      <c r="I70" s="258" t="s">
        <v>709</v>
      </c>
      <c r="J70" s="259"/>
      <c r="K70" s="259"/>
      <c r="L70" s="259"/>
      <c r="M70" s="258" t="s">
        <v>710</v>
      </c>
    </row>
    <row r="71" spans="1:29" ht="54.6" customHeight="1" x14ac:dyDescent="0.25">
      <c r="A71" s="287"/>
      <c r="B71" s="65"/>
      <c r="C71" s="65"/>
      <c r="D71" s="65"/>
      <c r="E71" s="65" t="s">
        <v>706</v>
      </c>
      <c r="F71" s="65"/>
      <c r="G71" s="65"/>
      <c r="H71" s="65"/>
      <c r="I71" s="258" t="s">
        <v>711</v>
      </c>
      <c r="J71" s="259"/>
      <c r="K71" s="259"/>
      <c r="L71" s="259"/>
      <c r="M71" s="258" t="s">
        <v>712</v>
      </c>
    </row>
    <row r="72" spans="1:29" ht="57.6" x14ac:dyDescent="0.25">
      <c r="A72" s="287" t="s">
        <v>720</v>
      </c>
      <c r="B72" s="65"/>
      <c r="C72" s="65"/>
      <c r="D72" s="65"/>
      <c r="E72" s="65" t="s">
        <v>713</v>
      </c>
      <c r="F72" s="65"/>
      <c r="G72" s="65"/>
      <c r="H72" s="65"/>
      <c r="I72" s="258" t="s">
        <v>721</v>
      </c>
      <c r="J72" s="259"/>
      <c r="K72" s="259"/>
      <c r="L72" s="259"/>
      <c r="M72" s="258" t="s">
        <v>722</v>
      </c>
    </row>
    <row r="73" spans="1:29" ht="43.2" x14ac:dyDescent="0.25">
      <c r="A73" s="287"/>
      <c r="B73" s="65"/>
      <c r="C73" s="65"/>
      <c r="D73" s="65"/>
      <c r="E73" s="65" t="s">
        <v>714</v>
      </c>
      <c r="F73" s="65"/>
      <c r="G73" s="65"/>
      <c r="H73" s="65"/>
      <c r="I73" s="258" t="s">
        <v>723</v>
      </c>
      <c r="J73" s="259"/>
      <c r="K73" s="259"/>
      <c r="L73" s="259"/>
      <c r="M73" s="258" t="s">
        <v>724</v>
      </c>
    </row>
    <row r="74" spans="1:29" ht="72" x14ac:dyDescent="0.25">
      <c r="A74" s="287"/>
      <c r="B74" s="65"/>
      <c r="C74" s="65"/>
      <c r="D74" s="65"/>
      <c r="E74" s="65" t="s">
        <v>715</v>
      </c>
      <c r="F74" s="65"/>
      <c r="G74" s="65"/>
      <c r="H74" s="65"/>
      <c r="I74" s="258" t="s">
        <v>725</v>
      </c>
      <c r="J74" s="259"/>
      <c r="K74" s="259"/>
      <c r="L74" s="259"/>
      <c r="M74" s="258" t="s">
        <v>726</v>
      </c>
    </row>
    <row r="75" spans="1:29" ht="72" x14ac:dyDescent="0.25">
      <c r="A75" s="287"/>
      <c r="B75" s="65"/>
      <c r="C75" s="65"/>
      <c r="D75" s="65"/>
      <c r="E75" s="65" t="s">
        <v>716</v>
      </c>
      <c r="F75" s="65"/>
      <c r="G75" s="65"/>
      <c r="H75" s="65"/>
      <c r="I75" s="258" t="s">
        <v>727</v>
      </c>
      <c r="J75" s="259"/>
      <c r="K75" s="259"/>
      <c r="L75" s="259"/>
      <c r="M75" s="258" t="s">
        <v>728</v>
      </c>
    </row>
    <row r="76" spans="1:29" x14ac:dyDescent="0.25">
      <c r="A76" s="287"/>
      <c r="B76" s="65"/>
      <c r="C76" s="65"/>
      <c r="D76" s="65"/>
      <c r="E76" s="65" t="s">
        <v>717</v>
      </c>
      <c r="F76" s="65"/>
      <c r="G76" s="65"/>
      <c r="H76" s="65"/>
      <c r="I76" s="258" t="s">
        <v>729</v>
      </c>
      <c r="J76" s="259"/>
      <c r="K76" s="259"/>
      <c r="L76" s="259"/>
      <c r="M76" s="258" t="s">
        <v>730</v>
      </c>
    </row>
    <row r="77" spans="1:29" ht="57.6" x14ac:dyDescent="0.25">
      <c r="A77" s="287"/>
      <c r="B77" s="65"/>
      <c r="C77" s="65"/>
      <c r="D77" s="65"/>
      <c r="E77" s="65" t="s">
        <v>718</v>
      </c>
      <c r="F77" s="65"/>
      <c r="G77" s="65"/>
      <c r="H77" s="65"/>
      <c r="I77" s="258" t="s">
        <v>731</v>
      </c>
      <c r="J77" s="259"/>
      <c r="K77" s="259"/>
      <c r="L77" s="259"/>
      <c r="M77" s="258" t="s">
        <v>732</v>
      </c>
    </row>
    <row r="78" spans="1:29" ht="57.6" x14ac:dyDescent="0.25">
      <c r="A78" s="287"/>
      <c r="B78" s="65"/>
      <c r="C78" s="65"/>
      <c r="D78" s="65"/>
      <c r="E78" s="65" t="s">
        <v>719</v>
      </c>
      <c r="F78" s="65"/>
      <c r="G78" s="65"/>
      <c r="H78" s="65"/>
      <c r="I78" s="258" t="s">
        <v>733</v>
      </c>
      <c r="J78" s="259"/>
      <c r="K78" s="259"/>
      <c r="L78" s="259"/>
      <c r="M78" s="258" t="s">
        <v>734</v>
      </c>
    </row>
  </sheetData>
  <mergeCells count="10">
    <mergeCell ref="A65:AC65"/>
    <mergeCell ref="A69:E69"/>
    <mergeCell ref="A70:A71"/>
    <mergeCell ref="A72:A78"/>
    <mergeCell ref="A68:AC68"/>
    <mergeCell ref="A25:AG25"/>
    <mergeCell ref="A35:AG35"/>
    <mergeCell ref="A43:AG43"/>
    <mergeCell ref="A51:AG51"/>
    <mergeCell ref="A58:AC58"/>
  </mergeCells>
  <phoneticPr fontId="1" type="noConversion"/>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股东权益回报率分析表"/>
  <dimension ref="A1:CK102"/>
  <sheetViews>
    <sheetView workbookViewId="0">
      <selection activeCell="A15" sqref="A15:AG15"/>
    </sheetView>
  </sheetViews>
  <sheetFormatPr defaultRowHeight="14.4" x14ac:dyDescent="0.25"/>
  <cols>
    <col min="1" max="1" width="50.6640625" style="17" bestFit="1" customWidth="1"/>
    <col min="2" max="4" width="11.6640625" hidden="1" customWidth="1"/>
    <col min="5" max="5" width="19.33203125" bestFit="1" customWidth="1"/>
    <col min="6" max="7" width="20.44140625" hidden="1" customWidth="1"/>
    <col min="8" max="8" width="19.33203125" hidden="1" customWidth="1"/>
    <col min="9" max="9" width="19.33203125" bestFit="1" customWidth="1"/>
    <col min="10" max="12" width="19.33203125" hidden="1" customWidth="1"/>
    <col min="13" max="13" width="19.33203125" bestFit="1" customWidth="1"/>
    <col min="14" max="16" width="19.33203125" hidden="1" customWidth="1"/>
    <col min="17" max="17" width="19.33203125" bestFit="1" customWidth="1"/>
    <col min="18" max="20" width="19.33203125" hidden="1" customWidth="1"/>
    <col min="21" max="21" width="19.33203125" bestFit="1" customWidth="1"/>
    <col min="22" max="24" width="19.33203125" hidden="1" customWidth="1"/>
    <col min="25" max="25" width="19.33203125" bestFit="1" customWidth="1"/>
    <col min="26" max="28" width="19.33203125" hidden="1" customWidth="1"/>
    <col min="29" max="29" width="19.33203125" bestFit="1" customWidth="1"/>
    <col min="30" max="32" width="19.33203125" hidden="1" customWidth="1"/>
    <col min="33" max="33" width="19.33203125" bestFit="1" customWidth="1"/>
    <col min="34" max="36" width="19.33203125" hidden="1" customWidth="1"/>
    <col min="37" max="37" width="19.33203125" bestFit="1" customWidth="1"/>
    <col min="38" max="40" width="19.33203125" hidden="1" customWidth="1"/>
    <col min="41" max="41" width="19.33203125" bestFit="1" customWidth="1"/>
    <col min="42" max="42" width="17.21875" hidden="1" customWidth="1"/>
    <col min="43" max="43" width="17.21875" bestFit="1" customWidth="1"/>
    <col min="44" max="44" width="20.44140625" bestFit="1" customWidth="1"/>
    <col min="45" max="45" width="19.33203125" hidden="1" customWidth="1"/>
    <col min="46" max="51" width="20.44140625" bestFit="1" customWidth="1"/>
    <col min="52" max="78" width="19.33203125" bestFit="1" customWidth="1"/>
    <col min="79" max="81" width="18.33203125" bestFit="1" customWidth="1"/>
    <col min="82" max="82" width="9.33203125" bestFit="1" customWidth="1"/>
    <col min="83" max="84" width="19.33203125" bestFit="1" customWidth="1"/>
    <col min="85" max="87" width="17.21875" bestFit="1" customWidth="1"/>
    <col min="88" max="89" width="16.109375" bestFit="1" customWidth="1"/>
  </cols>
  <sheetData>
    <row r="1" spans="1:89" s="26" customFormat="1" x14ac:dyDescent="0.25">
      <c r="A1" s="17">
        <v>2293</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39447</v>
      </c>
      <c r="AR1" s="1">
        <v>39082</v>
      </c>
      <c r="AS1" s="1">
        <v>25569</v>
      </c>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s="26" customFormat="1" x14ac:dyDescent="0.25">
      <c r="A2" s="17" t="s">
        <v>424</v>
      </c>
      <c r="E2" s="26">
        <f>股权价值增加表!E42</f>
        <v>409116925.75999999</v>
      </c>
      <c r="F2" s="26">
        <f>股权价值增加表!F42</f>
        <v>310919933.17000008</v>
      </c>
      <c r="G2" s="26">
        <f>股权价值增加表!G42</f>
        <v>165566023.43999976</v>
      </c>
      <c r="H2" s="26">
        <f>股权价值增加表!H42</f>
        <v>125379847.31999998</v>
      </c>
      <c r="I2" s="26">
        <f>股权价值增加表!I42</f>
        <v>347033272.61999971</v>
      </c>
      <c r="J2" s="26">
        <f>股权价值增加表!J42</f>
        <v>271441166.31000006</v>
      </c>
      <c r="K2" s="26">
        <f>股权价值增加表!K42</f>
        <v>159643588.96000019</v>
      </c>
      <c r="L2" s="26">
        <f>股权价值增加表!L42</f>
        <v>113830763.40000001</v>
      </c>
      <c r="M2" s="26">
        <f>股权价值增加表!M42</f>
        <v>424447290.04999995</v>
      </c>
      <c r="N2" s="26">
        <f>股权价值增加表!N42</f>
        <v>332138634.56999999</v>
      </c>
      <c r="O2" s="26">
        <f>股权价值增加表!O42</f>
        <v>187205834.47999993</v>
      </c>
      <c r="P2" s="26">
        <f>股权价值增加表!P42</f>
        <v>118405557.65999994</v>
      </c>
      <c r="Q2" s="26">
        <f>股权价值增加表!Q42</f>
        <v>396850889.44000012</v>
      </c>
      <c r="R2" s="26">
        <f>股权价值增加表!R42</f>
        <v>276893539.67000008</v>
      </c>
      <c r="S2" s="26">
        <f>股权价值增加表!S42</f>
        <v>157607109.34999999</v>
      </c>
      <c r="T2" s="26">
        <f>股权价值增加表!T42</f>
        <v>98967715.520000026</v>
      </c>
      <c r="U2" s="26">
        <f>股权价值增加表!U42</f>
        <v>330567230.81</v>
      </c>
      <c r="V2" s="26">
        <f>股权价值增加表!V42</f>
        <v>236719062.20000002</v>
      </c>
      <c r="W2" s="26">
        <f>股权价值增加表!W42</f>
        <v>136742523.95999995</v>
      </c>
      <c r="X2" s="26">
        <f>股权价值增加表!X42</f>
        <v>85675411.339999914</v>
      </c>
      <c r="Y2" s="26">
        <f>股权价值增加表!Y42</f>
        <v>381078698.31000006</v>
      </c>
      <c r="Z2" s="26">
        <f>股权价值增加表!Z42</f>
        <v>253289668.10000014</v>
      </c>
      <c r="AA2" s="26">
        <f>股权价值增加表!AA42</f>
        <v>133778390.80000001</v>
      </c>
      <c r="AB2" s="26">
        <f>股权价值增加表!AB42</f>
        <v>106341388.36999996</v>
      </c>
      <c r="AC2" s="26">
        <f>股权价值增加表!AC42</f>
        <v>372076760.74000007</v>
      </c>
      <c r="AD2" s="26">
        <f>股权价值增加表!AD42</f>
        <v>279561185.24999988</v>
      </c>
      <c r="AE2" s="26">
        <f>股权价值增加表!AE42</f>
        <v>162127978.39000005</v>
      </c>
      <c r="AF2" s="26">
        <f>股权价值增加表!AF42</f>
        <v>88671221.550000027</v>
      </c>
      <c r="AG2" s="26">
        <f>股权价值增加表!AG42</f>
        <v>210741023.48000026</v>
      </c>
      <c r="AH2" s="26">
        <f>股权价值增加表!AH42</f>
        <v>144248245.18000013</v>
      </c>
      <c r="AI2" s="26">
        <f>股权价值增加表!AI42</f>
        <v>77337776.939999968</v>
      </c>
      <c r="AJ2" s="26">
        <f>股权价值增加表!AJ42</f>
        <v>50165119.959999979</v>
      </c>
      <c r="AK2" s="26">
        <f>股权价值增加表!AK42</f>
        <v>145440527.06999987</v>
      </c>
      <c r="AL2" s="26">
        <f>股权价值增加表!AL42</f>
        <v>101662169.32999998</v>
      </c>
      <c r="AM2" s="26">
        <f>股权价值增加表!AM42</f>
        <v>51051582.179999992</v>
      </c>
      <c r="AN2" s="26">
        <f>股权价值增加表!AN42</f>
        <v>33777696.210000038</v>
      </c>
      <c r="AO2" s="26">
        <f>股权价值增加表!AO42</f>
        <v>110229793.30999994</v>
      </c>
      <c r="AP2" s="26">
        <f>股权价值增加表!AP42</f>
        <v>84100158.340000093</v>
      </c>
      <c r="AQ2" s="26">
        <f>股权价值增加表!AQ42</f>
        <v>85138294.759999961</v>
      </c>
      <c r="AR2" s="26">
        <f>股权价值增加表!AR42</f>
        <v>49517218.419999912</v>
      </c>
      <c r="AS2" s="26">
        <f>股权价值增加表!AS42</f>
        <v>0</v>
      </c>
      <c r="AT2" s="26">
        <f>股权价值增加表!AT42</f>
        <v>-606675948.97000003</v>
      </c>
      <c r="AU2" s="26">
        <f>股权价值增加表!AU42</f>
        <v>-525244177.46999997</v>
      </c>
      <c r="AV2" s="26">
        <f>股权价值增加表!AV42</f>
        <v>-370504198.70999998</v>
      </c>
      <c r="AW2" s="26">
        <f>股权价值增加表!AW42</f>
        <v>-550836582.15999997</v>
      </c>
      <c r="AX2" s="26">
        <f>股权价值增加表!AX42</f>
        <v>-497364124.85000002</v>
      </c>
      <c r="AY2" s="26">
        <f>股权价值增加表!AY42</f>
        <v>-393993423.18000001</v>
      </c>
      <c r="AZ2" s="26">
        <f>股权价值增加表!AZ42</f>
        <v>-277925918.08999997</v>
      </c>
      <c r="BA2" s="26">
        <f>股权价值增加表!BA42</f>
        <v>-375599127.04999995</v>
      </c>
      <c r="BB2" s="26">
        <f>股权价值增加表!BB42</f>
        <v>-376909155.56</v>
      </c>
      <c r="BC2" s="26">
        <f>股权价值增加表!BC42</f>
        <v>-331126120.21999997</v>
      </c>
      <c r="BD2" s="26">
        <f>股权价值增加表!BD42</f>
        <v>-232460368.78999999</v>
      </c>
      <c r="BE2" s="26">
        <f>股权价值增加表!BE42</f>
        <v>-415071515.56999999</v>
      </c>
      <c r="BF2" s="26">
        <f>股权价值增加表!BF42</f>
        <v>-341885591.56999999</v>
      </c>
      <c r="BG2" s="26">
        <f>股权价值增加表!BG42</f>
        <v>-266868592.27000001</v>
      </c>
      <c r="BH2" s="26">
        <f>股权价值增加表!BH42</f>
        <v>-190592880.15000001</v>
      </c>
      <c r="BI2" s="26">
        <f>股权价值增加表!BI42</f>
        <v>-355643656.85000002</v>
      </c>
      <c r="BJ2" s="26">
        <f>股权价值增加表!BJ42</f>
        <v>-291496615.11000001</v>
      </c>
      <c r="BK2" s="26">
        <f>股权价值增加表!BK42</f>
        <v>-237870081.79999998</v>
      </c>
      <c r="BL2" s="26">
        <f>股权价值增加表!BL42</f>
        <v>-204685096.5</v>
      </c>
      <c r="BM2" s="26">
        <f>股权价值增加表!BM42</f>
        <v>-223212941.22</v>
      </c>
      <c r="BN2" s="26">
        <f>股权价值增加表!BN42</f>
        <v>-167173236.28999999</v>
      </c>
      <c r="BO2" s="26">
        <f>股权价值增加表!BO42</f>
        <v>-113551397.55</v>
      </c>
      <c r="BP2" s="26">
        <f>股权价值增加表!BP42</f>
        <v>-114049159.08</v>
      </c>
      <c r="BQ2" s="26">
        <f>股权价值增加表!BQ42</f>
        <v>-79004755.060000002</v>
      </c>
      <c r="BR2" s="26">
        <f>股权价值增加表!BR42</f>
        <v>-147870000</v>
      </c>
      <c r="BS2" s="26">
        <f>股权价值增加表!BS42</f>
        <v>-152979249.54999998</v>
      </c>
      <c r="BT2" s="26">
        <f>股权价值增加表!BT42</f>
        <v>-128012163.46000001</v>
      </c>
      <c r="BU2" s="26">
        <f>股权价值增加表!BU42</f>
        <v>-222157134.44</v>
      </c>
      <c r="BV2" s="26">
        <f>股权价值增加表!BV42</f>
        <v>-287911344.69999999</v>
      </c>
      <c r="BW2" s="26">
        <f>股权价值增加表!BW42</f>
        <v>-288342438.87</v>
      </c>
      <c r="BX2" s="26">
        <f>股权价值增加表!BX42</f>
        <v>-57060547.329999998</v>
      </c>
      <c r="BY2" s="26">
        <f>股权价值增加表!BY42</f>
        <v>-217786839.49000001</v>
      </c>
      <c r="BZ2" s="26">
        <f>股权价值增加表!BZ42</f>
        <v>-40798540.960000001</v>
      </c>
      <c r="CA2" s="26">
        <f>股权价值增加表!CA42</f>
        <v>-179937260.47</v>
      </c>
      <c r="CB2" s="26">
        <f>股权价值增加表!CB42</f>
        <v>-144282576.27000001</v>
      </c>
      <c r="CC2" s="26">
        <f>股权价值增加表!CC42</f>
        <v>-119252620.25</v>
      </c>
      <c r="CD2" s="26">
        <f>股权价值增加表!CD42</f>
        <v>0</v>
      </c>
      <c r="CE2" s="26">
        <f>股权价值增加表!CE42</f>
        <v>-20081000</v>
      </c>
      <c r="CF2" s="26">
        <f>股权价值增加表!CF42</f>
        <v>-14354563.84</v>
      </c>
      <c r="CG2" s="26">
        <f>股权价值增加表!CG42</f>
        <v>-4330000</v>
      </c>
      <c r="CH2" s="26">
        <f>股权价值增加表!CH42</f>
        <v>-4220000</v>
      </c>
      <c r="CI2" s="26">
        <f>股权价值增加表!CI42</f>
        <v>-12510000</v>
      </c>
      <c r="CJ2" s="26">
        <f>股权价值增加表!CJ42</f>
        <v>-3630000</v>
      </c>
      <c r="CK2" s="26">
        <f>股权价值增加表!CK42</f>
        <v>0</v>
      </c>
    </row>
    <row r="3" spans="1:89" s="26" customFormat="1" x14ac:dyDescent="0.25">
      <c r="A3" s="17" t="s">
        <v>429</v>
      </c>
      <c r="E3" s="26">
        <f>资产资本表!E107</f>
        <v>3152725257.1299996</v>
      </c>
      <c r="F3" s="26">
        <f>资产资本表!F107</f>
        <v>3043549912.8300004</v>
      </c>
      <c r="G3" s="26">
        <f>资产资本表!G107</f>
        <v>2904942506.0999999</v>
      </c>
      <c r="H3" s="26">
        <f>资产资本表!H107</f>
        <v>3006042763.3599997</v>
      </c>
      <c r="I3" s="26">
        <f>资产资本表!I107</f>
        <v>2880258171.6600003</v>
      </c>
      <c r="J3" s="26">
        <f>资产资本表!J107</f>
        <v>2810039902.6100001</v>
      </c>
      <c r="K3" s="26">
        <f>资产资本表!K107</f>
        <v>2676242325.2400002</v>
      </c>
      <c r="L3" s="26">
        <f>资产资本表!L107</f>
        <v>2770792599.6999998</v>
      </c>
      <c r="M3" s="26">
        <f>资产资本表!M107</f>
        <v>2655459613.3900003</v>
      </c>
      <c r="N3" s="26">
        <f>资产资本表!N107</f>
        <v>2546401388.6300001</v>
      </c>
      <c r="O3" s="26">
        <f>资产资本表!O107</f>
        <v>2398957888.52</v>
      </c>
      <c r="P3" s="26">
        <f>资产资本表!P107</f>
        <v>2605733811.6999998</v>
      </c>
      <c r="Q3" s="26">
        <f>资产资本表!Q107</f>
        <v>2487328254.04</v>
      </c>
      <c r="R3" s="26">
        <f>资产资本表!R107</f>
        <v>2304068739.1300001</v>
      </c>
      <c r="S3" s="26">
        <f>资产资本表!S107</f>
        <v>2184782308.8099999</v>
      </c>
      <c r="T3" s="26">
        <f>资产资本表!T107</f>
        <v>2224397084.98</v>
      </c>
      <c r="U3" s="26">
        <f>资产资本表!U107</f>
        <v>2125429369.46</v>
      </c>
      <c r="V3" s="26">
        <f>资产资本表!V107</f>
        <v>2030685494.9300001</v>
      </c>
      <c r="W3" s="26">
        <f>资产资本表!W107</f>
        <v>1930708956.6900001</v>
      </c>
      <c r="X3" s="26">
        <f>资产资本表!X107</f>
        <v>1977896014.0699999</v>
      </c>
      <c r="Y3" s="26">
        <f>资产资本表!Y107</f>
        <v>1892220602.73</v>
      </c>
      <c r="Z3" s="26">
        <f>资产资本表!Z107</f>
        <v>1763420146.3699999</v>
      </c>
      <c r="AA3" s="26">
        <f>资产资本表!AA107</f>
        <v>1643908869.0699999</v>
      </c>
      <c r="AB3" s="26">
        <f>资产资本表!AB107</f>
        <v>1756834966.6400001</v>
      </c>
      <c r="AC3" s="26">
        <f>资产资本表!AC107</f>
        <v>1650493578.27</v>
      </c>
      <c r="AD3" s="26">
        <f>资产资本表!AD107</f>
        <v>1556751168.1600001</v>
      </c>
      <c r="AE3" s="26">
        <f>资产资本表!AE107</f>
        <v>1439317961.3</v>
      </c>
      <c r="AF3" s="26">
        <f>资产资本表!AF107</f>
        <v>1533876742.3699999</v>
      </c>
      <c r="AG3" s="26">
        <f>资产资本表!AG107</f>
        <v>1476505584.9100001</v>
      </c>
      <c r="AH3" s="26">
        <f>资产资本表!AH107</f>
        <v>1378242583.3099999</v>
      </c>
      <c r="AI3" s="26">
        <f>资产资本表!AI107</f>
        <v>1311332115.0699999</v>
      </c>
      <c r="AJ3" s="26">
        <f>资产资本表!AJ107</f>
        <v>1382399929.6200001</v>
      </c>
      <c r="AK3" s="26">
        <f>资产资本表!AK107</f>
        <v>1332248508.1299999</v>
      </c>
      <c r="AL3" s="26">
        <f>资产资本表!AL107</f>
        <v>1288752066.0799999</v>
      </c>
      <c r="AM3" s="26">
        <f>资产资本表!AM107</f>
        <v>331008478.93000001</v>
      </c>
      <c r="AN3" s="26">
        <f>资产资本表!AN107</f>
        <v>301337851.48000002</v>
      </c>
      <c r="AO3" s="26">
        <f>资产资本表!AO107</f>
        <v>233287089.20999998</v>
      </c>
      <c r="AP3" s="26">
        <f>资产资本表!AP107</f>
        <v>127707873.51000001</v>
      </c>
      <c r="AQ3" s="26">
        <f>资产资本表!AQ107</f>
        <v>0</v>
      </c>
      <c r="AR3" s="26">
        <f>资产资本表!AR107</f>
        <v>10641944677.480001</v>
      </c>
      <c r="AS3" s="26">
        <f>资产资本表!AS107</f>
        <v>9626236984.1700001</v>
      </c>
      <c r="AT3" s="26">
        <f>资产资本表!AT107</f>
        <v>9485588152.4899998</v>
      </c>
      <c r="AU3" s="26">
        <f>资产资本表!AU107</f>
        <v>9304015150.3199997</v>
      </c>
      <c r="AV3" s="26">
        <f>资产资本表!AV107</f>
        <v>9051649388.7700005</v>
      </c>
      <c r="AW3" s="26">
        <f>资产资本表!AW107</f>
        <v>8295168514.6399994</v>
      </c>
      <c r="AX3" s="26">
        <f>资产资本表!AX107</f>
        <v>8139685182.96</v>
      </c>
      <c r="AY3" s="26">
        <f>资产资本表!AY107</f>
        <v>7938750364.1499996</v>
      </c>
      <c r="AZ3" s="26">
        <f>资产资本表!AZ107</f>
        <v>7934784508.5</v>
      </c>
      <c r="BA3" s="26">
        <f>资产资本表!BA107</f>
        <v>7385968978.54</v>
      </c>
      <c r="BB3" s="26">
        <f>资产资本表!BB107</f>
        <v>7360716151.5900002</v>
      </c>
      <c r="BC3" s="26">
        <f>资产资本表!BC107</f>
        <v>7179425965.6500006</v>
      </c>
      <c r="BD3" s="26">
        <f>资产资本表!BD107</f>
        <v>7003465589.3699999</v>
      </c>
      <c r="BE3" s="26">
        <f>资产资本表!BE107</f>
        <v>6586961901.7700005</v>
      </c>
      <c r="BF3" s="26">
        <f>资产资本表!BF107</f>
        <v>6433916281.1799994</v>
      </c>
      <c r="BG3" s="26">
        <f>资产资本表!BG107</f>
        <v>6292714866.6600008</v>
      </c>
      <c r="BH3" s="26">
        <f>资产资本表!BH107</f>
        <v>6409286809.8599997</v>
      </c>
      <c r="BI3" s="26">
        <f>资产资本表!BI107</f>
        <v>6025892686.6600008</v>
      </c>
      <c r="BJ3" s="26">
        <f>资产资本表!BJ107</f>
        <v>5870405150.8400002</v>
      </c>
      <c r="BK3" s="26">
        <f>资产资本表!BK107</f>
        <v>5711754634.1499996</v>
      </c>
      <c r="BL3" s="26">
        <f>资产资本表!BL107</f>
        <v>5611611741.0699997</v>
      </c>
      <c r="BM3" s="26">
        <f>资产资本表!BM107</f>
        <v>5322099955.71</v>
      </c>
      <c r="BN3" s="26">
        <f>资产资本表!BN107</f>
        <v>5214293132.5199995</v>
      </c>
      <c r="BO3" s="26">
        <f>资产资本表!BO107</f>
        <v>5075362101.0900002</v>
      </c>
      <c r="BP3" s="26">
        <f>资产资本表!BP107</f>
        <v>4954980669.5600004</v>
      </c>
      <c r="BQ3" s="26">
        <f>资产资本表!BQ107</f>
        <v>4702243132.8000002</v>
      </c>
      <c r="BR3" s="26">
        <f>资产资本表!BR107</f>
        <v>4561780000</v>
      </c>
      <c r="BS3" s="26">
        <f>资产资本表!BS107</f>
        <v>4385655821.6400003</v>
      </c>
      <c r="BT3" s="26">
        <f>资产资本表!BT107</f>
        <v>4238623191.5</v>
      </c>
      <c r="BU3" s="26">
        <f>资产资本表!BU107</f>
        <v>3191216198.9499998</v>
      </c>
      <c r="BV3" s="26">
        <f>资产资本表!BV107</f>
        <v>2850312166.9000001</v>
      </c>
      <c r="BW3" s="26">
        <f>资产资本表!BW107</f>
        <v>2420499366.4499998</v>
      </c>
      <c r="BX3" s="26">
        <f>资产资本表!BX107</f>
        <v>2089698452.7</v>
      </c>
      <c r="BY3" s="26">
        <f>资产资本表!BY107</f>
        <v>1764990217.6700001</v>
      </c>
      <c r="BZ3" s="26">
        <f>资产资本表!BZ107</f>
        <v>1864618529.46</v>
      </c>
      <c r="CA3" s="26">
        <f>资产资本表!CA107</f>
        <v>392384778.43000001</v>
      </c>
      <c r="CB3" s="26">
        <f>资产资本表!CB107</f>
        <v>264958379.21000001</v>
      </c>
      <c r="CC3" s="26">
        <f>资产资本表!CC107</f>
        <v>225967479.94999999</v>
      </c>
      <c r="CD3" s="26">
        <f>资产资本表!CD107</f>
        <v>0</v>
      </c>
      <c r="CE3" s="26">
        <f>资产资本表!CE107</f>
        <v>1079738000</v>
      </c>
      <c r="CF3" s="26">
        <f>资产资本表!CF107</f>
        <v>1004228352.76</v>
      </c>
      <c r="CG3" s="26">
        <f>资产资本表!CG107</f>
        <v>492689900.37</v>
      </c>
      <c r="CH3" s="26">
        <f>资产资本表!CH107</f>
        <v>203800000</v>
      </c>
      <c r="CI3" s="26">
        <f>资产资本表!CI107</f>
        <v>162870000</v>
      </c>
      <c r="CJ3" s="26">
        <f>资产资本表!CJ107</f>
        <v>92660000</v>
      </c>
      <c r="CK3" s="26">
        <f>资产资本表!CK107</f>
        <v>75420000</v>
      </c>
    </row>
    <row r="4" spans="1:89" s="59" customFormat="1" x14ac:dyDescent="0.25">
      <c r="A4" s="146" t="s">
        <v>430</v>
      </c>
      <c r="E4" s="59">
        <f>E2/E3</f>
        <v>0.12976612054436637</v>
      </c>
      <c r="F4" s="59">
        <f t="shared" ref="F4:BQ4" si="0">F2/F3</f>
        <v>0.1021570015524719</v>
      </c>
      <c r="G4" s="59">
        <f t="shared" si="0"/>
        <v>5.6994595621886746E-2</v>
      </c>
      <c r="H4" s="59">
        <f t="shared" si="0"/>
        <v>4.1709269358449458E-2</v>
      </c>
      <c r="I4" s="59">
        <f t="shared" si="0"/>
        <v>0.12048686330780947</v>
      </c>
      <c r="J4" s="59">
        <f t="shared" si="0"/>
        <v>9.6596908128557937E-2</v>
      </c>
      <c r="K4" s="59">
        <f t="shared" si="0"/>
        <v>5.9652142653294167E-2</v>
      </c>
      <c r="L4" s="59">
        <f t="shared" si="0"/>
        <v>4.1082383218550796E-2</v>
      </c>
      <c r="M4" s="59">
        <f t="shared" si="0"/>
        <v>0.15983948236672449</v>
      </c>
      <c r="N4" s="59">
        <f t="shared" si="0"/>
        <v>0.13043451674706133</v>
      </c>
      <c r="O4" s="59">
        <f t="shared" si="0"/>
        <v>7.8036315425067213E-2</v>
      </c>
      <c r="P4" s="59">
        <f t="shared" si="0"/>
        <v>4.5440388856431688E-2</v>
      </c>
      <c r="Q4" s="59">
        <f t="shared" si="0"/>
        <v>0.1595490618479575</v>
      </c>
      <c r="R4" s="59">
        <f t="shared" si="0"/>
        <v>0.12017590229298154</v>
      </c>
      <c r="S4" s="59">
        <f t="shared" si="0"/>
        <v>7.2138587315751804E-2</v>
      </c>
      <c r="T4" s="59">
        <f t="shared" si="0"/>
        <v>4.4491928256995474E-2</v>
      </c>
      <c r="U4" s="59">
        <f t="shared" si="0"/>
        <v>0.1555296240655534</v>
      </c>
      <c r="V4" s="59">
        <f t="shared" si="0"/>
        <v>0.11657101150868268</v>
      </c>
      <c r="W4" s="59">
        <f t="shared" si="0"/>
        <v>7.0825032165609675E-2</v>
      </c>
      <c r="X4" s="59">
        <f t="shared" si="0"/>
        <v>4.3316438645175287E-2</v>
      </c>
      <c r="Y4" s="59">
        <f t="shared" si="0"/>
        <v>0.20139232062065016</v>
      </c>
      <c r="Z4" s="59">
        <f t="shared" si="0"/>
        <v>0.14363546238336727</v>
      </c>
      <c r="AA4" s="59">
        <f t="shared" si="0"/>
        <v>8.1378228025305185E-2</v>
      </c>
      <c r="AB4" s="59">
        <f t="shared" si="0"/>
        <v>6.0530095535029721E-2</v>
      </c>
      <c r="AC4" s="59">
        <f t="shared" si="0"/>
        <v>0.22543363127168314</v>
      </c>
      <c r="AD4" s="59">
        <f t="shared" si="0"/>
        <v>0.17957987825403518</v>
      </c>
      <c r="AE4" s="59">
        <f t="shared" si="0"/>
        <v>0.11264222551879027</v>
      </c>
      <c r="AF4" s="59">
        <f t="shared" si="0"/>
        <v>5.7808570337270854E-2</v>
      </c>
      <c r="AG4" s="59">
        <f t="shared" si="0"/>
        <v>0.14272958100110802</v>
      </c>
      <c r="AH4" s="59">
        <f t="shared" si="0"/>
        <v>0.10466099867091047</v>
      </c>
      <c r="AI4" s="59">
        <f t="shared" si="0"/>
        <v>5.8976498822246579E-2</v>
      </c>
      <c r="AJ4" s="59">
        <f t="shared" si="0"/>
        <v>3.6288427744487498E-2</v>
      </c>
      <c r="AK4" s="59">
        <f t="shared" si="0"/>
        <v>0.10916921744138136</v>
      </c>
      <c r="AL4" s="59">
        <f t="shared" si="0"/>
        <v>7.8884195033126922E-2</v>
      </c>
      <c r="AM4" s="59">
        <f t="shared" si="0"/>
        <v>0.15423043646805229</v>
      </c>
      <c r="AN4" s="59">
        <f t="shared" si="0"/>
        <v>0.11209244389346781</v>
      </c>
      <c r="AO4" s="59">
        <f t="shared" si="0"/>
        <v>0.47250704564612006</v>
      </c>
      <c r="AP4" s="59">
        <f t="shared" si="0"/>
        <v>0.65853542172883128</v>
      </c>
      <c r="AQ4" s="59" t="e">
        <f t="shared" si="0"/>
        <v>#DIV/0!</v>
      </c>
      <c r="AR4" s="59">
        <f t="shared" si="0"/>
        <v>4.6530234765066944E-3</v>
      </c>
      <c r="AS4" s="59">
        <f t="shared" si="0"/>
        <v>0</v>
      </c>
      <c r="AT4" s="59">
        <f t="shared" si="0"/>
        <v>-6.3957652305486765E-2</v>
      </c>
      <c r="AU4" s="59">
        <f t="shared" si="0"/>
        <v>-5.6453495505317926E-2</v>
      </c>
      <c r="AV4" s="59">
        <f t="shared" si="0"/>
        <v>-4.0932230447377788E-2</v>
      </c>
      <c r="AW4" s="59">
        <f t="shared" si="0"/>
        <v>-6.6404507779177488E-2</v>
      </c>
      <c r="AX4" s="59">
        <f t="shared" si="0"/>
        <v>-6.1103607040135344E-2</v>
      </c>
      <c r="AY4" s="59">
        <f t="shared" si="0"/>
        <v>-4.9629148809012189E-2</v>
      </c>
      <c r="AZ4" s="59">
        <f t="shared" si="0"/>
        <v>-3.5026271701805722E-2</v>
      </c>
      <c r="BA4" s="59">
        <f t="shared" si="0"/>
        <v>-5.0853060463875034E-2</v>
      </c>
      <c r="BB4" s="59">
        <f t="shared" si="0"/>
        <v>-5.1205500633057732E-2</v>
      </c>
      <c r="BC4" s="59">
        <f t="shared" si="0"/>
        <v>-4.6121531415502376E-2</v>
      </c>
      <c r="BD4" s="59">
        <f t="shared" si="0"/>
        <v>-3.3192191183581021E-2</v>
      </c>
      <c r="BE4" s="59">
        <f t="shared" si="0"/>
        <v>-6.3014106011219678E-2</v>
      </c>
      <c r="BF4" s="59">
        <f t="shared" si="0"/>
        <v>-5.3138023037392887E-2</v>
      </c>
      <c r="BG4" s="59">
        <f t="shared" si="0"/>
        <v>-4.2409134677930588E-2</v>
      </c>
      <c r="BH4" s="59">
        <f t="shared" si="0"/>
        <v>-2.9736987250561689E-2</v>
      </c>
      <c r="BI4" s="59">
        <f t="shared" si="0"/>
        <v>-5.901924832437138E-2</v>
      </c>
      <c r="BJ4" s="59">
        <f t="shared" si="0"/>
        <v>-4.9655280618628096E-2</v>
      </c>
      <c r="BK4" s="59">
        <f t="shared" si="0"/>
        <v>-4.1645710825496417E-2</v>
      </c>
      <c r="BL4" s="59">
        <f t="shared" si="0"/>
        <v>-3.6475277682160433E-2</v>
      </c>
      <c r="BM4" s="59">
        <f t="shared" si="0"/>
        <v>-4.1940764562401395E-2</v>
      </c>
      <c r="BN4" s="59">
        <f t="shared" si="0"/>
        <v>-3.2060575046575363E-2</v>
      </c>
      <c r="BO4" s="59">
        <f t="shared" si="0"/>
        <v>-2.2373063298402562E-2</v>
      </c>
      <c r="BP4" s="59">
        <f t="shared" si="0"/>
        <v>-2.3017074472285983E-2</v>
      </c>
      <c r="BQ4" s="59">
        <f t="shared" si="0"/>
        <v>-1.6801503628961819E-2</v>
      </c>
      <c r="BR4" s="59">
        <f t="shared" ref="BR4:CJ4" si="1">BR2/BR3</f>
        <v>-3.24149783637089E-2</v>
      </c>
      <c r="BS4" s="59">
        <f t="shared" si="1"/>
        <v>-3.4881727105706604E-2</v>
      </c>
      <c r="BT4" s="59">
        <f t="shared" si="1"/>
        <v>-3.0201354939196182E-2</v>
      </c>
      <c r="BU4" s="59">
        <f t="shared" si="1"/>
        <v>-6.9615193891625377E-2</v>
      </c>
      <c r="BV4" s="59">
        <f t="shared" si="1"/>
        <v>-0.1010104605535654</v>
      </c>
      <c r="BW4" s="59">
        <f t="shared" si="1"/>
        <v>-0.11912518667290314</v>
      </c>
      <c r="BX4" s="59">
        <f t="shared" si="1"/>
        <v>-2.7305636971819917E-2</v>
      </c>
      <c r="BY4" s="59">
        <f t="shared" si="1"/>
        <v>-0.12339266093922316</v>
      </c>
      <c r="BZ4" s="59">
        <f t="shared" si="1"/>
        <v>-2.1880368727117284E-2</v>
      </c>
      <c r="CA4" s="59">
        <f t="shared" si="1"/>
        <v>-0.45857349816157594</v>
      </c>
      <c r="CB4" s="59">
        <f t="shared" si="1"/>
        <v>-0.54454807845742792</v>
      </c>
      <c r="CC4" s="59">
        <f t="shared" si="1"/>
        <v>-0.52774240026214003</v>
      </c>
      <c r="CD4" s="59" t="e">
        <f t="shared" si="1"/>
        <v>#DIV/0!</v>
      </c>
      <c r="CE4" s="59">
        <f t="shared" si="1"/>
        <v>-1.8598030262897112E-2</v>
      </c>
      <c r="CF4" s="59">
        <f t="shared" si="1"/>
        <v>-1.4294123244527224E-2</v>
      </c>
      <c r="CG4" s="59">
        <f t="shared" si="1"/>
        <v>-8.7884894672049466E-3</v>
      </c>
      <c r="CH4" s="59">
        <f t="shared" si="1"/>
        <v>-2.0706575073601571E-2</v>
      </c>
      <c r="CI4" s="59">
        <f t="shared" si="1"/>
        <v>-7.6809725547983057E-2</v>
      </c>
      <c r="CJ4" s="59">
        <f t="shared" si="1"/>
        <v>-3.9175480250377724E-2</v>
      </c>
    </row>
    <row r="5" spans="1:89" s="26" customFormat="1" x14ac:dyDescent="0.25">
      <c r="A5" s="20" t="s">
        <v>426</v>
      </c>
      <c r="E5" s="26">
        <f>股权价值增加表!E47</f>
        <v>156898905.18959999</v>
      </c>
      <c r="F5" s="26">
        <f>股权价值增加表!F47</f>
        <v>67435940.143600076</v>
      </c>
      <c r="G5" s="26">
        <f>股权价值增加表!G47</f>
        <v>-66829377.048000246</v>
      </c>
      <c r="H5" s="26">
        <f>股权价值增加表!H47</f>
        <v>-115103573.74880002</v>
      </c>
      <c r="I5" s="26">
        <f>股权价值增加表!I47</f>
        <v>116612618.8871997</v>
      </c>
      <c r="J5" s="26">
        <f>股权价值增加表!J47</f>
        <v>46637974.101200044</v>
      </c>
      <c r="K5" s="26">
        <f>股权价值增加表!K47</f>
        <v>-54455797.05919981</v>
      </c>
      <c r="L5" s="26">
        <f>股权价值增加表!L47</f>
        <v>-107832644.57599998</v>
      </c>
      <c r="M5" s="26">
        <f>股权价值增加表!M47</f>
        <v>212010520.97879997</v>
      </c>
      <c r="N5" s="26">
        <f>股权价值增加表!N47</f>
        <v>128426523.47959998</v>
      </c>
      <c r="O5" s="26">
        <f>股权价值增加表!O47</f>
        <v>-4710796.6016000807</v>
      </c>
      <c r="P5" s="26">
        <f>股权价值增加表!P47</f>
        <v>-90053147.276000053</v>
      </c>
      <c r="Q5" s="26">
        <f>股权价值增加表!Q47</f>
        <v>197864629.11680013</v>
      </c>
      <c r="R5" s="26">
        <f>股权价值增加表!R47</f>
        <v>92568040.539600074</v>
      </c>
      <c r="S5" s="26">
        <f>股权价值增加表!S47</f>
        <v>-17175475.354800016</v>
      </c>
      <c r="T5" s="26">
        <f>股权价值增加表!T47</f>
        <v>-78984051.278399989</v>
      </c>
      <c r="U5" s="26">
        <f>股权价值增加表!U47</f>
        <v>160532881.25319999</v>
      </c>
      <c r="V5" s="26">
        <f>股权价值增加表!V47</f>
        <v>74264222.605599999</v>
      </c>
      <c r="W5" s="26">
        <f>股权价值增加表!W47</f>
        <v>-17714192.575200051</v>
      </c>
      <c r="X5" s="26">
        <f>股权价值增加表!X47</f>
        <v>-72556269.785600096</v>
      </c>
      <c r="Y5" s="26">
        <f>股权价值增加表!Y47</f>
        <v>229701050.09160006</v>
      </c>
      <c r="Z5" s="26">
        <f>股权价值增加表!Z47</f>
        <v>112216056.39040014</v>
      </c>
      <c r="AA5" s="26">
        <f>股权价值增加表!AA47</f>
        <v>2265681.2744000107</v>
      </c>
      <c r="AB5" s="26">
        <f>股权价值增加表!AB47</f>
        <v>-34205408.961200044</v>
      </c>
      <c r="AC5" s="26">
        <f>股权价值增加表!AC47</f>
        <v>240037274.47840005</v>
      </c>
      <c r="AD5" s="26">
        <f>股权价值增加表!AD47</f>
        <v>155021091.79719988</v>
      </c>
      <c r="AE5" s="26">
        <f>股权价值增加表!AE47</f>
        <v>46982541.486000046</v>
      </c>
      <c r="AF5" s="26">
        <f>股权价值增加表!AF47</f>
        <v>-34038917.839599967</v>
      </c>
      <c r="AG5" s="26">
        <f>股权价值增加表!AG47</f>
        <v>92620576.687200248</v>
      </c>
      <c r="AH5" s="26">
        <f>股权价值增加表!AH47</f>
        <v>33988838.515200123</v>
      </c>
      <c r="AI5" s="26">
        <f>股权价值增加表!AI47</f>
        <v>-27568792.265600026</v>
      </c>
      <c r="AJ5" s="26">
        <f>股权价值增加表!AJ47</f>
        <v>-60426874.409600019</v>
      </c>
      <c r="AK5" s="26">
        <f>股权价值增加表!AK47</f>
        <v>38860646.419599861</v>
      </c>
      <c r="AL5" s="26">
        <f>股权价值增加表!AL47</f>
        <v>-1437995.956400007</v>
      </c>
      <c r="AM5" s="26">
        <f>股权价值增加表!AM47</f>
        <v>24570903.86559999</v>
      </c>
      <c r="AN5" s="26">
        <f>股权价值增加表!AN47</f>
        <v>9670668.0916000344</v>
      </c>
      <c r="AO5" s="26">
        <f>股权价值增加表!AO47</f>
        <v>91566826.173199937</v>
      </c>
      <c r="AP5" s="26">
        <f>股权价值增加表!AP47</f>
        <v>73883528.459200084</v>
      </c>
      <c r="AQ5" s="26">
        <f>股权价值增加表!AQ47</f>
        <v>85138294.759999961</v>
      </c>
      <c r="AR5" s="26">
        <f>股权价值增加表!AR47</f>
        <v>49517218.419999912</v>
      </c>
      <c r="AS5" s="26">
        <f>股权价值增加表!AS47</f>
        <v>0</v>
      </c>
      <c r="AT5" s="26">
        <f>股权价值增加表!AT47</f>
        <v>-1365523001.1691999</v>
      </c>
      <c r="AU5" s="26">
        <f>股权价值增加表!AU47</f>
        <v>-1269565389.4956</v>
      </c>
      <c r="AV5" s="26">
        <f>股权价值增加表!AV47</f>
        <v>-1094636149.8116</v>
      </c>
      <c r="AW5" s="26">
        <f>股权价值增加表!AW47</f>
        <v>-1214450063.3312001</v>
      </c>
      <c r="AX5" s="26">
        <f>股权价值增加表!AX47</f>
        <v>-1148538939.4868002</v>
      </c>
      <c r="AY5" s="26">
        <f>股权价值增加表!AY47</f>
        <v>-1029093452.312</v>
      </c>
      <c r="AZ5" s="26">
        <f>股权价值增加表!AZ47</f>
        <v>-912708678.76999998</v>
      </c>
      <c r="BA5" s="26">
        <f>股权价值增加表!BA47</f>
        <v>-966476645.33319998</v>
      </c>
      <c r="BB5" s="26">
        <f>股权价值增加表!BB47</f>
        <v>-965766447.68720007</v>
      </c>
      <c r="BC5" s="26">
        <f>股权价值增加表!BC47</f>
        <v>-905480197.47199988</v>
      </c>
      <c r="BD5" s="26">
        <f>股权价值增加表!BD47</f>
        <v>-792737615.93959999</v>
      </c>
      <c r="BE5" s="26">
        <f>股权价值增加表!BE47</f>
        <v>-942028467.71160007</v>
      </c>
      <c r="BF5" s="26">
        <f>股权价值增加表!BF47</f>
        <v>-856598894.06439996</v>
      </c>
      <c r="BG5" s="26">
        <f>股权价值增加表!BG47</f>
        <v>-770285781.60280001</v>
      </c>
      <c r="BH5" s="26">
        <f>股权价值增加表!BH47</f>
        <v>-703335824.93879998</v>
      </c>
      <c r="BI5" s="26">
        <f>股权价值增加表!BI47</f>
        <v>-837715071.78279996</v>
      </c>
      <c r="BJ5" s="26">
        <f>股权价值增加表!BJ47</f>
        <v>-761129027.17720008</v>
      </c>
      <c r="BK5" s="26">
        <f>股权价值增加表!BK47</f>
        <v>-694810452.53199995</v>
      </c>
      <c r="BL5" s="26">
        <f>股权价值增加表!BL47</f>
        <v>-653614035.78559995</v>
      </c>
      <c r="BM5" s="26">
        <f>股权价值增加表!BM47</f>
        <v>-648980937.67680001</v>
      </c>
      <c r="BN5" s="26">
        <f>股权价值增加表!BN47</f>
        <v>-584316686.89160001</v>
      </c>
      <c r="BO5" s="26">
        <f>股权价值增加表!BO47</f>
        <v>-519580365.63720006</v>
      </c>
      <c r="BP5" s="26">
        <f>股权价值增加表!BP47</f>
        <v>-510447612.64480001</v>
      </c>
      <c r="BQ5" s="26">
        <f>股权价值增加表!BQ47</f>
        <v>-455184205.68400002</v>
      </c>
      <c r="BR5" s="26">
        <f>股权价值增加表!BR47</f>
        <v>-147870000</v>
      </c>
      <c r="BS5" s="26">
        <f>股权价值增加表!BS47</f>
        <v>-503831715.28120005</v>
      </c>
      <c r="BT5" s="26">
        <f>股权价值增加表!BT47</f>
        <v>-467102018.77999997</v>
      </c>
      <c r="BU5" s="26">
        <f>股权价值增加表!BU47</f>
        <v>-477454430.35599995</v>
      </c>
      <c r="BV5" s="26">
        <f>股权价值增加表!BV47</f>
        <v>-515936318.05199999</v>
      </c>
      <c r="BW5" s="26">
        <f>股权价值增加表!BW47</f>
        <v>-481982388.18599999</v>
      </c>
      <c r="BX5" s="26">
        <f>股权价值增加表!BX47</f>
        <v>-224236423.546</v>
      </c>
      <c r="BY5" s="26">
        <f>股权价值增加表!BY47</f>
        <v>-358986056.90359998</v>
      </c>
      <c r="BZ5" s="26">
        <f>股权价值增加表!BZ47</f>
        <v>-189968023.31680003</v>
      </c>
      <c r="CA5" s="26">
        <f>股权价值增加表!CA47</f>
        <v>-211328042.74439999</v>
      </c>
      <c r="CB5" s="26">
        <f>股权价值增加表!CB47</f>
        <v>-165479246.60680002</v>
      </c>
      <c r="CC5" s="26">
        <f>股权价值增加表!CC47</f>
        <v>-137330018.646</v>
      </c>
      <c r="CD5" s="26">
        <f>股权价值增加表!CD47</f>
        <v>0</v>
      </c>
      <c r="CE5" s="26">
        <f>股权价值增加表!CE47</f>
        <v>-106460040</v>
      </c>
      <c r="CF5" s="26">
        <f>股权价值增加表!CF47</f>
        <v>-94692832.060800001</v>
      </c>
      <c r="CG5" s="26">
        <f>股权价值增加表!CG47</f>
        <v>-43745192.029600002</v>
      </c>
      <c r="CH5" s="26">
        <f>股权价值增加表!CH47</f>
        <v>-4220000</v>
      </c>
      <c r="CI5" s="26">
        <f>股权价值增加表!CI47</f>
        <v>-12510000</v>
      </c>
      <c r="CJ5" s="26">
        <f>股权价值增加表!CJ47</f>
        <v>-3630000</v>
      </c>
      <c r="CK5" s="26">
        <f>股权价值增加表!CK47</f>
        <v>0</v>
      </c>
    </row>
    <row r="6" spans="1:89" s="158" customFormat="1" x14ac:dyDescent="0.25">
      <c r="A6" s="158" t="s">
        <v>437</v>
      </c>
      <c r="E6" s="158">
        <f>股权价值增加表!E31/股权价值增加表!E4</f>
        <v>0.11548789743858551</v>
      </c>
      <c r="F6" s="158">
        <f>股权价值增加表!F31/股权价值增加表!F4</f>
        <v>0.13364858043541908</v>
      </c>
      <c r="G6" s="158">
        <f>股权价值增加表!G31/股权价值增加表!G4</f>
        <v>0.11738433870662425</v>
      </c>
      <c r="H6" s="158">
        <f>股权价值增加表!H31/股权价值增加表!H4</f>
        <v>0.13834684275621684</v>
      </c>
      <c r="I6" s="158">
        <f>股权价值增加表!I31/股权价值增加表!I4</f>
        <v>0.13691142497678241</v>
      </c>
      <c r="J6" s="158">
        <f>股权价值增加表!J31/股权价值增加表!J4</f>
        <v>0.15448136965877582</v>
      </c>
      <c r="K6" s="158">
        <f>股权价值增加表!K31/股权价值增加表!K4</f>
        <v>0.15007947332205959</v>
      </c>
      <c r="L6" s="158">
        <f>股权价值增加表!L31/股权价值增加表!L4</f>
        <v>0.17857891644584431</v>
      </c>
      <c r="M6" s="158">
        <f>股权价值增加表!M31/股权价值增加表!M4</f>
        <v>0.1767056900652649</v>
      </c>
      <c r="N6" s="158">
        <f>股权价值增加表!N31/股权价值增加表!N4</f>
        <v>0.18117107853799705</v>
      </c>
      <c r="O6" s="158">
        <f>股权价值增加表!O31/股权价值增加表!O4</f>
        <v>0.16793105081825721</v>
      </c>
      <c r="P6" s="158">
        <f>股权价值增加表!P31/股权价值增加表!P4</f>
        <v>0.19188129004541116</v>
      </c>
      <c r="Q6" s="158">
        <f>股权价值增加表!Q31/股权价值增加表!Q4</f>
        <v>0.16363673306029453</v>
      </c>
      <c r="R6" s="158">
        <f>股权价值增加表!R31/股权价值增加表!R4</f>
        <v>0.15918559130160692</v>
      </c>
      <c r="S6" s="158">
        <f>股权价值增加表!S31/股权价值增加表!S4</f>
        <v>0.15286090009843167</v>
      </c>
      <c r="T6" s="158">
        <f>股权价值增加表!T31/股权价值增加表!T4</f>
        <v>0.16546084627031665</v>
      </c>
      <c r="U6" s="158">
        <f>股权价值增加表!U31/股权价值增加表!U4</f>
        <v>0.15502846516518526</v>
      </c>
      <c r="V6" s="158">
        <f>股权价值增加表!V31/股权价值增加表!V4</f>
        <v>0.14979323540928197</v>
      </c>
      <c r="W6" s="158">
        <f>股权价值增加表!W31/股权价值增加表!W4</f>
        <v>0.13938030647624852</v>
      </c>
      <c r="X6" s="158">
        <f>股权价值增加表!X31/股权价值增加表!X4</f>
        <v>0.16119944850569162</v>
      </c>
      <c r="Y6" s="158">
        <f>股权价值增加表!Y31/股权价值增加表!Y4</f>
        <v>0.16295342989507589</v>
      </c>
      <c r="Z6" s="158">
        <f>股权价值增加表!Z31/股权价值增加表!Z4</f>
        <v>0.1511278812940986</v>
      </c>
      <c r="AA6" s="158">
        <f>股权价值增加表!AA31/股权价值增加表!AA4</f>
        <v>0.14127096750997389</v>
      </c>
      <c r="AB6" s="158">
        <f>股权价值增加表!AB31/股权价值增加表!AB4</f>
        <v>0.20332066927257439</v>
      </c>
      <c r="AC6" s="158">
        <f>股权价值增加表!AC31/股权价值增加表!AC4</f>
        <v>0.18630172282834179</v>
      </c>
      <c r="AD6" s="158">
        <f>股权价值增加表!AD31/股权价值增加表!AD4</f>
        <v>0.18978228061172001</v>
      </c>
      <c r="AE6" s="158">
        <f>股权价值增加表!AE31/股权价值增加表!AE4</f>
        <v>0.17949140438024375</v>
      </c>
      <c r="AF6" s="158">
        <f>股权价值增加表!AF31/股权价值增加表!AF4</f>
        <v>0.19314182921075071</v>
      </c>
      <c r="AG6" s="158">
        <f>股权价值增加表!AG31/股权价值增加表!AG4</f>
        <v>0.15552461432722967</v>
      </c>
      <c r="AH6" s="158">
        <f>股权价值增加表!AH31/股权价值增加表!AH4</f>
        <v>0.17560042709521137</v>
      </c>
      <c r="AI6" s="158">
        <f>股权价值增加表!AI31/股权价值增加表!AI4</f>
        <v>0.16607909636416637</v>
      </c>
      <c r="AJ6" s="158">
        <f>股权价值增加表!AJ31/股权价值增加表!AJ4</f>
        <v>0.18667113345001354</v>
      </c>
      <c r="AK6" s="158">
        <f>股权价值增加表!AK31/股权价值增加表!AK4</f>
        <v>0.17193287337498189</v>
      </c>
      <c r="AL6" s="158">
        <f>股权价值增加表!AL31/股权价值增加表!AL4</f>
        <v>0.18377155640166704</v>
      </c>
      <c r="AM6" s="158">
        <f>股权价值增加表!AM31/股权价值增加表!AM4</f>
        <v>0.16463435499440751</v>
      </c>
      <c r="AN6" s="158">
        <f>股权价值增加表!AN31/股权价值增加表!AN4</f>
        <v>0.17604163531376499</v>
      </c>
      <c r="AO6" s="158">
        <f>股权价值增加表!AO31/股权价值增加表!AO4</f>
        <v>0.15298074179507948</v>
      </c>
      <c r="AP6" s="158">
        <f>股权价值增加表!AP31/股权价值增加表!AP4</f>
        <v>0.16715900526545061</v>
      </c>
      <c r="AQ6" s="158">
        <f>股权价值增加表!AQ31/股权价值增加表!AQ4</f>
        <v>0.15041065267181283</v>
      </c>
      <c r="AR6" s="158">
        <f>股权价值增加表!AR31/股权价值增加表!AR4</f>
        <v>9.9588160369455947E-2</v>
      </c>
      <c r="AS6" s="158" t="e">
        <f>股权价值增加表!AS31/股权价值增加表!AS4</f>
        <v>#DIV/0!</v>
      </c>
      <c r="AT6" s="158" t="e">
        <f>股权价值增加表!AT31/股权价值增加表!AT4</f>
        <v>#DIV/0!</v>
      </c>
      <c r="AU6" s="158" t="e">
        <f>股权价值增加表!AU31/股权价值增加表!AU4</f>
        <v>#DIV/0!</v>
      </c>
      <c r="AV6" s="158" t="e">
        <f>股权价值增加表!AV31/股权价值增加表!AV4</f>
        <v>#DIV/0!</v>
      </c>
      <c r="AW6" s="158" t="e">
        <f>股权价值增加表!AW31/股权价值增加表!AW4</f>
        <v>#DIV/0!</v>
      </c>
      <c r="AX6" s="158" t="e">
        <f>股权价值增加表!AX31/股权价值增加表!AX4</f>
        <v>#DIV/0!</v>
      </c>
      <c r="AY6" s="158" t="e">
        <f>股权价值增加表!AY31/股权价值增加表!AY4</f>
        <v>#DIV/0!</v>
      </c>
      <c r="AZ6" s="158" t="e">
        <f>股权价值增加表!AZ31/股权价值增加表!AZ4</f>
        <v>#DIV/0!</v>
      </c>
      <c r="BA6" s="158" t="e">
        <f>股权价值增加表!BA31/股权价值增加表!BA4</f>
        <v>#DIV/0!</v>
      </c>
      <c r="BB6" s="158" t="e">
        <f>股权价值增加表!BB31/股权价值增加表!BB4</f>
        <v>#DIV/0!</v>
      </c>
      <c r="BC6" s="158" t="e">
        <f>股权价值增加表!BC31/股权价值增加表!BC4</f>
        <v>#DIV/0!</v>
      </c>
      <c r="BD6" s="158" t="e">
        <f>股权价值增加表!BD31/股权价值增加表!BD4</f>
        <v>#DIV/0!</v>
      </c>
      <c r="BE6" s="158" t="e">
        <f>股权价值增加表!BE31/股权价值增加表!BE4</f>
        <v>#DIV/0!</v>
      </c>
      <c r="BF6" s="158" t="e">
        <f>股权价值增加表!BF31/股权价值增加表!BF4</f>
        <v>#DIV/0!</v>
      </c>
      <c r="BG6" s="158" t="e">
        <f>股权价值增加表!BG31/股权价值增加表!BG4</f>
        <v>#DIV/0!</v>
      </c>
      <c r="BH6" s="158" t="e">
        <f>股权价值增加表!BH31/股权价值增加表!BH4</f>
        <v>#DIV/0!</v>
      </c>
      <c r="BI6" s="158" t="e">
        <f>股权价值增加表!BI31/股权价值增加表!BI4</f>
        <v>#DIV/0!</v>
      </c>
      <c r="BJ6" s="158" t="e">
        <f>股权价值增加表!BJ31/股权价值增加表!BJ4</f>
        <v>#DIV/0!</v>
      </c>
      <c r="BK6" s="158" t="e">
        <f>股权价值增加表!BK31/股权价值增加表!BK4</f>
        <v>#DIV/0!</v>
      </c>
      <c r="BL6" s="158" t="e">
        <f>股权价值增加表!BL31/股权价值增加表!BL4</f>
        <v>#DIV/0!</v>
      </c>
      <c r="BM6" s="158" t="e">
        <f>股权价值增加表!BM31/股权价值增加表!BM4</f>
        <v>#DIV/0!</v>
      </c>
      <c r="BN6" s="158" t="e">
        <f>股权价值增加表!BN31/股权价值增加表!BN4</f>
        <v>#DIV/0!</v>
      </c>
      <c r="BO6" s="158" t="e">
        <f>股权价值增加表!BO31/股权价值增加表!BO4</f>
        <v>#DIV/0!</v>
      </c>
      <c r="BP6" s="158" t="e">
        <f>股权价值增加表!BP31/股权价值增加表!BP4</f>
        <v>#DIV/0!</v>
      </c>
      <c r="BQ6" s="158" t="e">
        <f>股权价值增加表!BQ31/股权价值增加表!BQ4</f>
        <v>#DIV/0!</v>
      </c>
      <c r="BR6" s="158" t="e">
        <f>股权价值增加表!BR31/股权价值增加表!BR4</f>
        <v>#DIV/0!</v>
      </c>
      <c r="BS6" s="158" t="e">
        <f>股权价值增加表!BS31/股权价值增加表!BS4</f>
        <v>#DIV/0!</v>
      </c>
      <c r="BT6" s="158" t="e">
        <f>股权价值增加表!BT31/股权价值增加表!BT4</f>
        <v>#DIV/0!</v>
      </c>
      <c r="BU6" s="158" t="e">
        <f>股权价值增加表!BU31/股权价值增加表!BU4</f>
        <v>#DIV/0!</v>
      </c>
      <c r="BV6" s="158" t="e">
        <f>股权价值增加表!BV31/股权价值增加表!BV4</f>
        <v>#DIV/0!</v>
      </c>
      <c r="BW6" s="158" t="e">
        <f>股权价值增加表!BW31/股权价值增加表!BW4</f>
        <v>#DIV/0!</v>
      </c>
      <c r="BX6" s="158" t="e">
        <f>股权价值增加表!BX31/股权价值增加表!BX4</f>
        <v>#DIV/0!</v>
      </c>
      <c r="BY6" s="158" t="e">
        <f>股权价值增加表!BY31/股权价值增加表!BY4</f>
        <v>#DIV/0!</v>
      </c>
      <c r="BZ6" s="158" t="e">
        <f>股权价值增加表!BZ31/股权价值增加表!BZ4</f>
        <v>#DIV/0!</v>
      </c>
      <c r="CA6" s="158" t="e">
        <f>股权价值增加表!CA31/股权价值增加表!CA4</f>
        <v>#DIV/0!</v>
      </c>
      <c r="CB6" s="158" t="e">
        <f>股权价值增加表!CB31/股权价值增加表!CB4</f>
        <v>#DIV/0!</v>
      </c>
      <c r="CC6" s="158" t="e">
        <f>股权价值增加表!CC31/股权价值增加表!CC4</f>
        <v>#DIV/0!</v>
      </c>
      <c r="CD6" s="158" t="e">
        <f>股权价值增加表!CD31/股权价值增加表!CD4</f>
        <v>#DIV/0!</v>
      </c>
      <c r="CE6" s="158" t="e">
        <f>股权价值增加表!CE31/股权价值增加表!CE4</f>
        <v>#DIV/0!</v>
      </c>
      <c r="CF6" s="158" t="e">
        <f>股权价值增加表!CF31/股权价值增加表!CF4</f>
        <v>#DIV/0!</v>
      </c>
      <c r="CG6" s="158" t="e">
        <f>股权价值增加表!CG31/股权价值增加表!CG4</f>
        <v>#DIV/0!</v>
      </c>
      <c r="CH6" s="158" t="e">
        <f>股权价值增加表!CH31/股权价值增加表!CH4</f>
        <v>#DIV/0!</v>
      </c>
      <c r="CI6" s="158" t="e">
        <f>股权价值增加表!CI31/股权价值增加表!CI4</f>
        <v>#DIV/0!</v>
      </c>
      <c r="CJ6" s="158" t="e">
        <f>股权价值增加表!CJ31/股权价值增加表!CJ4</f>
        <v>#DIV/0!</v>
      </c>
    </row>
    <row r="7" spans="1:89" s="61" customFormat="1" x14ac:dyDescent="0.25">
      <c r="A7" s="243" t="s">
        <v>431</v>
      </c>
      <c r="E7" s="61">
        <f>股权价值增加表!E4/资产资本表!E70</f>
        <v>1.3647201572749028</v>
      </c>
      <c r="F7" s="61">
        <f>股权价值增加表!F4/资产资本表!F70</f>
        <v>0.91739843303102453</v>
      </c>
      <c r="G7" s="61">
        <f>股权价值增加表!G4/资产资本表!G70</f>
        <v>0.59428897003148862</v>
      </c>
      <c r="H7" s="61">
        <f>股权价值增加表!H4/资产资本表!H70</f>
        <v>0.29770225768693725</v>
      </c>
      <c r="I7" s="61">
        <f>股权价值增加表!I4/资产资本表!I70</f>
        <v>0.93285111508999929</v>
      </c>
      <c r="J7" s="61">
        <f>股权价值增加表!J4/资产资本表!J70</f>
        <v>0.6857061867338754</v>
      </c>
      <c r="K7" s="61">
        <f>股权价值增加表!K4/资产资本表!K70</f>
        <v>0.45318072248464564</v>
      </c>
      <c r="L7" s="61">
        <f>股权价值增加表!L4/资产资本表!L70</f>
        <v>0.26474089018208874</v>
      </c>
      <c r="M7" s="61">
        <f>股权价值增加表!M4/资产资本表!M70</f>
        <v>1.0525215192972486</v>
      </c>
      <c r="N7" s="61">
        <f>股权价值增加表!N4/资产资本表!N70</f>
        <v>0.80352398296516314</v>
      </c>
      <c r="O7" s="61">
        <f>股权价值增加表!O4/资产资本表!O70</f>
        <v>0.52020103479289936</v>
      </c>
      <c r="P7" s="61">
        <f>股权价值增加表!P4/资产资本表!P70</f>
        <v>0.27043196326055757</v>
      </c>
      <c r="Q7" s="61">
        <f>股权价值增加表!Q4/资产资本表!Q70</f>
        <v>1.107699180477099</v>
      </c>
      <c r="R7" s="61">
        <f>股权价值增加表!R4/资产资本表!R70</f>
        <v>0.81438317606313781</v>
      </c>
      <c r="S7" s="61">
        <f>股权价值增加表!S4/资产资本表!S70</f>
        <v>0.50737777547231433</v>
      </c>
      <c r="T7" s="61">
        <f>股权价值增加表!T4/资产资本表!T70</f>
        <v>0.29479934961932625</v>
      </c>
      <c r="U7" s="61">
        <f>股权价值增加表!U4/资产资本表!U70</f>
        <v>1.1832380971325658</v>
      </c>
      <c r="V7" s="61">
        <f>股权价值增加表!V4/资产资本表!V70</f>
        <v>0.84830810386981259</v>
      </c>
      <c r="W7" s="61">
        <f>股权价值增加表!W4/资产资本表!W70</f>
        <v>0.55838210417702971</v>
      </c>
      <c r="X7" s="61">
        <f>股权价值增加表!X4/资产资本表!X70</f>
        <v>0.31111401872627564</v>
      </c>
      <c r="Y7" s="61">
        <f>股权价值增加表!Y4/资产资本表!Y70</f>
        <v>1.4400825449625561</v>
      </c>
      <c r="Z7" s="61">
        <f>股权价值增加表!Z4/资产资本表!Z70</f>
        <v>1.0478057605633775</v>
      </c>
      <c r="AA7" s="61">
        <f>股权价值增加表!AA4/资产资本表!AA70</f>
        <v>0.63050338869840639</v>
      </c>
      <c r="AB7" s="61">
        <f>股权价值增加表!AB4/资产资本表!AB70</f>
        <v>0.34967445239031536</v>
      </c>
      <c r="AC7" s="61">
        <f>股权价值增加表!AC4/资产资本表!AC70</f>
        <v>1.4434680751543425</v>
      </c>
      <c r="AD7" s="61">
        <f>股权价值增加表!AD4/资产资本表!AD70</f>
        <v>1.0495555233988887</v>
      </c>
      <c r="AE7" s="61">
        <f>股权价值增加表!AE4/资产资本表!AE70</f>
        <v>0.69702885321729913</v>
      </c>
      <c r="AF7" s="61">
        <f>股权价值增加表!AF4/资产资本表!AF70</f>
        <v>0.38018038688621913</v>
      </c>
      <c r="AG7" s="61">
        <f>股权价值增加表!AG4/资产资本表!AG70</f>
        <v>1.2318372776428512</v>
      </c>
      <c r="AH7" s="61">
        <f>股权价值增加表!AH4/资产资本表!AH70</f>
        <v>0.83125369821947481</v>
      </c>
      <c r="AI7" s="61">
        <f>股权价值增加表!AI4/资产资本表!AI70</f>
        <v>0.50470001359241556</v>
      </c>
      <c r="AJ7" s="61">
        <f>股权价值增加表!AJ4/资产资本表!AJ70</f>
        <v>0.25993623802395288</v>
      </c>
      <c r="AK7" s="61">
        <f>股权价值增加表!AK4/资产资本表!AK70</f>
        <v>0.85967951425038602</v>
      </c>
      <c r="AL7" s="61">
        <f>股权价值增加表!AL4/资产资本表!AL70</f>
        <v>0.56171748123898846</v>
      </c>
      <c r="AM7" s="61">
        <f>股权价值增加表!AM4/资产资本表!AM70</f>
        <v>1.2312993894521684</v>
      </c>
      <c r="AN7" s="61">
        <f>股权价值增加表!AN4/资产资本表!AN70</f>
        <v>0.84686348255501942</v>
      </c>
      <c r="AO7" s="61">
        <f>股权价值增加表!AO4/资产资本表!AO70</f>
        <v>3.7880571865499042</v>
      </c>
      <c r="AP7" s="61">
        <f>股权价值增加表!AP4/资产资本表!AP70</f>
        <v>4.0632259363501548</v>
      </c>
      <c r="AQ7" s="61" t="e">
        <f>股权价值增加表!AQ4/资产资本表!AQ70</f>
        <v>#DIV/0!</v>
      </c>
      <c r="AR7" s="61" t="e">
        <f>股权价值增加表!AR4/资产资本表!AR70</f>
        <v>#DIV/0!</v>
      </c>
      <c r="AS7" s="61" t="e">
        <f>股权价值增加表!AS4/资产资本表!AS70</f>
        <v>#DIV/0!</v>
      </c>
      <c r="AT7" s="61" t="e">
        <f>股权价值增加表!AT4/资产资本表!AT70</f>
        <v>#DIV/0!</v>
      </c>
      <c r="AU7" s="61" t="e">
        <f>股权价值增加表!AU4/资产资本表!AU70</f>
        <v>#DIV/0!</v>
      </c>
      <c r="AV7" s="61" t="e">
        <f>股权价值增加表!AV4/资产资本表!AV70</f>
        <v>#DIV/0!</v>
      </c>
      <c r="AW7" s="61" t="e">
        <f>股权价值增加表!AW4/资产资本表!AW70</f>
        <v>#DIV/0!</v>
      </c>
      <c r="AX7" s="61" t="e">
        <f>股权价值增加表!AX4/资产资本表!AX70</f>
        <v>#DIV/0!</v>
      </c>
      <c r="AY7" s="61" t="e">
        <f>股权价值增加表!AY4/资产资本表!AY70</f>
        <v>#DIV/0!</v>
      </c>
      <c r="AZ7" s="61" t="e">
        <f>股权价值增加表!AZ4/资产资本表!AZ70</f>
        <v>#DIV/0!</v>
      </c>
      <c r="BA7" s="61" t="e">
        <f>股权价值增加表!BA4/资产资本表!BA70</f>
        <v>#DIV/0!</v>
      </c>
      <c r="BB7" s="61" t="e">
        <f>股权价值增加表!BB4/资产资本表!BB70</f>
        <v>#DIV/0!</v>
      </c>
      <c r="BC7" s="61" t="e">
        <f>股权价值增加表!BC4/资产资本表!BC70</f>
        <v>#DIV/0!</v>
      </c>
      <c r="BD7" s="61" t="e">
        <f>股权价值增加表!BD4/资产资本表!BD70</f>
        <v>#DIV/0!</v>
      </c>
      <c r="BE7" s="61" t="e">
        <f>股权价值增加表!BE4/资产资本表!BE70</f>
        <v>#DIV/0!</v>
      </c>
      <c r="BF7" s="61" t="e">
        <f>股权价值增加表!BF4/资产资本表!BF70</f>
        <v>#DIV/0!</v>
      </c>
      <c r="BG7" s="61" t="e">
        <f>股权价值增加表!BG4/资产资本表!BG70</f>
        <v>#DIV/0!</v>
      </c>
      <c r="BH7" s="61" t="e">
        <f>股权价值增加表!BH4/资产资本表!BH70</f>
        <v>#DIV/0!</v>
      </c>
      <c r="BI7" s="61" t="e">
        <f>股权价值增加表!BI4/资产资本表!BI70</f>
        <v>#DIV/0!</v>
      </c>
      <c r="BJ7" s="61" t="e">
        <f>股权价值增加表!BJ4/资产资本表!BJ70</f>
        <v>#DIV/0!</v>
      </c>
      <c r="BK7" s="61" t="e">
        <f>股权价值增加表!BK4/资产资本表!BK70</f>
        <v>#DIV/0!</v>
      </c>
      <c r="BL7" s="61" t="e">
        <f>股权价值增加表!BL4/资产资本表!BL70</f>
        <v>#DIV/0!</v>
      </c>
      <c r="BM7" s="61" t="e">
        <f>股权价值增加表!BM4/资产资本表!BM70</f>
        <v>#DIV/0!</v>
      </c>
      <c r="BN7" s="61" t="e">
        <f>股权价值增加表!BN4/资产资本表!BN70</f>
        <v>#DIV/0!</v>
      </c>
      <c r="BO7" s="61" t="e">
        <f>股权价值增加表!BO4/资产资本表!BO70</f>
        <v>#DIV/0!</v>
      </c>
      <c r="BP7" s="61" t="e">
        <f>股权价值增加表!BP4/资产资本表!BP70</f>
        <v>#DIV/0!</v>
      </c>
      <c r="BQ7" s="61" t="e">
        <f>股权价值增加表!BQ4/资产资本表!BQ70</f>
        <v>#DIV/0!</v>
      </c>
      <c r="BR7" s="61" t="e">
        <f>股权价值增加表!BR4/资产资本表!BR70</f>
        <v>#DIV/0!</v>
      </c>
      <c r="BS7" s="61" t="e">
        <f>股权价值增加表!BS4/资产资本表!BS70</f>
        <v>#DIV/0!</v>
      </c>
      <c r="BT7" s="61" t="e">
        <f>股权价值增加表!BT4/资产资本表!BT70</f>
        <v>#DIV/0!</v>
      </c>
      <c r="BU7" s="61" t="e">
        <f>股权价值增加表!BU4/资产资本表!BU70</f>
        <v>#DIV/0!</v>
      </c>
      <c r="BV7" s="61" t="e">
        <f>股权价值增加表!BV4/资产资本表!BV70</f>
        <v>#DIV/0!</v>
      </c>
      <c r="BW7" s="61" t="e">
        <f>股权价值增加表!BW4/资产资本表!BW70</f>
        <v>#DIV/0!</v>
      </c>
      <c r="BX7" s="61" t="e">
        <f>股权价值增加表!BX4/资产资本表!BX70</f>
        <v>#DIV/0!</v>
      </c>
      <c r="BY7" s="61" t="e">
        <f>股权价值增加表!BY4/资产资本表!BY70</f>
        <v>#DIV/0!</v>
      </c>
      <c r="BZ7" s="61" t="e">
        <f>股权价值增加表!BZ4/资产资本表!BZ70</f>
        <v>#DIV/0!</v>
      </c>
      <c r="CA7" s="61" t="e">
        <f>股权价值增加表!CA4/资产资本表!CA70</f>
        <v>#DIV/0!</v>
      </c>
      <c r="CB7" s="61" t="e">
        <f>股权价值增加表!CB4/资产资本表!CB70</f>
        <v>#DIV/0!</v>
      </c>
      <c r="CC7" s="61" t="e">
        <f>股权价值增加表!CC4/资产资本表!CC70</f>
        <v>#DIV/0!</v>
      </c>
      <c r="CD7" s="61" t="e">
        <f>股权价值增加表!CD4/资产资本表!CD70</f>
        <v>#DIV/0!</v>
      </c>
      <c r="CE7" s="61" t="e">
        <f>股权价值增加表!CE4/资产资本表!CE70</f>
        <v>#DIV/0!</v>
      </c>
      <c r="CF7" s="61" t="e">
        <f>股权价值增加表!CF4/资产资本表!CF70</f>
        <v>#DIV/0!</v>
      </c>
      <c r="CG7" s="61" t="e">
        <f>股权价值增加表!CG4/资产资本表!CG70</f>
        <v>#DIV/0!</v>
      </c>
      <c r="CH7" s="61" t="e">
        <f>股权价值增加表!CH4/资产资本表!CH70</f>
        <v>#DIV/0!</v>
      </c>
      <c r="CI7" s="61" t="e">
        <f>股权价值增加表!CI4/资产资本表!CI70</f>
        <v>#DIV/0!</v>
      </c>
      <c r="CJ7" s="61" t="e">
        <f>股权价值增加表!CJ4/资产资本表!CJ70</f>
        <v>#DIV/0!</v>
      </c>
    </row>
    <row r="8" spans="1:89" s="63" customFormat="1" x14ac:dyDescent="0.25">
      <c r="A8" s="20" t="s">
        <v>438</v>
      </c>
      <c r="E8" s="63">
        <f>股权价值增加表!E31/资产资本表!E70</f>
        <v>0.15760866155573425</v>
      </c>
      <c r="F8" s="63">
        <f>股权价值增加表!F31/资产资本表!F70</f>
        <v>0.12260899826827432</v>
      </c>
      <c r="G8" s="63">
        <f>股权价值增加表!G31/资产资本表!G70</f>
        <v>6.9760217747787137E-2</v>
      </c>
      <c r="H8" s="63">
        <f>股权价值增加表!H31/资产资本表!H70</f>
        <v>4.118616743238545E-2</v>
      </c>
      <c r="I8" s="63">
        <f>股权价值增加表!I31/资产资本表!I70</f>
        <v>0.12771797545815225</v>
      </c>
      <c r="J8" s="63">
        <f>股权价值增加表!J31/资产资本表!J70</f>
        <v>0.10592883091014535</v>
      </c>
      <c r="K8" s="63">
        <f>股权价值增加表!K31/资产资本表!K70</f>
        <v>6.8013124150206064E-2</v>
      </c>
      <c r="L8" s="63">
        <f>股权价值增加表!L31/资产资本表!L70</f>
        <v>4.7277141307625677E-2</v>
      </c>
      <c r="M8" s="63">
        <f>股权价值增加表!M31/资产资本表!M70</f>
        <v>0.18598654137596132</v>
      </c>
      <c r="N8" s="63">
        <f>股权价值增加表!N31/资产资本表!N70</f>
        <v>0.14557530662494578</v>
      </c>
      <c r="O8" s="63">
        <f>股权价值增加表!O31/资产资本表!O70</f>
        <v>8.7357906409516364E-2</v>
      </c>
      <c r="P8" s="63">
        <f>股权价值增加表!P31/资产资本表!P70</f>
        <v>5.1890833979949022E-2</v>
      </c>
      <c r="Q8" s="63">
        <f>股权价值增加表!Q31/资产资本表!Q70</f>
        <v>0.18126027510683804</v>
      </c>
      <c r="R8" s="63">
        <f>股权价值增加表!R31/资产资本表!R70</f>
        <v>0.12963806742769124</v>
      </c>
      <c r="S8" s="63">
        <f>股权价值增加表!S31/资产资本表!S70</f>
        <v>7.7558223448637942E-2</v>
      </c>
      <c r="T8" s="63">
        <f>股权价值增加表!T31/资产资本表!T70</f>
        <v>4.8777749867952677E-2</v>
      </c>
      <c r="U8" s="63">
        <f>股权价值增加表!U31/资产资本表!U70</f>
        <v>0.18343558612343605</v>
      </c>
      <c r="V8" s="63">
        <f>股权价值增加表!V31/资产资本表!V70</f>
        <v>0.12707081550257246</v>
      </c>
      <c r="W8" s="63">
        <f>股权价值增加表!W31/资产资本表!W70</f>
        <v>7.7827468811046935E-2</v>
      </c>
      <c r="X8" s="63">
        <f>股权价值增加表!X31/资产资本表!X70</f>
        <v>5.0151408241065051E-2</v>
      </c>
      <c r="Y8" s="63">
        <f>股权价值增加表!Y31/资产资本表!Y70</f>
        <v>0.23466639003367831</v>
      </c>
      <c r="Z8" s="63">
        <f>股权价值增加表!Z31/资产资本表!Z70</f>
        <v>0.15835266460169478</v>
      </c>
      <c r="AA8" s="63">
        <f>股权价值增加表!AA31/资产资本表!AA70</f>
        <v>8.9071823739741013E-2</v>
      </c>
      <c r="AB8" s="63">
        <f>股权价值增加表!AB31/资产资本表!AB70</f>
        <v>7.1096043687519872E-2</v>
      </c>
      <c r="AC8" s="63">
        <f>股权价值增加表!AC31/资产资本表!AC70</f>
        <v>0.26892058924896434</v>
      </c>
      <c r="AD8" s="63">
        <f>股权价值增加表!AD31/资产资本表!AD70</f>
        <v>0.19918704085926853</v>
      </c>
      <c r="AE8" s="63">
        <f>股权价值增加表!AE31/资产资本表!AE70</f>
        <v>0.12511068775752379</v>
      </c>
      <c r="AF8" s="63">
        <f>股权价值增加表!AF31/资产资本表!AF70</f>
        <v>7.3428735353255267E-2</v>
      </c>
      <c r="AG8" s="63">
        <f>股权价值增加表!AG31/资产资本表!AG70</f>
        <v>0.19158101751930895</v>
      </c>
      <c r="AH8" s="63">
        <f>股权价值增加表!AH31/资产资本表!AH70</f>
        <v>0.14596850443181372</v>
      </c>
      <c r="AI8" s="63">
        <f>股权价值增加表!AI31/资产资本表!AI70</f>
        <v>8.3820122192410862E-2</v>
      </c>
      <c r="AJ8" s="63">
        <f>股权价值增加表!AJ31/资产资本表!AJ70</f>
        <v>4.8522592176663784E-2</v>
      </c>
      <c r="AK8" s="63">
        <f>股权价值增加表!AK31/资产资本表!AK70</f>
        <v>0.14780716906667754</v>
      </c>
      <c r="AL8" s="63">
        <f>股权价值增加表!AL31/资产资本表!AL70</f>
        <v>0.10322769578531311</v>
      </c>
      <c r="AM8" s="63">
        <f>股权价值增加表!AM31/资产资本表!AM70</f>
        <v>0.20271418078746553</v>
      </c>
      <c r="AN8" s="63">
        <f>股权价值增加表!AN31/资产资本表!AN70</f>
        <v>0.1490832323564957</v>
      </c>
      <c r="AO8" s="63">
        <f>股权价值增加表!AO31/资产资本表!AO70</f>
        <v>0.57949979836058607</v>
      </c>
      <c r="AP8" s="63">
        <f>股权价值增加表!AP31/资产资本表!AP70</f>
        <v>0.67920480568907093</v>
      </c>
      <c r="AQ8" s="63" t="e">
        <f>股权价值增加表!AQ31/资产资本表!AQ70</f>
        <v>#DIV/0!</v>
      </c>
      <c r="AR8" s="63" t="e">
        <f>股权价值增加表!AR31/资产资本表!AR70</f>
        <v>#DIV/0!</v>
      </c>
      <c r="AS8" s="63" t="e">
        <f>股权价值增加表!AS31/资产资本表!AS70</f>
        <v>#DIV/0!</v>
      </c>
      <c r="AT8" s="63" t="e">
        <f>股权价值增加表!AT31/资产资本表!AT70</f>
        <v>#DIV/0!</v>
      </c>
      <c r="AU8" s="63" t="e">
        <f>股权价值增加表!AU31/资产资本表!AU70</f>
        <v>#DIV/0!</v>
      </c>
      <c r="AV8" s="63" t="e">
        <f>股权价值增加表!AV31/资产资本表!AV70</f>
        <v>#DIV/0!</v>
      </c>
      <c r="AW8" s="63" t="e">
        <f>股权价值增加表!AW31/资产资本表!AW70</f>
        <v>#DIV/0!</v>
      </c>
      <c r="AX8" s="63" t="e">
        <f>股权价值增加表!AX31/资产资本表!AX70</f>
        <v>#DIV/0!</v>
      </c>
      <c r="AY8" s="63" t="e">
        <f>股权价值增加表!AY31/资产资本表!AY70</f>
        <v>#DIV/0!</v>
      </c>
      <c r="AZ8" s="63" t="e">
        <f>股权价值增加表!AZ31/资产资本表!AZ70</f>
        <v>#DIV/0!</v>
      </c>
      <c r="BA8" s="63" t="e">
        <f>股权价值增加表!BA31/资产资本表!BA70</f>
        <v>#DIV/0!</v>
      </c>
      <c r="BB8" s="63" t="e">
        <f>股权价值增加表!BB31/资产资本表!BB70</f>
        <v>#DIV/0!</v>
      </c>
      <c r="BC8" s="63" t="e">
        <f>股权价值增加表!BC31/资产资本表!BC70</f>
        <v>#DIV/0!</v>
      </c>
      <c r="BD8" s="63" t="e">
        <f>股权价值增加表!BD31/资产资本表!BD70</f>
        <v>#DIV/0!</v>
      </c>
      <c r="BE8" s="63" t="e">
        <f>股权价值增加表!BE31/资产资本表!BE70</f>
        <v>#DIV/0!</v>
      </c>
      <c r="BF8" s="63" t="e">
        <f>股权价值增加表!BF31/资产资本表!BF70</f>
        <v>#DIV/0!</v>
      </c>
      <c r="BG8" s="63" t="e">
        <f>股权价值增加表!BG31/资产资本表!BG70</f>
        <v>#DIV/0!</v>
      </c>
      <c r="BH8" s="63" t="e">
        <f>股权价值增加表!BH31/资产资本表!BH70</f>
        <v>#DIV/0!</v>
      </c>
      <c r="BI8" s="63" t="e">
        <f>股权价值增加表!BI31/资产资本表!BI70</f>
        <v>#DIV/0!</v>
      </c>
      <c r="BJ8" s="63" t="e">
        <f>股权价值增加表!BJ31/资产资本表!BJ70</f>
        <v>#DIV/0!</v>
      </c>
      <c r="BK8" s="63" t="e">
        <f>股权价值增加表!BK31/资产资本表!BK70</f>
        <v>#DIV/0!</v>
      </c>
      <c r="BL8" s="63" t="e">
        <f>股权价值增加表!BL31/资产资本表!BL70</f>
        <v>#DIV/0!</v>
      </c>
      <c r="BM8" s="63" t="e">
        <f>股权价值增加表!BM31/资产资本表!BM70</f>
        <v>#DIV/0!</v>
      </c>
      <c r="BN8" s="63" t="e">
        <f>股权价值增加表!BN31/资产资本表!BN70</f>
        <v>#DIV/0!</v>
      </c>
      <c r="BO8" s="63" t="e">
        <f>股权价值增加表!BO31/资产资本表!BO70</f>
        <v>#DIV/0!</v>
      </c>
      <c r="BP8" s="63" t="e">
        <f>股权价值增加表!BP31/资产资本表!BP70</f>
        <v>#DIV/0!</v>
      </c>
      <c r="BQ8" s="63" t="e">
        <f>股权价值增加表!BQ31/资产资本表!BQ70</f>
        <v>#DIV/0!</v>
      </c>
      <c r="BR8" s="63" t="e">
        <f>股权价值增加表!BR31/资产资本表!BR70</f>
        <v>#DIV/0!</v>
      </c>
      <c r="BS8" s="63" t="e">
        <f>股权价值增加表!BS31/资产资本表!BS70</f>
        <v>#DIV/0!</v>
      </c>
      <c r="BT8" s="63" t="e">
        <f>股权价值增加表!BT31/资产资本表!BT70</f>
        <v>#DIV/0!</v>
      </c>
      <c r="BU8" s="63" t="e">
        <f>股权价值增加表!BU31/资产资本表!BU70</f>
        <v>#DIV/0!</v>
      </c>
      <c r="BV8" s="63" t="e">
        <f>股权价值增加表!BV31/资产资本表!BV70</f>
        <v>#DIV/0!</v>
      </c>
      <c r="BW8" s="63" t="e">
        <f>股权价值增加表!BW31/资产资本表!BW70</f>
        <v>#DIV/0!</v>
      </c>
      <c r="BX8" s="63" t="e">
        <f>股权价值增加表!BX31/资产资本表!BX70</f>
        <v>#DIV/0!</v>
      </c>
      <c r="BY8" s="63" t="e">
        <f>股权价值增加表!BY31/资产资本表!BY70</f>
        <v>#DIV/0!</v>
      </c>
      <c r="BZ8" s="63" t="e">
        <f>股权价值增加表!BZ31/资产资本表!BZ70</f>
        <v>#DIV/0!</v>
      </c>
      <c r="CA8" s="63" t="e">
        <f>股权价值增加表!CA31/资产资本表!CA70</f>
        <v>#DIV/0!</v>
      </c>
      <c r="CB8" s="63" t="e">
        <f>股权价值增加表!CB31/资产资本表!CB70</f>
        <v>#DIV/0!</v>
      </c>
      <c r="CC8" s="63" t="e">
        <f>股权价值增加表!CC31/资产资本表!CC70</f>
        <v>#DIV/0!</v>
      </c>
      <c r="CD8" s="63" t="e">
        <f>股权价值增加表!CD31/资产资本表!CD70</f>
        <v>#DIV/0!</v>
      </c>
      <c r="CE8" s="63" t="e">
        <f>股权价值增加表!CE31/资产资本表!CE70</f>
        <v>#DIV/0!</v>
      </c>
      <c r="CF8" s="63" t="e">
        <f>股权价值增加表!CF31/资产资本表!CF70</f>
        <v>#DIV/0!</v>
      </c>
      <c r="CG8" s="63" t="e">
        <f>股权价值增加表!CG31/资产资本表!CG70</f>
        <v>#DIV/0!</v>
      </c>
      <c r="CH8" s="63" t="e">
        <f>股权价值增加表!CH31/资产资本表!CH70</f>
        <v>#DIV/0!</v>
      </c>
      <c r="CI8" s="63" t="e">
        <f>股权价值增加表!CI31/资产资本表!CI70</f>
        <v>#DIV/0!</v>
      </c>
      <c r="CJ8" s="63" t="e">
        <f>股权价值增加表!CJ31/资产资本表!CJ70</f>
        <v>#DIV/0!</v>
      </c>
    </row>
    <row r="9" spans="1:89" s="158" customFormat="1" x14ac:dyDescent="0.25">
      <c r="A9" s="158" t="s">
        <v>432</v>
      </c>
      <c r="E9" s="158">
        <f>股权价值增加表!E38/股权价值增加表!E31</f>
        <v>0.92856533378940365</v>
      </c>
      <c r="F9" s="158">
        <f>股权价值增加表!F38/股权价值增加表!F31</f>
        <v>0.94374072669127373</v>
      </c>
      <c r="G9" s="158">
        <f>股权价值增加表!G38/股权价值增加表!G31</f>
        <v>0.90243981120917094</v>
      </c>
      <c r="H9" s="158">
        <f>股权价值增加表!H38/股权价值增加表!H31</f>
        <v>1.0070158973879271</v>
      </c>
      <c r="I9" s="158">
        <f>股权价值增加表!I38/股权价值增加表!I31</f>
        <v>0.99112206330793873</v>
      </c>
      <c r="J9" s="158">
        <f>股权价值增加表!J38/股权价值增加表!J31</f>
        <v>1.0056212725127891</v>
      </c>
      <c r="K9" s="158">
        <f>股权价值增加表!K38/股权价值增加表!K31</f>
        <v>1.0106874436988769</v>
      </c>
      <c r="L9" s="158">
        <f>股权价值增加表!L38/股权价值增加表!L31</f>
        <v>1.0053713341767261</v>
      </c>
      <c r="M9" s="158">
        <f>股权价值增加表!M38/股权价值增加表!M31</f>
        <v>0.99582725377956849</v>
      </c>
      <c r="N9" s="158">
        <f>股权价值增加表!N38/股权价值增加表!N31</f>
        <v>1.0278261331776155</v>
      </c>
      <c r="O9" s="158">
        <f>股权价值增加表!O38/股权价值增加表!O31</f>
        <v>1.0350515318632736</v>
      </c>
      <c r="P9" s="158">
        <f>股权价值增加表!P38/股权价值增加表!P31</f>
        <v>1.0312723277144014</v>
      </c>
      <c r="Q9" s="158">
        <f>股权价值增加表!Q38/股权价值增加表!Q31</f>
        <v>0.99693811835973711</v>
      </c>
      <c r="R9" s="158">
        <f>股权价值增加表!R38/股权价值增加表!R31</f>
        <v>1.0599537544513571</v>
      </c>
      <c r="S9" s="158">
        <f>股权价值增加表!S38/股权价值增加表!S31</f>
        <v>1.0759724555587529</v>
      </c>
      <c r="T9" s="158">
        <f>股权价值增加表!T38/股权价值增加表!T31</f>
        <v>1.0727432625958422</v>
      </c>
      <c r="U9" s="158">
        <f>股权价值增加表!U38/股权价值增加表!U31</f>
        <v>0.99771109053668672</v>
      </c>
      <c r="V9" s="158">
        <f>股权价值增加表!V38/股权价值增加表!V31</f>
        <v>1.0643863330388743</v>
      </c>
      <c r="W9" s="158">
        <f>股权价值增加表!W38/股权价值增加表!W31</f>
        <v>1.0780860172031601</v>
      </c>
      <c r="X9" s="158">
        <f>股权价值增加表!X38/股权价值增加表!X31</f>
        <v>1.0604757412114749</v>
      </c>
      <c r="Y9" s="158">
        <f>股权价值增加表!Y38/股权价值增加表!Y31</f>
        <v>0.99772222134612487</v>
      </c>
      <c r="Z9" s="158">
        <f>股权价值增加表!Z38/股权价值增加表!Z31</f>
        <v>1.0582725417112884</v>
      </c>
      <c r="AA9" s="158">
        <f>股权价值增加表!AA38/股权价值增加表!AA31</f>
        <v>1.0848930906962133</v>
      </c>
      <c r="AB9" s="158">
        <f>股权价值增加表!AB38/股权价值增加表!AB31</f>
        <v>1.0354369186680192</v>
      </c>
      <c r="AC9" s="158">
        <f>股权价值增加表!AC38/股权价值增加表!AC31</f>
        <v>0.99723593577659841</v>
      </c>
      <c r="AD9" s="158">
        <f>股权价值增加表!AD38/股权价值增加表!AD31</f>
        <v>1.0561508327499343</v>
      </c>
      <c r="AE9" s="158">
        <f>股权价值增加表!AE38/股权价值增加表!AE31</f>
        <v>1.040737958695275</v>
      </c>
      <c r="AF9" s="158">
        <f>股权价值增加表!AF38/股权价值增加表!AF31</f>
        <v>1.0487778122189517</v>
      </c>
      <c r="AG9" s="158">
        <f>股权价值增加表!AG38/股权价值增加表!AG31</f>
        <v>0.99730051477379478</v>
      </c>
      <c r="AH9" s="158">
        <f>股权价值增加表!AH38/股权价值增加表!AH31</f>
        <v>1.0640659414808178</v>
      </c>
      <c r="AI9" s="158">
        <f>股权价值增加表!AI38/股权价值增加表!AI31</f>
        <v>1.0308629925648911</v>
      </c>
      <c r="AJ9" s="158">
        <f>股权价值增加表!AJ38/股权价值增加表!AJ31</f>
        <v>1.0367048023766277</v>
      </c>
      <c r="AK9" s="158">
        <f>股权价值增加表!AK38/股权价值增加表!AK31</f>
        <v>0.99721183106887223</v>
      </c>
      <c r="AL9" s="158">
        <f>股权价值增加表!AL38/股权价值增加表!AL31</f>
        <v>1.0060653520412577</v>
      </c>
      <c r="AM9" s="158">
        <f>股权价值增加表!AM38/股权价值增加表!AM31</f>
        <v>1.0028770614892368</v>
      </c>
      <c r="AN9" s="158">
        <f>股权价值增加表!AN38/股权价值增加表!AN31</f>
        <v>1.0000782111361097</v>
      </c>
      <c r="AO9" s="158">
        <f>股权价值增加表!AO38/股权价值增加表!AO31</f>
        <v>0.98767271812747892</v>
      </c>
      <c r="AP9" s="158">
        <f>股权价值增加表!AP38/股权价值增加表!AP31</f>
        <v>0.99178291930623386</v>
      </c>
      <c r="AQ9" s="158">
        <f>股权价值增加表!AQ38/股权价值增加表!AQ31</f>
        <v>0.97841843293231712</v>
      </c>
      <c r="AR9" s="158">
        <f>股权价值增加表!AR38/股权价值增加表!AR31</f>
        <v>0.97365400055192552</v>
      </c>
      <c r="AS9" s="158" t="e">
        <f>股权价值增加表!AS38/股权价值增加表!AS31</f>
        <v>#DIV/0!</v>
      </c>
      <c r="AT9" s="158">
        <f>股权价值增加表!AT38/股权价值增加表!AT31</f>
        <v>74.693791916224583</v>
      </c>
      <c r="AU9" s="158">
        <f>股权价值增加表!AU38/股权价值增加表!AU31</f>
        <v>762.43841528552787</v>
      </c>
      <c r="AV9" s="158">
        <f>股权价值增加表!AV38/股权价值增加表!AV31</f>
        <v>6.0715712302299112</v>
      </c>
      <c r="AW9" s="158">
        <f>股权价值增加表!AW38/股权价值增加表!AW31</f>
        <v>10.996125403577111</v>
      </c>
      <c r="AX9" s="158">
        <f>股权价值增加表!AX38/股权价值增加表!AX31</f>
        <v>11.563322521142613</v>
      </c>
      <c r="AY9" s="158">
        <f>股权价值增加表!AY38/股权价值增加表!AY31</f>
        <v>14.314610464689412</v>
      </c>
      <c r="AZ9" s="158">
        <f>股权价值增加表!AZ38/股权价值增加表!AZ31</f>
        <v>30.177087999999998</v>
      </c>
      <c r="BA9" s="158">
        <f>股权价值增加表!BA38/股权价值增加表!BA31</f>
        <v>-5.4302495344527406</v>
      </c>
      <c r="BB9" s="158">
        <f>股权价值增加表!BB38/股权价值增加表!BB31</f>
        <v>-13.954913103035617</v>
      </c>
      <c r="BC9" s="158">
        <f>股权价值增加表!BC38/股权价值增加表!BC31</f>
        <v>-9.9942730035859633</v>
      </c>
      <c r="BD9" s="158" t="e">
        <f>股权价值增加表!BD38/股权价值增加表!BD31</f>
        <v>#DIV/0!</v>
      </c>
      <c r="BE9" s="158">
        <f>股权价值增加表!BE38/股权价值增加表!BE31</f>
        <v>-207.72438969261265</v>
      </c>
      <c r="BF9" s="158">
        <f>股权价值增加表!BF38/股权价值增加表!BF31</f>
        <v>38.123657821263173</v>
      </c>
      <c r="BG9" s="158">
        <f>股权价值增加表!BG38/股权价值增加表!BG31</f>
        <v>33.265097832398752</v>
      </c>
      <c r="BH9" s="158">
        <f>股权价值增加表!BH38/股权价值增加表!BH31</f>
        <v>2.6912248525255302</v>
      </c>
      <c r="BI9" s="158">
        <f>股权价值增加表!BI38/股权价值增加表!BI31</f>
        <v>-50.149746229058351</v>
      </c>
      <c r="BJ9" s="158">
        <f>股权价值增加表!BJ38/股权价值增加表!BJ31</f>
        <v>69.171187698585072</v>
      </c>
      <c r="BK9" s="158">
        <f>股权价值增加表!BK38/股权价值增加表!BK31</f>
        <v>232.32435186984958</v>
      </c>
      <c r="BL9" s="158">
        <f>股权价值增加表!BL38/股权价值增加表!BL31</f>
        <v>10.213152951199438</v>
      </c>
      <c r="BM9" s="158">
        <f>股权价值增加表!BM38/股权价值增加表!BM31</f>
        <v>150.18376358893079</v>
      </c>
      <c r="BN9" s="158">
        <f>股权价值增加表!BN38/股权价值增加表!BN31</f>
        <v>12.619124030745919</v>
      </c>
      <c r="BO9" s="158">
        <f>股权价值增加表!BO38/股权价值增加表!BO31</f>
        <v>8.7036936464919741</v>
      </c>
      <c r="BP9" s="158">
        <f>股权价值增加表!BP38/股权价值增加表!BP31</f>
        <v>-42.249783743212781</v>
      </c>
      <c r="BQ9" s="158">
        <f>股权价值增加表!BQ38/股权价值增加表!BQ31</f>
        <v>3.0583806324776739</v>
      </c>
      <c r="BR9" s="158">
        <f>股权价值增加表!BR38/股权价值增加表!BR31</f>
        <v>1</v>
      </c>
      <c r="BS9" s="158">
        <f>股权价值增加表!BS38/股权价值增加表!BS31</f>
        <v>2.6875461769888385</v>
      </c>
      <c r="BT9" s="158">
        <f>股权价值增加表!BT38/股权价值增加表!BT31</f>
        <v>2.0192338281291593</v>
      </c>
      <c r="BU9" s="158">
        <f>股权价值增加表!BU38/股权价值增加表!BU31</f>
        <v>7.0450850452289444</v>
      </c>
      <c r="BV9" s="158" t="e">
        <f>股权价值增加表!BV38/股权价值增加表!BV31</f>
        <v>#DIV/0!</v>
      </c>
      <c r="BW9" s="158" t="e">
        <f>股权价值增加表!BW38/股权价值增加表!BW31</f>
        <v>#DIV/0!</v>
      </c>
      <c r="BX9" s="158" t="e">
        <f>股权价值增加表!BX38/股权价值增加表!BX31</f>
        <v>#DIV/0!</v>
      </c>
      <c r="BY9" s="158" t="e">
        <f>股权价值增加表!BY38/股权价值增加表!BY31</f>
        <v>#DIV/0!</v>
      </c>
      <c r="BZ9" s="158" t="e">
        <f>股权价值增加表!BZ38/股权价值增加表!BZ31</f>
        <v>#DIV/0!</v>
      </c>
      <c r="CA9" s="158" t="e">
        <f>股权价值增加表!CA38/股权价值增加表!CA31</f>
        <v>#DIV/0!</v>
      </c>
      <c r="CB9" s="158" t="e">
        <f>股权价值增加表!CB38/股权价值增加表!CB31</f>
        <v>#DIV/0!</v>
      </c>
      <c r="CC9" s="158" t="e">
        <f>股权价值增加表!CC38/股权价值增加表!CC31</f>
        <v>#DIV/0!</v>
      </c>
      <c r="CD9" s="158" t="e">
        <f>股权价值增加表!CD38/股权价值增加表!CD31</f>
        <v>#DIV/0!</v>
      </c>
      <c r="CE9" s="158">
        <f>股权价值增加表!CE38/股权价值增加表!CE31</f>
        <v>1</v>
      </c>
      <c r="CF9" s="158">
        <f>股权价值增加表!CF38/股权价值增加表!CF31</f>
        <v>1</v>
      </c>
      <c r="CG9" s="158" t="e">
        <f>股权价值增加表!CG38/股权价值增加表!CG31</f>
        <v>#DIV/0!</v>
      </c>
      <c r="CH9" s="158" t="e">
        <f>股权价值增加表!CH38/股权价值增加表!CH31</f>
        <v>#DIV/0!</v>
      </c>
      <c r="CI9" s="158" t="e">
        <f>股权价值增加表!CI38/股权价值增加表!CI31</f>
        <v>#DIV/0!</v>
      </c>
      <c r="CJ9" s="158" t="e">
        <f>股权价值增加表!CJ38/股权价值增加表!CJ31</f>
        <v>#DIV/0!</v>
      </c>
    </row>
    <row r="10" spans="1:89" s="61" customFormat="1" x14ac:dyDescent="0.25">
      <c r="A10" s="243" t="s">
        <v>433</v>
      </c>
      <c r="E10" s="61">
        <f>资产资本表!E70/资产资本表!E107</f>
        <v>1.0834993220530871</v>
      </c>
      <c r="F10" s="61">
        <f>资产资本表!F70/资产资本表!F107</f>
        <v>1.1398643981278374</v>
      </c>
      <c r="G10" s="61">
        <f>资产资本表!G70/资产资本表!G107</f>
        <v>1.1477434264460535</v>
      </c>
      <c r="H10" s="61">
        <f>资产资本表!H70/资产资本表!H107</f>
        <v>1.1819873757712358</v>
      </c>
      <c r="I10" s="61">
        <f>资产资本表!I70/资产资本表!I107</f>
        <v>1.1732006030843016</v>
      </c>
      <c r="J10" s="61">
        <f>资产资本表!J70/资产资本表!J107</f>
        <v>1.1185360313177832</v>
      </c>
      <c r="K10" s="61">
        <f>资产资本表!K70/资产资本表!K107</f>
        <v>1.1074040059635568</v>
      </c>
      <c r="L10" s="61">
        <f>资产资本表!L70/资产资本表!L107</f>
        <v>1.0399488735973903</v>
      </c>
      <c r="M10" s="61">
        <f>资产资本表!M70/资产资本表!M107</f>
        <v>1.0431873338279072</v>
      </c>
      <c r="N10" s="61">
        <f>资产资本表!N70/资产资本表!N107</f>
        <v>1</v>
      </c>
      <c r="O10" s="61">
        <f>资产资本表!O70/资产资本表!O107</f>
        <v>1.0016312612817118</v>
      </c>
      <c r="P10" s="61">
        <f>资产资本表!P70/资产资本表!P107</f>
        <v>1.0010234874905584</v>
      </c>
      <c r="Q10" s="61">
        <f>资产资本表!Q70/资产资本表!Q107</f>
        <v>1.0022463266442319</v>
      </c>
      <c r="R10" s="61">
        <f>资产资本表!R70/资产资本表!R107</f>
        <v>1.0019180906042189</v>
      </c>
      <c r="S10" s="61">
        <f>资产资本表!S70/资产资本表!S107</f>
        <v>1.0034008360650113</v>
      </c>
      <c r="T10" s="61">
        <f>资产资本表!T70/资产资本表!T107</f>
        <v>1.0023755426293626</v>
      </c>
      <c r="U10" s="61">
        <f>资产资本表!U70/资产资本表!U107</f>
        <v>1.0037060934619535</v>
      </c>
      <c r="V10" s="61">
        <f>资产资本表!V70/资产资本表!V107</f>
        <v>0.99999999999999989</v>
      </c>
      <c r="W10" s="61">
        <f>资产资本表!W70/资产资本表!W107</f>
        <v>1</v>
      </c>
      <c r="X10" s="61">
        <f>资产资本表!X70/资产资本表!X107</f>
        <v>1.0000000000000002</v>
      </c>
      <c r="Y10" s="61">
        <f>资产资本表!Y70/资产资本表!Y107</f>
        <v>1</v>
      </c>
      <c r="Z10" s="61">
        <f>资产资本表!Z70/资产资本表!Z107</f>
        <v>1</v>
      </c>
      <c r="AA10" s="61">
        <f>资产资本表!AA70/资产资本表!AA107</f>
        <v>1.0000000000000002</v>
      </c>
      <c r="AB10" s="61">
        <f>资产资本表!AB70/资产资本表!AB107</f>
        <v>1</v>
      </c>
      <c r="AC10" s="61">
        <f>资产资本表!AC70/资产资本表!AC107</f>
        <v>1</v>
      </c>
      <c r="AD10" s="61">
        <f>资产资本表!AD70/资产资本表!AD107</f>
        <v>0.99999999999999989</v>
      </c>
      <c r="AE10" s="61">
        <f>资产资本表!AE70/资产资本表!AE107</f>
        <v>1.0000000000000002</v>
      </c>
      <c r="AF10" s="61">
        <f>资产资本表!AF70/资产资本表!AF107</f>
        <v>1</v>
      </c>
      <c r="AG10" s="61">
        <f>资产资本表!AG70/资产资本表!AG107</f>
        <v>1</v>
      </c>
      <c r="AH10" s="61">
        <f>资产资本表!AH70/资产资本表!AH107</f>
        <v>1</v>
      </c>
      <c r="AI10" s="61">
        <f>资产资本表!AI70/资产资本表!AI107</f>
        <v>1</v>
      </c>
      <c r="AJ10" s="61">
        <f>资产资本表!AJ70/资产资本表!AJ107</f>
        <v>0.99999999999999978</v>
      </c>
      <c r="AK10" s="61">
        <f>资产资本表!AK70/资产资本表!AK107</f>
        <v>1.0000000000000002</v>
      </c>
      <c r="AL10" s="61">
        <f>资产资本表!AL70/资产资本表!AL107</f>
        <v>1</v>
      </c>
      <c r="AM10" s="61">
        <f>资产资本表!AM70/资产资本表!AM107</f>
        <v>1</v>
      </c>
      <c r="AN10" s="61">
        <f>资产资本表!AN70/资产资本表!AN107</f>
        <v>1</v>
      </c>
      <c r="AO10" s="61">
        <f>资产资本表!AO70/资产资本表!AO107</f>
        <v>1.0214775899385058</v>
      </c>
      <c r="AP10" s="61">
        <f>资产资本表!AP70/资产资本表!AP107</f>
        <v>1.2196342381176966</v>
      </c>
      <c r="AQ10" s="61" t="e">
        <f>资产资本表!AQ70/资产资本表!AQ107</f>
        <v>#DIV/0!</v>
      </c>
      <c r="AR10" s="61">
        <f>资产资本表!AR70/资产资本表!AR107</f>
        <v>0</v>
      </c>
      <c r="AS10" s="61">
        <f>资产资本表!AS70/资产资本表!AS107</f>
        <v>0</v>
      </c>
      <c r="AT10" s="61">
        <f>资产资本表!AT70/资产资本表!AT107</f>
        <v>0</v>
      </c>
      <c r="AU10" s="61">
        <f>资产资本表!AU70/资产资本表!AU107</f>
        <v>0</v>
      </c>
      <c r="AV10" s="61">
        <f>资产资本表!AV70/资产资本表!AV107</f>
        <v>0</v>
      </c>
      <c r="AW10" s="61">
        <f>资产资本表!AW70/资产资本表!AW107</f>
        <v>0</v>
      </c>
      <c r="AX10" s="61">
        <f>资产资本表!AX70/资产资本表!AX107</f>
        <v>0</v>
      </c>
      <c r="AY10" s="61">
        <f>资产资本表!AY70/资产资本表!AY107</f>
        <v>0</v>
      </c>
      <c r="AZ10" s="61">
        <f>资产资本表!AZ70/资产资本表!AZ107</f>
        <v>0</v>
      </c>
      <c r="BA10" s="61">
        <f>资产资本表!BA70/资产资本表!BA107</f>
        <v>0</v>
      </c>
      <c r="BB10" s="61">
        <f>资产资本表!BB70/资产资本表!BB107</f>
        <v>0</v>
      </c>
      <c r="BC10" s="61">
        <f>资产资本表!BC70/资产资本表!BC107</f>
        <v>0</v>
      </c>
      <c r="BD10" s="61">
        <f>资产资本表!BD70/资产资本表!BD107</f>
        <v>0</v>
      </c>
      <c r="BE10" s="61">
        <f>资产资本表!BE70/资产资本表!BE107</f>
        <v>0</v>
      </c>
      <c r="BF10" s="61">
        <f>资产资本表!BF70/资产资本表!BF107</f>
        <v>0</v>
      </c>
      <c r="BG10" s="61">
        <f>资产资本表!BG70/资产资本表!BG107</f>
        <v>0</v>
      </c>
      <c r="BH10" s="61">
        <f>资产资本表!BH70/资产资本表!BH107</f>
        <v>0</v>
      </c>
      <c r="BI10" s="61">
        <f>资产资本表!BI70/资产资本表!BI107</f>
        <v>0</v>
      </c>
      <c r="BJ10" s="61">
        <f>资产资本表!BJ70/资产资本表!BJ107</f>
        <v>0</v>
      </c>
      <c r="BK10" s="61">
        <f>资产资本表!BK70/资产资本表!BK107</f>
        <v>0</v>
      </c>
      <c r="BL10" s="61">
        <f>资产资本表!BL70/资产资本表!BL107</f>
        <v>0</v>
      </c>
      <c r="BM10" s="61">
        <f>资产资本表!BM70/资产资本表!BM107</f>
        <v>0</v>
      </c>
      <c r="BN10" s="61">
        <f>资产资本表!BN70/资产资本表!BN107</f>
        <v>0</v>
      </c>
      <c r="BO10" s="61">
        <f>资产资本表!BO70/资产资本表!BO107</f>
        <v>0</v>
      </c>
      <c r="BP10" s="61">
        <f>资产资本表!BP70/资产资本表!BP107</f>
        <v>0</v>
      </c>
      <c r="BQ10" s="61">
        <f>资产资本表!BQ70/资产资本表!BQ107</f>
        <v>0</v>
      </c>
      <c r="BR10" s="61">
        <f>资产资本表!BR70/资产资本表!BR107</f>
        <v>0</v>
      </c>
      <c r="BS10" s="61">
        <f>资产资本表!BS70/资产资本表!BS107</f>
        <v>0</v>
      </c>
      <c r="BT10" s="61">
        <f>资产资本表!BT70/资产资本表!BT107</f>
        <v>0</v>
      </c>
      <c r="BU10" s="61">
        <f>资产资本表!BU70/资产资本表!BU107</f>
        <v>0</v>
      </c>
      <c r="BV10" s="61">
        <f>资产资本表!BV70/资产资本表!BV107</f>
        <v>0</v>
      </c>
      <c r="BW10" s="61">
        <f>资产资本表!BW70/资产资本表!BW107</f>
        <v>0</v>
      </c>
      <c r="BX10" s="61">
        <f>资产资本表!BX70/资产资本表!BX107</f>
        <v>0</v>
      </c>
      <c r="BY10" s="61">
        <f>资产资本表!BY70/资产资本表!BY107</f>
        <v>0</v>
      </c>
      <c r="BZ10" s="61">
        <f>资产资本表!BZ70/资产资本表!BZ107</f>
        <v>0</v>
      </c>
      <c r="CA10" s="61">
        <f>资产资本表!CA70/资产资本表!CA107</f>
        <v>0</v>
      </c>
      <c r="CB10" s="61">
        <f>资产资本表!CB70/资产资本表!CB107</f>
        <v>0</v>
      </c>
      <c r="CC10" s="61">
        <f>资产资本表!CC70/资产资本表!CC107</f>
        <v>0</v>
      </c>
      <c r="CD10" s="61" t="e">
        <f>资产资本表!CD70/资产资本表!CD107</f>
        <v>#DIV/0!</v>
      </c>
      <c r="CE10" s="61">
        <f>资产资本表!CE70/资产资本表!CE107</f>
        <v>0</v>
      </c>
      <c r="CF10" s="61">
        <f>资产资本表!CF70/资产资本表!CF107</f>
        <v>0</v>
      </c>
      <c r="CG10" s="61">
        <f>资产资本表!CG70/资产资本表!CG107</f>
        <v>0</v>
      </c>
      <c r="CH10" s="61">
        <f>资产资本表!CH70/资产资本表!CH107</f>
        <v>0</v>
      </c>
      <c r="CI10" s="61">
        <f>资产资本表!CI70/资产资本表!CI107</f>
        <v>0</v>
      </c>
      <c r="CJ10" s="61">
        <f>资产资本表!CJ70/资产资本表!CJ107</f>
        <v>0</v>
      </c>
    </row>
    <row r="11" spans="1:89" s="28" customFormat="1" x14ac:dyDescent="0.25">
      <c r="A11" s="20" t="s">
        <v>439</v>
      </c>
      <c r="E11" s="28">
        <f>E9*E10</f>
        <v>1.0060999096428174</v>
      </c>
      <c r="F11" s="28">
        <f t="shared" ref="F11:BQ11" si="2">F9*F10</f>
        <v>1.0757364554186766</v>
      </c>
      <c r="G11" s="28">
        <f t="shared" si="2"/>
        <v>1.0357693610785434</v>
      </c>
      <c r="H11" s="28">
        <f t="shared" si="2"/>
        <v>1.1902800779134719</v>
      </c>
      <c r="I11" s="28">
        <f t="shared" si="2"/>
        <v>1.1627850024030311</v>
      </c>
      <c r="J11" s="28">
        <f t="shared" si="2"/>
        <v>1.1248236271651941</v>
      </c>
      <c r="K11" s="28">
        <f t="shared" si="2"/>
        <v>1.1192393239292031</v>
      </c>
      <c r="L11" s="28">
        <f t="shared" si="2"/>
        <v>1.0455347865241917</v>
      </c>
      <c r="M11" s="28">
        <f t="shared" si="2"/>
        <v>1.0388343778234748</v>
      </c>
      <c r="N11" s="28">
        <f t="shared" si="2"/>
        <v>1.0278261331776155</v>
      </c>
      <c r="O11" s="28">
        <f t="shared" si="2"/>
        <v>1.0367399713517786</v>
      </c>
      <c r="P11" s="28">
        <f t="shared" si="2"/>
        <v>1.032327822041176</v>
      </c>
      <c r="Q11" s="28">
        <f t="shared" si="2"/>
        <v>0.99917756701765892</v>
      </c>
      <c r="R11" s="28">
        <f t="shared" si="2"/>
        <v>1.0619868417886769</v>
      </c>
      <c r="S11" s="28">
        <f t="shared" si="2"/>
        <v>1.0796316614905759</v>
      </c>
      <c r="T11" s="28">
        <f t="shared" si="2"/>
        <v>1.0752916099465002</v>
      </c>
      <c r="U11" s="28">
        <f t="shared" si="2"/>
        <v>1.0014087010862431</v>
      </c>
      <c r="V11" s="28">
        <f t="shared" si="2"/>
        <v>1.0643863330388741</v>
      </c>
      <c r="W11" s="28">
        <f t="shared" si="2"/>
        <v>1.0780860172031601</v>
      </c>
      <c r="X11" s="28">
        <f t="shared" si="2"/>
        <v>1.0604757412114751</v>
      </c>
      <c r="Y11" s="28">
        <f t="shared" si="2"/>
        <v>0.99772222134612487</v>
      </c>
      <c r="Z11" s="28">
        <f t="shared" si="2"/>
        <v>1.0582725417112884</v>
      </c>
      <c r="AA11" s="28">
        <f t="shared" si="2"/>
        <v>1.0848930906962135</v>
      </c>
      <c r="AB11" s="28">
        <f t="shared" si="2"/>
        <v>1.0354369186680192</v>
      </c>
      <c r="AC11" s="28">
        <f t="shared" si="2"/>
        <v>0.99723593577659841</v>
      </c>
      <c r="AD11" s="28">
        <f t="shared" si="2"/>
        <v>1.056150832749934</v>
      </c>
      <c r="AE11" s="28">
        <f t="shared" si="2"/>
        <v>1.0407379586952752</v>
      </c>
      <c r="AF11" s="28">
        <f t="shared" si="2"/>
        <v>1.0487778122189517</v>
      </c>
      <c r="AG11" s="28">
        <f t="shared" si="2"/>
        <v>0.99730051477379478</v>
      </c>
      <c r="AH11" s="28">
        <f t="shared" si="2"/>
        <v>1.0640659414808178</v>
      </c>
      <c r="AI11" s="28">
        <f t="shared" si="2"/>
        <v>1.0308629925648911</v>
      </c>
      <c r="AJ11" s="28">
        <f t="shared" si="2"/>
        <v>1.0367048023766274</v>
      </c>
      <c r="AK11" s="28">
        <f t="shared" si="2"/>
        <v>0.99721183106887246</v>
      </c>
      <c r="AL11" s="28">
        <f t="shared" si="2"/>
        <v>1.0060653520412577</v>
      </c>
      <c r="AM11" s="28">
        <f t="shared" si="2"/>
        <v>1.0028770614892368</v>
      </c>
      <c r="AN11" s="28">
        <f t="shared" si="2"/>
        <v>1.0000782111361097</v>
      </c>
      <c r="AO11" s="28">
        <f t="shared" si="2"/>
        <v>1.0088855477608702</v>
      </c>
      <c r="AP11" s="28">
        <f t="shared" si="2"/>
        <v>1.2096124051662034</v>
      </c>
      <c r="AQ11" s="28" t="e">
        <f t="shared" si="2"/>
        <v>#DIV/0!</v>
      </c>
      <c r="AR11" s="28">
        <f t="shared" si="2"/>
        <v>0</v>
      </c>
      <c r="AS11" s="28" t="e">
        <f t="shared" si="2"/>
        <v>#DIV/0!</v>
      </c>
      <c r="AT11" s="28">
        <f t="shared" si="2"/>
        <v>0</v>
      </c>
      <c r="AU11" s="28">
        <f t="shared" si="2"/>
        <v>0</v>
      </c>
      <c r="AV11" s="28">
        <f t="shared" si="2"/>
        <v>0</v>
      </c>
      <c r="AW11" s="28">
        <f t="shared" si="2"/>
        <v>0</v>
      </c>
      <c r="AX11" s="28">
        <f t="shared" si="2"/>
        <v>0</v>
      </c>
      <c r="AY11" s="28">
        <f t="shared" si="2"/>
        <v>0</v>
      </c>
      <c r="AZ11" s="28">
        <f t="shared" si="2"/>
        <v>0</v>
      </c>
      <c r="BA11" s="28">
        <f t="shared" si="2"/>
        <v>0</v>
      </c>
      <c r="BB11" s="28">
        <f t="shared" si="2"/>
        <v>0</v>
      </c>
      <c r="BC11" s="28">
        <f t="shared" si="2"/>
        <v>0</v>
      </c>
      <c r="BD11" s="28" t="e">
        <f t="shared" si="2"/>
        <v>#DIV/0!</v>
      </c>
      <c r="BE11" s="28">
        <f t="shared" si="2"/>
        <v>0</v>
      </c>
      <c r="BF11" s="28">
        <f t="shared" si="2"/>
        <v>0</v>
      </c>
      <c r="BG11" s="28">
        <f t="shared" si="2"/>
        <v>0</v>
      </c>
      <c r="BH11" s="28">
        <f t="shared" si="2"/>
        <v>0</v>
      </c>
      <c r="BI11" s="28">
        <f t="shared" si="2"/>
        <v>0</v>
      </c>
      <c r="BJ11" s="28">
        <f t="shared" si="2"/>
        <v>0</v>
      </c>
      <c r="BK11" s="28">
        <f t="shared" si="2"/>
        <v>0</v>
      </c>
      <c r="BL11" s="28">
        <f t="shared" si="2"/>
        <v>0</v>
      </c>
      <c r="BM11" s="28">
        <f t="shared" si="2"/>
        <v>0</v>
      </c>
      <c r="BN11" s="28">
        <f t="shared" si="2"/>
        <v>0</v>
      </c>
      <c r="BO11" s="28">
        <f t="shared" si="2"/>
        <v>0</v>
      </c>
      <c r="BP11" s="28">
        <f t="shared" si="2"/>
        <v>0</v>
      </c>
      <c r="BQ11" s="28">
        <f t="shared" si="2"/>
        <v>0</v>
      </c>
      <c r="BR11" s="28">
        <f t="shared" ref="BR11:CJ11" si="3">BR9*BR10</f>
        <v>0</v>
      </c>
      <c r="BS11" s="28">
        <f t="shared" si="3"/>
        <v>0</v>
      </c>
      <c r="BT11" s="28">
        <f t="shared" si="3"/>
        <v>0</v>
      </c>
      <c r="BU11" s="28">
        <f t="shared" si="3"/>
        <v>0</v>
      </c>
      <c r="BV11" s="28" t="e">
        <f t="shared" si="3"/>
        <v>#DIV/0!</v>
      </c>
      <c r="BW11" s="28" t="e">
        <f t="shared" si="3"/>
        <v>#DIV/0!</v>
      </c>
      <c r="BX11" s="28" t="e">
        <f t="shared" si="3"/>
        <v>#DIV/0!</v>
      </c>
      <c r="BY11" s="28" t="e">
        <f t="shared" si="3"/>
        <v>#DIV/0!</v>
      </c>
      <c r="BZ11" s="28" t="e">
        <f t="shared" si="3"/>
        <v>#DIV/0!</v>
      </c>
      <c r="CA11" s="28" t="e">
        <f t="shared" si="3"/>
        <v>#DIV/0!</v>
      </c>
      <c r="CB11" s="28" t="e">
        <f t="shared" si="3"/>
        <v>#DIV/0!</v>
      </c>
      <c r="CC11" s="28" t="e">
        <f t="shared" si="3"/>
        <v>#DIV/0!</v>
      </c>
      <c r="CD11" s="28" t="e">
        <f t="shared" si="3"/>
        <v>#DIV/0!</v>
      </c>
      <c r="CE11" s="28">
        <f t="shared" si="3"/>
        <v>0</v>
      </c>
      <c r="CF11" s="28">
        <f t="shared" si="3"/>
        <v>0</v>
      </c>
      <c r="CG11" s="28" t="e">
        <f t="shared" si="3"/>
        <v>#DIV/0!</v>
      </c>
      <c r="CH11" s="28" t="e">
        <f t="shared" si="3"/>
        <v>#DIV/0!</v>
      </c>
      <c r="CI11" s="28" t="e">
        <f t="shared" si="3"/>
        <v>#DIV/0!</v>
      </c>
      <c r="CJ11" s="28" t="e">
        <f t="shared" si="3"/>
        <v>#DIV/0!</v>
      </c>
    </row>
    <row r="12" spans="1:89" s="158" customFormat="1" x14ac:dyDescent="0.25">
      <c r="A12" s="158" t="s">
        <v>434</v>
      </c>
      <c r="E12" s="158">
        <f>E2/股权价值增加表!E38</f>
        <v>0.81835196645250141</v>
      </c>
      <c r="F12" s="158">
        <f>F2/股权价值增加表!F38</f>
        <v>0.77453296492237977</v>
      </c>
      <c r="G12" s="158">
        <f>G2/股权价值增加表!G38</f>
        <v>0.78879252993404381</v>
      </c>
      <c r="H12" s="158">
        <f>H2/股权价值增加表!H38</f>
        <v>0.85080892448032708</v>
      </c>
      <c r="I12" s="158">
        <f>I2/股权价值增加表!I38</f>
        <v>0.81131265660139151</v>
      </c>
      <c r="J12" s="158">
        <f>J2/股权价值增加表!J38</f>
        <v>0.81070829441275005</v>
      </c>
      <c r="K12" s="158">
        <f>K2/股权价值增加表!K38</f>
        <v>0.78362875314051761</v>
      </c>
      <c r="L12" s="158">
        <f>L2/股权价值增加表!L38</f>
        <v>0.83112421170692574</v>
      </c>
      <c r="M12" s="158">
        <f>M2/股权价值增加表!M38</f>
        <v>0.82728706302335209</v>
      </c>
      <c r="N12" s="158">
        <f>N2/股权价值增加表!N38</f>
        <v>0.87173636704474577</v>
      </c>
      <c r="O12" s="158">
        <f>O2/股权价值增加表!O38</f>
        <v>0.86163770469730894</v>
      </c>
      <c r="P12" s="158">
        <f>P2/股权价值增加表!P38</f>
        <v>0.84826931344326728</v>
      </c>
      <c r="Q12" s="158">
        <f>Q2/股权价值增加表!Q38</f>
        <v>0.88094530460014997</v>
      </c>
      <c r="R12" s="158">
        <f>R2/股权价值增加表!R38</f>
        <v>0.87290244019370189</v>
      </c>
      <c r="S12" s="158">
        <f>S2/股权价值增加表!S38</f>
        <v>0.86151762851197466</v>
      </c>
      <c r="T12" s="158">
        <f>T2/股权价值增加表!T38</f>
        <v>0.84826824362602371</v>
      </c>
      <c r="U12" s="158">
        <f>U2/股权价值增加表!U38</f>
        <v>0.8466777946538846</v>
      </c>
      <c r="V12" s="158">
        <f>V2/股权价值增加表!V38</f>
        <v>0.86187733152709312</v>
      </c>
      <c r="W12" s="158">
        <f>W2/股权价值增加表!W38</f>
        <v>0.84411275176056566</v>
      </c>
      <c r="X12" s="158">
        <f>X2/股权价值增加表!X38</f>
        <v>0.81445833514863331</v>
      </c>
      <c r="Y12" s="158">
        <f>Y2/股权价值增加表!Y38</f>
        <v>0.86016619160904917</v>
      </c>
      <c r="Z12" s="158">
        <f>Z2/股权价值增加表!Z38</f>
        <v>0.85711436380922223</v>
      </c>
      <c r="AA12" s="158">
        <f>AA2/股权价值增加表!AA38</f>
        <v>0.84213349468588627</v>
      </c>
      <c r="AB12" s="158">
        <f>AB2/股权价值增加表!AB38</f>
        <v>0.82224696583847334</v>
      </c>
      <c r="AC12" s="158">
        <f>AC2/股权价值增加表!AC38</f>
        <v>0.84061422011688092</v>
      </c>
      <c r="AD12" s="158">
        <f>AD2/股权价值增加表!AD38</f>
        <v>0.85363192174053548</v>
      </c>
      <c r="AE12" s="158">
        <f>AE2/股权价值增加表!AE38</f>
        <v>0.86509821537256693</v>
      </c>
      <c r="AF12" s="158">
        <f>AF2/股权价值增加表!AF38</f>
        <v>0.75065898898330941</v>
      </c>
      <c r="AG12" s="158">
        <f>AG2/股权价值增加表!AG38</f>
        <v>0.74702557783004353</v>
      </c>
      <c r="AH12" s="158">
        <f>AH2/股权价值增加表!AH38</f>
        <v>0.67384059869438828</v>
      </c>
      <c r="AI12" s="158">
        <f>AI2/股权价值增加表!AI38</f>
        <v>0.68254257761891635</v>
      </c>
      <c r="AJ12" s="158">
        <f>AJ2/股权价值增加表!AJ38</f>
        <v>0.72138822307923789</v>
      </c>
      <c r="AK12" s="158">
        <f>AK2/股权价值增加表!AK38</f>
        <v>0.7406572454831345</v>
      </c>
      <c r="AL12" s="158">
        <f>AL2/股权价值增加表!AL38</f>
        <v>0.75956959572122262</v>
      </c>
      <c r="AM12" s="158">
        <f>AM2/股权价值增加表!AM38</f>
        <v>0.75864440464287464</v>
      </c>
      <c r="AN12" s="158">
        <f>AN2/股权价值增加表!AN38</f>
        <v>0.75181947647656977</v>
      </c>
      <c r="AO12" s="158">
        <f>AO2/股权价值增加表!AO38</f>
        <v>0.80818930449291493</v>
      </c>
      <c r="AP12" s="158">
        <f>AP2/股权价值增加表!AP38</f>
        <v>0.80155284122111681</v>
      </c>
      <c r="AQ12" s="158">
        <f>AQ2/股权价值增加表!AQ38</f>
        <v>0.76588970301868231</v>
      </c>
      <c r="AR12" s="158">
        <f>AR2/股权价值增加表!AR38</f>
        <v>0.9243178684712976</v>
      </c>
      <c r="AS12" s="158" t="e">
        <f>AS2/股权价值增加表!AS38</f>
        <v>#DIV/0!</v>
      </c>
      <c r="AT12" s="158">
        <f>AT2/股权价值增加表!AT38</f>
        <v>-14.592366512196667</v>
      </c>
      <c r="AU12" s="158">
        <f>AU2/股权价值增加表!AU38</f>
        <v>-14.376416082794156</v>
      </c>
      <c r="AV12" s="158">
        <f>AV2/股权价值增加表!AV38</f>
        <v>-91.644454630179325</v>
      </c>
      <c r="AW12" s="158">
        <f>AW2/股权价值增加表!AW38</f>
        <v>-9.9162205411310982</v>
      </c>
      <c r="AX12" s="158">
        <f>AX2/股权价值增加表!AX38</f>
        <v>-17.231369460204579</v>
      </c>
      <c r="AY12" s="158">
        <f>AY2/股权价值增加表!AY38</f>
        <v>-15.021387764306059</v>
      </c>
      <c r="AZ12" s="158">
        <f>AZ2/股权价值增加表!AZ38</f>
        <v>-92.098322439196252</v>
      </c>
      <c r="BA12" s="158">
        <f>BA2/股权价值增加表!BA38</f>
        <v>-17.631308838172572</v>
      </c>
      <c r="BB12" s="158">
        <f>BB2/股权价值增加表!BB38</f>
        <v>-54.304324722487436</v>
      </c>
      <c r="BC12" s="158">
        <f>BC2/股权价值增加表!BC38</f>
        <v>-66.277250227328935</v>
      </c>
      <c r="BD12" s="158">
        <f>BD2/股权价值增加表!BD38</f>
        <v>-38.372760490940244</v>
      </c>
      <c r="BE12" s="158">
        <f>BE2/股权价值增加表!BE38</f>
        <v>-15.764297507062913</v>
      </c>
      <c r="BF12" s="158">
        <f>BF2/股权价值增加表!BF38</f>
        <v>-26.049077122304052</v>
      </c>
      <c r="BG12" s="158">
        <f>BG2/股权价值增加表!BG38</f>
        <v>-23.303157252166656</v>
      </c>
      <c r="BH12" s="158">
        <f>BH2/股权价值增加表!BH38</f>
        <v>-69.000749015543192</v>
      </c>
      <c r="BI12" s="158">
        <f>BI2/股权价值增加表!BI38</f>
        <v>-12.790967082937895</v>
      </c>
      <c r="BJ12" s="158">
        <f>BJ2/股权价值增加表!BJ38</f>
        <v>-14.670402589550692</v>
      </c>
      <c r="BK12" s="158">
        <f>BK2/股权价值增加表!BK38</f>
        <v>-19.530470057823827</v>
      </c>
      <c r="BL12" s="158">
        <f>BL2/股权价值增加表!BL38</f>
        <v>-75.496332781702776</v>
      </c>
      <c r="BM12" s="158">
        <f>BM2/股权价值增加表!BM38</f>
        <v>-8.3062959249435355</v>
      </c>
      <c r="BN12" s="158">
        <f>BN2/股权价值增加表!BN38</f>
        <v>-7.0800067537645504</v>
      </c>
      <c r="BO12" s="158">
        <f>BO2/股权价值增加表!BO38</f>
        <v>-8.6301249443167141</v>
      </c>
      <c r="BP12" s="158">
        <f>BP2/股权价值增加表!BP38</f>
        <v>-15.511200920697274</v>
      </c>
      <c r="BQ12" s="158">
        <f>BQ2/股权价值增加表!BQ38</f>
        <v>-2.0916829946917983</v>
      </c>
      <c r="BR12" s="158">
        <f>BR2/股权价值增加表!BR38</f>
        <v>-11.625</v>
      </c>
      <c r="BS12" s="158">
        <f>BS2/股权价值增加表!BS38</f>
        <v>-5.8283566880658215</v>
      </c>
      <c r="BT12" s="158">
        <f>BT2/股权价值增加表!BT38</f>
        <v>-11.853075776272602</v>
      </c>
      <c r="BU12" s="158">
        <f>BU2/股权价值增加表!BU38</f>
        <v>-13.285141378045161</v>
      </c>
      <c r="BV12" s="158">
        <f>BV2/股权价值增加表!BV38</f>
        <v>-38.705149385866775</v>
      </c>
      <c r="BW12" s="158">
        <f>BW2/股权价值增加表!BW38</f>
        <v>-19.112527092609866</v>
      </c>
      <c r="BX12" s="158">
        <f>BX2/股权价值增加表!BX38</f>
        <v>-5.948062846312304</v>
      </c>
      <c r="BY12" s="158">
        <f>BY2/股权价值增加表!BY38</f>
        <v>-5.0894858138564683</v>
      </c>
      <c r="BZ12" s="158">
        <f>BZ2/股权价值增加表!BZ38</f>
        <v>-10.640426755835241</v>
      </c>
      <c r="CA12" s="158">
        <f>CA2/股权价值增加表!CA38</f>
        <v>15.20372750495731</v>
      </c>
      <c r="CB12" s="158">
        <f>CB2/股权价值增加表!CB38</f>
        <v>8.8774211764848925</v>
      </c>
      <c r="CC12" s="158">
        <f>CC2/股权价值增加表!CC38</f>
        <v>9.6111449985966146</v>
      </c>
      <c r="CD12" s="158" t="e">
        <f>CD2/股权价值增加表!CD38</f>
        <v>#DIV/0!</v>
      </c>
      <c r="CE12" s="158">
        <f>CE2/股权价值增加表!CE38</f>
        <v>-2.5981368870487773</v>
      </c>
      <c r="CF12" s="158">
        <f>CF2/股权价值增加表!CF38</f>
        <v>-6.859739633359264</v>
      </c>
      <c r="CG12" s="158" t="e">
        <f>CG2/股权价值增加表!CG38</f>
        <v>#DIV/0!</v>
      </c>
      <c r="CH12" s="158" t="e">
        <f>CH2/股权价值增加表!CH38</f>
        <v>#DIV/0!</v>
      </c>
      <c r="CI12" s="158" t="e">
        <f>CI2/股权价值增加表!CI38</f>
        <v>#DIV/0!</v>
      </c>
      <c r="CJ12" s="158" t="e">
        <f>CJ2/股权价值增加表!CJ38</f>
        <v>#DIV/0!</v>
      </c>
    </row>
    <row r="13" spans="1:89" s="63" customFormat="1" x14ac:dyDescent="0.25">
      <c r="A13" s="17" t="s">
        <v>435</v>
      </c>
      <c r="E13" s="63">
        <f>1-E2/股权价值增加表!E38</f>
        <v>0.18164803354749859</v>
      </c>
      <c r="F13" s="63">
        <f>1-F2/股权价值增加表!F38</f>
        <v>0.22546703507762023</v>
      </c>
      <c r="G13" s="63">
        <f>1-G2/股权价值增加表!G38</f>
        <v>0.21120747006595619</v>
      </c>
      <c r="H13" s="63">
        <f>1-H2/股权价值增加表!H38</f>
        <v>0.14919107551967292</v>
      </c>
      <c r="I13" s="63">
        <f>1-I2/股权价值增加表!I38</f>
        <v>0.18868734339860849</v>
      </c>
      <c r="J13" s="63">
        <f>1-J2/股权价值增加表!J38</f>
        <v>0.18929170558724995</v>
      </c>
      <c r="K13" s="63">
        <f>1-K2/股权价值增加表!K38</f>
        <v>0.21637124685948239</v>
      </c>
      <c r="L13" s="63">
        <f>1-L2/股权价值增加表!L38</f>
        <v>0.16887578829307426</v>
      </c>
      <c r="M13" s="63">
        <f>1-M2/股权价值增加表!M38</f>
        <v>0.17271293697664791</v>
      </c>
      <c r="N13" s="63">
        <f>1-N2/股权价值增加表!N38</f>
        <v>0.12826363295525423</v>
      </c>
      <c r="O13" s="63">
        <f>1-O2/股权价值增加表!O38</f>
        <v>0.13836229530269106</v>
      </c>
      <c r="P13" s="63">
        <f>1-P2/股权价值增加表!P38</f>
        <v>0.15173068655673272</v>
      </c>
      <c r="Q13" s="63">
        <f>1-Q2/股权价值增加表!Q38</f>
        <v>0.11905469539985003</v>
      </c>
      <c r="R13" s="63">
        <f>1-R2/股权价值增加表!R38</f>
        <v>0.12709755980629811</v>
      </c>
      <c r="S13" s="63">
        <f>1-S2/股权价值增加表!S38</f>
        <v>0.13848237148802534</v>
      </c>
      <c r="T13" s="63">
        <f>1-T2/股权价值增加表!T38</f>
        <v>0.15173175637397629</v>
      </c>
      <c r="U13" s="63">
        <f>1-U2/股权价值增加表!U38</f>
        <v>0.1533222053461154</v>
      </c>
      <c r="V13" s="63">
        <f>1-V2/股权价值增加表!V38</f>
        <v>0.13812266847290688</v>
      </c>
      <c r="W13" s="63">
        <f>1-W2/股权价值增加表!W38</f>
        <v>0.15588724823943434</v>
      </c>
      <c r="X13" s="63">
        <f>1-X2/股权价值增加表!X38</f>
        <v>0.18554166485136669</v>
      </c>
      <c r="Y13" s="63">
        <f>1-Y2/股权价值增加表!Y38</f>
        <v>0.13983380839095083</v>
      </c>
      <c r="Z13" s="63">
        <f>1-Z2/股权价值增加表!Z38</f>
        <v>0.14288563619077777</v>
      </c>
      <c r="AA13" s="63">
        <f>1-AA2/股权价值增加表!AA38</f>
        <v>0.15786650531411373</v>
      </c>
      <c r="AB13" s="63">
        <f>1-AB2/股权价值增加表!AB38</f>
        <v>0.17775303416152666</v>
      </c>
      <c r="AC13" s="63">
        <f>1-AC2/股权价值增加表!AC38</f>
        <v>0.15938577988311908</v>
      </c>
      <c r="AD13" s="63">
        <f>1-AD2/股权价值增加表!AD38</f>
        <v>0.14636807825946452</v>
      </c>
      <c r="AE13" s="63">
        <f>1-AE2/股权价值增加表!AE38</f>
        <v>0.13490178462743307</v>
      </c>
      <c r="AF13" s="63">
        <f>1-AF2/股权价值增加表!AF38</f>
        <v>0.24934101101669059</v>
      </c>
      <c r="AG13" s="63">
        <f>1-AG2/股权价值增加表!AG38</f>
        <v>0.25297442216995647</v>
      </c>
      <c r="AH13" s="63">
        <f>1-AH2/股权价值增加表!AH38</f>
        <v>0.32615940130561172</v>
      </c>
      <c r="AI13" s="63">
        <f>1-AI2/股权价值增加表!AI38</f>
        <v>0.31745742238108365</v>
      </c>
      <c r="AJ13" s="63">
        <f>1-AJ2/股权价值增加表!AJ38</f>
        <v>0.27861177692076211</v>
      </c>
      <c r="AK13" s="63">
        <f>1-AK2/股权价值增加表!AK38</f>
        <v>0.2593427545168655</v>
      </c>
      <c r="AL13" s="63">
        <f>1-AL2/股权价值增加表!AL38</f>
        <v>0.24043040427877738</v>
      </c>
      <c r="AM13" s="63">
        <f>1-AM2/股权价值增加表!AM38</f>
        <v>0.24135559535712536</v>
      </c>
      <c r="AN13" s="63">
        <f>1-AN2/股权价值增加表!AN38</f>
        <v>0.24818052352343023</v>
      </c>
      <c r="AO13" s="63">
        <f>1-AO2/股权价值增加表!AO38</f>
        <v>0.19181069550708507</v>
      </c>
      <c r="AP13" s="63">
        <f>1-AP2/股权价值增加表!AP38</f>
        <v>0.19844715877888319</v>
      </c>
      <c r="AQ13" s="63">
        <f>1-AQ2/股权价值增加表!AQ38</f>
        <v>0.23411029698131769</v>
      </c>
      <c r="AR13" s="63">
        <f>1-AR2/股权价值增加表!AR38</f>
        <v>7.5682131528702401E-2</v>
      </c>
      <c r="AS13" s="63" t="e">
        <f>1-AS2/股权价值增加表!AS38</f>
        <v>#DIV/0!</v>
      </c>
      <c r="AT13" s="63">
        <f>1-AT2/股权价值增加表!AT38</f>
        <v>15.592366512196667</v>
      </c>
      <c r="AU13" s="63">
        <f>1-AU2/股权价值增加表!AU38</f>
        <v>15.376416082794156</v>
      </c>
      <c r="AV13" s="63">
        <f>1-AV2/股权价值增加表!AV38</f>
        <v>92.644454630179325</v>
      </c>
      <c r="AW13" s="63">
        <f>1-AW2/股权价值增加表!AW38</f>
        <v>10.916220541131098</v>
      </c>
      <c r="AX13" s="63">
        <f>1-AX2/股权价值增加表!AX38</f>
        <v>18.231369460204579</v>
      </c>
      <c r="AY13" s="63">
        <f>1-AY2/股权价值增加表!AY38</f>
        <v>16.021387764306059</v>
      </c>
      <c r="AZ13" s="63">
        <f>1-AZ2/股权价值增加表!AZ38</f>
        <v>93.098322439196252</v>
      </c>
      <c r="BA13" s="63">
        <f>1-BA2/股权价值增加表!BA38</f>
        <v>18.631308838172572</v>
      </c>
      <c r="BB13" s="63">
        <f>1-BB2/股权价值增加表!BB38</f>
        <v>55.304324722487436</v>
      </c>
      <c r="BC13" s="63">
        <f>1-BC2/股权价值增加表!BC38</f>
        <v>67.277250227328935</v>
      </c>
      <c r="BD13" s="63">
        <f>1-BD2/股权价值增加表!BD38</f>
        <v>39.372760490940244</v>
      </c>
      <c r="BE13" s="63">
        <f>1-BE2/股权价值增加表!BE38</f>
        <v>16.764297507062913</v>
      </c>
      <c r="BF13" s="63">
        <f>1-BF2/股权价值增加表!BF38</f>
        <v>27.049077122304052</v>
      </c>
      <c r="BG13" s="63">
        <f>1-BG2/股权价值增加表!BG38</f>
        <v>24.303157252166656</v>
      </c>
      <c r="BH13" s="63">
        <f>1-BH2/股权价值增加表!BH38</f>
        <v>70.000749015543192</v>
      </c>
      <c r="BI13" s="63">
        <f>1-BI2/股权价值增加表!BI38</f>
        <v>13.790967082937895</v>
      </c>
      <c r="BJ13" s="63">
        <f>1-BJ2/股权价值增加表!BJ38</f>
        <v>15.670402589550692</v>
      </c>
      <c r="BK13" s="63">
        <f>1-BK2/股权价值增加表!BK38</f>
        <v>20.530470057823827</v>
      </c>
      <c r="BL13" s="63">
        <f>1-BL2/股权价值增加表!BL38</f>
        <v>76.496332781702776</v>
      </c>
      <c r="BM13" s="63">
        <f>1-BM2/股权价值增加表!BM38</f>
        <v>9.3062959249435355</v>
      </c>
      <c r="BN13" s="63">
        <f>1-BN2/股权价值增加表!BN38</f>
        <v>8.0800067537645504</v>
      </c>
      <c r="BO13" s="63">
        <f>1-BO2/股权价值增加表!BO38</f>
        <v>9.6301249443167141</v>
      </c>
      <c r="BP13" s="63">
        <f>1-BP2/股权价值增加表!BP38</f>
        <v>16.511200920697274</v>
      </c>
      <c r="BQ13" s="63">
        <f>1-BQ2/股权价值增加表!BQ38</f>
        <v>3.0916829946917983</v>
      </c>
      <c r="BR13" s="63">
        <f>1-BR2/股权价值增加表!BR38</f>
        <v>12.625</v>
      </c>
      <c r="BS13" s="63">
        <f>1-BS2/股权价值增加表!BS38</f>
        <v>6.8283566880658215</v>
      </c>
      <c r="BT13" s="63">
        <f>1-BT2/股权价值增加表!BT38</f>
        <v>12.853075776272602</v>
      </c>
      <c r="BU13" s="63">
        <f>1-BU2/股权价值增加表!BU38</f>
        <v>14.285141378045161</v>
      </c>
      <c r="BV13" s="63">
        <f>1-BV2/股权价值增加表!BV38</f>
        <v>39.705149385866775</v>
      </c>
      <c r="BW13" s="63">
        <f>1-BW2/股权价值增加表!BW38</f>
        <v>20.112527092609866</v>
      </c>
      <c r="BX13" s="63">
        <f>1-BX2/股权价值增加表!BX38</f>
        <v>6.948062846312304</v>
      </c>
      <c r="BY13" s="63">
        <f>1-BY2/股权价值增加表!BY38</f>
        <v>6.0894858138564683</v>
      </c>
      <c r="BZ13" s="63">
        <f>1-BZ2/股权价值增加表!BZ38</f>
        <v>11.640426755835241</v>
      </c>
      <c r="CA13" s="63">
        <f>1-CA2/股权价值增加表!CA38</f>
        <v>-14.20372750495731</v>
      </c>
      <c r="CB13" s="63">
        <f>1-CB2/股权价值增加表!CB38</f>
        <v>-7.8774211764848925</v>
      </c>
      <c r="CC13" s="63">
        <f>1-CC2/股权价值增加表!CC38</f>
        <v>-8.6111449985966146</v>
      </c>
      <c r="CD13" s="63" t="e">
        <f>1-CD2/股权价值增加表!CD38</f>
        <v>#DIV/0!</v>
      </c>
      <c r="CE13" s="63">
        <f>1-CE2/股权价值增加表!CE38</f>
        <v>3.5981368870487773</v>
      </c>
      <c r="CF13" s="63">
        <f>1-CF2/股权价值增加表!CF38</f>
        <v>7.859739633359264</v>
      </c>
      <c r="CG13" s="63" t="e">
        <f>1-CG2/股权价值增加表!CG38</f>
        <v>#DIV/0!</v>
      </c>
      <c r="CH13" s="63" t="e">
        <f>1-CH2/股权价值增加表!CH38</f>
        <v>#DIV/0!</v>
      </c>
      <c r="CI13" s="63" t="e">
        <f>1-CI2/股权价值增加表!CI38</f>
        <v>#DIV/0!</v>
      </c>
      <c r="CJ13" s="63" t="e">
        <f>1-CJ2/股权价值增加表!CJ38</f>
        <v>#DIV/0!</v>
      </c>
    </row>
    <row r="14" spans="1:89" s="59" customFormat="1" x14ac:dyDescent="0.25">
      <c r="A14" s="146" t="s">
        <v>436</v>
      </c>
      <c r="E14" s="59">
        <f>E6*E7*E9*E10*E12</f>
        <v>0.12976612054436637</v>
      </c>
      <c r="F14" s="59">
        <f t="shared" ref="F14:BQ14" si="4">F6*F7*F9*F10*F12</f>
        <v>0.10215700155247193</v>
      </c>
      <c r="G14" s="59">
        <f t="shared" si="4"/>
        <v>5.6994595621886732E-2</v>
      </c>
      <c r="H14" s="59">
        <f t="shared" si="4"/>
        <v>4.1709269358449472E-2</v>
      </c>
      <c r="I14" s="59">
        <f t="shared" si="4"/>
        <v>0.1204868633078095</v>
      </c>
      <c r="J14" s="59">
        <f t="shared" si="4"/>
        <v>9.6596908128557937E-2</v>
      </c>
      <c r="K14" s="59">
        <f t="shared" si="4"/>
        <v>5.965214265329416E-2</v>
      </c>
      <c r="L14" s="59">
        <f t="shared" si="4"/>
        <v>4.1082383218550789E-2</v>
      </c>
      <c r="M14" s="59">
        <f t="shared" si="4"/>
        <v>0.15983948236672449</v>
      </c>
      <c r="N14" s="59">
        <f t="shared" si="4"/>
        <v>0.13043451674706133</v>
      </c>
      <c r="O14" s="59">
        <f t="shared" si="4"/>
        <v>7.8036315425067199E-2</v>
      </c>
      <c r="P14" s="59">
        <f t="shared" si="4"/>
        <v>4.5440388856431695E-2</v>
      </c>
      <c r="Q14" s="59">
        <f t="shared" si="4"/>
        <v>0.15954906184795753</v>
      </c>
      <c r="R14" s="59">
        <f t="shared" si="4"/>
        <v>0.1201759022929815</v>
      </c>
      <c r="S14" s="59">
        <f t="shared" si="4"/>
        <v>7.2138587315751804E-2</v>
      </c>
      <c r="T14" s="59">
        <f t="shared" si="4"/>
        <v>4.4491928256995474E-2</v>
      </c>
      <c r="U14" s="59">
        <f t="shared" si="4"/>
        <v>0.1555296240655534</v>
      </c>
      <c r="V14" s="59">
        <f t="shared" si="4"/>
        <v>0.11657101150868268</v>
      </c>
      <c r="W14" s="59">
        <f t="shared" si="4"/>
        <v>7.0825032165609675E-2</v>
      </c>
      <c r="X14" s="59">
        <f t="shared" si="4"/>
        <v>4.3316438645175301E-2</v>
      </c>
      <c r="Y14" s="59">
        <f t="shared" si="4"/>
        <v>0.20139232062065016</v>
      </c>
      <c r="Z14" s="59">
        <f t="shared" si="4"/>
        <v>0.1436354623833673</v>
      </c>
      <c r="AA14" s="59">
        <f t="shared" si="4"/>
        <v>8.1378228025305199E-2</v>
      </c>
      <c r="AB14" s="59">
        <f t="shared" si="4"/>
        <v>6.0530095535029721E-2</v>
      </c>
      <c r="AC14" s="59">
        <f t="shared" si="4"/>
        <v>0.22543363127168314</v>
      </c>
      <c r="AD14" s="59">
        <f t="shared" si="4"/>
        <v>0.17957987825403524</v>
      </c>
      <c r="AE14" s="59">
        <f t="shared" si="4"/>
        <v>0.11264222551879026</v>
      </c>
      <c r="AF14" s="59">
        <f t="shared" si="4"/>
        <v>5.7808570337270854E-2</v>
      </c>
      <c r="AG14" s="59">
        <f t="shared" si="4"/>
        <v>0.14272958100110805</v>
      </c>
      <c r="AH14" s="59">
        <f t="shared" si="4"/>
        <v>0.10466099867091049</v>
      </c>
      <c r="AI14" s="59">
        <f t="shared" si="4"/>
        <v>5.8976498822246572E-2</v>
      </c>
      <c r="AJ14" s="59">
        <f t="shared" si="4"/>
        <v>3.6288427744487498E-2</v>
      </c>
      <c r="AK14" s="59">
        <f t="shared" si="4"/>
        <v>0.10916921744138137</v>
      </c>
      <c r="AL14" s="59">
        <f t="shared" si="4"/>
        <v>7.8884195033126908E-2</v>
      </c>
      <c r="AM14" s="59">
        <f t="shared" si="4"/>
        <v>0.15423043646805229</v>
      </c>
      <c r="AN14" s="59">
        <f t="shared" si="4"/>
        <v>0.11209244389346781</v>
      </c>
      <c r="AO14" s="59">
        <f t="shared" si="4"/>
        <v>0.47250704564612006</v>
      </c>
      <c r="AP14" s="59">
        <f t="shared" si="4"/>
        <v>0.65853542172883128</v>
      </c>
      <c r="AQ14" s="59" t="e">
        <f t="shared" si="4"/>
        <v>#DIV/0!</v>
      </c>
      <c r="AR14" s="59" t="e">
        <f t="shared" si="4"/>
        <v>#DIV/0!</v>
      </c>
      <c r="AS14" s="59" t="e">
        <f t="shared" si="4"/>
        <v>#DIV/0!</v>
      </c>
      <c r="AT14" s="59" t="e">
        <f t="shared" si="4"/>
        <v>#DIV/0!</v>
      </c>
      <c r="AU14" s="59" t="e">
        <f t="shared" si="4"/>
        <v>#DIV/0!</v>
      </c>
      <c r="AV14" s="59" t="e">
        <f t="shared" si="4"/>
        <v>#DIV/0!</v>
      </c>
      <c r="AW14" s="59" t="e">
        <f t="shared" si="4"/>
        <v>#DIV/0!</v>
      </c>
      <c r="AX14" s="59" t="e">
        <f t="shared" si="4"/>
        <v>#DIV/0!</v>
      </c>
      <c r="AY14" s="59" t="e">
        <f t="shared" si="4"/>
        <v>#DIV/0!</v>
      </c>
      <c r="AZ14" s="59" t="e">
        <f t="shared" si="4"/>
        <v>#DIV/0!</v>
      </c>
      <c r="BA14" s="59" t="e">
        <f t="shared" si="4"/>
        <v>#DIV/0!</v>
      </c>
      <c r="BB14" s="59" t="e">
        <f t="shared" si="4"/>
        <v>#DIV/0!</v>
      </c>
      <c r="BC14" s="59" t="e">
        <f t="shared" si="4"/>
        <v>#DIV/0!</v>
      </c>
      <c r="BD14" s="59" t="e">
        <f t="shared" si="4"/>
        <v>#DIV/0!</v>
      </c>
      <c r="BE14" s="59" t="e">
        <f t="shared" si="4"/>
        <v>#DIV/0!</v>
      </c>
      <c r="BF14" s="59" t="e">
        <f t="shared" si="4"/>
        <v>#DIV/0!</v>
      </c>
      <c r="BG14" s="59" t="e">
        <f t="shared" si="4"/>
        <v>#DIV/0!</v>
      </c>
      <c r="BH14" s="59" t="e">
        <f t="shared" si="4"/>
        <v>#DIV/0!</v>
      </c>
      <c r="BI14" s="59" t="e">
        <f t="shared" si="4"/>
        <v>#DIV/0!</v>
      </c>
      <c r="BJ14" s="59" t="e">
        <f t="shared" si="4"/>
        <v>#DIV/0!</v>
      </c>
      <c r="BK14" s="59" t="e">
        <f t="shared" si="4"/>
        <v>#DIV/0!</v>
      </c>
      <c r="BL14" s="59" t="e">
        <f t="shared" si="4"/>
        <v>#DIV/0!</v>
      </c>
      <c r="BM14" s="59" t="e">
        <f t="shared" si="4"/>
        <v>#DIV/0!</v>
      </c>
      <c r="BN14" s="59" t="e">
        <f t="shared" si="4"/>
        <v>#DIV/0!</v>
      </c>
      <c r="BO14" s="59" t="e">
        <f t="shared" si="4"/>
        <v>#DIV/0!</v>
      </c>
      <c r="BP14" s="59" t="e">
        <f t="shared" si="4"/>
        <v>#DIV/0!</v>
      </c>
      <c r="BQ14" s="59" t="e">
        <f t="shared" si="4"/>
        <v>#DIV/0!</v>
      </c>
      <c r="BR14" s="59" t="e">
        <f t="shared" ref="BR14:CJ14" si="5">BR6*BR7*BR9*BR10*BR12</f>
        <v>#DIV/0!</v>
      </c>
      <c r="BS14" s="59" t="e">
        <f t="shared" si="5"/>
        <v>#DIV/0!</v>
      </c>
      <c r="BT14" s="59" t="e">
        <f t="shared" si="5"/>
        <v>#DIV/0!</v>
      </c>
      <c r="BU14" s="59" t="e">
        <f t="shared" si="5"/>
        <v>#DIV/0!</v>
      </c>
      <c r="BV14" s="59" t="e">
        <f t="shared" si="5"/>
        <v>#DIV/0!</v>
      </c>
      <c r="BW14" s="59" t="e">
        <f t="shared" si="5"/>
        <v>#DIV/0!</v>
      </c>
      <c r="BX14" s="59" t="e">
        <f t="shared" si="5"/>
        <v>#DIV/0!</v>
      </c>
      <c r="BY14" s="59" t="e">
        <f t="shared" si="5"/>
        <v>#DIV/0!</v>
      </c>
      <c r="BZ14" s="59" t="e">
        <f t="shared" si="5"/>
        <v>#DIV/0!</v>
      </c>
      <c r="CA14" s="59" t="e">
        <f t="shared" si="5"/>
        <v>#DIV/0!</v>
      </c>
      <c r="CB14" s="59" t="e">
        <f t="shared" si="5"/>
        <v>#DIV/0!</v>
      </c>
      <c r="CC14" s="59" t="e">
        <f t="shared" si="5"/>
        <v>#DIV/0!</v>
      </c>
      <c r="CD14" s="59" t="e">
        <f t="shared" si="5"/>
        <v>#DIV/0!</v>
      </c>
      <c r="CE14" s="59" t="e">
        <f t="shared" si="5"/>
        <v>#DIV/0!</v>
      </c>
      <c r="CF14" s="59" t="e">
        <f t="shared" si="5"/>
        <v>#DIV/0!</v>
      </c>
      <c r="CG14" s="59" t="e">
        <f t="shared" si="5"/>
        <v>#DIV/0!</v>
      </c>
      <c r="CH14" s="59" t="e">
        <f t="shared" si="5"/>
        <v>#DIV/0!</v>
      </c>
      <c r="CI14" s="59" t="e">
        <f t="shared" si="5"/>
        <v>#DIV/0!</v>
      </c>
      <c r="CJ14" s="59" t="e">
        <f t="shared" si="5"/>
        <v>#DIV/0!</v>
      </c>
    </row>
    <row r="15" spans="1:89" s="16" customFormat="1" ht="195" customHeight="1" x14ac:dyDescent="0.25">
      <c r="A15" s="279" t="s">
        <v>698</v>
      </c>
      <c r="B15" s="278"/>
      <c r="C15" s="278"/>
      <c r="D15" s="278"/>
      <c r="E15" s="278"/>
      <c r="F15" s="278"/>
      <c r="G15" s="278"/>
      <c r="H15" s="278"/>
      <c r="I15" s="278"/>
      <c r="J15" s="278"/>
      <c r="K15" s="278"/>
      <c r="L15" s="278"/>
      <c r="M15" s="278"/>
      <c r="N15" s="278"/>
      <c r="O15" s="278"/>
      <c r="P15" s="278"/>
      <c r="Q15" s="278"/>
      <c r="R15" s="278"/>
      <c r="S15" s="278"/>
      <c r="T15" s="278"/>
      <c r="U15" s="278"/>
      <c r="V15" s="278"/>
      <c r="W15" s="278"/>
      <c r="X15" s="278"/>
      <c r="Y15" s="278"/>
      <c r="Z15" s="278"/>
      <c r="AA15" s="278"/>
      <c r="AB15" s="278"/>
      <c r="AC15" s="278"/>
      <c r="AD15" s="278"/>
      <c r="AE15" s="278"/>
      <c r="AF15" s="278"/>
      <c r="AG15" s="278"/>
    </row>
    <row r="17" spans="1:89" ht="15" thickBot="1" x14ac:dyDescent="0.3"/>
    <row r="18" spans="1:89" s="250" customFormat="1" x14ac:dyDescent="0.25">
      <c r="A18" s="249" t="s">
        <v>440</v>
      </c>
      <c r="B18" s="1">
        <v>43373</v>
      </c>
      <c r="C18" s="1">
        <v>43281</v>
      </c>
      <c r="D18" s="1">
        <v>43190</v>
      </c>
      <c r="E18" s="1">
        <v>43100</v>
      </c>
      <c r="F18" s="1">
        <v>43008</v>
      </c>
      <c r="G18" s="1">
        <v>42916</v>
      </c>
      <c r="H18" s="1">
        <v>42825</v>
      </c>
      <c r="I18" s="1">
        <v>42735</v>
      </c>
      <c r="J18" s="1">
        <v>42643</v>
      </c>
      <c r="K18" s="1">
        <v>42551</v>
      </c>
      <c r="L18" s="1">
        <v>42460</v>
      </c>
      <c r="M18" s="1">
        <v>42369</v>
      </c>
      <c r="N18" s="1">
        <v>42277</v>
      </c>
      <c r="O18" s="1">
        <v>42185</v>
      </c>
      <c r="P18" s="1">
        <v>42094</v>
      </c>
      <c r="Q18" s="1">
        <v>42004</v>
      </c>
      <c r="R18" s="1">
        <v>41912</v>
      </c>
      <c r="S18" s="1">
        <v>41820</v>
      </c>
      <c r="T18" s="1">
        <v>41729</v>
      </c>
      <c r="U18" s="1">
        <v>41639</v>
      </c>
      <c r="V18" s="1">
        <v>41547</v>
      </c>
      <c r="W18" s="1">
        <v>41455</v>
      </c>
      <c r="X18" s="1">
        <v>41364</v>
      </c>
      <c r="Y18" s="1">
        <v>41274</v>
      </c>
      <c r="Z18" s="1">
        <v>41182</v>
      </c>
      <c r="AA18" s="1">
        <v>41090</v>
      </c>
      <c r="AB18" s="1">
        <v>40999</v>
      </c>
      <c r="AC18" s="1">
        <v>40908</v>
      </c>
      <c r="AD18" s="1">
        <v>40816</v>
      </c>
      <c r="AE18" s="1">
        <v>40724</v>
      </c>
      <c r="AF18" s="1">
        <v>40633</v>
      </c>
      <c r="AG18" s="1">
        <v>40543</v>
      </c>
      <c r="AH18" s="1">
        <v>40451</v>
      </c>
      <c r="AI18" s="1">
        <v>40359</v>
      </c>
      <c r="AJ18" s="1">
        <v>40268</v>
      </c>
      <c r="AK18" s="1">
        <v>40178</v>
      </c>
      <c r="AL18" s="1">
        <v>40086</v>
      </c>
      <c r="AM18" s="1">
        <v>39994</v>
      </c>
      <c r="AN18" s="1">
        <v>39903</v>
      </c>
      <c r="AO18" s="1">
        <v>39813</v>
      </c>
      <c r="AP18" s="1">
        <v>39721</v>
      </c>
      <c r="AQ18" s="1">
        <v>39447</v>
      </c>
      <c r="AR18" s="1">
        <v>39082</v>
      </c>
      <c r="AS18" s="1">
        <v>25569</v>
      </c>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row>
    <row r="19" spans="1:89" s="116" customFormat="1" x14ac:dyDescent="0.25">
      <c r="A19" s="159" t="s">
        <v>446</v>
      </c>
      <c r="B19" s="76">
        <v>43373</v>
      </c>
      <c r="C19" s="76">
        <v>43281</v>
      </c>
      <c r="D19" s="76">
        <v>43190</v>
      </c>
      <c r="E19" s="76">
        <f>股权价值增加表!E4</f>
        <v>4661850865.5100002</v>
      </c>
      <c r="F19" s="76">
        <f>股权价值增加表!F4</f>
        <v>3182670009.3200002</v>
      </c>
      <c r="G19" s="76">
        <f>股权价值增加表!G4</f>
        <v>1981435890.6199999</v>
      </c>
      <c r="H19" s="76">
        <f>股权价值增加表!H4</f>
        <v>1057767260.42</v>
      </c>
      <c r="I19" s="76">
        <f>股权价值增加表!I4</f>
        <v>3152216442.1500001</v>
      </c>
      <c r="J19" s="76">
        <f>股权价值增加表!J4</f>
        <v>2155264290.48</v>
      </c>
      <c r="K19" s="76">
        <f>股权价值增加表!K4</f>
        <v>1343083310.6500001</v>
      </c>
      <c r="L19" s="76">
        <f>股权价值增加表!L4</f>
        <v>762846279.96000004</v>
      </c>
      <c r="M19" s="76">
        <f>股权价值增加表!M4</f>
        <v>2915633891.98</v>
      </c>
      <c r="N19" s="76">
        <f>股权价值增加表!N4</f>
        <v>2046094586.02</v>
      </c>
      <c r="O19" s="76">
        <f>股权价值增加表!O4</f>
        <v>1249976092.8499999</v>
      </c>
      <c r="P19" s="76">
        <f>股权价值增加表!P4</f>
        <v>705394935.15999997</v>
      </c>
      <c r="Q19" s="76">
        <f>股权价值增加表!Q4</f>
        <v>2761400573.5100002</v>
      </c>
      <c r="R19" s="76">
        <f>股权价值增加表!R4</f>
        <v>1879993912.9100001</v>
      </c>
      <c r="S19" s="76">
        <f>股权价值增加表!S4</f>
        <v>1112279848.48</v>
      </c>
      <c r="T19" s="76">
        <f>股权价值增加表!T4</f>
        <v>657308577.96000004</v>
      </c>
      <c r="U19" s="76">
        <f>股权价值增加表!U4</f>
        <v>2524209416.4000001</v>
      </c>
      <c r="V19" s="76">
        <f>股权价值增加表!V4</f>
        <v>1722646961.76</v>
      </c>
      <c r="W19" s="76">
        <f>股权价值增加表!W4</f>
        <v>1078073329.79</v>
      </c>
      <c r="X19" s="76">
        <f>股权价值增加表!X4</f>
        <v>615351177.55999994</v>
      </c>
      <c r="Y19" s="76">
        <f>股权价值增加表!Y4</f>
        <v>2724953861.21</v>
      </c>
      <c r="Z19" s="76">
        <f>股权价值增加表!Z4</f>
        <v>1847721787.6600001</v>
      </c>
      <c r="AA19" s="76">
        <f>股权价值增加表!AA4</f>
        <v>1036490112.66</v>
      </c>
      <c r="AB19" s="76">
        <f>股权价值增加表!AB4</f>
        <v>614320304.89999998</v>
      </c>
      <c r="AC19" s="76">
        <f>股权价值增加表!AC4</f>
        <v>2382434788.48</v>
      </c>
      <c r="AD19" s="76">
        <f>股权价值增加表!AD4</f>
        <v>1633896787.0999999</v>
      </c>
      <c r="AE19" s="76">
        <f>股权价值增加表!AE4</f>
        <v>1003246147.98</v>
      </c>
      <c r="AF19" s="76">
        <f>股权价值增加表!AF4</f>
        <v>583149853.35000002</v>
      </c>
      <c r="AG19" s="76">
        <f>股权价值增加表!AG4</f>
        <v>1818814620.1400001</v>
      </c>
      <c r="AH19" s="76">
        <f>股权价值增加表!AH4</f>
        <v>1145669244.4200001</v>
      </c>
      <c r="AI19" s="76">
        <f>股权价值增加表!AI4</f>
        <v>661829336.29999995</v>
      </c>
      <c r="AJ19" s="76">
        <f>股权价值增加表!AJ4</f>
        <v>359335837.14999998</v>
      </c>
      <c r="AK19" s="76">
        <f>股权价值增加表!AK4</f>
        <v>1145306750.3299999</v>
      </c>
      <c r="AL19" s="76">
        <f>股权价值增加表!AL4</f>
        <v>723914564.5</v>
      </c>
      <c r="AM19" s="76">
        <f>股权价值增加表!AM4</f>
        <v>407570538.00999999</v>
      </c>
      <c r="AN19" s="76">
        <f>股权价值增加表!AN4</f>
        <v>255192022.33000001</v>
      </c>
      <c r="AO19" s="76">
        <f>股权价值增加表!AO4</f>
        <v>902684684.88</v>
      </c>
      <c r="AP19" s="76">
        <f>股权价值增加表!AP4</f>
        <v>632875455.57000005</v>
      </c>
      <c r="AQ19" s="76">
        <f>股权价值增加表!AQ4</f>
        <v>755362629.51999998</v>
      </c>
      <c r="AR19" s="76">
        <f>股权价值增加表!AR4</f>
        <v>552487592.55999994</v>
      </c>
      <c r="AS19" s="76">
        <f>股权价值增加表!AS4</f>
        <v>0</v>
      </c>
      <c r="AT19" s="76">
        <f>股权价值增加表!AT4</f>
        <v>0</v>
      </c>
      <c r="AU19" s="76">
        <f>股权价值增加表!AU4</f>
        <v>0</v>
      </c>
      <c r="AV19" s="76">
        <f>股权价值增加表!AV4</f>
        <v>0</v>
      </c>
      <c r="AW19" s="76">
        <f>股权价值增加表!AW4</f>
        <v>0</v>
      </c>
      <c r="AX19" s="76">
        <f>股权价值增加表!AX4</f>
        <v>0</v>
      </c>
      <c r="AY19" s="76">
        <f>股权价值增加表!AY4</f>
        <v>0</v>
      </c>
      <c r="AZ19" s="76">
        <f>股权价值增加表!AZ4</f>
        <v>0</v>
      </c>
      <c r="BA19" s="76">
        <f>股权价值增加表!BA4</f>
        <v>0</v>
      </c>
      <c r="BB19" s="76">
        <f>股权价值增加表!BB4</f>
        <v>0</v>
      </c>
      <c r="BC19" s="76">
        <f>股权价值增加表!BC4</f>
        <v>0</v>
      </c>
      <c r="BD19" s="76">
        <f>股权价值增加表!BD4</f>
        <v>0</v>
      </c>
      <c r="BE19" s="76">
        <f>股权价值增加表!BE4</f>
        <v>0</v>
      </c>
      <c r="BF19" s="76">
        <f>股权价值增加表!BF4</f>
        <v>0</v>
      </c>
      <c r="BG19" s="76">
        <f>股权价值增加表!BG4</f>
        <v>0</v>
      </c>
      <c r="BH19" s="76">
        <f>股权价值增加表!BH4</f>
        <v>0</v>
      </c>
      <c r="BI19" s="76">
        <f>股权价值增加表!BI4</f>
        <v>0</v>
      </c>
      <c r="BJ19" s="76">
        <f>股权价值增加表!BJ4</f>
        <v>0</v>
      </c>
      <c r="BK19" s="76">
        <f>股权价值增加表!BK4</f>
        <v>0</v>
      </c>
      <c r="BL19" s="76">
        <f>股权价值增加表!BL4</f>
        <v>0</v>
      </c>
      <c r="BM19" s="76">
        <f>股权价值增加表!BM4</f>
        <v>0</v>
      </c>
      <c r="BN19" s="76">
        <f>股权价值增加表!BN4</f>
        <v>0</v>
      </c>
      <c r="BO19" s="76">
        <f>股权价值增加表!BO4</f>
        <v>0</v>
      </c>
      <c r="BP19" s="76">
        <f>股权价值增加表!BP4</f>
        <v>0</v>
      </c>
      <c r="BQ19" s="76">
        <f>股权价值增加表!BQ4</f>
        <v>0</v>
      </c>
      <c r="BR19" s="76">
        <f>股权价值增加表!BR4</f>
        <v>0</v>
      </c>
      <c r="BS19" s="76">
        <f>股权价值增加表!BS4</f>
        <v>0</v>
      </c>
      <c r="BT19" s="76">
        <f>股权价值增加表!BT4</f>
        <v>0</v>
      </c>
      <c r="BU19" s="76">
        <f>股权价值增加表!BU4</f>
        <v>0</v>
      </c>
      <c r="BV19" s="76">
        <f>股权价值增加表!BV4</f>
        <v>0</v>
      </c>
      <c r="BW19" s="76">
        <f>股权价值增加表!BW4</f>
        <v>0</v>
      </c>
      <c r="BX19" s="76">
        <f>股权价值增加表!BX4</f>
        <v>0</v>
      </c>
      <c r="BY19" s="76">
        <f>股权价值增加表!BY4</f>
        <v>0</v>
      </c>
      <c r="BZ19" s="76">
        <f>股权价值增加表!BZ4</f>
        <v>0</v>
      </c>
      <c r="CA19" s="76">
        <f>股权价值增加表!CA4</f>
        <v>0</v>
      </c>
      <c r="CB19" s="76">
        <f>股权价值增加表!CB4</f>
        <v>0</v>
      </c>
      <c r="CC19" s="76">
        <f>股权价值增加表!CC4</f>
        <v>0</v>
      </c>
      <c r="CD19" s="76">
        <f>股权价值增加表!CD4</f>
        <v>0</v>
      </c>
      <c r="CE19" s="76">
        <f>股权价值增加表!CE4</f>
        <v>0</v>
      </c>
      <c r="CF19" s="76">
        <f>股权价值增加表!CF4</f>
        <v>0</v>
      </c>
      <c r="CG19" s="76">
        <f>股权价值增加表!CG4</f>
        <v>0</v>
      </c>
      <c r="CH19" s="76">
        <f>股权价值增加表!CH4</f>
        <v>0</v>
      </c>
      <c r="CI19" s="76">
        <f>股权价值增加表!CI4</f>
        <v>0</v>
      </c>
      <c r="CJ19" s="76">
        <f>股权价值增加表!CJ4</f>
        <v>0</v>
      </c>
      <c r="CK19" s="76">
        <f>股权价值增加表!CK4</f>
        <v>0</v>
      </c>
    </row>
    <row r="20" spans="1:89" s="76" customFormat="1" x14ac:dyDescent="0.25">
      <c r="A20" s="159" t="s">
        <v>447</v>
      </c>
      <c r="E20" s="76">
        <f>股权价值增加表!E15</f>
        <v>523178348.21000004</v>
      </c>
      <c r="F20" s="76">
        <f>股权价值增加表!F15</f>
        <v>419080678.67000008</v>
      </c>
      <c r="G20" s="76">
        <f>股权价值增加表!G15</f>
        <v>214545258.82999974</v>
      </c>
      <c r="H20" s="76">
        <f>股权价值增加表!H15</f>
        <v>145280786.59999999</v>
      </c>
      <c r="I20" s="76">
        <f>股权价值增加表!I15</f>
        <v>380273224.21999973</v>
      </c>
      <c r="J20" s="76">
        <f>股权价值增加表!J15</f>
        <v>311019714.43000007</v>
      </c>
      <c r="K20" s="76">
        <f>股权价值增加表!K15</f>
        <v>185716513.07000017</v>
      </c>
      <c r="L20" s="76">
        <f>股权价值增加表!L15</f>
        <v>125880653.19</v>
      </c>
      <c r="M20" s="76">
        <f>股权价值增加表!M15</f>
        <v>441577738.04999995</v>
      </c>
      <c r="N20" s="76">
        <f>股权价值增加表!N15</f>
        <v>336580179.87</v>
      </c>
      <c r="O20" s="76">
        <f>股权价值增加表!O15</f>
        <v>191471550.28999993</v>
      </c>
      <c r="P20" s="76">
        <f>股权价值增加表!P15</f>
        <v>134196355.73999994</v>
      </c>
      <c r="Q20" s="76">
        <f>股权价值增加表!Q15</f>
        <v>412039612.28000009</v>
      </c>
      <c r="R20" s="76">
        <f>股权价值增加表!R15</f>
        <v>286533512.59000009</v>
      </c>
      <c r="S20" s="76">
        <f>股权价值增加表!S15</f>
        <v>161518149.71000001</v>
      </c>
      <c r="T20" s="76">
        <f>股权价值增加表!T15</f>
        <v>106722857.55000003</v>
      </c>
      <c r="U20" s="76">
        <f>股权价值增加表!U15</f>
        <v>365169041.95000005</v>
      </c>
      <c r="V20" s="76">
        <f>股权价值增加表!V15</f>
        <v>254301756.83000004</v>
      </c>
      <c r="W20" s="76">
        <f>股权价值增加表!W15</f>
        <v>147345474.63999996</v>
      </c>
      <c r="X20" s="76">
        <f>股权价值增加表!X15</f>
        <v>97637075.229999915</v>
      </c>
      <c r="Y20" s="76">
        <f>股权价值增加表!Y15</f>
        <v>421385488.86000007</v>
      </c>
      <c r="Z20" s="76">
        <f>股权价值增加表!Z15</f>
        <v>279095083.70000011</v>
      </c>
      <c r="AA20" s="76">
        <f>股权价值增加表!AA15</f>
        <v>146333664.48000002</v>
      </c>
      <c r="AB20" s="76">
        <f>股权价值增加表!AB15</f>
        <v>124906415.53999996</v>
      </c>
      <c r="AC20" s="76">
        <f>股权价值增加表!AC15</f>
        <v>418194537.60000008</v>
      </c>
      <c r="AD20" s="76">
        <f>股权价值增加表!AD15</f>
        <v>310682288.46999991</v>
      </c>
      <c r="AE20" s="76">
        <f>股权价值增加表!AE15</f>
        <v>180381562.75000006</v>
      </c>
      <c r="AF20" s="76">
        <f>股权价值增加表!AF15</f>
        <v>112630629.38000003</v>
      </c>
      <c r="AG20" s="76">
        <f>股权价值增加表!AG15</f>
        <v>263460306.01000023</v>
      </c>
      <c r="AH20" s="76">
        <f>股权价值增加表!AH15</f>
        <v>201391132.57000011</v>
      </c>
      <c r="AI20" s="76">
        <f>股权价值增加表!AI15</f>
        <v>110012381.93999997</v>
      </c>
      <c r="AJ20" s="76">
        <f>股权价值增加表!AJ15</f>
        <v>67077628.009999976</v>
      </c>
      <c r="AK20" s="76">
        <f>股权价值增加表!AK15</f>
        <v>195366080.11999986</v>
      </c>
      <c r="AL20" s="76">
        <f>股权价值增加表!AL15</f>
        <v>133034906.21999998</v>
      </c>
      <c r="AM20" s="76">
        <f>股权价值增加表!AM15</f>
        <v>67100112.639999993</v>
      </c>
      <c r="AN20" s="76">
        <f>股权价值增加表!AN15</f>
        <v>44924420.930000037</v>
      </c>
      <c r="AO20" s="76">
        <f>股权价值增加表!AO15</f>
        <v>138003723.61999995</v>
      </c>
      <c r="AP20" s="76">
        <f>股权价值增加表!AP15</f>
        <v>105787811.07000008</v>
      </c>
      <c r="AQ20" s="76">
        <f>股权价值增加表!AQ15</f>
        <v>113604229.94999996</v>
      </c>
      <c r="AR20" s="76">
        <f>股权价值增加表!AR15</f>
        <v>55021222.969999909</v>
      </c>
      <c r="AS20" s="76">
        <f>股权价值增加表!AS15</f>
        <v>0</v>
      </c>
      <c r="AT20" s="76">
        <f>股权价值增加表!AT15</f>
        <v>0</v>
      </c>
      <c r="AU20" s="76">
        <f>股权价值增加表!AU15</f>
        <v>0</v>
      </c>
      <c r="AV20" s="76">
        <f>股权价值增加表!AV15</f>
        <v>0</v>
      </c>
      <c r="AW20" s="76">
        <f>股权价值增加表!AW15</f>
        <v>0</v>
      </c>
      <c r="AX20" s="76">
        <f>股权价值增加表!AX15</f>
        <v>0</v>
      </c>
      <c r="AY20" s="76">
        <f>股权价值增加表!AY15</f>
        <v>0</v>
      </c>
      <c r="AZ20" s="76">
        <f>股权价值增加表!AZ15</f>
        <v>0</v>
      </c>
      <c r="BA20" s="76">
        <f>股权价值增加表!BA15</f>
        <v>0</v>
      </c>
      <c r="BB20" s="76">
        <f>股权价值增加表!BB15</f>
        <v>0</v>
      </c>
      <c r="BC20" s="76">
        <f>股权价值增加表!BC15</f>
        <v>0</v>
      </c>
      <c r="BD20" s="76">
        <f>股权价值增加表!BD15</f>
        <v>0</v>
      </c>
      <c r="BE20" s="76">
        <f>股权价值增加表!BE15</f>
        <v>0</v>
      </c>
      <c r="BF20" s="76">
        <f>股权价值增加表!BF15</f>
        <v>0</v>
      </c>
      <c r="BG20" s="76">
        <f>股权价值增加表!BG15</f>
        <v>0</v>
      </c>
      <c r="BH20" s="76">
        <f>股权价值增加表!BH15</f>
        <v>0</v>
      </c>
      <c r="BI20" s="76">
        <f>股权价值增加表!BI15</f>
        <v>0</v>
      </c>
      <c r="BJ20" s="76">
        <f>股权价值增加表!BJ15</f>
        <v>0</v>
      </c>
      <c r="BK20" s="76">
        <f>股权价值增加表!BK15</f>
        <v>0</v>
      </c>
      <c r="BL20" s="76">
        <f>股权价值增加表!BL15</f>
        <v>0</v>
      </c>
      <c r="BM20" s="76">
        <f>股权价值增加表!BM15</f>
        <v>0</v>
      </c>
      <c r="BN20" s="76">
        <f>股权价值增加表!BN15</f>
        <v>0</v>
      </c>
      <c r="BO20" s="76">
        <f>股权价值增加表!BO15</f>
        <v>0</v>
      </c>
      <c r="BP20" s="76">
        <f>股权价值增加表!BP15</f>
        <v>0</v>
      </c>
      <c r="BQ20" s="76">
        <f>股权价值增加表!BQ15</f>
        <v>0</v>
      </c>
      <c r="BR20" s="76">
        <f>股权价值增加表!BR15</f>
        <v>0</v>
      </c>
      <c r="BS20" s="76">
        <f>股权价值增加表!BS15</f>
        <v>0</v>
      </c>
      <c r="BT20" s="76">
        <f>股权价值增加表!BT15</f>
        <v>0</v>
      </c>
      <c r="BU20" s="76">
        <f>股权价值增加表!BU15</f>
        <v>0</v>
      </c>
      <c r="BV20" s="76">
        <f>股权价值增加表!BV15</f>
        <v>0</v>
      </c>
      <c r="BW20" s="76">
        <f>股权价值增加表!BW15</f>
        <v>0</v>
      </c>
      <c r="BX20" s="76">
        <f>股权价值增加表!BX15</f>
        <v>0</v>
      </c>
      <c r="BY20" s="76">
        <f>股权价值增加表!BY15</f>
        <v>0</v>
      </c>
      <c r="BZ20" s="76">
        <f>股权价值增加表!BZ15</f>
        <v>0</v>
      </c>
      <c r="CA20" s="76">
        <f>股权价值增加表!CA15</f>
        <v>0</v>
      </c>
      <c r="CB20" s="76">
        <f>股权价值增加表!CB15</f>
        <v>0</v>
      </c>
      <c r="CC20" s="76">
        <f>股权价值增加表!CC15</f>
        <v>0</v>
      </c>
      <c r="CD20" s="76">
        <f>股权价值增加表!CD15</f>
        <v>0</v>
      </c>
      <c r="CE20" s="76">
        <f>股权价值增加表!CE15</f>
        <v>0</v>
      </c>
      <c r="CF20" s="76">
        <f>股权价值增加表!CF15</f>
        <v>0</v>
      </c>
      <c r="CG20" s="76">
        <f>股权价值增加表!CG15</f>
        <v>0</v>
      </c>
      <c r="CH20" s="76">
        <f>股权价值增加表!CH15</f>
        <v>0</v>
      </c>
      <c r="CI20" s="76">
        <f>股权价值增加表!CI15</f>
        <v>0</v>
      </c>
      <c r="CJ20" s="76">
        <f>股权价值增加表!CJ15</f>
        <v>0</v>
      </c>
      <c r="CK20" s="76">
        <f>股权价值增加表!CK15</f>
        <v>0</v>
      </c>
    </row>
    <row r="21" spans="1:89" s="244" customFormat="1" x14ac:dyDescent="0.25">
      <c r="A21" s="234" t="s">
        <v>448</v>
      </c>
      <c r="E21" s="244">
        <f>E20/E19</f>
        <v>0.11222545793574309</v>
      </c>
      <c r="F21" s="244">
        <f t="shared" ref="F21:BQ21" si="6">F20/F19</f>
        <v>0.1316758185557351</v>
      </c>
      <c r="G21" s="244">
        <f t="shared" si="6"/>
        <v>0.10827766865718154</v>
      </c>
      <c r="H21" s="244">
        <f t="shared" si="6"/>
        <v>0.13734664707084468</v>
      </c>
      <c r="I21" s="244">
        <f t="shared" si="6"/>
        <v>0.12063677453589787</v>
      </c>
      <c r="J21" s="244">
        <f t="shared" si="6"/>
        <v>0.14430699557534668</v>
      </c>
      <c r="K21" s="244">
        <f t="shared" si="6"/>
        <v>0.1382762421343175</v>
      </c>
      <c r="L21" s="244">
        <f t="shared" si="6"/>
        <v>0.16501444196149265</v>
      </c>
      <c r="M21" s="244">
        <f t="shared" si="6"/>
        <v>0.15145170978586944</v>
      </c>
      <c r="N21" s="244">
        <f t="shared" si="6"/>
        <v>0.1644988370379814</v>
      </c>
      <c r="O21" s="244">
        <f t="shared" si="6"/>
        <v>0.15318016991303926</v>
      </c>
      <c r="P21" s="244">
        <f t="shared" si="6"/>
        <v>0.1902428682870555</v>
      </c>
      <c r="Q21" s="244">
        <f t="shared" si="6"/>
        <v>0.14921399533000709</v>
      </c>
      <c r="R21" s="244">
        <f t="shared" si="6"/>
        <v>0.15241193634849665</v>
      </c>
      <c r="S21" s="244">
        <f t="shared" si="6"/>
        <v>0.1452135898449699</v>
      </c>
      <c r="T21" s="244">
        <f t="shared" si="6"/>
        <v>0.16236340301722726</v>
      </c>
      <c r="U21" s="244">
        <f t="shared" si="6"/>
        <v>0.14466669824518766</v>
      </c>
      <c r="V21" s="244">
        <f t="shared" si="6"/>
        <v>0.14762267746966803</v>
      </c>
      <c r="W21" s="244">
        <f t="shared" si="6"/>
        <v>0.13667481660890515</v>
      </c>
      <c r="X21" s="244">
        <f t="shared" si="6"/>
        <v>0.15866886875418354</v>
      </c>
      <c r="Y21" s="244">
        <f t="shared" si="6"/>
        <v>0.154639494950159</v>
      </c>
      <c r="Z21" s="244">
        <f t="shared" si="6"/>
        <v>0.15104821817003788</v>
      </c>
      <c r="AA21" s="244">
        <f t="shared" si="6"/>
        <v>0.1411819203026029</v>
      </c>
      <c r="AB21" s="244">
        <f t="shared" si="6"/>
        <v>0.20332457602932794</v>
      </c>
      <c r="AC21" s="244">
        <f t="shared" si="6"/>
        <v>0.17553241734973546</v>
      </c>
      <c r="AD21" s="244">
        <f t="shared" si="6"/>
        <v>0.19014805030703885</v>
      </c>
      <c r="AE21" s="244">
        <f t="shared" si="6"/>
        <v>0.17979791212076102</v>
      </c>
      <c r="AF21" s="244">
        <f t="shared" si="6"/>
        <v>0.19314182921075071</v>
      </c>
      <c r="AG21" s="244">
        <f t="shared" si="6"/>
        <v>0.14485275359713176</v>
      </c>
      <c r="AH21" s="244">
        <f t="shared" si="6"/>
        <v>0.17578470710536986</v>
      </c>
      <c r="AI21" s="244">
        <f t="shared" si="6"/>
        <v>0.16622469858321989</v>
      </c>
      <c r="AJ21" s="244">
        <f t="shared" si="6"/>
        <v>0.18667113345001354</v>
      </c>
      <c r="AK21" s="244">
        <f t="shared" si="6"/>
        <v>0.17057969846393428</v>
      </c>
      <c r="AL21" s="244">
        <f t="shared" si="6"/>
        <v>0.18377155640166704</v>
      </c>
      <c r="AM21" s="244">
        <f t="shared" si="6"/>
        <v>0.16463435499440751</v>
      </c>
      <c r="AN21" s="244">
        <f t="shared" si="6"/>
        <v>0.17604163531376499</v>
      </c>
      <c r="AO21" s="244">
        <f t="shared" si="6"/>
        <v>0.15288142795769899</v>
      </c>
      <c r="AP21" s="244">
        <f t="shared" si="6"/>
        <v>0.16715423254125436</v>
      </c>
      <c r="AQ21" s="244">
        <f t="shared" si="6"/>
        <v>0.15039694248865673</v>
      </c>
      <c r="AR21" s="244">
        <f t="shared" si="6"/>
        <v>9.9588160369455947E-2</v>
      </c>
      <c r="AS21" s="244" t="e">
        <f t="shared" si="6"/>
        <v>#DIV/0!</v>
      </c>
      <c r="AT21" s="244" t="e">
        <f t="shared" si="6"/>
        <v>#DIV/0!</v>
      </c>
      <c r="AU21" s="244" t="e">
        <f t="shared" si="6"/>
        <v>#DIV/0!</v>
      </c>
      <c r="AV21" s="244" t="e">
        <f t="shared" si="6"/>
        <v>#DIV/0!</v>
      </c>
      <c r="AW21" s="244" t="e">
        <f t="shared" si="6"/>
        <v>#DIV/0!</v>
      </c>
      <c r="AX21" s="244" t="e">
        <f t="shared" si="6"/>
        <v>#DIV/0!</v>
      </c>
      <c r="AY21" s="244" t="e">
        <f t="shared" si="6"/>
        <v>#DIV/0!</v>
      </c>
      <c r="AZ21" s="244" t="e">
        <f t="shared" si="6"/>
        <v>#DIV/0!</v>
      </c>
      <c r="BA21" s="244" t="e">
        <f t="shared" si="6"/>
        <v>#DIV/0!</v>
      </c>
      <c r="BB21" s="244" t="e">
        <f t="shared" si="6"/>
        <v>#DIV/0!</v>
      </c>
      <c r="BC21" s="244" t="e">
        <f t="shared" si="6"/>
        <v>#DIV/0!</v>
      </c>
      <c r="BD21" s="244" t="e">
        <f t="shared" si="6"/>
        <v>#DIV/0!</v>
      </c>
      <c r="BE21" s="244" t="e">
        <f t="shared" si="6"/>
        <v>#DIV/0!</v>
      </c>
      <c r="BF21" s="244" t="e">
        <f t="shared" si="6"/>
        <v>#DIV/0!</v>
      </c>
      <c r="BG21" s="244" t="e">
        <f t="shared" si="6"/>
        <v>#DIV/0!</v>
      </c>
      <c r="BH21" s="244" t="e">
        <f t="shared" si="6"/>
        <v>#DIV/0!</v>
      </c>
      <c r="BI21" s="244" t="e">
        <f t="shared" si="6"/>
        <v>#DIV/0!</v>
      </c>
      <c r="BJ21" s="244" t="e">
        <f t="shared" si="6"/>
        <v>#DIV/0!</v>
      </c>
      <c r="BK21" s="244" t="e">
        <f t="shared" si="6"/>
        <v>#DIV/0!</v>
      </c>
      <c r="BL21" s="244" t="e">
        <f t="shared" si="6"/>
        <v>#DIV/0!</v>
      </c>
      <c r="BM21" s="244" t="e">
        <f t="shared" si="6"/>
        <v>#DIV/0!</v>
      </c>
      <c r="BN21" s="244" t="e">
        <f t="shared" si="6"/>
        <v>#DIV/0!</v>
      </c>
      <c r="BO21" s="244" t="e">
        <f t="shared" si="6"/>
        <v>#DIV/0!</v>
      </c>
      <c r="BP21" s="244" t="e">
        <f t="shared" si="6"/>
        <v>#DIV/0!</v>
      </c>
      <c r="BQ21" s="244" t="e">
        <f t="shared" si="6"/>
        <v>#DIV/0!</v>
      </c>
      <c r="BR21" s="244" t="e">
        <f t="shared" ref="BR21:CK21" si="7">BR20/BR19</f>
        <v>#DIV/0!</v>
      </c>
      <c r="BS21" s="244" t="e">
        <f t="shared" si="7"/>
        <v>#DIV/0!</v>
      </c>
      <c r="BT21" s="244" t="e">
        <f t="shared" si="7"/>
        <v>#DIV/0!</v>
      </c>
      <c r="BU21" s="244" t="e">
        <f t="shared" si="7"/>
        <v>#DIV/0!</v>
      </c>
      <c r="BV21" s="244" t="e">
        <f t="shared" si="7"/>
        <v>#DIV/0!</v>
      </c>
      <c r="BW21" s="244" t="e">
        <f t="shared" si="7"/>
        <v>#DIV/0!</v>
      </c>
      <c r="BX21" s="244" t="e">
        <f t="shared" si="7"/>
        <v>#DIV/0!</v>
      </c>
      <c r="BY21" s="244" t="e">
        <f t="shared" si="7"/>
        <v>#DIV/0!</v>
      </c>
      <c r="BZ21" s="244" t="e">
        <f t="shared" si="7"/>
        <v>#DIV/0!</v>
      </c>
      <c r="CA21" s="244" t="e">
        <f t="shared" si="7"/>
        <v>#DIV/0!</v>
      </c>
      <c r="CB21" s="244" t="e">
        <f t="shared" si="7"/>
        <v>#DIV/0!</v>
      </c>
      <c r="CC21" s="244" t="e">
        <f t="shared" si="7"/>
        <v>#DIV/0!</v>
      </c>
      <c r="CD21" s="244" t="e">
        <f t="shared" si="7"/>
        <v>#DIV/0!</v>
      </c>
      <c r="CE21" s="244" t="e">
        <f t="shared" si="7"/>
        <v>#DIV/0!</v>
      </c>
      <c r="CF21" s="244" t="e">
        <f t="shared" si="7"/>
        <v>#DIV/0!</v>
      </c>
      <c r="CG21" s="244" t="e">
        <f t="shared" si="7"/>
        <v>#DIV/0!</v>
      </c>
      <c r="CH21" s="244" t="e">
        <f t="shared" si="7"/>
        <v>#DIV/0!</v>
      </c>
      <c r="CI21" s="244" t="e">
        <f t="shared" si="7"/>
        <v>#DIV/0!</v>
      </c>
      <c r="CJ21" s="244" t="e">
        <f t="shared" si="7"/>
        <v>#DIV/0!</v>
      </c>
      <c r="CK21" s="244" t="e">
        <f t="shared" si="7"/>
        <v>#DIV/0!</v>
      </c>
    </row>
    <row r="22" spans="1:89" s="26" customFormat="1" x14ac:dyDescent="0.25">
      <c r="A22" s="26" t="s">
        <v>685</v>
      </c>
      <c r="E22" s="26">
        <f>资产资本表!E69</f>
        <v>2680117320.0499992</v>
      </c>
      <c r="F22" s="193">
        <f>资产资本表!F69</f>
        <v>2890560207.4200001</v>
      </c>
      <c r="G22" s="193">
        <f>资产资本表!G69</f>
        <v>2504438056.0900002</v>
      </c>
      <c r="H22" s="193">
        <f>资产资本表!H69</f>
        <v>2443659795.6799998</v>
      </c>
      <c r="I22" s="193">
        <f>资产资本表!I69</f>
        <v>1787570001.7400002</v>
      </c>
      <c r="J22" s="193">
        <f>资产资本表!J69</f>
        <v>2161379578.3899999</v>
      </c>
      <c r="K22" s="193">
        <f>资产资本表!K69</f>
        <v>2188562170.0300002</v>
      </c>
      <c r="L22" s="193">
        <f>资产资本表!L69</f>
        <v>2037984988.5599999</v>
      </c>
      <c r="M22" s="193">
        <f>资产资本表!M69</f>
        <v>2028174239.1399999</v>
      </c>
      <c r="N22" s="193">
        <f>资产资本表!N69</f>
        <v>1748731929.8800001</v>
      </c>
      <c r="O22" s="193">
        <f>资产资本表!O69</f>
        <v>1782876392.8599999</v>
      </c>
      <c r="P22" s="193">
        <f>资产资本表!P69</f>
        <v>1938506990.79</v>
      </c>
      <c r="Q22" s="193">
        <f>资产资本表!Q69</f>
        <v>1845710928.3200002</v>
      </c>
      <c r="R22" s="193">
        <f>资产资本表!R69</f>
        <v>1679371097.1199999</v>
      </c>
      <c r="S22" s="193">
        <f>资产资本表!S69</f>
        <v>1356669673.4099998</v>
      </c>
      <c r="T22" s="193">
        <f>资产资本表!T69</f>
        <v>1344823173.3800001</v>
      </c>
      <c r="U22" s="193">
        <f>资产资本表!U69</f>
        <v>1201029703.2</v>
      </c>
      <c r="V22" s="193">
        <f>资产资本表!V69</f>
        <v>1077761632.8499999</v>
      </c>
      <c r="W22" s="193">
        <f>资产资本表!W69</f>
        <v>1161551794.3099999</v>
      </c>
      <c r="X22" s="193">
        <f>资产资本表!X69</f>
        <v>986132128.21000004</v>
      </c>
      <c r="Y22" s="193">
        <f>资产资本表!Y69</f>
        <v>936176717.49000001</v>
      </c>
      <c r="Z22" s="193">
        <f>资产资本表!Z69</f>
        <v>960246523.98999989</v>
      </c>
      <c r="AA22" s="193">
        <f>资产资本表!AA69</f>
        <v>976079955.10000002</v>
      </c>
      <c r="AB22" s="193">
        <f>资产资本表!AB69</f>
        <v>742810549.9000001</v>
      </c>
      <c r="AC22" s="193">
        <f>资产资本表!AC69</f>
        <v>648190675.69999993</v>
      </c>
      <c r="AD22" s="193">
        <f>资产资本表!AD69</f>
        <v>574388781.76999998</v>
      </c>
      <c r="AE22" s="193">
        <f>资产资本表!AE69</f>
        <v>577123182.08000016</v>
      </c>
      <c r="AF22" s="193">
        <f>资产资本表!AF69</f>
        <v>382002316.06999999</v>
      </c>
      <c r="AG22" s="193">
        <f>资产资本表!AG69</f>
        <v>419313608.45999998</v>
      </c>
      <c r="AH22" s="193">
        <f>资产资本表!AH69</f>
        <v>417632582.29000002</v>
      </c>
      <c r="AI22" s="193">
        <f>资产资本表!AI69</f>
        <v>380541206.63999999</v>
      </c>
      <c r="AJ22" s="193">
        <f>资产资本表!AJ69</f>
        <v>255044536.88999999</v>
      </c>
      <c r="AK22" s="193">
        <f>资产资本表!AK69</f>
        <v>265364126.43000007</v>
      </c>
      <c r="AL22" s="193">
        <f>资产资本表!AL69</f>
        <v>230768906.96999997</v>
      </c>
      <c r="AM22" s="193">
        <f>资产资本表!AM69</f>
        <v>256199726.94999999</v>
      </c>
      <c r="AN22" s="193">
        <f>资产资本表!AN69</f>
        <v>222832050.40000004</v>
      </c>
      <c r="AO22" s="193">
        <f>资产资本表!AO69</f>
        <v>188152417.22999999</v>
      </c>
      <c r="AP22" s="193">
        <f>资产资本表!AP69</f>
        <v>103147268.55000003</v>
      </c>
      <c r="AQ22" s="193">
        <f>资产资本表!AQ69</f>
        <v>0</v>
      </c>
      <c r="AR22" s="193">
        <f>资产资本表!AR69</f>
        <v>0</v>
      </c>
      <c r="AS22" s="193">
        <f>资产资本表!AS69</f>
        <v>0</v>
      </c>
      <c r="AT22" s="193">
        <f>资产资本表!AT69</f>
        <v>0</v>
      </c>
      <c r="AU22" s="193">
        <f>资产资本表!AU69</f>
        <v>0</v>
      </c>
      <c r="AV22" s="193">
        <f>资产资本表!AV69</f>
        <v>0</v>
      </c>
      <c r="AW22" s="193">
        <f>资产资本表!AW69</f>
        <v>0</v>
      </c>
      <c r="AX22" s="193">
        <f>资产资本表!AX69</f>
        <v>0</v>
      </c>
      <c r="AY22" s="193">
        <f>资产资本表!AY69</f>
        <v>0</v>
      </c>
      <c r="AZ22" s="193">
        <f>资产资本表!AZ69</f>
        <v>0</v>
      </c>
      <c r="BA22" s="193">
        <f>资产资本表!BA69</f>
        <v>0</v>
      </c>
      <c r="BB22" s="193">
        <f>资产资本表!BB69</f>
        <v>0</v>
      </c>
      <c r="BC22" s="193">
        <f>资产资本表!BC69</f>
        <v>0</v>
      </c>
      <c r="BD22" s="193">
        <f>资产资本表!BD69</f>
        <v>0</v>
      </c>
      <c r="BE22" s="193">
        <f>资产资本表!BE69</f>
        <v>0</v>
      </c>
      <c r="BF22" s="193">
        <f>资产资本表!BF69</f>
        <v>0</v>
      </c>
      <c r="BG22" s="193">
        <f>资产资本表!BG69</f>
        <v>0</v>
      </c>
      <c r="BH22" s="193">
        <f>资产资本表!BH69</f>
        <v>0</v>
      </c>
      <c r="BI22" s="193">
        <f>资产资本表!BI69</f>
        <v>0</v>
      </c>
      <c r="BJ22" s="193">
        <f>资产资本表!BJ69</f>
        <v>0</v>
      </c>
      <c r="BK22" s="193">
        <f>资产资本表!BK69</f>
        <v>0</v>
      </c>
      <c r="BL22" s="193">
        <f>资产资本表!BL69</f>
        <v>0</v>
      </c>
      <c r="BM22" s="193">
        <f>资产资本表!BM69</f>
        <v>0</v>
      </c>
      <c r="BN22" s="193">
        <f>资产资本表!BN69</f>
        <v>0</v>
      </c>
      <c r="BO22" s="193">
        <f>资产资本表!BO69</f>
        <v>0</v>
      </c>
      <c r="BP22" s="193">
        <f>资产资本表!BP69</f>
        <v>0</v>
      </c>
      <c r="BQ22" s="193">
        <f>资产资本表!BQ69</f>
        <v>0</v>
      </c>
      <c r="BR22" s="193">
        <f>资产资本表!BR69</f>
        <v>0</v>
      </c>
      <c r="BS22" s="193">
        <f>资产资本表!BS69</f>
        <v>0</v>
      </c>
      <c r="BT22" s="193">
        <f>资产资本表!BT69</f>
        <v>0</v>
      </c>
      <c r="BU22" s="193">
        <f>资产资本表!BU69</f>
        <v>0</v>
      </c>
      <c r="BV22" s="193">
        <f>资产资本表!BV69</f>
        <v>0</v>
      </c>
      <c r="BW22" s="193">
        <f>资产资本表!BW69</f>
        <v>0</v>
      </c>
      <c r="BX22" s="193">
        <f>资产资本表!BX69</f>
        <v>0</v>
      </c>
      <c r="BY22" s="193">
        <f>资产资本表!BY69</f>
        <v>0</v>
      </c>
      <c r="BZ22" s="193">
        <f>资产资本表!BZ69</f>
        <v>0</v>
      </c>
      <c r="CA22" s="193">
        <f>资产资本表!CA69</f>
        <v>0</v>
      </c>
      <c r="CB22" s="193">
        <f>资产资本表!CB69</f>
        <v>0</v>
      </c>
      <c r="CC22" s="193">
        <f>资产资本表!CC69</f>
        <v>0</v>
      </c>
      <c r="CD22" s="193">
        <f>资产资本表!CD69</f>
        <v>0</v>
      </c>
      <c r="CE22" s="193">
        <f>资产资本表!CE69</f>
        <v>0</v>
      </c>
      <c r="CF22" s="193">
        <f>资产资本表!CF69</f>
        <v>0</v>
      </c>
      <c r="CG22" s="193">
        <f>资产资本表!CG69</f>
        <v>0</v>
      </c>
      <c r="CH22" s="193">
        <f>资产资本表!CH69</f>
        <v>0</v>
      </c>
      <c r="CI22" s="193">
        <f>资产资本表!CI69</f>
        <v>0</v>
      </c>
      <c r="CJ22" s="193">
        <f>资产资本表!CJ69</f>
        <v>0</v>
      </c>
      <c r="CK22" s="193">
        <f>资产资本表!CK69</f>
        <v>0</v>
      </c>
    </row>
    <row r="23" spans="1:89" s="246" customFormat="1" x14ac:dyDescent="0.25">
      <c r="A23" s="245" t="s">
        <v>686</v>
      </c>
      <c r="E23" s="246">
        <f>E19/E22</f>
        <v>1.7394204464985998</v>
      </c>
      <c r="F23" s="246">
        <f t="shared" ref="F23:BQ23" si="8">F19/F22</f>
        <v>1.1010564668918368</v>
      </c>
      <c r="G23" s="246">
        <f t="shared" si="8"/>
        <v>0.79116985377289539</v>
      </c>
      <c r="H23" s="246">
        <f t="shared" si="8"/>
        <v>0.43286191567662713</v>
      </c>
      <c r="I23" s="246">
        <f t="shared" si="8"/>
        <v>1.7634086715942137</v>
      </c>
      <c r="J23" s="246">
        <f t="shared" si="8"/>
        <v>0.99717065527446358</v>
      </c>
      <c r="K23" s="246">
        <f t="shared" si="8"/>
        <v>0.61368296000089839</v>
      </c>
      <c r="L23" s="246">
        <f t="shared" si="8"/>
        <v>0.37431398378405734</v>
      </c>
      <c r="M23" s="246">
        <f t="shared" si="8"/>
        <v>1.4375657848885344</v>
      </c>
      <c r="N23" s="246">
        <f t="shared" si="8"/>
        <v>1.1700447341636893</v>
      </c>
      <c r="O23" s="246">
        <f t="shared" si="8"/>
        <v>0.70110081543278036</v>
      </c>
      <c r="P23" s="246">
        <f t="shared" si="8"/>
        <v>0.36388568032583174</v>
      </c>
      <c r="Q23" s="246">
        <f t="shared" si="8"/>
        <v>1.4961175832791311</v>
      </c>
      <c r="R23" s="246">
        <f t="shared" si="8"/>
        <v>1.119463063365836</v>
      </c>
      <c r="S23" s="246">
        <f t="shared" si="8"/>
        <v>0.81986047914248417</v>
      </c>
      <c r="T23" s="246">
        <f t="shared" si="8"/>
        <v>0.48876952076008551</v>
      </c>
      <c r="U23" s="246">
        <f t="shared" si="8"/>
        <v>2.1017044038748964</v>
      </c>
      <c r="V23" s="246">
        <f t="shared" si="8"/>
        <v>1.5983561756644511</v>
      </c>
      <c r="W23" s="246">
        <f t="shared" si="8"/>
        <v>0.92813194820159617</v>
      </c>
      <c r="X23" s="246">
        <f t="shared" si="8"/>
        <v>0.62400479606821913</v>
      </c>
      <c r="Y23" s="246">
        <f t="shared" si="8"/>
        <v>2.9107259455414809</v>
      </c>
      <c r="Z23" s="246">
        <f t="shared" si="8"/>
        <v>1.9242160648313291</v>
      </c>
      <c r="AA23" s="246">
        <f t="shared" si="8"/>
        <v>1.0618905830863117</v>
      </c>
      <c r="AB23" s="246">
        <f t="shared" si="8"/>
        <v>0.82702151306642324</v>
      </c>
      <c r="AC23" s="246">
        <f t="shared" si="8"/>
        <v>3.675515365763538</v>
      </c>
      <c r="AD23" s="246">
        <f t="shared" si="8"/>
        <v>2.8445833883891107</v>
      </c>
      <c r="AE23" s="246">
        <f t="shared" si="8"/>
        <v>1.738357042536772</v>
      </c>
      <c r="AF23" s="246">
        <f t="shared" si="8"/>
        <v>1.5265610411721713</v>
      </c>
      <c r="AG23" s="246">
        <f t="shared" si="8"/>
        <v>4.3375997903333117</v>
      </c>
      <c r="AH23" s="246">
        <f t="shared" si="8"/>
        <v>2.7432467987482321</v>
      </c>
      <c r="AI23" s="246">
        <f t="shared" si="8"/>
        <v>1.7391791605004934</v>
      </c>
      <c r="AJ23" s="246">
        <f t="shared" si="8"/>
        <v>1.4089140725448299</v>
      </c>
      <c r="AK23" s="246">
        <f t="shared" si="8"/>
        <v>4.315981838758896</v>
      </c>
      <c r="AL23" s="246">
        <f t="shared" si="8"/>
        <v>3.1369675144065621</v>
      </c>
      <c r="AM23" s="246">
        <f t="shared" si="8"/>
        <v>1.5908312739519102</v>
      </c>
      <c r="AN23" s="246">
        <f t="shared" si="8"/>
        <v>1.1452213533551903</v>
      </c>
      <c r="AO23" s="246">
        <f t="shared" si="8"/>
        <v>4.7976247032561181</v>
      </c>
      <c r="AP23" s="246">
        <f t="shared" si="8"/>
        <v>6.1356491981483483</v>
      </c>
      <c r="AQ23" s="246" t="e">
        <f t="shared" si="8"/>
        <v>#DIV/0!</v>
      </c>
      <c r="AR23" s="246" t="e">
        <f t="shared" si="8"/>
        <v>#DIV/0!</v>
      </c>
      <c r="AS23" s="246" t="e">
        <f t="shared" si="8"/>
        <v>#DIV/0!</v>
      </c>
      <c r="AT23" s="246" t="e">
        <f t="shared" si="8"/>
        <v>#DIV/0!</v>
      </c>
      <c r="AU23" s="246" t="e">
        <f t="shared" si="8"/>
        <v>#DIV/0!</v>
      </c>
      <c r="AV23" s="246" t="e">
        <f t="shared" si="8"/>
        <v>#DIV/0!</v>
      </c>
      <c r="AW23" s="246" t="e">
        <f t="shared" si="8"/>
        <v>#DIV/0!</v>
      </c>
      <c r="AX23" s="246" t="e">
        <f t="shared" si="8"/>
        <v>#DIV/0!</v>
      </c>
      <c r="AY23" s="246" t="e">
        <f t="shared" si="8"/>
        <v>#DIV/0!</v>
      </c>
      <c r="AZ23" s="246" t="e">
        <f t="shared" si="8"/>
        <v>#DIV/0!</v>
      </c>
      <c r="BA23" s="246" t="e">
        <f t="shared" si="8"/>
        <v>#DIV/0!</v>
      </c>
      <c r="BB23" s="246" t="e">
        <f t="shared" si="8"/>
        <v>#DIV/0!</v>
      </c>
      <c r="BC23" s="246" t="e">
        <f t="shared" si="8"/>
        <v>#DIV/0!</v>
      </c>
      <c r="BD23" s="246" t="e">
        <f t="shared" si="8"/>
        <v>#DIV/0!</v>
      </c>
      <c r="BE23" s="246" t="e">
        <f t="shared" si="8"/>
        <v>#DIV/0!</v>
      </c>
      <c r="BF23" s="246" t="e">
        <f t="shared" si="8"/>
        <v>#DIV/0!</v>
      </c>
      <c r="BG23" s="246" t="e">
        <f t="shared" si="8"/>
        <v>#DIV/0!</v>
      </c>
      <c r="BH23" s="246" t="e">
        <f t="shared" si="8"/>
        <v>#DIV/0!</v>
      </c>
      <c r="BI23" s="246" t="e">
        <f t="shared" si="8"/>
        <v>#DIV/0!</v>
      </c>
      <c r="BJ23" s="246" t="e">
        <f t="shared" si="8"/>
        <v>#DIV/0!</v>
      </c>
      <c r="BK23" s="246" t="e">
        <f t="shared" si="8"/>
        <v>#DIV/0!</v>
      </c>
      <c r="BL23" s="246" t="e">
        <f t="shared" si="8"/>
        <v>#DIV/0!</v>
      </c>
      <c r="BM23" s="246" t="e">
        <f t="shared" si="8"/>
        <v>#DIV/0!</v>
      </c>
      <c r="BN23" s="246" t="e">
        <f t="shared" si="8"/>
        <v>#DIV/0!</v>
      </c>
      <c r="BO23" s="246" t="e">
        <f t="shared" si="8"/>
        <v>#DIV/0!</v>
      </c>
      <c r="BP23" s="246" t="e">
        <f t="shared" si="8"/>
        <v>#DIV/0!</v>
      </c>
      <c r="BQ23" s="246" t="e">
        <f t="shared" si="8"/>
        <v>#DIV/0!</v>
      </c>
      <c r="BR23" s="246" t="e">
        <f t="shared" ref="BR23:CK23" si="9">BR19/BR22</f>
        <v>#DIV/0!</v>
      </c>
      <c r="BS23" s="246" t="e">
        <f t="shared" si="9"/>
        <v>#DIV/0!</v>
      </c>
      <c r="BT23" s="246" t="e">
        <f t="shared" si="9"/>
        <v>#DIV/0!</v>
      </c>
      <c r="BU23" s="246" t="e">
        <f t="shared" si="9"/>
        <v>#DIV/0!</v>
      </c>
      <c r="BV23" s="246" t="e">
        <f t="shared" si="9"/>
        <v>#DIV/0!</v>
      </c>
      <c r="BW23" s="246" t="e">
        <f t="shared" si="9"/>
        <v>#DIV/0!</v>
      </c>
      <c r="BX23" s="246" t="e">
        <f t="shared" si="9"/>
        <v>#DIV/0!</v>
      </c>
      <c r="BY23" s="246" t="e">
        <f t="shared" si="9"/>
        <v>#DIV/0!</v>
      </c>
      <c r="BZ23" s="246" t="e">
        <f t="shared" si="9"/>
        <v>#DIV/0!</v>
      </c>
      <c r="CA23" s="246" t="e">
        <f t="shared" si="9"/>
        <v>#DIV/0!</v>
      </c>
      <c r="CB23" s="246" t="e">
        <f t="shared" si="9"/>
        <v>#DIV/0!</v>
      </c>
      <c r="CC23" s="246" t="e">
        <f t="shared" si="9"/>
        <v>#DIV/0!</v>
      </c>
      <c r="CD23" s="246" t="e">
        <f t="shared" si="9"/>
        <v>#DIV/0!</v>
      </c>
      <c r="CE23" s="246" t="e">
        <f t="shared" si="9"/>
        <v>#DIV/0!</v>
      </c>
      <c r="CF23" s="246" t="e">
        <f t="shared" si="9"/>
        <v>#DIV/0!</v>
      </c>
      <c r="CG23" s="246" t="e">
        <f t="shared" si="9"/>
        <v>#DIV/0!</v>
      </c>
      <c r="CH23" s="246" t="e">
        <f t="shared" si="9"/>
        <v>#DIV/0!</v>
      </c>
      <c r="CI23" s="246" t="e">
        <f t="shared" si="9"/>
        <v>#DIV/0!</v>
      </c>
      <c r="CJ23" s="246" t="e">
        <f t="shared" si="9"/>
        <v>#DIV/0!</v>
      </c>
      <c r="CK23" s="246" t="e">
        <f t="shared" si="9"/>
        <v>#DIV/0!</v>
      </c>
    </row>
    <row r="24" spans="1:89" s="161" customFormat="1" ht="15" thickBot="1" x14ac:dyDescent="0.3">
      <c r="A24" s="160" t="s">
        <v>693</v>
      </c>
      <c r="E24" s="161">
        <f>E21*E23</f>
        <v>0.1952072561511001</v>
      </c>
      <c r="F24" s="161">
        <f t="shared" ref="F24:BQ24" si="10">F21*F23</f>
        <v>0.14498251155406824</v>
      </c>
      <c r="G24" s="161">
        <f t="shared" si="10"/>
        <v>8.5666027278372331E-2</v>
      </c>
      <c r="H24" s="161">
        <f t="shared" si="10"/>
        <v>5.9452132762847436E-2</v>
      </c>
      <c r="I24" s="161">
        <f t="shared" si="10"/>
        <v>0.21273193432975832</v>
      </c>
      <c r="J24" s="161">
        <f t="shared" si="10"/>
        <v>0.14389870133855756</v>
      </c>
      <c r="K24" s="161">
        <f t="shared" si="10"/>
        <v>8.48577735707889E-2</v>
      </c>
      <c r="L24" s="161">
        <f t="shared" si="10"/>
        <v>6.176721315250943E-2</v>
      </c>
      <c r="M24" s="161">
        <f t="shared" si="10"/>
        <v>0.21772179605103392</v>
      </c>
      <c r="N24" s="161">
        <f t="shared" si="10"/>
        <v>0.192470998052341</v>
      </c>
      <c r="O24" s="161">
        <f t="shared" si="10"/>
        <v>0.10739474203416367</v>
      </c>
      <c r="P24" s="161">
        <f t="shared" si="10"/>
        <v>6.922665555377279E-2</v>
      </c>
      <c r="Q24" s="161">
        <f t="shared" si="10"/>
        <v>0.22324168208455378</v>
      </c>
      <c r="R24" s="161">
        <f t="shared" si="10"/>
        <v>0.17061953315820685</v>
      </c>
      <c r="S24" s="161">
        <f t="shared" si="10"/>
        <v>0.1190548833482972</v>
      </c>
      <c r="T24" s="161">
        <f t="shared" si="10"/>
        <v>7.935828268170679E-2</v>
      </c>
      <c r="U24" s="161">
        <f t="shared" si="10"/>
        <v>0.30404663679595167</v>
      </c>
      <c r="V24" s="161">
        <f t="shared" si="10"/>
        <v>0.23595361820176533</v>
      </c>
      <c r="W24" s="161">
        <f t="shared" si="10"/>
        <v>0.12685226380931902</v>
      </c>
      <c r="X24" s="161">
        <f t="shared" si="10"/>
        <v>9.9010135089329321E-2</v>
      </c>
      <c r="Y24" s="161">
        <f t="shared" si="10"/>
        <v>0.45011319015685858</v>
      </c>
      <c r="Z24" s="161">
        <f t="shared" si="10"/>
        <v>0.29064940796693434</v>
      </c>
      <c r="AA24" s="161">
        <f t="shared" si="10"/>
        <v>0.14991975167137619</v>
      </c>
      <c r="AB24" s="161">
        <f t="shared" si="10"/>
        <v>0.16815379851136381</v>
      </c>
      <c r="AC24" s="161">
        <f t="shared" si="10"/>
        <v>0.64517209715857093</v>
      </c>
      <c r="AD24" s="161">
        <f t="shared" si="10"/>
        <v>0.54089198523797966</v>
      </c>
      <c r="AE24" s="161">
        <f t="shared" si="10"/>
        <v>0.31255296676853256</v>
      </c>
      <c r="AF24" s="161">
        <f t="shared" si="10"/>
        <v>0.29484279189386131</v>
      </c>
      <c r="AG24" s="161">
        <f t="shared" si="10"/>
        <v>0.62831327363212164</v>
      </c>
      <c r="AH24" s="161">
        <f t="shared" si="10"/>
        <v>0.48222083503570151</v>
      </c>
      <c r="AI24" s="161">
        <f t="shared" si="10"/>
        <v>0.28909453173641192</v>
      </c>
      <c r="AJ24" s="161">
        <f t="shared" si="10"/>
        <v>0.26300358685561803</v>
      </c>
      <c r="AK24" s="161">
        <f t="shared" si="10"/>
        <v>0.73621888063130914</v>
      </c>
      <c r="AL24" s="161">
        <f t="shared" si="10"/>
        <v>0.57648540250396274</v>
      </c>
      <c r="AM24" s="161">
        <f t="shared" si="10"/>
        <v>0.26190548069200431</v>
      </c>
      <c r="AN24" s="161">
        <f t="shared" si="10"/>
        <v>0.20160663984089081</v>
      </c>
      <c r="AO24" s="161">
        <f t="shared" si="10"/>
        <v>0.73346771543892719</v>
      </c>
      <c r="AP24" s="161">
        <f t="shared" si="10"/>
        <v>1.02559973285885</v>
      </c>
      <c r="AQ24" s="161" t="e">
        <f t="shared" si="10"/>
        <v>#DIV/0!</v>
      </c>
      <c r="AR24" s="161" t="e">
        <f t="shared" si="10"/>
        <v>#DIV/0!</v>
      </c>
      <c r="AS24" s="161" t="e">
        <f t="shared" si="10"/>
        <v>#DIV/0!</v>
      </c>
      <c r="AT24" s="161" t="e">
        <f t="shared" si="10"/>
        <v>#DIV/0!</v>
      </c>
      <c r="AU24" s="161" t="e">
        <f t="shared" si="10"/>
        <v>#DIV/0!</v>
      </c>
      <c r="AV24" s="161" t="e">
        <f t="shared" si="10"/>
        <v>#DIV/0!</v>
      </c>
      <c r="AW24" s="161" t="e">
        <f t="shared" si="10"/>
        <v>#DIV/0!</v>
      </c>
      <c r="AX24" s="161" t="e">
        <f t="shared" si="10"/>
        <v>#DIV/0!</v>
      </c>
      <c r="AY24" s="161" t="e">
        <f t="shared" si="10"/>
        <v>#DIV/0!</v>
      </c>
      <c r="AZ24" s="161" t="e">
        <f t="shared" si="10"/>
        <v>#DIV/0!</v>
      </c>
      <c r="BA24" s="161" t="e">
        <f t="shared" si="10"/>
        <v>#DIV/0!</v>
      </c>
      <c r="BB24" s="161" t="e">
        <f t="shared" si="10"/>
        <v>#DIV/0!</v>
      </c>
      <c r="BC24" s="161" t="e">
        <f t="shared" si="10"/>
        <v>#DIV/0!</v>
      </c>
      <c r="BD24" s="161" t="e">
        <f t="shared" si="10"/>
        <v>#DIV/0!</v>
      </c>
      <c r="BE24" s="161" t="e">
        <f t="shared" si="10"/>
        <v>#DIV/0!</v>
      </c>
      <c r="BF24" s="161" t="e">
        <f t="shared" si="10"/>
        <v>#DIV/0!</v>
      </c>
      <c r="BG24" s="161" t="e">
        <f t="shared" si="10"/>
        <v>#DIV/0!</v>
      </c>
      <c r="BH24" s="161" t="e">
        <f t="shared" si="10"/>
        <v>#DIV/0!</v>
      </c>
      <c r="BI24" s="161" t="e">
        <f t="shared" si="10"/>
        <v>#DIV/0!</v>
      </c>
      <c r="BJ24" s="161" t="e">
        <f t="shared" si="10"/>
        <v>#DIV/0!</v>
      </c>
      <c r="BK24" s="161" t="e">
        <f t="shared" si="10"/>
        <v>#DIV/0!</v>
      </c>
      <c r="BL24" s="161" t="e">
        <f t="shared" si="10"/>
        <v>#DIV/0!</v>
      </c>
      <c r="BM24" s="161" t="e">
        <f t="shared" si="10"/>
        <v>#DIV/0!</v>
      </c>
      <c r="BN24" s="161" t="e">
        <f t="shared" si="10"/>
        <v>#DIV/0!</v>
      </c>
      <c r="BO24" s="161" t="e">
        <f t="shared" si="10"/>
        <v>#DIV/0!</v>
      </c>
      <c r="BP24" s="161" t="e">
        <f t="shared" si="10"/>
        <v>#DIV/0!</v>
      </c>
      <c r="BQ24" s="161" t="e">
        <f t="shared" si="10"/>
        <v>#DIV/0!</v>
      </c>
      <c r="BR24" s="161" t="e">
        <f t="shared" ref="BR24:CK24" si="11">BR21*BR23</f>
        <v>#DIV/0!</v>
      </c>
      <c r="BS24" s="161" t="e">
        <f t="shared" si="11"/>
        <v>#DIV/0!</v>
      </c>
      <c r="BT24" s="161" t="e">
        <f t="shared" si="11"/>
        <v>#DIV/0!</v>
      </c>
      <c r="BU24" s="161" t="e">
        <f t="shared" si="11"/>
        <v>#DIV/0!</v>
      </c>
      <c r="BV24" s="161" t="e">
        <f t="shared" si="11"/>
        <v>#DIV/0!</v>
      </c>
      <c r="BW24" s="161" t="e">
        <f t="shared" si="11"/>
        <v>#DIV/0!</v>
      </c>
      <c r="BX24" s="161" t="e">
        <f t="shared" si="11"/>
        <v>#DIV/0!</v>
      </c>
      <c r="BY24" s="161" t="e">
        <f t="shared" si="11"/>
        <v>#DIV/0!</v>
      </c>
      <c r="BZ24" s="161" t="e">
        <f t="shared" si="11"/>
        <v>#DIV/0!</v>
      </c>
      <c r="CA24" s="161" t="e">
        <f t="shared" si="11"/>
        <v>#DIV/0!</v>
      </c>
      <c r="CB24" s="161" t="e">
        <f t="shared" si="11"/>
        <v>#DIV/0!</v>
      </c>
      <c r="CC24" s="161" t="e">
        <f t="shared" si="11"/>
        <v>#DIV/0!</v>
      </c>
      <c r="CD24" s="161" t="e">
        <f t="shared" si="11"/>
        <v>#DIV/0!</v>
      </c>
      <c r="CE24" s="161" t="e">
        <f t="shared" si="11"/>
        <v>#DIV/0!</v>
      </c>
      <c r="CF24" s="161" t="e">
        <f t="shared" si="11"/>
        <v>#DIV/0!</v>
      </c>
      <c r="CG24" s="161" t="e">
        <f t="shared" si="11"/>
        <v>#DIV/0!</v>
      </c>
      <c r="CH24" s="161" t="e">
        <f t="shared" si="11"/>
        <v>#DIV/0!</v>
      </c>
      <c r="CI24" s="161" t="e">
        <f t="shared" si="11"/>
        <v>#DIV/0!</v>
      </c>
      <c r="CJ24" s="161" t="e">
        <f t="shared" si="11"/>
        <v>#DIV/0!</v>
      </c>
      <c r="CK24" s="161" t="e">
        <f t="shared" si="11"/>
        <v>#DIV/0!</v>
      </c>
    </row>
    <row r="25" spans="1:89" s="248" customFormat="1" x14ac:dyDescent="0.25">
      <c r="A25" s="247" t="s">
        <v>441</v>
      </c>
      <c r="B25" s="1">
        <v>43373</v>
      </c>
      <c r="C25" s="1">
        <v>43281</v>
      </c>
      <c r="D25" s="1">
        <v>43190</v>
      </c>
      <c r="E25" s="1">
        <v>43100</v>
      </c>
      <c r="F25" s="1">
        <v>43008</v>
      </c>
      <c r="G25" s="1">
        <v>42916</v>
      </c>
      <c r="H25" s="1">
        <v>42825</v>
      </c>
      <c r="I25" s="1">
        <v>42735</v>
      </c>
      <c r="J25" s="1">
        <v>42643</v>
      </c>
      <c r="K25" s="1">
        <v>42551</v>
      </c>
      <c r="L25" s="1">
        <v>42460</v>
      </c>
      <c r="M25" s="1">
        <v>42369</v>
      </c>
      <c r="N25" s="1">
        <v>42277</v>
      </c>
      <c r="O25" s="1">
        <v>42185</v>
      </c>
      <c r="P25" s="1">
        <v>42094</v>
      </c>
      <c r="Q25" s="1">
        <v>42004</v>
      </c>
      <c r="R25" s="1">
        <v>41912</v>
      </c>
      <c r="S25" s="1">
        <v>41820</v>
      </c>
      <c r="T25" s="1">
        <v>41729</v>
      </c>
      <c r="U25" s="1">
        <v>41639</v>
      </c>
      <c r="V25" s="1">
        <v>41547</v>
      </c>
      <c r="W25" s="1">
        <v>41455</v>
      </c>
      <c r="X25" s="1">
        <v>41364</v>
      </c>
      <c r="Y25" s="1">
        <v>41274</v>
      </c>
      <c r="Z25" s="1">
        <v>41182</v>
      </c>
      <c r="AA25" s="1">
        <v>41090</v>
      </c>
      <c r="AB25" s="1">
        <v>40999</v>
      </c>
      <c r="AC25" s="1">
        <v>40908</v>
      </c>
      <c r="AD25" s="1">
        <v>40816</v>
      </c>
      <c r="AE25" s="1">
        <v>40724</v>
      </c>
      <c r="AF25" s="1">
        <v>40633</v>
      </c>
      <c r="AG25" s="1">
        <v>40543</v>
      </c>
      <c r="AH25" s="1">
        <v>40451</v>
      </c>
      <c r="AI25" s="1">
        <v>40359</v>
      </c>
      <c r="AJ25" s="1">
        <v>40268</v>
      </c>
      <c r="AK25" s="1">
        <v>40178</v>
      </c>
      <c r="AL25" s="1">
        <v>40086</v>
      </c>
      <c r="AM25" s="1">
        <v>39994</v>
      </c>
      <c r="AN25" s="1">
        <v>39903</v>
      </c>
      <c r="AO25" s="1">
        <v>39813</v>
      </c>
      <c r="AP25" s="1">
        <v>39721</v>
      </c>
      <c r="AQ25" s="1">
        <v>39447</v>
      </c>
      <c r="AR25" s="1">
        <v>39082</v>
      </c>
      <c r="AS25" s="1">
        <v>25569</v>
      </c>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row>
    <row r="26" spans="1:89" s="76" customFormat="1" x14ac:dyDescent="0.25">
      <c r="A26" s="147" t="s">
        <v>442</v>
      </c>
      <c r="E26" s="76">
        <f>利润表!E14</f>
        <v>0</v>
      </c>
      <c r="F26" s="76">
        <f>利润表!F14</f>
        <v>0</v>
      </c>
      <c r="G26" s="76">
        <f>利润表!G14</f>
        <v>0</v>
      </c>
      <c r="H26" s="76">
        <f>利润表!H14</f>
        <v>0</v>
      </c>
      <c r="I26" s="76">
        <f>利润表!I14</f>
        <v>0</v>
      </c>
      <c r="J26" s="76">
        <f>利润表!J14</f>
        <v>0</v>
      </c>
      <c r="K26" s="76">
        <f>利润表!K14</f>
        <v>0</v>
      </c>
      <c r="L26" s="76">
        <f>利润表!L14</f>
        <v>0</v>
      </c>
      <c r="M26" s="76">
        <f>利润表!M14</f>
        <v>0</v>
      </c>
      <c r="N26" s="76">
        <f>利润表!N14</f>
        <v>0</v>
      </c>
      <c r="O26" s="76">
        <f>利润表!O14</f>
        <v>0</v>
      </c>
      <c r="P26" s="76">
        <f>利润表!P14</f>
        <v>0</v>
      </c>
      <c r="Q26" s="76">
        <f>利润表!Q14</f>
        <v>0</v>
      </c>
      <c r="R26" s="76">
        <f>利润表!R14</f>
        <v>0</v>
      </c>
      <c r="S26" s="76">
        <f>利润表!S14</f>
        <v>0</v>
      </c>
      <c r="T26" s="76">
        <f>利润表!T14</f>
        <v>0</v>
      </c>
      <c r="U26" s="76">
        <f>利润表!U14</f>
        <v>0</v>
      </c>
      <c r="V26" s="76">
        <f>利润表!V14</f>
        <v>0</v>
      </c>
      <c r="W26" s="76">
        <f>利润表!W14</f>
        <v>0</v>
      </c>
      <c r="X26" s="76">
        <f>利润表!X14</f>
        <v>0</v>
      </c>
      <c r="Y26" s="76">
        <f>利润表!Y14</f>
        <v>0</v>
      </c>
      <c r="Z26" s="76">
        <f>利润表!Z14</f>
        <v>0</v>
      </c>
      <c r="AA26" s="76">
        <f>利润表!AA14</f>
        <v>0</v>
      </c>
      <c r="AB26" s="76">
        <f>利润表!AB14</f>
        <v>0</v>
      </c>
      <c r="AC26" s="76">
        <f>利润表!AC14</f>
        <v>0</v>
      </c>
      <c r="AD26" s="76">
        <f>利润表!AD14</f>
        <v>0</v>
      </c>
      <c r="AE26" s="76">
        <f>利润表!AE14</f>
        <v>0</v>
      </c>
      <c r="AF26" s="76">
        <f>利润表!AF14</f>
        <v>0</v>
      </c>
      <c r="AG26" s="76">
        <f>利润表!AG14</f>
        <v>0</v>
      </c>
      <c r="AH26" s="76">
        <f>利润表!AH14</f>
        <v>0</v>
      </c>
      <c r="AI26" s="76">
        <f>利润表!AI14</f>
        <v>0</v>
      </c>
      <c r="AJ26" s="76">
        <f>利润表!AJ14</f>
        <v>0</v>
      </c>
      <c r="AK26" s="76">
        <f>利润表!AK14</f>
        <v>0</v>
      </c>
      <c r="AL26" s="76">
        <f>利润表!AL14</f>
        <v>0</v>
      </c>
      <c r="AM26" s="76">
        <f>利润表!AM14</f>
        <v>0</v>
      </c>
      <c r="AN26" s="76">
        <f>利润表!AN14</f>
        <v>0</v>
      </c>
      <c r="AO26" s="76">
        <f>利润表!AO14</f>
        <v>0</v>
      </c>
      <c r="AP26" s="76">
        <f>利润表!AP14</f>
        <v>0</v>
      </c>
      <c r="AQ26" s="76">
        <f>利润表!AQ14</f>
        <v>0</v>
      </c>
      <c r="AR26" s="76">
        <f>利润表!AR14</f>
        <v>0</v>
      </c>
      <c r="AS26" s="76">
        <f>利润表!AS14</f>
        <v>0</v>
      </c>
      <c r="AT26" s="76">
        <f>利润表!AT14</f>
        <v>0</v>
      </c>
      <c r="AU26" s="76">
        <f>利润表!AU14</f>
        <v>0</v>
      </c>
      <c r="AV26" s="76">
        <f>利润表!AV14</f>
        <v>0</v>
      </c>
      <c r="AW26" s="76">
        <f>利润表!AW14</f>
        <v>0</v>
      </c>
      <c r="AX26" s="76">
        <f>利润表!AX14</f>
        <v>0</v>
      </c>
      <c r="AY26" s="76">
        <f>利润表!AY14</f>
        <v>0</v>
      </c>
      <c r="AZ26" s="76">
        <f>利润表!AZ14</f>
        <v>0</v>
      </c>
      <c r="BA26" s="76">
        <f>利润表!BA14</f>
        <v>0</v>
      </c>
      <c r="BB26" s="76">
        <f>利润表!BB14</f>
        <v>0</v>
      </c>
      <c r="BC26" s="76">
        <f>利润表!BC14</f>
        <v>0</v>
      </c>
      <c r="BD26" s="76">
        <f>利润表!BD14</f>
        <v>0</v>
      </c>
      <c r="BE26" s="76">
        <f>利润表!BE14</f>
        <v>0</v>
      </c>
      <c r="BF26" s="76">
        <f>利润表!BF14</f>
        <v>0</v>
      </c>
      <c r="BG26" s="76">
        <f>利润表!BG14</f>
        <v>0</v>
      </c>
      <c r="BH26" s="76">
        <f>利润表!BH14</f>
        <v>0</v>
      </c>
      <c r="BI26" s="76">
        <f>利润表!BI14</f>
        <v>0</v>
      </c>
      <c r="BJ26" s="76">
        <f>利润表!BJ14</f>
        <v>0</v>
      </c>
      <c r="BK26" s="76">
        <f>利润表!BK14</f>
        <v>0</v>
      </c>
      <c r="BL26" s="76">
        <f>利润表!BL14</f>
        <v>0</v>
      </c>
      <c r="BM26" s="76">
        <f>利润表!BM14</f>
        <v>0</v>
      </c>
      <c r="BN26" s="76">
        <f>利润表!BN14</f>
        <v>0</v>
      </c>
      <c r="BO26" s="76">
        <f>利润表!BO14</f>
        <v>0</v>
      </c>
      <c r="BP26" s="76">
        <f>利润表!BP14</f>
        <v>0</v>
      </c>
      <c r="BQ26" s="76">
        <f>利润表!BQ14</f>
        <v>0</v>
      </c>
      <c r="BR26" s="76">
        <f>利润表!BR14</f>
        <v>0</v>
      </c>
      <c r="BS26" s="76">
        <f>利润表!BS14</f>
        <v>0</v>
      </c>
      <c r="BT26" s="76">
        <f>利润表!BT14</f>
        <v>0</v>
      </c>
      <c r="BU26" s="76">
        <f>利润表!BU14</f>
        <v>0</v>
      </c>
      <c r="BV26" s="76">
        <f>利润表!BV14</f>
        <v>0</v>
      </c>
      <c r="BW26" s="76">
        <f>利润表!BW14</f>
        <v>0</v>
      </c>
      <c r="BX26" s="76">
        <f>利润表!BX14</f>
        <v>0</v>
      </c>
      <c r="BY26" s="76">
        <f>利润表!BY14</f>
        <v>0</v>
      </c>
      <c r="BZ26" s="76">
        <f>利润表!BZ14</f>
        <v>0</v>
      </c>
      <c r="CA26" s="76">
        <f>利润表!CA14</f>
        <v>0</v>
      </c>
      <c r="CB26" s="76">
        <f>利润表!CB14</f>
        <v>0</v>
      </c>
      <c r="CC26" s="76">
        <f>利润表!CC14</f>
        <v>0</v>
      </c>
      <c r="CD26" s="76">
        <f>利润表!CD14</f>
        <v>0</v>
      </c>
      <c r="CE26" s="76">
        <f>利润表!CE14</f>
        <v>0</v>
      </c>
      <c r="CF26" s="76">
        <f>利润表!CF14</f>
        <v>0</v>
      </c>
      <c r="CG26" s="76">
        <f>利润表!CG14</f>
        <v>0</v>
      </c>
      <c r="CH26" s="76">
        <f>利润表!CH14</f>
        <v>0</v>
      </c>
      <c r="CI26" s="76">
        <f>利润表!CI14</f>
        <v>0</v>
      </c>
      <c r="CJ26" s="76">
        <f>利润表!CJ14</f>
        <v>0</v>
      </c>
    </row>
    <row r="27" spans="1:89" s="76" customFormat="1" x14ac:dyDescent="0.25">
      <c r="A27" s="147" t="s">
        <v>443</v>
      </c>
      <c r="E27" s="76">
        <f>资产资本表!E19</f>
        <v>2681764.62</v>
      </c>
      <c r="F27" s="76">
        <f>资产资本表!F19</f>
        <v>36554845.829999998</v>
      </c>
      <c r="G27" s="76">
        <f>资产资本表!G19</f>
        <v>37301246.560000002</v>
      </c>
      <c r="H27" s="76">
        <f>资产资本表!H19</f>
        <v>44582193.149999999</v>
      </c>
      <c r="I27" s="76">
        <f>资产资本表!I19</f>
        <v>44208476.719999999</v>
      </c>
      <c r="J27" s="76">
        <f>资产资本表!J19</f>
        <v>46497065.140000001</v>
      </c>
      <c r="K27" s="76">
        <f>资产资本表!K19</f>
        <v>48418056.219999999</v>
      </c>
      <c r="L27" s="76">
        <f>资产资本表!L19</f>
        <v>47013607.68</v>
      </c>
      <c r="M27" s="76">
        <f>资产资本表!M19</f>
        <v>48378901.780000001</v>
      </c>
      <c r="N27" s="76">
        <f>资产资本表!N19</f>
        <v>0</v>
      </c>
      <c r="O27" s="76">
        <f>资产资本表!O19</f>
        <v>0</v>
      </c>
      <c r="P27" s="76">
        <f>资产资本表!P19</f>
        <v>0</v>
      </c>
      <c r="Q27" s="76">
        <f>资产资本表!Q19</f>
        <v>0</v>
      </c>
      <c r="R27" s="76">
        <f>资产资本表!R19</f>
        <v>0</v>
      </c>
      <c r="S27" s="76">
        <f>资产资本表!S19</f>
        <v>0</v>
      </c>
      <c r="T27" s="76">
        <f>资产资本表!T19</f>
        <v>0</v>
      </c>
      <c r="U27" s="76">
        <f>资产资本表!U19</f>
        <v>0</v>
      </c>
      <c r="V27" s="76">
        <f>资产资本表!V19</f>
        <v>0</v>
      </c>
      <c r="W27" s="76">
        <f>资产资本表!W19</f>
        <v>0</v>
      </c>
      <c r="X27" s="76">
        <f>资产资本表!X19</f>
        <v>0</v>
      </c>
      <c r="Y27" s="76">
        <f>资产资本表!Y19</f>
        <v>0</v>
      </c>
      <c r="Z27" s="76">
        <f>资产资本表!Z19</f>
        <v>0</v>
      </c>
      <c r="AA27" s="76">
        <f>资产资本表!AA19</f>
        <v>0</v>
      </c>
      <c r="AB27" s="76">
        <f>资产资本表!AB19</f>
        <v>0</v>
      </c>
      <c r="AC27" s="76">
        <f>资产资本表!AC19</f>
        <v>0</v>
      </c>
      <c r="AD27" s="76">
        <f>资产资本表!AD19</f>
        <v>0</v>
      </c>
      <c r="AE27" s="76">
        <f>资产资本表!AE19</f>
        <v>0</v>
      </c>
      <c r="AF27" s="76">
        <f>资产资本表!AF19</f>
        <v>0</v>
      </c>
      <c r="AG27" s="76">
        <f>资产资本表!AG19</f>
        <v>0</v>
      </c>
      <c r="AH27" s="76">
        <f>资产资本表!AH19</f>
        <v>0</v>
      </c>
      <c r="AI27" s="76">
        <f>资产资本表!AI19</f>
        <v>0</v>
      </c>
      <c r="AJ27" s="76">
        <f>资产资本表!AJ19</f>
        <v>0</v>
      </c>
      <c r="AK27" s="76">
        <f>资产资本表!AK19</f>
        <v>0</v>
      </c>
      <c r="AL27" s="76">
        <f>资产资本表!AL19</f>
        <v>0</v>
      </c>
      <c r="AM27" s="76">
        <f>资产资本表!AM19</f>
        <v>0</v>
      </c>
      <c r="AN27" s="76">
        <f>资产资本表!AN19</f>
        <v>0</v>
      </c>
      <c r="AO27" s="76">
        <f>资产资本表!AO19</f>
        <v>0</v>
      </c>
      <c r="AP27" s="76">
        <f>资产资本表!AP19</f>
        <v>0</v>
      </c>
      <c r="AQ27" s="76">
        <f>资产资本表!AQ19</f>
        <v>0</v>
      </c>
      <c r="AR27" s="76">
        <f>资产资本表!AR19</f>
        <v>0</v>
      </c>
      <c r="AS27" s="76">
        <f>资产资本表!AS19</f>
        <v>0</v>
      </c>
      <c r="AT27" s="76">
        <f>资产资本表!AT19</f>
        <v>0</v>
      </c>
      <c r="AU27" s="76">
        <f>资产资本表!AU19</f>
        <v>0</v>
      </c>
      <c r="AV27" s="76">
        <f>资产资本表!AV19</f>
        <v>0</v>
      </c>
      <c r="AW27" s="76">
        <f>资产资本表!AW19</f>
        <v>0</v>
      </c>
      <c r="AX27" s="76">
        <f>资产资本表!AX19</f>
        <v>0</v>
      </c>
      <c r="AY27" s="76">
        <f>资产资本表!AY19</f>
        <v>0</v>
      </c>
      <c r="AZ27" s="76">
        <f>资产资本表!AZ19</f>
        <v>0</v>
      </c>
      <c r="BA27" s="76">
        <f>资产资本表!BA19</f>
        <v>0</v>
      </c>
      <c r="BB27" s="76">
        <f>资产资本表!BB19</f>
        <v>0</v>
      </c>
      <c r="BC27" s="76">
        <f>资产资本表!BC19</f>
        <v>0</v>
      </c>
      <c r="BD27" s="76">
        <f>资产资本表!BD19</f>
        <v>0</v>
      </c>
      <c r="BE27" s="76">
        <f>资产资本表!BE19</f>
        <v>0</v>
      </c>
      <c r="BF27" s="76">
        <f>资产资本表!BF19</f>
        <v>0</v>
      </c>
      <c r="BG27" s="76">
        <f>资产资本表!BG19</f>
        <v>0</v>
      </c>
      <c r="BH27" s="76">
        <f>资产资本表!BH19</f>
        <v>0</v>
      </c>
      <c r="BI27" s="76">
        <f>资产资本表!BI19</f>
        <v>0</v>
      </c>
      <c r="BJ27" s="76">
        <f>资产资本表!BJ19</f>
        <v>0</v>
      </c>
      <c r="BK27" s="76">
        <f>资产资本表!BK19</f>
        <v>0</v>
      </c>
      <c r="BL27" s="76">
        <f>资产资本表!BL19</f>
        <v>0</v>
      </c>
      <c r="BM27" s="76">
        <f>资产资本表!BM19</f>
        <v>0</v>
      </c>
      <c r="BN27" s="76">
        <f>资产资本表!BN19</f>
        <v>0</v>
      </c>
      <c r="BO27" s="76">
        <f>资产资本表!BO19</f>
        <v>0</v>
      </c>
      <c r="BP27" s="76">
        <f>资产资本表!BP19</f>
        <v>0</v>
      </c>
      <c r="BQ27" s="76">
        <f>资产资本表!BQ19</f>
        <v>0</v>
      </c>
      <c r="BR27" s="76">
        <f>资产资本表!BR19</f>
        <v>0</v>
      </c>
      <c r="BS27" s="76">
        <f>资产资本表!BS19</f>
        <v>0</v>
      </c>
      <c r="BT27" s="76">
        <f>资产资本表!BT19</f>
        <v>0</v>
      </c>
      <c r="BU27" s="76">
        <f>资产资本表!BU19</f>
        <v>0</v>
      </c>
      <c r="BV27" s="76">
        <f>资产资本表!BV19</f>
        <v>0</v>
      </c>
      <c r="BW27" s="76">
        <f>资产资本表!BW19</f>
        <v>0</v>
      </c>
      <c r="BX27" s="76">
        <f>资产资本表!BX19</f>
        <v>0</v>
      </c>
      <c r="BY27" s="76">
        <f>资产资本表!BY19</f>
        <v>0</v>
      </c>
      <c r="BZ27" s="76">
        <f>资产资本表!BZ19</f>
        <v>0</v>
      </c>
      <c r="CA27" s="76">
        <f>资产资本表!CA19</f>
        <v>0</v>
      </c>
      <c r="CB27" s="76">
        <f>资产资本表!CB19</f>
        <v>0</v>
      </c>
      <c r="CC27" s="76">
        <f>资产资本表!CC19</f>
        <v>0</v>
      </c>
      <c r="CD27" s="76">
        <f>资产资本表!CD19</f>
        <v>0</v>
      </c>
      <c r="CE27" s="76">
        <f>资产资本表!CE19</f>
        <v>0</v>
      </c>
      <c r="CF27" s="76">
        <f>资产资本表!CF19</f>
        <v>0</v>
      </c>
      <c r="CG27" s="76">
        <f>资产资本表!CG19</f>
        <v>0</v>
      </c>
      <c r="CH27" s="76">
        <f>资产资本表!CH19</f>
        <v>0</v>
      </c>
      <c r="CI27" s="76">
        <f>资产资本表!CI19</f>
        <v>0</v>
      </c>
      <c r="CJ27" s="76">
        <f>资产资本表!CJ19</f>
        <v>0</v>
      </c>
      <c r="CK27" s="76">
        <f>资产资本表!CK19</f>
        <v>0</v>
      </c>
    </row>
    <row r="28" spans="1:89" s="110" customFormat="1" x14ac:dyDescent="0.25">
      <c r="A28" s="145" t="s">
        <v>444</v>
      </c>
      <c r="E28" s="110">
        <f>E26/E27</f>
        <v>0</v>
      </c>
      <c r="F28" s="110">
        <f t="shared" ref="F28:BQ28" si="12">F26/F27</f>
        <v>0</v>
      </c>
      <c r="G28" s="110">
        <f t="shared" si="12"/>
        <v>0</v>
      </c>
      <c r="H28" s="110">
        <f t="shared" si="12"/>
        <v>0</v>
      </c>
      <c r="I28" s="110">
        <f t="shared" si="12"/>
        <v>0</v>
      </c>
      <c r="J28" s="110">
        <f t="shared" si="12"/>
        <v>0</v>
      </c>
      <c r="K28" s="110">
        <f t="shared" si="12"/>
        <v>0</v>
      </c>
      <c r="L28" s="110">
        <f t="shared" si="12"/>
        <v>0</v>
      </c>
      <c r="M28" s="110">
        <f t="shared" si="12"/>
        <v>0</v>
      </c>
      <c r="N28" s="110" t="e">
        <f t="shared" si="12"/>
        <v>#DIV/0!</v>
      </c>
      <c r="O28" s="110" t="e">
        <f t="shared" si="12"/>
        <v>#DIV/0!</v>
      </c>
      <c r="P28" s="110" t="e">
        <f t="shared" si="12"/>
        <v>#DIV/0!</v>
      </c>
      <c r="Q28" s="110" t="e">
        <f t="shared" si="12"/>
        <v>#DIV/0!</v>
      </c>
      <c r="R28" s="110" t="e">
        <f t="shared" si="12"/>
        <v>#DIV/0!</v>
      </c>
      <c r="S28" s="110" t="e">
        <f t="shared" si="12"/>
        <v>#DIV/0!</v>
      </c>
      <c r="T28" s="110" t="e">
        <f t="shared" si="12"/>
        <v>#DIV/0!</v>
      </c>
      <c r="U28" s="110" t="e">
        <f t="shared" si="12"/>
        <v>#DIV/0!</v>
      </c>
      <c r="V28" s="110" t="e">
        <f t="shared" si="12"/>
        <v>#DIV/0!</v>
      </c>
      <c r="W28" s="110" t="e">
        <f t="shared" si="12"/>
        <v>#DIV/0!</v>
      </c>
      <c r="X28" s="110" t="e">
        <f t="shared" si="12"/>
        <v>#DIV/0!</v>
      </c>
      <c r="Y28" s="110" t="e">
        <f t="shared" si="12"/>
        <v>#DIV/0!</v>
      </c>
      <c r="Z28" s="110" t="e">
        <f t="shared" si="12"/>
        <v>#DIV/0!</v>
      </c>
      <c r="AA28" s="110" t="e">
        <f t="shared" si="12"/>
        <v>#DIV/0!</v>
      </c>
      <c r="AB28" s="110" t="e">
        <f t="shared" si="12"/>
        <v>#DIV/0!</v>
      </c>
      <c r="AC28" s="110" t="e">
        <f t="shared" si="12"/>
        <v>#DIV/0!</v>
      </c>
      <c r="AD28" s="110" t="e">
        <f t="shared" si="12"/>
        <v>#DIV/0!</v>
      </c>
      <c r="AE28" s="110" t="e">
        <f t="shared" si="12"/>
        <v>#DIV/0!</v>
      </c>
      <c r="AF28" s="110" t="e">
        <f t="shared" si="12"/>
        <v>#DIV/0!</v>
      </c>
      <c r="AG28" s="110" t="e">
        <f t="shared" si="12"/>
        <v>#DIV/0!</v>
      </c>
      <c r="AH28" s="110" t="e">
        <f t="shared" si="12"/>
        <v>#DIV/0!</v>
      </c>
      <c r="AI28" s="110" t="e">
        <f t="shared" si="12"/>
        <v>#DIV/0!</v>
      </c>
      <c r="AJ28" s="110" t="e">
        <f t="shared" si="12"/>
        <v>#DIV/0!</v>
      </c>
      <c r="AK28" s="110" t="e">
        <f t="shared" si="12"/>
        <v>#DIV/0!</v>
      </c>
      <c r="AL28" s="110" t="e">
        <f t="shared" si="12"/>
        <v>#DIV/0!</v>
      </c>
      <c r="AM28" s="110" t="e">
        <f t="shared" si="12"/>
        <v>#DIV/0!</v>
      </c>
      <c r="AN28" s="110" t="e">
        <f t="shared" si="12"/>
        <v>#DIV/0!</v>
      </c>
      <c r="AO28" s="110" t="e">
        <f t="shared" si="12"/>
        <v>#DIV/0!</v>
      </c>
      <c r="AP28" s="110" t="e">
        <f t="shared" si="12"/>
        <v>#DIV/0!</v>
      </c>
      <c r="AQ28" s="110" t="e">
        <f t="shared" si="12"/>
        <v>#DIV/0!</v>
      </c>
      <c r="AR28" s="110" t="e">
        <f t="shared" si="12"/>
        <v>#DIV/0!</v>
      </c>
      <c r="AS28" s="110" t="e">
        <f t="shared" si="12"/>
        <v>#DIV/0!</v>
      </c>
      <c r="AT28" s="110" t="e">
        <f t="shared" si="12"/>
        <v>#DIV/0!</v>
      </c>
      <c r="AU28" s="110" t="e">
        <f t="shared" si="12"/>
        <v>#DIV/0!</v>
      </c>
      <c r="AV28" s="110" t="e">
        <f t="shared" si="12"/>
        <v>#DIV/0!</v>
      </c>
      <c r="AW28" s="110" t="e">
        <f t="shared" si="12"/>
        <v>#DIV/0!</v>
      </c>
      <c r="AX28" s="110" t="e">
        <f t="shared" si="12"/>
        <v>#DIV/0!</v>
      </c>
      <c r="AY28" s="110" t="e">
        <f t="shared" si="12"/>
        <v>#DIV/0!</v>
      </c>
      <c r="AZ28" s="110" t="e">
        <f t="shared" si="12"/>
        <v>#DIV/0!</v>
      </c>
      <c r="BA28" s="110" t="e">
        <f t="shared" si="12"/>
        <v>#DIV/0!</v>
      </c>
      <c r="BB28" s="110" t="e">
        <f t="shared" si="12"/>
        <v>#DIV/0!</v>
      </c>
      <c r="BC28" s="110" t="e">
        <f t="shared" si="12"/>
        <v>#DIV/0!</v>
      </c>
      <c r="BD28" s="110" t="e">
        <f t="shared" si="12"/>
        <v>#DIV/0!</v>
      </c>
      <c r="BE28" s="110" t="e">
        <f t="shared" si="12"/>
        <v>#DIV/0!</v>
      </c>
      <c r="BF28" s="110" t="e">
        <f t="shared" si="12"/>
        <v>#DIV/0!</v>
      </c>
      <c r="BG28" s="110" t="e">
        <f t="shared" si="12"/>
        <v>#DIV/0!</v>
      </c>
      <c r="BH28" s="110" t="e">
        <f t="shared" si="12"/>
        <v>#DIV/0!</v>
      </c>
      <c r="BI28" s="110" t="e">
        <f t="shared" si="12"/>
        <v>#DIV/0!</v>
      </c>
      <c r="BJ28" s="110" t="e">
        <f t="shared" si="12"/>
        <v>#DIV/0!</v>
      </c>
      <c r="BK28" s="110" t="e">
        <f t="shared" si="12"/>
        <v>#DIV/0!</v>
      </c>
      <c r="BL28" s="110" t="e">
        <f t="shared" si="12"/>
        <v>#DIV/0!</v>
      </c>
      <c r="BM28" s="110" t="e">
        <f t="shared" si="12"/>
        <v>#DIV/0!</v>
      </c>
      <c r="BN28" s="110" t="e">
        <f t="shared" si="12"/>
        <v>#DIV/0!</v>
      </c>
      <c r="BO28" s="110" t="e">
        <f t="shared" si="12"/>
        <v>#DIV/0!</v>
      </c>
      <c r="BP28" s="110" t="e">
        <f t="shared" si="12"/>
        <v>#DIV/0!</v>
      </c>
      <c r="BQ28" s="110" t="e">
        <f t="shared" si="12"/>
        <v>#DIV/0!</v>
      </c>
      <c r="BR28" s="110" t="e">
        <f t="shared" ref="BR28:CJ28" si="13">BR26/BR27</f>
        <v>#DIV/0!</v>
      </c>
      <c r="BS28" s="110" t="e">
        <f t="shared" si="13"/>
        <v>#DIV/0!</v>
      </c>
      <c r="BT28" s="110" t="e">
        <f t="shared" si="13"/>
        <v>#DIV/0!</v>
      </c>
      <c r="BU28" s="110" t="e">
        <f t="shared" si="13"/>
        <v>#DIV/0!</v>
      </c>
      <c r="BV28" s="110" t="e">
        <f t="shared" si="13"/>
        <v>#DIV/0!</v>
      </c>
      <c r="BW28" s="110" t="e">
        <f t="shared" si="13"/>
        <v>#DIV/0!</v>
      </c>
      <c r="BX28" s="110" t="e">
        <f t="shared" si="13"/>
        <v>#DIV/0!</v>
      </c>
      <c r="BY28" s="110" t="e">
        <f t="shared" si="13"/>
        <v>#DIV/0!</v>
      </c>
      <c r="BZ28" s="110" t="e">
        <f t="shared" si="13"/>
        <v>#DIV/0!</v>
      </c>
      <c r="CA28" s="110" t="e">
        <f t="shared" si="13"/>
        <v>#DIV/0!</v>
      </c>
      <c r="CB28" s="110" t="e">
        <f t="shared" si="13"/>
        <v>#DIV/0!</v>
      </c>
      <c r="CC28" s="110" t="e">
        <f t="shared" si="13"/>
        <v>#DIV/0!</v>
      </c>
      <c r="CD28" s="110" t="e">
        <f t="shared" si="13"/>
        <v>#DIV/0!</v>
      </c>
      <c r="CE28" s="110" t="e">
        <f t="shared" si="13"/>
        <v>#DIV/0!</v>
      </c>
      <c r="CF28" s="110" t="e">
        <f t="shared" si="13"/>
        <v>#DIV/0!</v>
      </c>
      <c r="CG28" s="110" t="e">
        <f t="shared" si="13"/>
        <v>#DIV/0!</v>
      </c>
      <c r="CH28" s="110" t="e">
        <f t="shared" si="13"/>
        <v>#DIV/0!</v>
      </c>
      <c r="CI28" s="110" t="e">
        <f t="shared" si="13"/>
        <v>#DIV/0!</v>
      </c>
      <c r="CJ28" s="110" t="e">
        <f t="shared" si="13"/>
        <v>#DIV/0!</v>
      </c>
    </row>
    <row r="29" spans="1:89" s="26" customFormat="1" ht="159.6" customHeight="1" x14ac:dyDescent="0.25">
      <c r="A29" s="290" t="s">
        <v>695</v>
      </c>
      <c r="B29" s="281"/>
      <c r="C29" s="281"/>
      <c r="D29" s="281"/>
      <c r="E29" s="281"/>
      <c r="F29" s="281"/>
      <c r="G29" s="281"/>
      <c r="H29" s="281"/>
      <c r="I29" s="281"/>
      <c r="J29" s="281"/>
      <c r="K29" s="281"/>
      <c r="L29" s="281"/>
      <c r="M29" s="281"/>
      <c r="N29" s="281"/>
      <c r="O29" s="281"/>
      <c r="P29" s="281"/>
      <c r="Q29" s="281"/>
      <c r="R29" s="281"/>
      <c r="S29" s="281"/>
      <c r="T29" s="281"/>
      <c r="U29" s="281"/>
    </row>
    <row r="30" spans="1:89" s="26" customFormat="1" x14ac:dyDescent="0.25">
      <c r="A30" s="17"/>
    </row>
    <row r="31" spans="1:89" s="116" customFormat="1" x14ac:dyDescent="0.25">
      <c r="A31" s="118" t="s">
        <v>445</v>
      </c>
      <c r="B31" s="1">
        <v>43373</v>
      </c>
      <c r="C31" s="1">
        <v>43281</v>
      </c>
      <c r="D31" s="1">
        <v>43190</v>
      </c>
      <c r="E31" s="1">
        <v>43100</v>
      </c>
      <c r="F31" s="1">
        <v>43008</v>
      </c>
      <c r="G31" s="1">
        <v>42916</v>
      </c>
      <c r="H31" s="1">
        <v>42825</v>
      </c>
      <c r="I31" s="1">
        <v>42735</v>
      </c>
      <c r="J31" s="1">
        <v>42643</v>
      </c>
      <c r="K31" s="1">
        <v>42551</v>
      </c>
      <c r="L31" s="1">
        <v>42460</v>
      </c>
      <c r="M31" s="1">
        <v>42369</v>
      </c>
      <c r="N31" s="1">
        <v>42277</v>
      </c>
      <c r="O31" s="1">
        <v>42185</v>
      </c>
      <c r="P31" s="1">
        <v>42094</v>
      </c>
      <c r="Q31" s="1">
        <v>42004</v>
      </c>
      <c r="R31" s="1">
        <v>41912</v>
      </c>
      <c r="S31" s="1">
        <v>41820</v>
      </c>
      <c r="T31" s="1">
        <v>41729</v>
      </c>
      <c r="U31" s="1">
        <v>41639</v>
      </c>
      <c r="V31" s="1">
        <v>41547</v>
      </c>
      <c r="W31" s="1">
        <v>41455</v>
      </c>
      <c r="X31" s="1">
        <v>41364</v>
      </c>
      <c r="Y31" s="1">
        <v>41274</v>
      </c>
      <c r="Z31" s="1">
        <v>41182</v>
      </c>
      <c r="AA31" s="1">
        <v>41090</v>
      </c>
      <c r="AB31" s="1">
        <v>40999</v>
      </c>
      <c r="AC31" s="1">
        <v>40908</v>
      </c>
      <c r="AD31" s="1">
        <v>40816</v>
      </c>
      <c r="AE31" s="1">
        <v>40724</v>
      </c>
      <c r="AF31" s="1">
        <v>40633</v>
      </c>
      <c r="AG31" s="1">
        <v>40543</v>
      </c>
      <c r="AH31" s="1">
        <v>40451</v>
      </c>
      <c r="AI31" s="1">
        <v>40359</v>
      </c>
      <c r="AJ31" s="1">
        <v>40268</v>
      </c>
      <c r="AK31" s="1">
        <v>40178</v>
      </c>
      <c r="AL31" s="1">
        <v>40086</v>
      </c>
      <c r="AM31" s="1">
        <v>39994</v>
      </c>
      <c r="AN31" s="1">
        <v>39903</v>
      </c>
      <c r="AO31" s="1">
        <v>39813</v>
      </c>
      <c r="AP31" s="1">
        <v>39721</v>
      </c>
      <c r="AQ31" s="1">
        <v>39447</v>
      </c>
      <c r="AR31" s="1">
        <v>39082</v>
      </c>
      <c r="AS31" s="1">
        <v>25569</v>
      </c>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row>
    <row r="32" spans="1:89" s="76" customFormat="1" x14ac:dyDescent="0.25">
      <c r="A32" s="147" t="s">
        <v>449</v>
      </c>
      <c r="E32" s="76">
        <f>股权价值增加表!E29</f>
        <v>7540760.0164271062</v>
      </c>
      <c r="F32" s="76">
        <f>股权价值增加表!F29</f>
        <v>128994.48533827998</v>
      </c>
      <c r="G32" s="76">
        <f>股权价值增加表!G29</f>
        <v>12180896.088518757</v>
      </c>
      <c r="H32" s="76">
        <f>股权价值增加表!H29</f>
        <v>939992.4570601983</v>
      </c>
      <c r="I32" s="76">
        <f>股权价值增加表!I29</f>
        <v>42139498.120721474</v>
      </c>
      <c r="J32" s="76">
        <f>股权价值增加表!J29</f>
        <v>18027127.135673136</v>
      </c>
      <c r="K32" s="76">
        <f>股权价值增加表!K29</f>
        <v>12642273.472663125</v>
      </c>
      <c r="L32" s="76">
        <f>股权价值增加表!L29</f>
        <v>8599498.5860650763</v>
      </c>
      <c r="M32" s="76">
        <f>股权价值增加表!M29</f>
        <v>61216111.9209425</v>
      </c>
      <c r="N32" s="76">
        <f>股权价值增加表!N29</f>
        <v>29912931.741094485</v>
      </c>
      <c r="O32" s="76">
        <f>股权价值增加表!O29</f>
        <v>15884345.381188713</v>
      </c>
      <c r="P32" s="76">
        <f>股权价值增加表!P29</f>
        <v>998805.38915454806</v>
      </c>
      <c r="Q32" s="76">
        <f>股权价值增加表!Q29</f>
        <v>35092604.180883817</v>
      </c>
      <c r="R32" s="76">
        <f>股权价值增加表!R29</f>
        <v>11140398.069648199</v>
      </c>
      <c r="S32" s="76">
        <f>股权价值增加表!S29</f>
        <v>7361148.1036858261</v>
      </c>
      <c r="T32" s="76">
        <f>股权价值增加表!T29</f>
        <v>1760186.5254525978</v>
      </c>
      <c r="U32" s="76">
        <f>股权价值增加表!U29</f>
        <v>22039030.675239809</v>
      </c>
      <c r="V32" s="76">
        <f>股权价值增加表!V29</f>
        <v>3158446.3873934578</v>
      </c>
      <c r="W32" s="76">
        <f>股权价值增加表!W29</f>
        <v>2405392.4451926495</v>
      </c>
      <c r="X32" s="76">
        <f>股权价值增加表!X29</f>
        <v>1253212.0154899401</v>
      </c>
      <c r="Y32" s="76">
        <f>股权价值增加表!Y29</f>
        <v>19487611.257494103</v>
      </c>
      <c r="Z32" s="76">
        <f>股权价值增加表!Z29</f>
        <v>147195.29</v>
      </c>
      <c r="AA32" s="76">
        <f>股权价值增加表!AA29</f>
        <v>92296.55</v>
      </c>
      <c r="AB32" s="76">
        <f>股权价值增加表!AB29</f>
        <v>-2400</v>
      </c>
      <c r="AC32" s="76">
        <f>股权价值增加表!AC29</f>
        <v>21455167.405559704</v>
      </c>
      <c r="AD32" s="76">
        <f>股权价值增加表!AD29</f>
        <v>-597629.93000000005</v>
      </c>
      <c r="AE32" s="76">
        <f>股权价值增加表!AE29</f>
        <v>-307502.71000000002</v>
      </c>
      <c r="AF32" s="76">
        <f>股权价值增加表!AF29</f>
        <v>0</v>
      </c>
      <c r="AG32" s="76">
        <f>股权价值增加表!AG29</f>
        <v>14404954.953241179</v>
      </c>
      <c r="AH32" s="76">
        <f>股权价值增加表!AH29</f>
        <v>-211123.94</v>
      </c>
      <c r="AI32" s="76">
        <f>股权价值增加表!AI29</f>
        <v>-96363.82</v>
      </c>
      <c r="AJ32" s="76">
        <f>股权价值增加表!AJ29</f>
        <v>0</v>
      </c>
      <c r="AK32" s="76">
        <f>股权价值增加表!AK29</f>
        <v>1144446.0423256264</v>
      </c>
      <c r="AL32" s="76">
        <f>股权价值增加表!AL29</f>
        <v>0</v>
      </c>
      <c r="AM32" s="76">
        <f>股权价值增加表!AM29</f>
        <v>0</v>
      </c>
      <c r="AN32" s="76">
        <f>股权价值增加表!AN29</f>
        <v>0</v>
      </c>
      <c r="AO32" s="76">
        <f>股权价值增加表!AO29</f>
        <v>72453.427613629668</v>
      </c>
      <c r="AP32" s="76">
        <f>股权价值增加表!AP29</f>
        <v>2421.1224190220323</v>
      </c>
      <c r="AQ32" s="76">
        <f>股权价值增加表!AQ29</f>
        <v>7931.6763068139562</v>
      </c>
      <c r="AR32" s="76">
        <f>股权价值增加表!AR29</f>
        <v>0</v>
      </c>
      <c r="AS32" s="76" t="e">
        <f>股权价值增加表!AS29</f>
        <v>#DIV/0!</v>
      </c>
      <c r="AT32" s="76">
        <f>股权价值增加表!AT29</f>
        <v>-8122173.6560173379</v>
      </c>
      <c r="AU32" s="76">
        <f>股权价值增加表!AU29</f>
        <v>-688900.4632240358</v>
      </c>
      <c r="AV32" s="76">
        <f>股权价值增加表!AV29</f>
        <v>-61022787.12720795</v>
      </c>
      <c r="AW32" s="76">
        <f>股权价值增加表!AW29</f>
        <v>-50093697.729275554</v>
      </c>
      <c r="AX32" s="76">
        <f>股权价值增加表!AX29</f>
        <v>-43012215.904261902</v>
      </c>
      <c r="AY32" s="76">
        <f>股权价值增加表!AY29</f>
        <v>-27523866.203127492</v>
      </c>
      <c r="AZ32" s="76">
        <f>股权价值增加表!AZ29</f>
        <v>-9209832.2439196259</v>
      </c>
      <c r="BA32" s="76">
        <f>股权价值增加表!BA29</f>
        <v>69167931.356924787</v>
      </c>
      <c r="BB32" s="76">
        <f>股权价值增加表!BB29</f>
        <v>27009065.035167493</v>
      </c>
      <c r="BC32" s="76">
        <f>股权价值增加表!BC29</f>
        <v>33131586.469690327</v>
      </c>
      <c r="BD32" s="76">
        <f>股权价值增加表!BD29</f>
        <v>0</v>
      </c>
      <c r="BE32" s="76">
        <f>股权价值增加表!BE29</f>
        <v>1998183.825135876</v>
      </c>
      <c r="BF32" s="76">
        <f>股权价值增加表!BF29</f>
        <v>-8967806.6352624726</v>
      </c>
      <c r="BG32" s="76">
        <f>股权价值增加表!BG29</f>
        <v>-8022480.3069745274</v>
      </c>
      <c r="BH32" s="76">
        <f>股权价值增加表!BH29</f>
        <v>-70820124.885195538</v>
      </c>
      <c r="BI32" s="76">
        <f>股权价值增加表!BI29</f>
        <v>7091634.2273319187</v>
      </c>
      <c r="BJ32" s="76">
        <f>股权价值增加表!BJ29</f>
        <v>-4214133.4392030779</v>
      </c>
      <c r="BK32" s="76">
        <f>股权价值增加表!BK29</f>
        <v>-1023870.6355382719</v>
      </c>
      <c r="BL32" s="76">
        <f>股权价值增加表!BL29</f>
        <v>-20041322.937003668</v>
      </c>
      <c r="BM32" s="76">
        <f>股权价值增加表!BM29</f>
        <v>-1486265.4649603667</v>
      </c>
      <c r="BN32" s="76">
        <f>股权价值增加表!BN29</f>
        <v>-13247610.205168763</v>
      </c>
      <c r="BO32" s="76">
        <f>股权价值增加表!BO29</f>
        <v>-13046345.857516127</v>
      </c>
      <c r="BP32" s="76">
        <f>股权价值增加表!BP29</f>
        <v>2699402.1974922284</v>
      </c>
      <c r="BQ32" s="76">
        <f>股权价值增加表!BQ29</f>
        <v>-25832217.946003724</v>
      </c>
      <c r="BR32" s="76">
        <f>股权价值增加表!BR29</f>
        <v>-147870000</v>
      </c>
      <c r="BS32" s="76">
        <f>股权价值增加表!BS29</f>
        <v>-56921533.426971629</v>
      </c>
      <c r="BT32" s="76">
        <f>股权价值增加表!BT29</f>
        <v>-63396403.961102709</v>
      </c>
      <c r="BU32" s="76">
        <f>股权价值增加表!BU29</f>
        <v>-31533634.159668338</v>
      </c>
      <c r="BV32" s="76">
        <f>股权价值增加表!BV29</f>
        <v>0</v>
      </c>
      <c r="BW32" s="76">
        <f>股权价值增加表!BW29</f>
        <v>0</v>
      </c>
      <c r="BX32" s="76">
        <f>股权价值增加表!BX29</f>
        <v>0</v>
      </c>
      <c r="BY32" s="76">
        <f>股权价值增加表!BY29</f>
        <v>0</v>
      </c>
      <c r="BZ32" s="76">
        <f>股权价值增加表!BZ29</f>
        <v>0</v>
      </c>
      <c r="CA32" s="76">
        <f>股权价值增加表!CA29</f>
        <v>0</v>
      </c>
      <c r="CB32" s="76">
        <f>股权价值增加表!CB29</f>
        <v>0</v>
      </c>
      <c r="CC32" s="76">
        <f>股权价值增加表!CC29</f>
        <v>0</v>
      </c>
      <c r="CD32" s="76" t="e">
        <f>股权价值增加表!CD29</f>
        <v>#DIV/0!</v>
      </c>
      <c r="CE32" s="76">
        <f>股权价值增加表!CE29</f>
        <v>-20081000</v>
      </c>
      <c r="CF32" s="76">
        <f>股权价值增加表!CF29</f>
        <v>-14354563.84</v>
      </c>
      <c r="CG32" s="76" t="e">
        <f>股权价值增加表!CG29</f>
        <v>#DIV/0!</v>
      </c>
      <c r="CH32" s="76" t="e">
        <f>股权价值增加表!CH29</f>
        <v>#DIV/0!</v>
      </c>
      <c r="CI32" s="76" t="e">
        <f>股权价值增加表!CI29</f>
        <v>#DIV/0!</v>
      </c>
      <c r="CJ32" s="76" t="e">
        <f>股权价值增加表!CJ29</f>
        <v>#DIV/0!</v>
      </c>
    </row>
    <row r="33" spans="1:89" s="76" customFormat="1" x14ac:dyDescent="0.25">
      <c r="A33" s="148" t="s">
        <v>450</v>
      </c>
    </row>
    <row r="34" spans="1:89" s="76" customFormat="1" x14ac:dyDescent="0.25">
      <c r="A34" s="147" t="s">
        <v>451</v>
      </c>
      <c r="E34" s="76">
        <f>资产资本表!E4</f>
        <v>430523371.25999999</v>
      </c>
      <c r="F34" s="76">
        <f>资产资本表!F4</f>
        <v>352507611.31</v>
      </c>
      <c r="G34" s="76">
        <f>资产资本表!G4</f>
        <v>602354687.92999995</v>
      </c>
      <c r="H34" s="76">
        <f>资产资本表!H4</f>
        <v>676673658.49000001</v>
      </c>
      <c r="I34" s="76">
        <f>资产资本表!I4</f>
        <v>1158545020.5699999</v>
      </c>
      <c r="J34" s="76">
        <f>资产资本表!J4</f>
        <v>528927546.98000002</v>
      </c>
      <c r="K34" s="76">
        <f>资产资本表!K4</f>
        <v>566329470.64999998</v>
      </c>
      <c r="L34" s="76">
        <f>资产资本表!L4</f>
        <v>692567896.78999996</v>
      </c>
      <c r="M34" s="76">
        <f>资产资本表!M4</f>
        <v>589602793.25999999</v>
      </c>
      <c r="N34" s="76">
        <f>资产资本表!N4</f>
        <v>736928180.35000002</v>
      </c>
      <c r="O34" s="76">
        <f>资产资本表!O4</f>
        <v>619994822.77999997</v>
      </c>
      <c r="P34" s="76">
        <f>资产资本表!P4</f>
        <v>669893756.87</v>
      </c>
      <c r="Q34" s="76">
        <f>资产资本表!Q4</f>
        <v>647204677.45000005</v>
      </c>
      <c r="R34" s="76">
        <f>资产资本表!R4</f>
        <v>629117054.61000001</v>
      </c>
      <c r="S34" s="76">
        <f>资产资本表!S4</f>
        <v>835542721.87</v>
      </c>
      <c r="T34" s="76">
        <f>资产资本表!T4</f>
        <v>884858061.70000005</v>
      </c>
      <c r="U34" s="76">
        <f>资产资本表!U4</f>
        <v>932276706.14999998</v>
      </c>
      <c r="V34" s="76">
        <f>资产资本表!V4</f>
        <v>902923862.08000004</v>
      </c>
      <c r="W34" s="76">
        <f>资产资本表!W4</f>
        <v>668725962.38</v>
      </c>
      <c r="X34" s="76">
        <f>资产资本表!X4</f>
        <v>841093308.09000003</v>
      </c>
      <c r="Y34" s="76">
        <f>资产资本表!Y4</f>
        <v>956043885.24000001</v>
      </c>
      <c r="Z34" s="76">
        <f>资产资本表!Z4</f>
        <v>803173622.38</v>
      </c>
      <c r="AA34" s="76">
        <f>资产资本表!AA4</f>
        <v>667828913.97000003</v>
      </c>
      <c r="AB34" s="76">
        <f>资产资本表!AB4</f>
        <v>1014024416.74</v>
      </c>
      <c r="AC34" s="76">
        <f>资产资本表!AC4</f>
        <v>1002302902.5700001</v>
      </c>
      <c r="AD34" s="76">
        <f>资产资本表!AD4</f>
        <v>982362386.38999999</v>
      </c>
      <c r="AE34" s="76">
        <f>资产资本表!AE4</f>
        <v>862194779.22000003</v>
      </c>
      <c r="AF34" s="76">
        <f>资产资本表!AF4</f>
        <v>1151874426.3</v>
      </c>
      <c r="AG34" s="76">
        <f>资产资本表!AG4</f>
        <v>1057191976.45</v>
      </c>
      <c r="AH34" s="76">
        <f>资产资本表!AH4</f>
        <v>960610001.01999998</v>
      </c>
      <c r="AI34" s="76">
        <f>资产资本表!AI4</f>
        <v>930790908.42999995</v>
      </c>
      <c r="AJ34" s="76">
        <f>资产资本表!AJ4</f>
        <v>1127355392.73</v>
      </c>
      <c r="AK34" s="76">
        <f>资产资本表!AK4</f>
        <v>1066884381.7</v>
      </c>
      <c r="AL34" s="76">
        <f>资产资本表!AL4</f>
        <v>1057983159.11</v>
      </c>
      <c r="AM34" s="76">
        <f>资产资本表!AM4</f>
        <v>74808751.980000004</v>
      </c>
      <c r="AN34" s="76">
        <f>资产资本表!AN4</f>
        <v>78505801.079999998</v>
      </c>
      <c r="AO34" s="76">
        <f>资产资本表!AO4</f>
        <v>45134760.259999998</v>
      </c>
      <c r="AP34" s="76">
        <f>资产资本表!AP4</f>
        <v>52609626.460000001</v>
      </c>
      <c r="AQ34" s="76">
        <f>资产资本表!AQ4</f>
        <v>0</v>
      </c>
      <c r="AR34" s="76">
        <f>资产资本表!AR4</f>
        <v>0</v>
      </c>
      <c r="AS34" s="76">
        <f>资产资本表!AS4</f>
        <v>0</v>
      </c>
      <c r="AT34" s="76">
        <f>资产资本表!AT4</f>
        <v>0</v>
      </c>
      <c r="AU34" s="76">
        <f>资产资本表!AU4</f>
        <v>0</v>
      </c>
      <c r="AV34" s="76">
        <f>资产资本表!AV4</f>
        <v>0</v>
      </c>
      <c r="AW34" s="76">
        <f>资产资本表!AW4</f>
        <v>0</v>
      </c>
      <c r="AX34" s="76">
        <f>资产资本表!AX4</f>
        <v>0</v>
      </c>
      <c r="AY34" s="76">
        <f>资产资本表!AY4</f>
        <v>0</v>
      </c>
      <c r="AZ34" s="76">
        <f>资产资本表!AZ4</f>
        <v>0</v>
      </c>
      <c r="BA34" s="76">
        <f>资产资本表!BA4</f>
        <v>0</v>
      </c>
      <c r="BB34" s="76">
        <f>资产资本表!BB4</f>
        <v>0</v>
      </c>
      <c r="BC34" s="76">
        <f>资产资本表!BC4</f>
        <v>0</v>
      </c>
      <c r="BD34" s="76">
        <f>资产资本表!BD4</f>
        <v>0</v>
      </c>
      <c r="BE34" s="76">
        <f>资产资本表!BE4</f>
        <v>0</v>
      </c>
      <c r="BF34" s="76">
        <f>资产资本表!BF4</f>
        <v>0</v>
      </c>
      <c r="BG34" s="76">
        <f>资产资本表!BG4</f>
        <v>0</v>
      </c>
      <c r="BH34" s="76">
        <f>资产资本表!BH4</f>
        <v>0</v>
      </c>
      <c r="BI34" s="76">
        <f>资产资本表!BI4</f>
        <v>0</v>
      </c>
      <c r="BJ34" s="76">
        <f>资产资本表!BJ4</f>
        <v>0</v>
      </c>
      <c r="BK34" s="76">
        <f>资产资本表!BK4</f>
        <v>0</v>
      </c>
      <c r="BL34" s="76">
        <f>资产资本表!BL4</f>
        <v>0</v>
      </c>
      <c r="BM34" s="76">
        <f>资产资本表!BM4</f>
        <v>0</v>
      </c>
      <c r="BN34" s="76">
        <f>资产资本表!BN4</f>
        <v>0</v>
      </c>
      <c r="BO34" s="76">
        <f>资产资本表!BO4</f>
        <v>0</v>
      </c>
      <c r="BP34" s="76">
        <f>资产资本表!BP4</f>
        <v>0</v>
      </c>
      <c r="BQ34" s="76">
        <f>资产资本表!BQ4</f>
        <v>0</v>
      </c>
      <c r="BR34" s="76">
        <f>资产资本表!BR4</f>
        <v>0</v>
      </c>
      <c r="BS34" s="76">
        <f>资产资本表!BS4</f>
        <v>0</v>
      </c>
      <c r="BT34" s="76">
        <f>资产资本表!BT4</f>
        <v>0</v>
      </c>
      <c r="BU34" s="76">
        <f>资产资本表!BU4</f>
        <v>0</v>
      </c>
      <c r="BV34" s="76">
        <f>资产资本表!BV4</f>
        <v>0</v>
      </c>
      <c r="BW34" s="76">
        <f>资产资本表!BW4</f>
        <v>0</v>
      </c>
      <c r="BX34" s="76">
        <f>资产资本表!BX4</f>
        <v>0</v>
      </c>
      <c r="BY34" s="76">
        <f>资产资本表!BY4</f>
        <v>0</v>
      </c>
      <c r="BZ34" s="76">
        <f>资产资本表!BZ4</f>
        <v>0</v>
      </c>
      <c r="CA34" s="76">
        <f>资产资本表!CA4</f>
        <v>0</v>
      </c>
      <c r="CB34" s="76">
        <f>资产资本表!CB4</f>
        <v>0</v>
      </c>
      <c r="CC34" s="76">
        <f>资产资本表!CC4</f>
        <v>0</v>
      </c>
      <c r="CD34" s="76">
        <f>资产资本表!CD4</f>
        <v>0</v>
      </c>
      <c r="CE34" s="76">
        <f>资产资本表!CE4</f>
        <v>0</v>
      </c>
      <c r="CF34" s="76">
        <f>资产资本表!CF4</f>
        <v>0</v>
      </c>
      <c r="CG34" s="76">
        <f>资产资本表!CG4</f>
        <v>0</v>
      </c>
      <c r="CH34" s="76">
        <f>资产资本表!CH4</f>
        <v>0</v>
      </c>
      <c r="CI34" s="76">
        <f>资产资本表!CI4</f>
        <v>0</v>
      </c>
      <c r="CJ34" s="76">
        <f>资产资本表!CJ4</f>
        <v>0</v>
      </c>
    </row>
    <row r="35" spans="1:89" s="76" customFormat="1" x14ac:dyDescent="0.25">
      <c r="A35" s="147" t="s">
        <v>452</v>
      </c>
      <c r="E35" s="76">
        <f>利润表!E12</f>
        <v>0</v>
      </c>
      <c r="F35" s="76">
        <f>利润表!F12</f>
        <v>0</v>
      </c>
      <c r="G35" s="76">
        <f>利润表!G12</f>
        <v>0</v>
      </c>
      <c r="H35" s="76">
        <f>利润表!H12</f>
        <v>0</v>
      </c>
      <c r="I35" s="76">
        <f>利润表!I12</f>
        <v>0</v>
      </c>
      <c r="J35" s="76">
        <f>利润表!J12</f>
        <v>0</v>
      </c>
      <c r="K35" s="76">
        <f>利润表!K12</f>
        <v>0</v>
      </c>
      <c r="L35" s="76">
        <f>利润表!L12</f>
        <v>0</v>
      </c>
      <c r="M35" s="76">
        <f>利润表!M12</f>
        <v>0</v>
      </c>
      <c r="N35" s="76">
        <f>利润表!N12</f>
        <v>0</v>
      </c>
      <c r="O35" s="76">
        <f>利润表!O12</f>
        <v>0</v>
      </c>
      <c r="P35" s="76">
        <f>利润表!P12</f>
        <v>0</v>
      </c>
      <c r="Q35" s="76">
        <f>利润表!Q12</f>
        <v>0</v>
      </c>
      <c r="R35" s="76">
        <f>利润表!R12</f>
        <v>0</v>
      </c>
      <c r="S35" s="76">
        <f>利润表!S12</f>
        <v>0</v>
      </c>
      <c r="T35" s="76">
        <f>利润表!T12</f>
        <v>0</v>
      </c>
      <c r="U35" s="76">
        <f>利润表!U12</f>
        <v>0</v>
      </c>
      <c r="V35" s="76">
        <f>利润表!V12</f>
        <v>0</v>
      </c>
      <c r="W35" s="76">
        <f>利润表!W12</f>
        <v>0</v>
      </c>
      <c r="X35" s="76">
        <f>利润表!X12</f>
        <v>0</v>
      </c>
      <c r="Y35" s="76">
        <f>利润表!Y12</f>
        <v>0</v>
      </c>
      <c r="Z35" s="76">
        <f>利润表!Z12</f>
        <v>0</v>
      </c>
      <c r="AA35" s="76">
        <f>利润表!AA12</f>
        <v>0</v>
      </c>
      <c r="AB35" s="76">
        <f>利润表!AB12</f>
        <v>0</v>
      </c>
      <c r="AC35" s="76">
        <f>利润表!AC12</f>
        <v>0</v>
      </c>
      <c r="AD35" s="76">
        <f>利润表!AD12</f>
        <v>0</v>
      </c>
      <c r="AE35" s="76">
        <f>利润表!AE12</f>
        <v>0</v>
      </c>
      <c r="AF35" s="76">
        <f>利润表!AF12</f>
        <v>0</v>
      </c>
      <c r="AG35" s="76">
        <f>利润表!AG12</f>
        <v>0</v>
      </c>
      <c r="AH35" s="76">
        <f>利润表!AH12</f>
        <v>0</v>
      </c>
      <c r="AI35" s="76">
        <f>利润表!AI12</f>
        <v>0</v>
      </c>
      <c r="AJ35" s="76">
        <f>利润表!AJ12</f>
        <v>0</v>
      </c>
      <c r="AK35" s="76">
        <f>利润表!AK12</f>
        <v>0</v>
      </c>
      <c r="AL35" s="76">
        <f>利润表!AL12</f>
        <v>0</v>
      </c>
      <c r="AM35" s="76">
        <f>利润表!AM12</f>
        <v>0</v>
      </c>
      <c r="AN35" s="76">
        <f>利润表!AN12</f>
        <v>0</v>
      </c>
      <c r="AO35" s="76">
        <f>利润表!AO12</f>
        <v>0</v>
      </c>
      <c r="AP35" s="76">
        <f>利润表!AP12</f>
        <v>0</v>
      </c>
      <c r="AQ35" s="76">
        <f>利润表!AQ12</f>
        <v>0</v>
      </c>
      <c r="AR35" s="76">
        <f>利润表!AR12</f>
        <v>0</v>
      </c>
      <c r="AS35" s="76">
        <f>利润表!AS12</f>
        <v>0</v>
      </c>
      <c r="AT35" s="76">
        <f>利润表!AT12</f>
        <v>0</v>
      </c>
      <c r="AU35" s="76">
        <f>利润表!AU12</f>
        <v>0</v>
      </c>
      <c r="AV35" s="76">
        <f>利润表!AV12</f>
        <v>0</v>
      </c>
      <c r="AW35" s="76">
        <f>利润表!AW12</f>
        <v>0</v>
      </c>
      <c r="AX35" s="76">
        <f>利润表!AX12</f>
        <v>0</v>
      </c>
      <c r="AY35" s="76">
        <f>利润表!AY12</f>
        <v>0</v>
      </c>
      <c r="AZ35" s="76">
        <f>利润表!AZ12</f>
        <v>0</v>
      </c>
      <c r="BA35" s="76">
        <f>利润表!BA12</f>
        <v>0</v>
      </c>
      <c r="BB35" s="76">
        <f>利润表!BB12</f>
        <v>0</v>
      </c>
      <c r="BC35" s="76">
        <f>利润表!BC12</f>
        <v>0</v>
      </c>
      <c r="BD35" s="76">
        <f>利润表!BD12</f>
        <v>0</v>
      </c>
      <c r="BE35" s="76">
        <f>利润表!BE12</f>
        <v>0</v>
      </c>
      <c r="BF35" s="76">
        <f>利润表!BF12</f>
        <v>0</v>
      </c>
      <c r="BG35" s="76">
        <f>利润表!BG12</f>
        <v>0</v>
      </c>
      <c r="BH35" s="76">
        <f>利润表!BH12</f>
        <v>0</v>
      </c>
      <c r="BI35" s="76">
        <f>利润表!BI12</f>
        <v>0</v>
      </c>
      <c r="BJ35" s="76">
        <f>利润表!BJ12</f>
        <v>0</v>
      </c>
      <c r="BK35" s="76">
        <f>利润表!BK12</f>
        <v>0</v>
      </c>
      <c r="BL35" s="76">
        <f>利润表!BL12</f>
        <v>0</v>
      </c>
      <c r="BM35" s="76">
        <f>利润表!BM12</f>
        <v>0</v>
      </c>
      <c r="BN35" s="76">
        <f>利润表!BN12</f>
        <v>0</v>
      </c>
      <c r="BO35" s="76">
        <f>利润表!BO12</f>
        <v>0</v>
      </c>
      <c r="BP35" s="76">
        <f>利润表!BP12</f>
        <v>0</v>
      </c>
      <c r="BQ35" s="76">
        <f>利润表!BQ12</f>
        <v>0</v>
      </c>
      <c r="BR35" s="76">
        <f>利润表!BR12</f>
        <v>0</v>
      </c>
      <c r="BS35" s="76">
        <f>利润表!BS12</f>
        <v>0</v>
      </c>
      <c r="BT35" s="76">
        <f>利润表!BT12</f>
        <v>0</v>
      </c>
      <c r="BU35" s="76">
        <f>利润表!BU12</f>
        <v>0</v>
      </c>
      <c r="BV35" s="76">
        <f>利润表!BV12</f>
        <v>0</v>
      </c>
      <c r="BW35" s="76">
        <f>利润表!BW12</f>
        <v>0</v>
      </c>
      <c r="BX35" s="76">
        <f>利润表!BX12</f>
        <v>0</v>
      </c>
      <c r="BY35" s="76">
        <f>利润表!BY12</f>
        <v>0</v>
      </c>
      <c r="BZ35" s="76">
        <f>利润表!BZ12</f>
        <v>0</v>
      </c>
      <c r="CA35" s="76">
        <f>利润表!CA12</f>
        <v>0</v>
      </c>
      <c r="CB35" s="76">
        <f>利润表!CB12</f>
        <v>0</v>
      </c>
      <c r="CC35" s="76">
        <f>利润表!CC12</f>
        <v>0</v>
      </c>
      <c r="CD35" s="76">
        <f>利润表!CD12</f>
        <v>0</v>
      </c>
      <c r="CE35" s="76">
        <f>利润表!CE12</f>
        <v>0</v>
      </c>
      <c r="CF35" s="76">
        <f>利润表!CF12</f>
        <v>0</v>
      </c>
      <c r="CG35" s="76">
        <f>利润表!CG12</f>
        <v>0</v>
      </c>
      <c r="CH35" s="76">
        <f>利润表!CH12</f>
        <v>0</v>
      </c>
      <c r="CI35" s="76">
        <f>利润表!CI12</f>
        <v>0</v>
      </c>
      <c r="CJ35" s="76">
        <f>利润表!CJ12</f>
        <v>0</v>
      </c>
    </row>
    <row r="36" spans="1:89" s="76" customFormat="1" x14ac:dyDescent="0.25">
      <c r="A36" s="147" t="s">
        <v>453</v>
      </c>
      <c r="E36" s="76">
        <f>资产资本表!E13</f>
        <v>0</v>
      </c>
      <c r="F36" s="76">
        <f>资产资本表!F13</f>
        <v>0</v>
      </c>
      <c r="G36" s="76">
        <f>资产资本表!G13</f>
        <v>0</v>
      </c>
      <c r="H36" s="76">
        <f>资产资本表!H13</f>
        <v>0</v>
      </c>
      <c r="I36" s="76">
        <f>资产资本表!I13</f>
        <v>0</v>
      </c>
      <c r="J36" s="76">
        <f>资产资本表!J13</f>
        <v>0</v>
      </c>
      <c r="K36" s="76">
        <f>资产资本表!K13</f>
        <v>0</v>
      </c>
      <c r="L36" s="76">
        <f>资产资本表!L13</f>
        <v>0</v>
      </c>
      <c r="M36" s="76">
        <f>资产资本表!M13</f>
        <v>0</v>
      </c>
      <c r="N36" s="76">
        <f>资产资本表!N13</f>
        <v>0</v>
      </c>
      <c r="O36" s="76">
        <f>资产资本表!O13</f>
        <v>0</v>
      </c>
      <c r="P36" s="76">
        <f>资产资本表!P13</f>
        <v>0</v>
      </c>
      <c r="Q36" s="76">
        <f>资产资本表!Q13</f>
        <v>0</v>
      </c>
      <c r="R36" s="76">
        <f>资产资本表!R13</f>
        <v>0</v>
      </c>
      <c r="S36" s="76">
        <f>资产资本表!S13</f>
        <v>0</v>
      </c>
      <c r="T36" s="76">
        <f>资产资本表!T13</f>
        <v>0</v>
      </c>
      <c r="U36" s="76">
        <f>资产资本表!U13</f>
        <v>0</v>
      </c>
      <c r="V36" s="76">
        <f>资产资本表!V13</f>
        <v>0</v>
      </c>
      <c r="W36" s="76">
        <f>资产资本表!W13</f>
        <v>0</v>
      </c>
      <c r="X36" s="76">
        <f>资产资本表!X13</f>
        <v>0</v>
      </c>
      <c r="Y36" s="76">
        <f>资产资本表!Y13</f>
        <v>0</v>
      </c>
      <c r="Z36" s="76">
        <f>资产资本表!Z13</f>
        <v>0</v>
      </c>
      <c r="AA36" s="76">
        <f>资产资本表!AA13</f>
        <v>0</v>
      </c>
      <c r="AB36" s="76">
        <f>资产资本表!AB13</f>
        <v>0</v>
      </c>
      <c r="AC36" s="76">
        <f>资产资本表!AC13</f>
        <v>0</v>
      </c>
      <c r="AD36" s="76">
        <f>资产资本表!AD13</f>
        <v>0</v>
      </c>
      <c r="AE36" s="76">
        <f>资产资本表!AE13</f>
        <v>0</v>
      </c>
      <c r="AF36" s="76">
        <f>资产资本表!AF13</f>
        <v>0</v>
      </c>
      <c r="AG36" s="76">
        <f>资产资本表!AG13</f>
        <v>0</v>
      </c>
      <c r="AH36" s="76">
        <f>资产资本表!AH13</f>
        <v>0</v>
      </c>
      <c r="AI36" s="76">
        <f>资产资本表!AI13</f>
        <v>0</v>
      </c>
      <c r="AJ36" s="76">
        <f>资产资本表!AJ13</f>
        <v>0</v>
      </c>
      <c r="AK36" s="76">
        <f>资产资本表!AK13</f>
        <v>0</v>
      </c>
      <c r="AL36" s="76">
        <f>资产资本表!AL13</f>
        <v>0</v>
      </c>
      <c r="AM36" s="76">
        <f>资产资本表!AM13</f>
        <v>0</v>
      </c>
      <c r="AN36" s="76">
        <f>资产资本表!AN13</f>
        <v>0</v>
      </c>
      <c r="AO36" s="76">
        <f>资产资本表!AO13</f>
        <v>0</v>
      </c>
      <c r="AP36" s="76">
        <f>资产资本表!AP13</f>
        <v>0</v>
      </c>
      <c r="AQ36" s="76">
        <f>资产资本表!AQ13</f>
        <v>0</v>
      </c>
      <c r="AR36" s="76">
        <f>资产资本表!AR13</f>
        <v>0</v>
      </c>
      <c r="AS36" s="76">
        <f>资产资本表!AS13</f>
        <v>0</v>
      </c>
      <c r="AT36" s="76">
        <f>资产资本表!AT13</f>
        <v>0</v>
      </c>
      <c r="AU36" s="76">
        <f>资产资本表!AU13</f>
        <v>0</v>
      </c>
      <c r="AV36" s="76">
        <f>资产资本表!AV13</f>
        <v>0</v>
      </c>
      <c r="AW36" s="76">
        <f>资产资本表!AW13</f>
        <v>0</v>
      </c>
      <c r="AX36" s="76">
        <f>资产资本表!AX13</f>
        <v>0</v>
      </c>
      <c r="AY36" s="76">
        <f>资产资本表!AY13</f>
        <v>0</v>
      </c>
      <c r="AZ36" s="76">
        <f>资产资本表!AZ13</f>
        <v>0</v>
      </c>
      <c r="BA36" s="76">
        <f>资产资本表!BA13</f>
        <v>0</v>
      </c>
      <c r="BB36" s="76">
        <f>资产资本表!BB13</f>
        <v>0</v>
      </c>
      <c r="BC36" s="76">
        <f>资产资本表!BC13</f>
        <v>0</v>
      </c>
      <c r="BD36" s="76">
        <f>资产资本表!BD13</f>
        <v>0</v>
      </c>
      <c r="BE36" s="76">
        <f>资产资本表!BE13</f>
        <v>0</v>
      </c>
      <c r="BF36" s="76">
        <f>资产资本表!BF13</f>
        <v>0</v>
      </c>
      <c r="BG36" s="76">
        <f>资产资本表!BG13</f>
        <v>0</v>
      </c>
      <c r="BH36" s="76">
        <f>资产资本表!BH13</f>
        <v>0</v>
      </c>
      <c r="BI36" s="76">
        <f>资产资本表!BI13</f>
        <v>0</v>
      </c>
      <c r="BJ36" s="76">
        <f>资产资本表!BJ13</f>
        <v>0</v>
      </c>
      <c r="BK36" s="76">
        <f>资产资本表!BK13</f>
        <v>0</v>
      </c>
      <c r="BL36" s="76">
        <f>资产资本表!BL13</f>
        <v>0</v>
      </c>
      <c r="BM36" s="76">
        <f>资产资本表!BM13</f>
        <v>0</v>
      </c>
      <c r="BN36" s="76">
        <f>资产资本表!BN13</f>
        <v>0</v>
      </c>
      <c r="BO36" s="76">
        <f>资产资本表!BO13</f>
        <v>0</v>
      </c>
      <c r="BP36" s="76">
        <f>资产资本表!BP13</f>
        <v>0</v>
      </c>
      <c r="BQ36" s="76">
        <f>资产资本表!BQ13</f>
        <v>0</v>
      </c>
      <c r="BR36" s="76">
        <f>资产资本表!BR13</f>
        <v>0</v>
      </c>
      <c r="BS36" s="76">
        <f>资产资本表!BS13</f>
        <v>0</v>
      </c>
      <c r="BT36" s="76">
        <f>资产资本表!BT13</f>
        <v>0</v>
      </c>
      <c r="BU36" s="76">
        <f>资产资本表!BU13</f>
        <v>0</v>
      </c>
      <c r="BV36" s="76">
        <f>资产资本表!BV13</f>
        <v>0</v>
      </c>
      <c r="BW36" s="76">
        <f>资产资本表!BW13</f>
        <v>0</v>
      </c>
      <c r="BX36" s="76">
        <f>资产资本表!BX13</f>
        <v>0</v>
      </c>
      <c r="BY36" s="76">
        <f>资产资本表!BY13</f>
        <v>0</v>
      </c>
      <c r="BZ36" s="76">
        <f>资产资本表!BZ13</f>
        <v>0</v>
      </c>
      <c r="CA36" s="76">
        <f>资产资本表!CA13</f>
        <v>0</v>
      </c>
      <c r="CB36" s="76">
        <f>资产资本表!CB13</f>
        <v>0</v>
      </c>
      <c r="CC36" s="76">
        <f>资产资本表!CC13</f>
        <v>0</v>
      </c>
      <c r="CD36" s="76">
        <f>资产资本表!CD13</f>
        <v>0</v>
      </c>
      <c r="CE36" s="76">
        <f>资产资本表!CE13</f>
        <v>0</v>
      </c>
      <c r="CF36" s="76">
        <f>资产资本表!CF13</f>
        <v>0</v>
      </c>
      <c r="CG36" s="76">
        <f>资产资本表!CG13</f>
        <v>0</v>
      </c>
      <c r="CH36" s="76">
        <f>资产资本表!CH13</f>
        <v>0</v>
      </c>
      <c r="CI36" s="76">
        <f>资产资本表!CI13</f>
        <v>0</v>
      </c>
      <c r="CJ36" s="76">
        <f>资产资本表!CJ13</f>
        <v>0</v>
      </c>
    </row>
    <row r="37" spans="1:89" s="76" customFormat="1" x14ac:dyDescent="0.25">
      <c r="A37" s="147" t="s">
        <v>454</v>
      </c>
      <c r="E37" s="76">
        <f>资产资本表!E11</f>
        <v>0</v>
      </c>
      <c r="F37" s="76">
        <f>资产资本表!F11</f>
        <v>0</v>
      </c>
      <c r="G37" s="76">
        <f>资产资本表!G11</f>
        <v>0</v>
      </c>
      <c r="H37" s="76">
        <f>资产资本表!H11</f>
        <v>0</v>
      </c>
      <c r="I37" s="76">
        <f>资产资本表!I11</f>
        <v>0</v>
      </c>
      <c r="J37" s="76">
        <f>资产资本表!J11</f>
        <v>0</v>
      </c>
      <c r="K37" s="76">
        <f>资产资本表!K11</f>
        <v>0</v>
      </c>
      <c r="L37" s="76">
        <f>资产资本表!L11</f>
        <v>0</v>
      </c>
      <c r="M37" s="76">
        <f>资产资本表!M11</f>
        <v>0</v>
      </c>
      <c r="N37" s="76">
        <f>资产资本表!N11</f>
        <v>0</v>
      </c>
      <c r="O37" s="76">
        <f>资产资本表!O11</f>
        <v>0</v>
      </c>
      <c r="P37" s="76">
        <f>资产资本表!P11</f>
        <v>0</v>
      </c>
      <c r="Q37" s="76">
        <f>资产资本表!Q11</f>
        <v>0</v>
      </c>
      <c r="R37" s="76">
        <f>资产资本表!R11</f>
        <v>0</v>
      </c>
      <c r="S37" s="76">
        <f>资产资本表!S11</f>
        <v>0</v>
      </c>
      <c r="T37" s="76">
        <f>资产资本表!T11</f>
        <v>0</v>
      </c>
      <c r="U37" s="76">
        <f>资产资本表!U11</f>
        <v>0</v>
      </c>
      <c r="V37" s="76">
        <f>资产资本表!V11</f>
        <v>0</v>
      </c>
      <c r="W37" s="76">
        <f>资产资本表!W11</f>
        <v>0</v>
      </c>
      <c r="X37" s="76">
        <f>资产资本表!X11</f>
        <v>0</v>
      </c>
      <c r="Y37" s="76">
        <f>资产资本表!Y11</f>
        <v>0</v>
      </c>
      <c r="Z37" s="76">
        <f>资产资本表!Z11</f>
        <v>0</v>
      </c>
      <c r="AA37" s="76">
        <f>资产资本表!AA11</f>
        <v>0</v>
      </c>
      <c r="AB37" s="76">
        <f>资产资本表!AB11</f>
        <v>0</v>
      </c>
      <c r="AC37" s="76">
        <f>资产资本表!AC11</f>
        <v>0</v>
      </c>
      <c r="AD37" s="76">
        <f>资产资本表!AD11</f>
        <v>0</v>
      </c>
      <c r="AE37" s="76">
        <f>资产资本表!AE11</f>
        <v>0</v>
      </c>
      <c r="AF37" s="76">
        <f>资产资本表!AF11</f>
        <v>0</v>
      </c>
      <c r="AG37" s="76">
        <f>资产资本表!AG11</f>
        <v>0</v>
      </c>
      <c r="AH37" s="76">
        <f>资产资本表!AH11</f>
        <v>0</v>
      </c>
      <c r="AI37" s="76">
        <f>资产资本表!AI11</f>
        <v>0</v>
      </c>
      <c r="AJ37" s="76">
        <f>资产资本表!AJ11</f>
        <v>0</v>
      </c>
      <c r="AK37" s="76">
        <f>资产资本表!AK11</f>
        <v>0</v>
      </c>
      <c r="AL37" s="76">
        <f>资产资本表!AL11</f>
        <v>0</v>
      </c>
      <c r="AM37" s="76">
        <f>资产资本表!AM11</f>
        <v>0</v>
      </c>
      <c r="AN37" s="76">
        <f>资产资本表!AN11</f>
        <v>0</v>
      </c>
      <c r="AO37" s="76">
        <f>资产资本表!AO11</f>
        <v>0</v>
      </c>
      <c r="AP37" s="76">
        <f>资产资本表!AP11</f>
        <v>0</v>
      </c>
      <c r="AQ37" s="76">
        <f>资产资本表!AQ11</f>
        <v>0</v>
      </c>
      <c r="AR37" s="76">
        <f>资产资本表!AR11</f>
        <v>0</v>
      </c>
      <c r="AS37" s="76">
        <f>资产资本表!AS11</f>
        <v>0</v>
      </c>
      <c r="AT37" s="76">
        <f>资产资本表!AT11</f>
        <v>0</v>
      </c>
      <c r="AU37" s="76">
        <f>资产资本表!AU11</f>
        <v>0</v>
      </c>
      <c r="AV37" s="76">
        <f>资产资本表!AV11</f>
        <v>0</v>
      </c>
      <c r="AW37" s="76">
        <f>资产资本表!AW11</f>
        <v>0</v>
      </c>
      <c r="AX37" s="76">
        <f>资产资本表!AX11</f>
        <v>0</v>
      </c>
      <c r="AY37" s="76">
        <f>资产资本表!AY11</f>
        <v>0</v>
      </c>
      <c r="AZ37" s="76">
        <f>资产资本表!AZ11</f>
        <v>0</v>
      </c>
      <c r="BA37" s="76">
        <f>资产资本表!BA11</f>
        <v>0</v>
      </c>
      <c r="BB37" s="76">
        <f>资产资本表!BB11</f>
        <v>0</v>
      </c>
      <c r="BC37" s="76">
        <f>资产资本表!BC11</f>
        <v>0</v>
      </c>
      <c r="BD37" s="76">
        <f>资产资本表!BD11</f>
        <v>0</v>
      </c>
      <c r="BE37" s="76">
        <f>资产资本表!BE11</f>
        <v>0</v>
      </c>
      <c r="BF37" s="76">
        <f>资产资本表!BF11</f>
        <v>0</v>
      </c>
      <c r="BG37" s="76">
        <f>资产资本表!BG11</f>
        <v>0</v>
      </c>
      <c r="BH37" s="76">
        <f>资产资本表!BH11</f>
        <v>0</v>
      </c>
      <c r="BI37" s="76">
        <f>资产资本表!BI11</f>
        <v>0</v>
      </c>
      <c r="BJ37" s="76">
        <f>资产资本表!BJ11</f>
        <v>0</v>
      </c>
      <c r="BK37" s="76">
        <f>资产资本表!BK11</f>
        <v>0</v>
      </c>
      <c r="BL37" s="76">
        <f>资产资本表!BL11</f>
        <v>0</v>
      </c>
      <c r="BM37" s="76">
        <f>资产资本表!BM11</f>
        <v>0</v>
      </c>
      <c r="BN37" s="76">
        <f>资产资本表!BN11</f>
        <v>0</v>
      </c>
      <c r="BO37" s="76">
        <f>资产资本表!BO11</f>
        <v>0</v>
      </c>
      <c r="BP37" s="76">
        <f>资产资本表!BP11</f>
        <v>0</v>
      </c>
      <c r="BQ37" s="76">
        <f>资产资本表!BQ11</f>
        <v>0</v>
      </c>
      <c r="BR37" s="76">
        <f>资产资本表!BR11</f>
        <v>0</v>
      </c>
      <c r="BS37" s="76">
        <f>资产资本表!BS11</f>
        <v>0</v>
      </c>
      <c r="BT37" s="76">
        <f>资产资本表!BT11</f>
        <v>0</v>
      </c>
      <c r="BU37" s="76">
        <f>资产资本表!BU11</f>
        <v>0</v>
      </c>
      <c r="BV37" s="76">
        <f>资产资本表!BV11</f>
        <v>0</v>
      </c>
      <c r="BW37" s="76">
        <f>资产资本表!BW11</f>
        <v>0</v>
      </c>
      <c r="BX37" s="76">
        <f>资产资本表!BX11</f>
        <v>0</v>
      </c>
      <c r="BY37" s="76">
        <f>资产资本表!BY11</f>
        <v>0</v>
      </c>
      <c r="BZ37" s="76">
        <f>资产资本表!BZ11</f>
        <v>0</v>
      </c>
      <c r="CA37" s="76">
        <f>资产资本表!CA11</f>
        <v>0</v>
      </c>
      <c r="CB37" s="76">
        <f>资产资本表!CB11</f>
        <v>0</v>
      </c>
      <c r="CC37" s="76">
        <f>资产资本表!CC11</f>
        <v>0</v>
      </c>
      <c r="CD37" s="76">
        <f>资产资本表!CD11</f>
        <v>0</v>
      </c>
      <c r="CE37" s="76">
        <f>资产资本表!CE11</f>
        <v>0</v>
      </c>
      <c r="CF37" s="76">
        <f>资产资本表!CF11</f>
        <v>0</v>
      </c>
      <c r="CG37" s="76">
        <f>资产资本表!CG11</f>
        <v>0</v>
      </c>
      <c r="CH37" s="76">
        <f>资产资本表!CH11</f>
        <v>0</v>
      </c>
      <c r="CI37" s="76">
        <f>资产资本表!CI11</f>
        <v>0</v>
      </c>
      <c r="CJ37" s="76">
        <f>资产资本表!CJ11</f>
        <v>0</v>
      </c>
    </row>
    <row r="38" spans="1:89" s="76" customFormat="1" x14ac:dyDescent="0.25">
      <c r="A38" s="147" t="s">
        <v>455</v>
      </c>
      <c r="E38" s="76">
        <f>资产资本表!E8</f>
        <v>228463347.99000001</v>
      </c>
      <c r="F38" s="76">
        <f>资产资本表!F8</f>
        <v>189611525</v>
      </c>
      <c r="G38" s="76">
        <f>资产资本表!G8</f>
        <v>190034675</v>
      </c>
      <c r="H38" s="76">
        <f>资产资本表!H8</f>
        <v>388188950</v>
      </c>
      <c r="I38" s="76">
        <f>资产资本表!I8</f>
        <v>388797125</v>
      </c>
      <c r="J38" s="76">
        <f>资产资本表!J8</f>
        <v>406326690</v>
      </c>
      <c r="K38" s="76">
        <f>资产资本表!K8</f>
        <v>160371775</v>
      </c>
      <c r="L38" s="76">
        <f>资产资本表!L8</f>
        <v>103916150</v>
      </c>
      <c r="M38" s="76">
        <f>资产资本表!M8</f>
        <v>103985900</v>
      </c>
      <c r="N38" s="76">
        <f>资产资本表!N8</f>
        <v>60741278.399999999</v>
      </c>
      <c r="O38" s="76">
        <f>资产资本表!O8</f>
        <v>0</v>
      </c>
      <c r="P38" s="76">
        <f>资产资本表!P8</f>
        <v>0</v>
      </c>
      <c r="Q38" s="76">
        <f>资产资本表!Q8</f>
        <v>0</v>
      </c>
      <c r="R38" s="76">
        <f>资产资本表!R8</f>
        <v>0</v>
      </c>
      <c r="S38" s="76">
        <f>资产资本表!S8</f>
        <v>0</v>
      </c>
      <c r="T38" s="76">
        <f>资产资本表!T8</f>
        <v>0</v>
      </c>
      <c r="U38" s="76">
        <f>资产资本表!U8</f>
        <v>0</v>
      </c>
      <c r="V38" s="76">
        <f>资产资本表!V8</f>
        <v>0</v>
      </c>
      <c r="W38" s="76">
        <f>资产资本表!W8</f>
        <v>0</v>
      </c>
      <c r="X38" s="76">
        <f>资产资本表!X8</f>
        <v>0</v>
      </c>
      <c r="Y38" s="76">
        <f>资产资本表!Y8</f>
        <v>0</v>
      </c>
      <c r="Z38" s="76">
        <f>资产资本表!Z8</f>
        <v>0</v>
      </c>
      <c r="AA38" s="76">
        <f>资产资本表!AA8</f>
        <v>0</v>
      </c>
      <c r="AB38" s="76">
        <f>资产资本表!AB8</f>
        <v>0</v>
      </c>
      <c r="AC38" s="76">
        <f>资产资本表!AC8</f>
        <v>0</v>
      </c>
      <c r="AD38" s="76">
        <f>资产资本表!AD8</f>
        <v>0</v>
      </c>
      <c r="AE38" s="76">
        <f>资产资本表!AE8</f>
        <v>0</v>
      </c>
      <c r="AF38" s="76">
        <f>资产资本表!AF8</f>
        <v>0</v>
      </c>
      <c r="AG38" s="76">
        <f>资产资本表!AG8</f>
        <v>0</v>
      </c>
      <c r="AH38" s="76">
        <f>资产资本表!AH8</f>
        <v>0</v>
      </c>
      <c r="AI38" s="76">
        <f>资产资本表!AI8</f>
        <v>0</v>
      </c>
      <c r="AJ38" s="76">
        <f>资产资本表!AJ8</f>
        <v>0</v>
      </c>
      <c r="AK38" s="76">
        <f>资产资本表!AK8</f>
        <v>0</v>
      </c>
      <c r="AL38" s="76">
        <f>资产资本表!AL8</f>
        <v>0</v>
      </c>
      <c r="AM38" s="76">
        <f>资产资本表!AM8</f>
        <v>0</v>
      </c>
      <c r="AN38" s="76">
        <f>资产资本表!AN8</f>
        <v>0</v>
      </c>
      <c r="AO38" s="76">
        <f>资产资本表!AO8</f>
        <v>0</v>
      </c>
      <c r="AP38" s="76">
        <f>资产资本表!AP8</f>
        <v>0</v>
      </c>
      <c r="AQ38" s="76">
        <f>资产资本表!AQ8</f>
        <v>0</v>
      </c>
      <c r="AR38" s="76">
        <f>资产资本表!AR8</f>
        <v>0</v>
      </c>
      <c r="AS38" s="76">
        <f>资产资本表!AS8</f>
        <v>0</v>
      </c>
      <c r="AT38" s="76">
        <f>资产资本表!AT8</f>
        <v>0</v>
      </c>
      <c r="AU38" s="76">
        <f>资产资本表!AU8</f>
        <v>0</v>
      </c>
      <c r="AV38" s="76">
        <f>资产资本表!AV8</f>
        <v>0</v>
      </c>
      <c r="AW38" s="76">
        <f>资产资本表!AW8</f>
        <v>0</v>
      </c>
      <c r="AX38" s="76">
        <f>资产资本表!AX8</f>
        <v>0</v>
      </c>
      <c r="AY38" s="76">
        <f>资产资本表!AY8</f>
        <v>0</v>
      </c>
      <c r="AZ38" s="76">
        <f>资产资本表!AZ8</f>
        <v>0</v>
      </c>
      <c r="BA38" s="76">
        <f>资产资本表!BA8</f>
        <v>0</v>
      </c>
      <c r="BB38" s="76">
        <f>资产资本表!BB8</f>
        <v>0</v>
      </c>
      <c r="BC38" s="76">
        <f>资产资本表!BC8</f>
        <v>0</v>
      </c>
      <c r="BD38" s="76">
        <f>资产资本表!BD8</f>
        <v>0</v>
      </c>
      <c r="BE38" s="76">
        <f>资产资本表!BE8</f>
        <v>0</v>
      </c>
      <c r="BF38" s="76">
        <f>资产资本表!BF8</f>
        <v>0</v>
      </c>
      <c r="BG38" s="76">
        <f>资产资本表!BG8</f>
        <v>0</v>
      </c>
      <c r="BH38" s="76">
        <f>资产资本表!BH8</f>
        <v>0</v>
      </c>
      <c r="BI38" s="76">
        <f>资产资本表!BI8</f>
        <v>0</v>
      </c>
      <c r="BJ38" s="76">
        <f>资产资本表!BJ8</f>
        <v>0</v>
      </c>
      <c r="BK38" s="76">
        <f>资产资本表!BK8</f>
        <v>0</v>
      </c>
      <c r="BL38" s="76">
        <f>资产资本表!BL8</f>
        <v>0</v>
      </c>
      <c r="BM38" s="76">
        <f>资产资本表!BM8</f>
        <v>0</v>
      </c>
      <c r="BN38" s="76">
        <f>资产资本表!BN8</f>
        <v>0</v>
      </c>
      <c r="BO38" s="76">
        <f>资产资本表!BO8</f>
        <v>0</v>
      </c>
      <c r="BP38" s="76">
        <f>资产资本表!BP8</f>
        <v>0</v>
      </c>
      <c r="BQ38" s="76">
        <f>资产资本表!BQ8</f>
        <v>0</v>
      </c>
      <c r="BR38" s="76">
        <f>资产资本表!BR8</f>
        <v>0</v>
      </c>
      <c r="BS38" s="76">
        <f>资产资本表!BS8</f>
        <v>0</v>
      </c>
      <c r="BT38" s="76">
        <f>资产资本表!BT8</f>
        <v>0</v>
      </c>
      <c r="BU38" s="76">
        <f>资产资本表!BU8</f>
        <v>0</v>
      </c>
      <c r="BV38" s="76">
        <f>资产资本表!BV8</f>
        <v>0</v>
      </c>
      <c r="BW38" s="76">
        <f>资产资本表!BW8</f>
        <v>0</v>
      </c>
      <c r="BX38" s="76">
        <f>资产资本表!BX8</f>
        <v>0</v>
      </c>
      <c r="BY38" s="76">
        <f>资产资本表!BY8</f>
        <v>0</v>
      </c>
      <c r="BZ38" s="76">
        <f>资产资本表!BZ8</f>
        <v>0</v>
      </c>
      <c r="CA38" s="76">
        <f>资产资本表!CA8</f>
        <v>0</v>
      </c>
      <c r="CB38" s="76">
        <f>资产资本表!CB8</f>
        <v>0</v>
      </c>
      <c r="CC38" s="76">
        <f>资产资本表!CC8</f>
        <v>0</v>
      </c>
      <c r="CD38" s="76">
        <f>资产资本表!CD8</f>
        <v>0</v>
      </c>
      <c r="CE38" s="76">
        <f>资产资本表!CE8</f>
        <v>0</v>
      </c>
      <c r="CF38" s="76">
        <f>资产资本表!CF8</f>
        <v>0</v>
      </c>
      <c r="CG38" s="76">
        <f>资产资本表!CG8</f>
        <v>0</v>
      </c>
      <c r="CH38" s="76">
        <f>资产资本表!CH8</f>
        <v>0</v>
      </c>
      <c r="CI38" s="76">
        <f>资产资本表!CI8</f>
        <v>0</v>
      </c>
      <c r="CJ38" s="76">
        <f>资产资本表!CJ8</f>
        <v>0</v>
      </c>
      <c r="CK38" s="76">
        <f>资产资本表!CK8</f>
        <v>0</v>
      </c>
    </row>
    <row r="39" spans="1:89" s="76" customFormat="1" x14ac:dyDescent="0.25">
      <c r="A39" s="147" t="s">
        <v>456</v>
      </c>
      <c r="E39" s="76">
        <f>资产资本表!E9</f>
        <v>0</v>
      </c>
      <c r="F39" s="76">
        <f>资产资本表!F9</f>
        <v>0</v>
      </c>
      <c r="G39" s="76">
        <f>资产资本表!G9</f>
        <v>0</v>
      </c>
      <c r="H39" s="76">
        <f>资产资本表!H9</f>
        <v>0</v>
      </c>
      <c r="I39" s="76">
        <f>资产资本表!I9</f>
        <v>0</v>
      </c>
      <c r="J39" s="76">
        <f>资产资本表!J9</f>
        <v>0</v>
      </c>
      <c r="K39" s="76">
        <f>资产资本表!K9</f>
        <v>0</v>
      </c>
      <c r="L39" s="76">
        <f>资产资本表!L9</f>
        <v>0</v>
      </c>
      <c r="M39" s="76">
        <f>资产资本表!M9</f>
        <v>0</v>
      </c>
      <c r="N39" s="76">
        <f>资产资本表!N9</f>
        <v>0</v>
      </c>
      <c r="O39" s="76">
        <f>资产资本表!O9</f>
        <v>0</v>
      </c>
      <c r="P39" s="76">
        <f>资产资本表!P9</f>
        <v>0</v>
      </c>
      <c r="Q39" s="76">
        <f>资产资本表!Q9</f>
        <v>0</v>
      </c>
      <c r="R39" s="76">
        <f>资产资本表!R9</f>
        <v>0</v>
      </c>
      <c r="S39" s="76">
        <f>资产资本表!S9</f>
        <v>0</v>
      </c>
      <c r="T39" s="76">
        <f>资产资本表!T9</f>
        <v>0</v>
      </c>
      <c r="U39" s="76">
        <f>资产资本表!U9</f>
        <v>0</v>
      </c>
      <c r="V39" s="76">
        <f>资产资本表!V9</f>
        <v>50000000</v>
      </c>
      <c r="W39" s="76">
        <f>资产资本表!W9</f>
        <v>100431200</v>
      </c>
      <c r="X39" s="76">
        <f>资产资本表!X9</f>
        <v>150670577.77000001</v>
      </c>
      <c r="Y39" s="76">
        <f>资产资本表!Y9</f>
        <v>0</v>
      </c>
      <c r="Z39" s="76">
        <f>资产资本表!Z9</f>
        <v>0</v>
      </c>
      <c r="AA39" s="76">
        <f>资产资本表!AA9</f>
        <v>0</v>
      </c>
      <c r="AB39" s="76">
        <f>资产资本表!AB9</f>
        <v>0</v>
      </c>
      <c r="AC39" s="76">
        <f>资产资本表!AC9</f>
        <v>0</v>
      </c>
      <c r="AD39" s="76">
        <f>资产资本表!AD9</f>
        <v>0</v>
      </c>
      <c r="AE39" s="76">
        <f>资产资本表!AE9</f>
        <v>0</v>
      </c>
      <c r="AF39" s="76">
        <f>资产资本表!AF9</f>
        <v>0</v>
      </c>
      <c r="AG39" s="76">
        <f>资产资本表!AG9</f>
        <v>0</v>
      </c>
      <c r="AH39" s="76">
        <f>资产资本表!AH9</f>
        <v>0</v>
      </c>
      <c r="AI39" s="76">
        <f>资产资本表!AI9</f>
        <v>0</v>
      </c>
      <c r="AJ39" s="76">
        <f>资产资本表!AJ9</f>
        <v>0</v>
      </c>
      <c r="AK39" s="76">
        <f>资产资本表!AK9</f>
        <v>0</v>
      </c>
      <c r="AL39" s="76">
        <f>资产资本表!AL9</f>
        <v>0</v>
      </c>
      <c r="AM39" s="76">
        <f>资产资本表!AM9</f>
        <v>0</v>
      </c>
      <c r="AN39" s="76">
        <f>资产资本表!AN9</f>
        <v>0</v>
      </c>
      <c r="AO39" s="76">
        <f>资产资本表!AO9</f>
        <v>5010356.16</v>
      </c>
      <c r="AP39" s="76">
        <f>资产资本表!AP9</f>
        <v>0</v>
      </c>
      <c r="AQ39" s="76">
        <f>资产资本表!AQ9</f>
        <v>0</v>
      </c>
      <c r="AR39" s="76">
        <f>资产资本表!AR9</f>
        <v>0</v>
      </c>
      <c r="AS39" s="76">
        <f>资产资本表!AS9</f>
        <v>0</v>
      </c>
      <c r="AT39" s="76">
        <f>资产资本表!AT9</f>
        <v>0</v>
      </c>
      <c r="AU39" s="76">
        <f>资产资本表!AU9</f>
        <v>0</v>
      </c>
      <c r="AV39" s="76">
        <f>资产资本表!AV9</f>
        <v>0</v>
      </c>
      <c r="AW39" s="76">
        <f>资产资本表!AW9</f>
        <v>0</v>
      </c>
      <c r="AX39" s="76">
        <f>资产资本表!AX9</f>
        <v>0</v>
      </c>
      <c r="AY39" s="76">
        <f>资产资本表!AY9</f>
        <v>0</v>
      </c>
      <c r="AZ39" s="76">
        <f>资产资本表!AZ9</f>
        <v>0</v>
      </c>
      <c r="BA39" s="76">
        <f>资产资本表!BA9</f>
        <v>0</v>
      </c>
      <c r="BB39" s="76">
        <f>资产资本表!BB9</f>
        <v>0</v>
      </c>
      <c r="BC39" s="76">
        <f>资产资本表!BC9</f>
        <v>0</v>
      </c>
      <c r="BD39" s="76">
        <f>资产资本表!BD9</f>
        <v>0</v>
      </c>
      <c r="BE39" s="76">
        <f>资产资本表!BE9</f>
        <v>0</v>
      </c>
      <c r="BF39" s="76">
        <f>资产资本表!BF9</f>
        <v>0</v>
      </c>
      <c r="BG39" s="76">
        <f>资产资本表!BG9</f>
        <v>0</v>
      </c>
      <c r="BH39" s="76">
        <f>资产资本表!BH9</f>
        <v>0</v>
      </c>
      <c r="BI39" s="76">
        <f>资产资本表!BI9</f>
        <v>0</v>
      </c>
      <c r="BJ39" s="76">
        <f>资产资本表!BJ9</f>
        <v>0</v>
      </c>
      <c r="BK39" s="76">
        <f>资产资本表!BK9</f>
        <v>0</v>
      </c>
      <c r="BL39" s="76">
        <f>资产资本表!BL9</f>
        <v>0</v>
      </c>
      <c r="BM39" s="76">
        <f>资产资本表!BM9</f>
        <v>0</v>
      </c>
      <c r="BN39" s="76">
        <f>资产资本表!BN9</f>
        <v>0</v>
      </c>
      <c r="BO39" s="76">
        <f>资产资本表!BO9</f>
        <v>0</v>
      </c>
      <c r="BP39" s="76">
        <f>资产资本表!BP9</f>
        <v>0</v>
      </c>
      <c r="BQ39" s="76">
        <f>资产资本表!BQ9</f>
        <v>0</v>
      </c>
      <c r="BR39" s="76">
        <f>资产资本表!BR9</f>
        <v>0</v>
      </c>
      <c r="BS39" s="76">
        <f>资产资本表!BS9</f>
        <v>0</v>
      </c>
      <c r="BT39" s="76">
        <f>资产资本表!BT9</f>
        <v>0</v>
      </c>
      <c r="BU39" s="76">
        <f>资产资本表!BU9</f>
        <v>0</v>
      </c>
      <c r="BV39" s="76">
        <f>资产资本表!BV9</f>
        <v>0</v>
      </c>
      <c r="BW39" s="76">
        <f>资产资本表!BW9</f>
        <v>0</v>
      </c>
      <c r="BX39" s="76">
        <f>资产资本表!BX9</f>
        <v>0</v>
      </c>
      <c r="BY39" s="76">
        <f>资产资本表!BY9</f>
        <v>0</v>
      </c>
      <c r="BZ39" s="76">
        <f>资产资本表!BZ9</f>
        <v>0</v>
      </c>
      <c r="CA39" s="76">
        <f>资产资本表!CA9</f>
        <v>0</v>
      </c>
      <c r="CB39" s="76">
        <f>资产资本表!CB9</f>
        <v>0</v>
      </c>
      <c r="CC39" s="76">
        <f>资产资本表!CC9</f>
        <v>0</v>
      </c>
      <c r="CD39" s="76">
        <f>资产资本表!CD9</f>
        <v>0</v>
      </c>
      <c r="CE39" s="76">
        <f>资产资本表!CE9</f>
        <v>0</v>
      </c>
      <c r="CF39" s="76">
        <f>资产资本表!CF9</f>
        <v>0</v>
      </c>
      <c r="CG39" s="76">
        <f>资产资本表!CG9</f>
        <v>0</v>
      </c>
      <c r="CH39" s="76">
        <f>资产资本表!CH9</f>
        <v>0</v>
      </c>
      <c r="CI39" s="76">
        <f>资产资本表!CI9</f>
        <v>0</v>
      </c>
      <c r="CJ39" s="76">
        <f>资产资本表!CJ9</f>
        <v>0</v>
      </c>
      <c r="CK39" s="76">
        <f>资产资本表!CK9</f>
        <v>0</v>
      </c>
    </row>
    <row r="40" spans="1:89" s="76" customFormat="1" x14ac:dyDescent="0.25">
      <c r="A40" s="147" t="s">
        <v>457</v>
      </c>
      <c r="E40" s="76">
        <f>资产资本表!E10</f>
        <v>0</v>
      </c>
      <c r="F40" s="76">
        <f>资产资本表!F10</f>
        <v>0</v>
      </c>
      <c r="G40" s="76">
        <f>资产资本表!G10</f>
        <v>0</v>
      </c>
      <c r="H40" s="76">
        <f>资产资本表!H10</f>
        <v>0</v>
      </c>
      <c r="I40" s="76">
        <f>资产资本表!I10</f>
        <v>0</v>
      </c>
      <c r="J40" s="76">
        <f>资产资本表!J10</f>
        <v>0</v>
      </c>
      <c r="K40" s="76">
        <f>资产资本表!K10</f>
        <v>0</v>
      </c>
      <c r="L40" s="76">
        <f>资产资本表!L10</f>
        <v>0</v>
      </c>
      <c r="M40" s="76">
        <f>资产资本表!M10</f>
        <v>0</v>
      </c>
      <c r="N40" s="76">
        <f>资产资本表!N10</f>
        <v>0</v>
      </c>
      <c r="O40" s="76">
        <f>资产资本表!O10</f>
        <v>0</v>
      </c>
      <c r="P40" s="76">
        <f>资产资本表!P10</f>
        <v>0</v>
      </c>
      <c r="Q40" s="76">
        <f>资产资本表!Q10</f>
        <v>0</v>
      </c>
      <c r="R40" s="76">
        <f>资产资本表!R10</f>
        <v>0</v>
      </c>
      <c r="S40" s="76">
        <f>资产资本表!S10</f>
        <v>0</v>
      </c>
      <c r="T40" s="76">
        <f>资产资本表!T10</f>
        <v>0</v>
      </c>
      <c r="U40" s="76">
        <f>资产资本表!U10</f>
        <v>0</v>
      </c>
      <c r="V40" s="76">
        <f>资产资本表!V10</f>
        <v>0</v>
      </c>
      <c r="W40" s="76">
        <f>资产资本表!W10</f>
        <v>0</v>
      </c>
      <c r="X40" s="76">
        <f>资产资本表!X10</f>
        <v>0</v>
      </c>
      <c r="Y40" s="76">
        <f>资产资本表!Y10</f>
        <v>0</v>
      </c>
      <c r="Z40" s="76">
        <f>资产资本表!Z10</f>
        <v>0</v>
      </c>
      <c r="AA40" s="76">
        <f>资产资本表!AA10</f>
        <v>0</v>
      </c>
      <c r="AB40" s="76">
        <f>资产资本表!AB10</f>
        <v>0</v>
      </c>
      <c r="AC40" s="76">
        <f>资产资本表!AC10</f>
        <v>0</v>
      </c>
      <c r="AD40" s="76">
        <f>资产资本表!AD10</f>
        <v>0</v>
      </c>
      <c r="AE40" s="76">
        <f>资产资本表!AE10</f>
        <v>0</v>
      </c>
      <c r="AF40" s="76">
        <f>资产资本表!AF10</f>
        <v>0</v>
      </c>
      <c r="AG40" s="76">
        <f>资产资本表!AG10</f>
        <v>0</v>
      </c>
      <c r="AH40" s="76">
        <f>资产资本表!AH10</f>
        <v>0</v>
      </c>
      <c r="AI40" s="76">
        <f>资产资本表!AI10</f>
        <v>0</v>
      </c>
      <c r="AJ40" s="76">
        <f>资产资本表!AJ10</f>
        <v>0</v>
      </c>
      <c r="AK40" s="76">
        <f>资产资本表!AK10</f>
        <v>0</v>
      </c>
      <c r="AL40" s="76">
        <f>资产资本表!AL10</f>
        <v>0</v>
      </c>
      <c r="AM40" s="76">
        <f>资产资本表!AM10</f>
        <v>0</v>
      </c>
      <c r="AN40" s="76">
        <f>资产资本表!AN10</f>
        <v>0</v>
      </c>
      <c r="AO40" s="76">
        <f>资产资本表!AO10</f>
        <v>0</v>
      </c>
      <c r="AP40" s="76">
        <f>资产资本表!AP10</f>
        <v>0</v>
      </c>
      <c r="AQ40" s="76">
        <f>资产资本表!AQ10</f>
        <v>0</v>
      </c>
      <c r="AR40" s="76">
        <f>资产资本表!AR10</f>
        <v>0</v>
      </c>
      <c r="AS40" s="76">
        <f>资产资本表!AS10</f>
        <v>0</v>
      </c>
      <c r="AT40" s="76">
        <f>资产资本表!AT10</f>
        <v>0</v>
      </c>
      <c r="AU40" s="76">
        <f>资产资本表!AU10</f>
        <v>0</v>
      </c>
      <c r="AV40" s="76">
        <f>资产资本表!AV10</f>
        <v>0</v>
      </c>
      <c r="AW40" s="76">
        <f>资产资本表!AW10</f>
        <v>0</v>
      </c>
      <c r="AX40" s="76">
        <f>资产资本表!AX10</f>
        <v>0</v>
      </c>
      <c r="AY40" s="76">
        <f>资产资本表!AY10</f>
        <v>0</v>
      </c>
      <c r="AZ40" s="76">
        <f>资产资本表!AZ10</f>
        <v>0</v>
      </c>
      <c r="BA40" s="76">
        <f>资产资本表!BA10</f>
        <v>0</v>
      </c>
      <c r="BB40" s="76">
        <f>资产资本表!BB10</f>
        <v>0</v>
      </c>
      <c r="BC40" s="76">
        <f>资产资本表!BC10</f>
        <v>0</v>
      </c>
      <c r="BD40" s="76">
        <f>资产资本表!BD10</f>
        <v>0</v>
      </c>
      <c r="BE40" s="76">
        <f>资产资本表!BE10</f>
        <v>0</v>
      </c>
      <c r="BF40" s="76">
        <f>资产资本表!BF10</f>
        <v>0</v>
      </c>
      <c r="BG40" s="76">
        <f>资产资本表!BG10</f>
        <v>0</v>
      </c>
      <c r="BH40" s="76">
        <f>资产资本表!BH10</f>
        <v>0</v>
      </c>
      <c r="BI40" s="76">
        <f>资产资本表!BI10</f>
        <v>0</v>
      </c>
      <c r="BJ40" s="76">
        <f>资产资本表!BJ10</f>
        <v>0</v>
      </c>
      <c r="BK40" s="76">
        <f>资产资本表!BK10</f>
        <v>0</v>
      </c>
      <c r="BL40" s="76">
        <f>资产资本表!BL10</f>
        <v>0</v>
      </c>
      <c r="BM40" s="76">
        <f>资产资本表!BM10</f>
        <v>0</v>
      </c>
      <c r="BN40" s="76">
        <f>资产资本表!BN10</f>
        <v>0</v>
      </c>
      <c r="BO40" s="76">
        <f>资产资本表!BO10</f>
        <v>0</v>
      </c>
      <c r="BP40" s="76">
        <f>资产资本表!BP10</f>
        <v>0</v>
      </c>
      <c r="BQ40" s="76">
        <f>资产资本表!BQ10</f>
        <v>0</v>
      </c>
      <c r="BR40" s="76">
        <f>资产资本表!BR10</f>
        <v>0</v>
      </c>
      <c r="BS40" s="76">
        <f>资产资本表!BS10</f>
        <v>0</v>
      </c>
      <c r="BT40" s="76">
        <f>资产资本表!BT10</f>
        <v>0</v>
      </c>
      <c r="BU40" s="76">
        <f>资产资本表!BU10</f>
        <v>0</v>
      </c>
      <c r="BV40" s="76">
        <f>资产资本表!BV10</f>
        <v>0</v>
      </c>
      <c r="BW40" s="76">
        <f>资产资本表!BW10</f>
        <v>0</v>
      </c>
      <c r="BX40" s="76">
        <f>资产资本表!BX10</f>
        <v>0</v>
      </c>
      <c r="BY40" s="76">
        <f>资产资本表!BY10</f>
        <v>0</v>
      </c>
      <c r="BZ40" s="76">
        <f>资产资本表!BZ10</f>
        <v>0</v>
      </c>
      <c r="CA40" s="76">
        <f>资产资本表!CA10</f>
        <v>0</v>
      </c>
      <c r="CB40" s="76">
        <f>资产资本表!CB10</f>
        <v>0</v>
      </c>
      <c r="CC40" s="76">
        <f>资产资本表!CC10</f>
        <v>0</v>
      </c>
      <c r="CD40" s="76">
        <f>资产资本表!CD10</f>
        <v>0</v>
      </c>
      <c r="CE40" s="76">
        <f>资产资本表!CE10</f>
        <v>0</v>
      </c>
      <c r="CF40" s="76">
        <f>资产资本表!CF10</f>
        <v>0</v>
      </c>
      <c r="CG40" s="76">
        <f>资产资本表!CG10</f>
        <v>0</v>
      </c>
      <c r="CH40" s="76">
        <f>资产资本表!CH10</f>
        <v>0</v>
      </c>
      <c r="CI40" s="76">
        <f>资产资本表!CI10</f>
        <v>0</v>
      </c>
      <c r="CJ40" s="76">
        <f>资产资本表!CJ10</f>
        <v>0</v>
      </c>
      <c r="CK40" s="76">
        <f>资产资本表!CK10</f>
        <v>0</v>
      </c>
    </row>
    <row r="41" spans="1:89" s="76" customFormat="1" x14ac:dyDescent="0.25">
      <c r="A41" s="147" t="s">
        <v>458</v>
      </c>
      <c r="E41" s="76">
        <f>资产资本表!E12</f>
        <v>0</v>
      </c>
      <c r="F41" s="76">
        <f>资产资本表!F12</f>
        <v>0</v>
      </c>
      <c r="G41" s="76">
        <f>资产资本表!G12</f>
        <v>0</v>
      </c>
      <c r="H41" s="76">
        <f>资产资本表!H12</f>
        <v>0</v>
      </c>
      <c r="I41" s="76">
        <f>资产资本表!I12</f>
        <v>0</v>
      </c>
      <c r="J41" s="76">
        <f>资产资本表!J12</f>
        <v>0</v>
      </c>
      <c r="K41" s="76">
        <f>资产资本表!K12</f>
        <v>0</v>
      </c>
      <c r="L41" s="76">
        <f>资产资本表!L12</f>
        <v>0</v>
      </c>
      <c r="M41" s="76">
        <f>资产资本表!M12</f>
        <v>0</v>
      </c>
      <c r="N41" s="76">
        <f>资产资本表!N12</f>
        <v>0</v>
      </c>
      <c r="O41" s="76">
        <f>资产资本表!O12</f>
        <v>0</v>
      </c>
      <c r="P41" s="76">
        <f>资产资本表!P12</f>
        <v>0</v>
      </c>
      <c r="Q41" s="76">
        <f>资产资本表!Q12</f>
        <v>0</v>
      </c>
      <c r="R41" s="76">
        <f>资产资本表!R12</f>
        <v>0</v>
      </c>
      <c r="S41" s="76">
        <f>资产资本表!S12</f>
        <v>0</v>
      </c>
      <c r="T41" s="76">
        <f>资产资本表!T12</f>
        <v>0</v>
      </c>
      <c r="U41" s="76">
        <f>资产资本表!U12</f>
        <v>0</v>
      </c>
      <c r="V41" s="76">
        <f>资产资本表!V12</f>
        <v>0</v>
      </c>
      <c r="W41" s="76">
        <f>资产资本表!W12</f>
        <v>0</v>
      </c>
      <c r="X41" s="76">
        <f>资产资本表!X12</f>
        <v>0</v>
      </c>
      <c r="Y41" s="76">
        <f>资产资本表!Y12</f>
        <v>0</v>
      </c>
      <c r="Z41" s="76">
        <f>资产资本表!Z12</f>
        <v>0</v>
      </c>
      <c r="AA41" s="76">
        <f>资产资本表!AA12</f>
        <v>0</v>
      </c>
      <c r="AB41" s="76">
        <f>资产资本表!AB12</f>
        <v>0</v>
      </c>
      <c r="AC41" s="76">
        <f>资产资本表!AC12</f>
        <v>0</v>
      </c>
      <c r="AD41" s="76">
        <f>资产资本表!AD12</f>
        <v>0</v>
      </c>
      <c r="AE41" s="76">
        <f>资产资本表!AE12</f>
        <v>0</v>
      </c>
      <c r="AF41" s="76">
        <f>资产资本表!AF12</f>
        <v>0</v>
      </c>
      <c r="AG41" s="76">
        <f>资产资本表!AG12</f>
        <v>0</v>
      </c>
      <c r="AH41" s="76">
        <f>资产资本表!AH12</f>
        <v>0</v>
      </c>
      <c r="AI41" s="76">
        <f>资产资本表!AI12</f>
        <v>0</v>
      </c>
      <c r="AJ41" s="76">
        <f>资产资本表!AJ12</f>
        <v>0</v>
      </c>
      <c r="AK41" s="76">
        <f>资产资本表!AK12</f>
        <v>0</v>
      </c>
      <c r="AL41" s="76">
        <f>资产资本表!AL12</f>
        <v>0</v>
      </c>
      <c r="AM41" s="76">
        <f>资产资本表!AM12</f>
        <v>0</v>
      </c>
      <c r="AN41" s="76">
        <f>资产资本表!AN12</f>
        <v>0</v>
      </c>
      <c r="AO41" s="76">
        <f>资产资本表!AO12</f>
        <v>0</v>
      </c>
      <c r="AP41" s="76">
        <f>资产资本表!AP12</f>
        <v>0</v>
      </c>
      <c r="AQ41" s="76">
        <f>资产资本表!AQ12</f>
        <v>0</v>
      </c>
      <c r="AR41" s="76">
        <f>资产资本表!AR12</f>
        <v>0</v>
      </c>
      <c r="AS41" s="76">
        <f>资产资本表!AS12</f>
        <v>0</v>
      </c>
      <c r="AT41" s="76">
        <f>资产资本表!AT12</f>
        <v>0</v>
      </c>
      <c r="AU41" s="76">
        <f>资产资本表!AU12</f>
        <v>0</v>
      </c>
      <c r="AV41" s="76">
        <f>资产资本表!AV12</f>
        <v>0</v>
      </c>
      <c r="AW41" s="76">
        <f>资产资本表!AW12</f>
        <v>0</v>
      </c>
      <c r="AX41" s="76">
        <f>资产资本表!AX12</f>
        <v>0</v>
      </c>
      <c r="AY41" s="76">
        <f>资产资本表!AY12</f>
        <v>0</v>
      </c>
      <c r="AZ41" s="76">
        <f>资产资本表!AZ12</f>
        <v>0</v>
      </c>
      <c r="BA41" s="76">
        <f>资产资本表!BA12</f>
        <v>0</v>
      </c>
      <c r="BB41" s="76">
        <f>资产资本表!BB12</f>
        <v>0</v>
      </c>
      <c r="BC41" s="76">
        <f>资产资本表!BC12</f>
        <v>0</v>
      </c>
      <c r="BD41" s="76">
        <f>资产资本表!BD12</f>
        <v>0</v>
      </c>
      <c r="BE41" s="76">
        <f>资产资本表!BE12</f>
        <v>0</v>
      </c>
      <c r="BF41" s="76">
        <f>资产资本表!BF12</f>
        <v>0</v>
      </c>
      <c r="BG41" s="76">
        <f>资产资本表!BG12</f>
        <v>0</v>
      </c>
      <c r="BH41" s="76">
        <f>资产资本表!BH12</f>
        <v>0</v>
      </c>
      <c r="BI41" s="76">
        <f>资产资本表!BI12</f>
        <v>0</v>
      </c>
      <c r="BJ41" s="76">
        <f>资产资本表!BJ12</f>
        <v>0</v>
      </c>
      <c r="BK41" s="76">
        <f>资产资本表!BK12</f>
        <v>0</v>
      </c>
      <c r="BL41" s="76">
        <f>资产资本表!BL12</f>
        <v>0</v>
      </c>
      <c r="BM41" s="76">
        <f>资产资本表!BM12</f>
        <v>0</v>
      </c>
      <c r="BN41" s="76">
        <f>资产资本表!BN12</f>
        <v>0</v>
      </c>
      <c r="BO41" s="76">
        <f>资产资本表!BO12</f>
        <v>0</v>
      </c>
      <c r="BP41" s="76">
        <f>资产资本表!BP12</f>
        <v>0</v>
      </c>
      <c r="BQ41" s="76">
        <f>资产资本表!BQ12</f>
        <v>0</v>
      </c>
      <c r="BR41" s="76">
        <f>资产资本表!BR12</f>
        <v>0</v>
      </c>
      <c r="BS41" s="76">
        <f>资产资本表!BS12</f>
        <v>0</v>
      </c>
      <c r="BT41" s="76">
        <f>资产资本表!BT12</f>
        <v>0</v>
      </c>
      <c r="BU41" s="76">
        <f>资产资本表!BU12</f>
        <v>0</v>
      </c>
      <c r="BV41" s="76">
        <f>资产资本表!BV12</f>
        <v>0</v>
      </c>
      <c r="BW41" s="76">
        <f>资产资本表!BW12</f>
        <v>0</v>
      </c>
      <c r="BX41" s="76">
        <f>资产资本表!BX12</f>
        <v>0</v>
      </c>
      <c r="BY41" s="76">
        <f>资产资本表!BY12</f>
        <v>0</v>
      </c>
      <c r="BZ41" s="76">
        <f>资产资本表!BZ12</f>
        <v>0</v>
      </c>
      <c r="CA41" s="76">
        <f>资产资本表!CA12</f>
        <v>0</v>
      </c>
      <c r="CB41" s="76">
        <f>资产资本表!CB12</f>
        <v>0</v>
      </c>
      <c r="CC41" s="76">
        <f>资产资本表!CC12</f>
        <v>0</v>
      </c>
      <c r="CD41" s="76">
        <f>资产资本表!CD12</f>
        <v>0</v>
      </c>
      <c r="CE41" s="76">
        <f>资产资本表!CE12</f>
        <v>0</v>
      </c>
      <c r="CF41" s="76">
        <f>资产资本表!CF12</f>
        <v>0</v>
      </c>
      <c r="CG41" s="76">
        <f>资产资本表!CG12</f>
        <v>0</v>
      </c>
      <c r="CH41" s="76">
        <f>资产资本表!CH12</f>
        <v>0</v>
      </c>
      <c r="CI41" s="76">
        <f>资产资本表!CI12</f>
        <v>0</v>
      </c>
      <c r="CJ41" s="76">
        <f>资产资本表!CJ12</f>
        <v>0</v>
      </c>
    </row>
    <row r="42" spans="1:89" s="76" customFormat="1" x14ac:dyDescent="0.25">
      <c r="A42" s="147" t="s">
        <v>459</v>
      </c>
      <c r="E42" s="76">
        <f>资产资本表!E6</f>
        <v>74189874.799999997</v>
      </c>
      <c r="F42" s="76">
        <f>资产资本表!F6</f>
        <v>0</v>
      </c>
      <c r="G42" s="76">
        <f>资产资本表!G6</f>
        <v>0</v>
      </c>
      <c r="H42" s="76">
        <f>资产资本表!H6</f>
        <v>0</v>
      </c>
      <c r="I42" s="76">
        <f>资产资本表!I6</f>
        <v>0</v>
      </c>
      <c r="J42" s="76">
        <f>资产资本表!J6</f>
        <v>0</v>
      </c>
      <c r="K42" s="76">
        <f>资产资本表!K6</f>
        <v>0</v>
      </c>
      <c r="L42" s="76">
        <f>资产资本表!L6</f>
        <v>0</v>
      </c>
      <c r="M42" s="76">
        <f>资产资本表!M6</f>
        <v>0</v>
      </c>
      <c r="N42" s="76">
        <f>资产资本表!N6</f>
        <v>0</v>
      </c>
      <c r="O42" s="76">
        <f>资产资本表!O6</f>
        <v>0</v>
      </c>
      <c r="P42" s="76">
        <f>资产资本表!P6</f>
        <v>0</v>
      </c>
      <c r="Q42" s="76">
        <f>资产资本表!Q6</f>
        <v>0</v>
      </c>
      <c r="R42" s="76">
        <f>资产资本表!R6</f>
        <v>0</v>
      </c>
      <c r="S42" s="76">
        <f>资产资本表!S6</f>
        <v>0</v>
      </c>
      <c r="T42" s="76">
        <f>资产资本表!T6</f>
        <v>0</v>
      </c>
      <c r="U42" s="76">
        <f>资产资本表!U6</f>
        <v>0</v>
      </c>
      <c r="V42" s="76">
        <f>资产资本表!V6</f>
        <v>0</v>
      </c>
      <c r="W42" s="76">
        <f>资产资本表!W6</f>
        <v>0</v>
      </c>
      <c r="X42" s="76">
        <f>资产资本表!X6</f>
        <v>0</v>
      </c>
      <c r="Y42" s="76">
        <f>资产资本表!Y6</f>
        <v>0</v>
      </c>
      <c r="Z42" s="76">
        <f>资产资本表!Z6</f>
        <v>0</v>
      </c>
      <c r="AA42" s="76">
        <f>资产资本表!AA6</f>
        <v>0</v>
      </c>
      <c r="AB42" s="76">
        <f>资产资本表!AB6</f>
        <v>0</v>
      </c>
      <c r="AC42" s="76">
        <f>资产资本表!AC6</f>
        <v>0</v>
      </c>
      <c r="AD42" s="76">
        <f>资产资本表!AD6</f>
        <v>0</v>
      </c>
      <c r="AE42" s="76">
        <f>资产资本表!AE6</f>
        <v>0</v>
      </c>
      <c r="AF42" s="76">
        <f>资产资本表!AF6</f>
        <v>0</v>
      </c>
      <c r="AG42" s="76">
        <f>资产资本表!AG6</f>
        <v>0</v>
      </c>
      <c r="AH42" s="76">
        <f>资产资本表!AH6</f>
        <v>0</v>
      </c>
      <c r="AI42" s="76">
        <f>资产资本表!AI6</f>
        <v>0</v>
      </c>
      <c r="AJ42" s="76">
        <f>资产资本表!AJ6</f>
        <v>0</v>
      </c>
      <c r="AK42" s="76">
        <f>资产资本表!AK6</f>
        <v>0</v>
      </c>
      <c r="AL42" s="76">
        <f>资产资本表!AL6</f>
        <v>0</v>
      </c>
      <c r="AM42" s="76">
        <f>资产资本表!AM6</f>
        <v>0</v>
      </c>
      <c r="AN42" s="76">
        <f>资产资本表!AN6</f>
        <v>0</v>
      </c>
      <c r="AO42" s="76">
        <f>资产资本表!AO6</f>
        <v>0</v>
      </c>
      <c r="AP42" s="76">
        <f>资产资本表!AP6</f>
        <v>0</v>
      </c>
      <c r="AQ42" s="76">
        <f>资产资本表!AQ6</f>
        <v>0</v>
      </c>
      <c r="AR42" s="76">
        <f>资产资本表!AR6</f>
        <v>0</v>
      </c>
      <c r="AS42" s="76">
        <f>资产资本表!AS6</f>
        <v>0</v>
      </c>
      <c r="AT42" s="76">
        <f>资产资本表!AT6</f>
        <v>0</v>
      </c>
      <c r="AU42" s="76">
        <f>资产资本表!AU6</f>
        <v>0</v>
      </c>
      <c r="AV42" s="76">
        <f>资产资本表!AV6</f>
        <v>0</v>
      </c>
      <c r="AW42" s="76">
        <f>资产资本表!AW6</f>
        <v>0</v>
      </c>
      <c r="AX42" s="76">
        <f>资产资本表!AX6</f>
        <v>0</v>
      </c>
      <c r="AY42" s="76">
        <f>资产资本表!AY6</f>
        <v>0</v>
      </c>
      <c r="AZ42" s="76">
        <f>资产资本表!AZ6</f>
        <v>0</v>
      </c>
      <c r="BA42" s="76">
        <f>资产资本表!BA6</f>
        <v>0</v>
      </c>
      <c r="BB42" s="76">
        <f>资产资本表!BB6</f>
        <v>0</v>
      </c>
      <c r="BC42" s="76">
        <f>资产资本表!BC6</f>
        <v>0</v>
      </c>
      <c r="BD42" s="76">
        <f>资产资本表!BD6</f>
        <v>0</v>
      </c>
      <c r="BE42" s="76">
        <f>资产资本表!BE6</f>
        <v>0</v>
      </c>
      <c r="BF42" s="76">
        <f>资产资本表!BF6</f>
        <v>0</v>
      </c>
      <c r="BG42" s="76">
        <f>资产资本表!BG6</f>
        <v>0</v>
      </c>
      <c r="BH42" s="76">
        <f>资产资本表!BH6</f>
        <v>0</v>
      </c>
      <c r="BI42" s="76">
        <f>资产资本表!BI6</f>
        <v>0</v>
      </c>
      <c r="BJ42" s="76">
        <f>资产资本表!BJ6</f>
        <v>0</v>
      </c>
      <c r="BK42" s="76">
        <f>资产资本表!BK6</f>
        <v>0</v>
      </c>
      <c r="BL42" s="76">
        <f>资产资本表!BL6</f>
        <v>0</v>
      </c>
      <c r="BM42" s="76">
        <f>资产资本表!BM6</f>
        <v>0</v>
      </c>
      <c r="BN42" s="76">
        <f>资产资本表!BN6</f>
        <v>0</v>
      </c>
      <c r="BO42" s="76">
        <f>资产资本表!BO6</f>
        <v>0</v>
      </c>
      <c r="BP42" s="76">
        <f>资产资本表!BP6</f>
        <v>0</v>
      </c>
      <c r="BQ42" s="76">
        <f>资产资本表!BQ6</f>
        <v>0</v>
      </c>
      <c r="BR42" s="76">
        <f>资产资本表!BR6</f>
        <v>0</v>
      </c>
      <c r="BS42" s="76">
        <f>资产资本表!BS6</f>
        <v>0</v>
      </c>
      <c r="BT42" s="76">
        <f>资产资本表!BT6</f>
        <v>0</v>
      </c>
      <c r="BU42" s="76">
        <f>资产资本表!BU6</f>
        <v>0</v>
      </c>
      <c r="BV42" s="76">
        <f>资产资本表!BV6</f>
        <v>0</v>
      </c>
      <c r="BW42" s="76">
        <f>资产资本表!BW6</f>
        <v>0</v>
      </c>
      <c r="BX42" s="76">
        <f>资产资本表!BX6</f>
        <v>0</v>
      </c>
      <c r="BY42" s="76">
        <f>资产资本表!BY6</f>
        <v>0</v>
      </c>
      <c r="BZ42" s="76">
        <f>资产资本表!BZ6</f>
        <v>0</v>
      </c>
      <c r="CA42" s="76">
        <f>资产资本表!CA6</f>
        <v>0</v>
      </c>
      <c r="CB42" s="76">
        <f>资产资本表!CB6</f>
        <v>0</v>
      </c>
      <c r="CC42" s="76">
        <f>资产资本表!CC6</f>
        <v>0</v>
      </c>
      <c r="CD42" s="76">
        <f>资产资本表!CD6</f>
        <v>0</v>
      </c>
      <c r="CE42" s="76">
        <f>资产资本表!CE6</f>
        <v>0</v>
      </c>
      <c r="CF42" s="76">
        <f>资产资本表!CF6</f>
        <v>0</v>
      </c>
      <c r="CG42" s="76">
        <f>资产资本表!CG6</f>
        <v>0</v>
      </c>
      <c r="CH42" s="76">
        <f>资产资本表!CH6</f>
        <v>0</v>
      </c>
      <c r="CI42" s="76">
        <f>资产资本表!CI6</f>
        <v>0</v>
      </c>
      <c r="CJ42" s="76">
        <f>资产资本表!CJ6</f>
        <v>0</v>
      </c>
    </row>
    <row r="43" spans="1:89" s="76" customFormat="1" x14ac:dyDescent="0.25">
      <c r="A43" s="148" t="s">
        <v>460</v>
      </c>
      <c r="E43" s="76">
        <f>SUM(E34:E42)</f>
        <v>733176594.04999995</v>
      </c>
      <c r="F43" s="76">
        <f t="shared" ref="F43:BQ43" si="14">SUM(F34:F42)</f>
        <v>542119136.30999994</v>
      </c>
      <c r="G43" s="76">
        <f t="shared" si="14"/>
        <v>792389362.92999995</v>
      </c>
      <c r="H43" s="76">
        <f t="shared" si="14"/>
        <v>1064862608.49</v>
      </c>
      <c r="I43" s="76">
        <f t="shared" si="14"/>
        <v>1547342145.5699999</v>
      </c>
      <c r="J43" s="76">
        <f t="shared" si="14"/>
        <v>935254236.98000002</v>
      </c>
      <c r="K43" s="76">
        <f t="shared" si="14"/>
        <v>726701245.64999998</v>
      </c>
      <c r="L43" s="76">
        <f t="shared" si="14"/>
        <v>796484046.78999996</v>
      </c>
      <c r="M43" s="76">
        <f t="shared" si="14"/>
        <v>693588693.25999999</v>
      </c>
      <c r="N43" s="76">
        <f t="shared" si="14"/>
        <v>797669458.75</v>
      </c>
      <c r="O43" s="76">
        <f t="shared" si="14"/>
        <v>619994822.77999997</v>
      </c>
      <c r="P43" s="76">
        <f t="shared" si="14"/>
        <v>669893756.87</v>
      </c>
      <c r="Q43" s="76">
        <f t="shared" si="14"/>
        <v>647204677.45000005</v>
      </c>
      <c r="R43" s="76">
        <f t="shared" si="14"/>
        <v>629117054.61000001</v>
      </c>
      <c r="S43" s="76">
        <f t="shared" si="14"/>
        <v>835542721.87</v>
      </c>
      <c r="T43" s="76">
        <f t="shared" si="14"/>
        <v>884858061.70000005</v>
      </c>
      <c r="U43" s="76">
        <f t="shared" si="14"/>
        <v>932276706.14999998</v>
      </c>
      <c r="V43" s="76">
        <f t="shared" si="14"/>
        <v>952923862.08000004</v>
      </c>
      <c r="W43" s="76">
        <f t="shared" si="14"/>
        <v>769157162.38</v>
      </c>
      <c r="X43" s="76">
        <f t="shared" si="14"/>
        <v>991763885.86000001</v>
      </c>
      <c r="Y43" s="76">
        <f t="shared" si="14"/>
        <v>956043885.24000001</v>
      </c>
      <c r="Z43" s="76">
        <f t="shared" si="14"/>
        <v>803173622.38</v>
      </c>
      <c r="AA43" s="76">
        <f t="shared" si="14"/>
        <v>667828913.97000003</v>
      </c>
      <c r="AB43" s="76">
        <f t="shared" si="14"/>
        <v>1014024416.74</v>
      </c>
      <c r="AC43" s="76">
        <f t="shared" si="14"/>
        <v>1002302902.5700001</v>
      </c>
      <c r="AD43" s="76">
        <f t="shared" si="14"/>
        <v>982362386.38999999</v>
      </c>
      <c r="AE43" s="76">
        <f t="shared" si="14"/>
        <v>862194779.22000003</v>
      </c>
      <c r="AF43" s="76">
        <f t="shared" si="14"/>
        <v>1151874426.3</v>
      </c>
      <c r="AG43" s="76">
        <f t="shared" si="14"/>
        <v>1057191976.45</v>
      </c>
      <c r="AH43" s="76">
        <f t="shared" si="14"/>
        <v>960610001.01999998</v>
      </c>
      <c r="AI43" s="76">
        <f t="shared" si="14"/>
        <v>930790908.42999995</v>
      </c>
      <c r="AJ43" s="76">
        <f t="shared" si="14"/>
        <v>1127355392.73</v>
      </c>
      <c r="AK43" s="76">
        <f t="shared" si="14"/>
        <v>1066884381.7</v>
      </c>
      <c r="AL43" s="76">
        <f t="shared" si="14"/>
        <v>1057983159.11</v>
      </c>
      <c r="AM43" s="76">
        <f t="shared" si="14"/>
        <v>74808751.980000004</v>
      </c>
      <c r="AN43" s="76">
        <f t="shared" si="14"/>
        <v>78505801.079999998</v>
      </c>
      <c r="AO43" s="76">
        <f t="shared" si="14"/>
        <v>50145116.420000002</v>
      </c>
      <c r="AP43" s="76">
        <f t="shared" si="14"/>
        <v>52609626.460000001</v>
      </c>
      <c r="AQ43" s="76">
        <f t="shared" si="14"/>
        <v>0</v>
      </c>
      <c r="AR43" s="76">
        <f t="shared" si="14"/>
        <v>0</v>
      </c>
      <c r="AS43" s="76">
        <f t="shared" si="14"/>
        <v>0</v>
      </c>
      <c r="AT43" s="76">
        <f t="shared" si="14"/>
        <v>0</v>
      </c>
      <c r="AU43" s="76">
        <f t="shared" si="14"/>
        <v>0</v>
      </c>
      <c r="AV43" s="76">
        <f t="shared" si="14"/>
        <v>0</v>
      </c>
      <c r="AW43" s="76">
        <f t="shared" si="14"/>
        <v>0</v>
      </c>
      <c r="AX43" s="76">
        <f t="shared" si="14"/>
        <v>0</v>
      </c>
      <c r="AY43" s="76">
        <f t="shared" si="14"/>
        <v>0</v>
      </c>
      <c r="AZ43" s="76">
        <f t="shared" si="14"/>
        <v>0</v>
      </c>
      <c r="BA43" s="76">
        <f t="shared" si="14"/>
        <v>0</v>
      </c>
      <c r="BB43" s="76">
        <f t="shared" si="14"/>
        <v>0</v>
      </c>
      <c r="BC43" s="76">
        <f t="shared" si="14"/>
        <v>0</v>
      </c>
      <c r="BD43" s="76">
        <f t="shared" si="14"/>
        <v>0</v>
      </c>
      <c r="BE43" s="76">
        <f t="shared" si="14"/>
        <v>0</v>
      </c>
      <c r="BF43" s="76">
        <f t="shared" si="14"/>
        <v>0</v>
      </c>
      <c r="BG43" s="76">
        <f t="shared" si="14"/>
        <v>0</v>
      </c>
      <c r="BH43" s="76">
        <f t="shared" si="14"/>
        <v>0</v>
      </c>
      <c r="BI43" s="76">
        <f t="shared" si="14"/>
        <v>0</v>
      </c>
      <c r="BJ43" s="76">
        <f t="shared" si="14"/>
        <v>0</v>
      </c>
      <c r="BK43" s="76">
        <f t="shared" si="14"/>
        <v>0</v>
      </c>
      <c r="BL43" s="76">
        <f t="shared" si="14"/>
        <v>0</v>
      </c>
      <c r="BM43" s="76">
        <f t="shared" si="14"/>
        <v>0</v>
      </c>
      <c r="BN43" s="76">
        <f t="shared" si="14"/>
        <v>0</v>
      </c>
      <c r="BO43" s="76">
        <f t="shared" si="14"/>
        <v>0</v>
      </c>
      <c r="BP43" s="76">
        <f t="shared" si="14"/>
        <v>0</v>
      </c>
      <c r="BQ43" s="76">
        <f t="shared" si="14"/>
        <v>0</v>
      </c>
      <c r="BR43" s="76">
        <f t="shared" ref="BR43:CJ43" si="15">SUM(BR34:BR42)</f>
        <v>0</v>
      </c>
      <c r="BS43" s="76">
        <f t="shared" si="15"/>
        <v>0</v>
      </c>
      <c r="BT43" s="76">
        <f t="shared" si="15"/>
        <v>0</v>
      </c>
      <c r="BU43" s="76">
        <f t="shared" si="15"/>
        <v>0</v>
      </c>
      <c r="BV43" s="76">
        <f t="shared" si="15"/>
        <v>0</v>
      </c>
      <c r="BW43" s="76">
        <f t="shared" si="15"/>
        <v>0</v>
      </c>
      <c r="BX43" s="76">
        <f t="shared" si="15"/>
        <v>0</v>
      </c>
      <c r="BY43" s="76">
        <f t="shared" si="15"/>
        <v>0</v>
      </c>
      <c r="BZ43" s="76">
        <f t="shared" si="15"/>
        <v>0</v>
      </c>
      <c r="CA43" s="76">
        <f t="shared" si="15"/>
        <v>0</v>
      </c>
      <c r="CB43" s="76">
        <f t="shared" si="15"/>
        <v>0</v>
      </c>
      <c r="CC43" s="76">
        <f t="shared" si="15"/>
        <v>0</v>
      </c>
      <c r="CD43" s="76">
        <f t="shared" si="15"/>
        <v>0</v>
      </c>
      <c r="CE43" s="76">
        <f t="shared" si="15"/>
        <v>0</v>
      </c>
      <c r="CF43" s="76">
        <f t="shared" si="15"/>
        <v>0</v>
      </c>
      <c r="CG43" s="76">
        <f t="shared" si="15"/>
        <v>0</v>
      </c>
      <c r="CH43" s="76">
        <f t="shared" si="15"/>
        <v>0</v>
      </c>
      <c r="CI43" s="76">
        <f t="shared" si="15"/>
        <v>0</v>
      </c>
      <c r="CJ43" s="76">
        <f t="shared" si="15"/>
        <v>0</v>
      </c>
    </row>
    <row r="44" spans="1:89" s="110" customFormat="1" x14ac:dyDescent="0.25">
      <c r="A44" s="145" t="s">
        <v>461</v>
      </c>
      <c r="E44" s="110">
        <f>E32/E43</f>
        <v>1.0285052847599297E-2</v>
      </c>
      <c r="F44" s="110">
        <f t="shared" ref="F44:BQ44" si="16">F32/F43</f>
        <v>2.3794490306373739E-4</v>
      </c>
      <c r="G44" s="110">
        <f t="shared" si="16"/>
        <v>1.5372361945240831E-2</v>
      </c>
      <c r="H44" s="110">
        <f t="shared" si="16"/>
        <v>8.8273590373609751E-4</v>
      </c>
      <c r="I44" s="110">
        <f t="shared" si="16"/>
        <v>2.7233471434463124E-2</v>
      </c>
      <c r="J44" s="110">
        <f t="shared" si="16"/>
        <v>1.9275108759607404E-2</v>
      </c>
      <c r="K44" s="110">
        <f t="shared" si="16"/>
        <v>1.739679620523453E-2</v>
      </c>
      <c r="L44" s="110">
        <f t="shared" si="16"/>
        <v>1.079682464541868E-2</v>
      </c>
      <c r="M44" s="110">
        <f t="shared" si="16"/>
        <v>8.8259962303040188E-2</v>
      </c>
      <c r="N44" s="110">
        <f t="shared" si="16"/>
        <v>3.7500409991840476E-2</v>
      </c>
      <c r="O44" s="110">
        <f t="shared" si="16"/>
        <v>2.5620125842284881E-2</v>
      </c>
      <c r="P44" s="110">
        <f t="shared" si="16"/>
        <v>1.4909907413100088E-3</v>
      </c>
      <c r="Q44" s="110">
        <f t="shared" si="16"/>
        <v>5.4221802473908891E-2</v>
      </c>
      <c r="R44" s="110">
        <f t="shared" si="16"/>
        <v>1.7707989297086078E-2</v>
      </c>
      <c r="S44" s="110">
        <f t="shared" si="16"/>
        <v>8.8100200157462793E-3</v>
      </c>
      <c r="T44" s="110">
        <f t="shared" si="16"/>
        <v>1.9892303654564735E-3</v>
      </c>
      <c r="U44" s="110">
        <f t="shared" si="16"/>
        <v>2.3640010020473265E-2</v>
      </c>
      <c r="V44" s="110">
        <f t="shared" si="16"/>
        <v>3.3144792706726232E-3</v>
      </c>
      <c r="W44" s="110">
        <f t="shared" si="16"/>
        <v>3.127309427568292E-3</v>
      </c>
      <c r="X44" s="110">
        <f t="shared" si="16"/>
        <v>1.2636193285090508E-3</v>
      </c>
      <c r="Y44" s="110">
        <f t="shared" si="16"/>
        <v>2.038359489387042E-2</v>
      </c>
      <c r="Z44" s="110">
        <f t="shared" si="16"/>
        <v>1.8326708683961051E-4</v>
      </c>
      <c r="AA44" s="110">
        <f t="shared" si="16"/>
        <v>1.3820388436213487E-4</v>
      </c>
      <c r="AB44" s="110">
        <f t="shared" si="16"/>
        <v>-2.3668069135019356E-6</v>
      </c>
      <c r="AC44" s="110">
        <f t="shared" si="16"/>
        <v>2.1405871768451046E-2</v>
      </c>
      <c r="AD44" s="110">
        <f t="shared" si="16"/>
        <v>-6.083599476932128E-4</v>
      </c>
      <c r="AE44" s="110">
        <f t="shared" si="16"/>
        <v>-3.5665109255032589E-4</v>
      </c>
      <c r="AF44" s="110">
        <f t="shared" si="16"/>
        <v>0</v>
      </c>
      <c r="AG44" s="110">
        <f t="shared" si="16"/>
        <v>1.3625675633305813E-2</v>
      </c>
      <c r="AH44" s="110">
        <f t="shared" si="16"/>
        <v>-2.1978111801441091E-4</v>
      </c>
      <c r="AI44" s="110">
        <f t="shared" si="16"/>
        <v>-1.0352896566484571E-4</v>
      </c>
      <c r="AJ44" s="110">
        <f t="shared" si="16"/>
        <v>0</v>
      </c>
      <c r="AK44" s="110">
        <f t="shared" si="16"/>
        <v>1.0726992183558237E-3</v>
      </c>
      <c r="AL44" s="110">
        <f t="shared" si="16"/>
        <v>0</v>
      </c>
      <c r="AM44" s="110">
        <f t="shared" si="16"/>
        <v>0</v>
      </c>
      <c r="AN44" s="110">
        <f t="shared" si="16"/>
        <v>0</v>
      </c>
      <c r="AO44" s="110">
        <f t="shared" si="16"/>
        <v>1.4448750503794257E-3</v>
      </c>
      <c r="AP44" s="110">
        <f t="shared" si="16"/>
        <v>4.6020520994629244E-5</v>
      </c>
      <c r="AQ44" s="110" t="e">
        <f t="shared" si="16"/>
        <v>#DIV/0!</v>
      </c>
      <c r="AR44" s="110" t="e">
        <f t="shared" si="16"/>
        <v>#DIV/0!</v>
      </c>
      <c r="AS44" s="110" t="e">
        <f t="shared" si="16"/>
        <v>#DIV/0!</v>
      </c>
      <c r="AT44" s="110" t="e">
        <f t="shared" si="16"/>
        <v>#DIV/0!</v>
      </c>
      <c r="AU44" s="110" t="e">
        <f t="shared" si="16"/>
        <v>#DIV/0!</v>
      </c>
      <c r="AV44" s="110" t="e">
        <f t="shared" si="16"/>
        <v>#DIV/0!</v>
      </c>
      <c r="AW44" s="110" t="e">
        <f t="shared" si="16"/>
        <v>#DIV/0!</v>
      </c>
      <c r="AX44" s="110" t="e">
        <f t="shared" si="16"/>
        <v>#DIV/0!</v>
      </c>
      <c r="AY44" s="110" t="e">
        <f t="shared" si="16"/>
        <v>#DIV/0!</v>
      </c>
      <c r="AZ44" s="110" t="e">
        <f t="shared" si="16"/>
        <v>#DIV/0!</v>
      </c>
      <c r="BA44" s="110" t="e">
        <f t="shared" si="16"/>
        <v>#DIV/0!</v>
      </c>
      <c r="BB44" s="110" t="e">
        <f t="shared" si="16"/>
        <v>#DIV/0!</v>
      </c>
      <c r="BC44" s="110" t="e">
        <f t="shared" si="16"/>
        <v>#DIV/0!</v>
      </c>
      <c r="BD44" s="110" t="e">
        <f t="shared" si="16"/>
        <v>#DIV/0!</v>
      </c>
      <c r="BE44" s="110" t="e">
        <f t="shared" si="16"/>
        <v>#DIV/0!</v>
      </c>
      <c r="BF44" s="110" t="e">
        <f t="shared" si="16"/>
        <v>#DIV/0!</v>
      </c>
      <c r="BG44" s="110" t="e">
        <f t="shared" si="16"/>
        <v>#DIV/0!</v>
      </c>
      <c r="BH44" s="110" t="e">
        <f t="shared" si="16"/>
        <v>#DIV/0!</v>
      </c>
      <c r="BI44" s="110" t="e">
        <f t="shared" si="16"/>
        <v>#DIV/0!</v>
      </c>
      <c r="BJ44" s="110" t="e">
        <f t="shared" si="16"/>
        <v>#DIV/0!</v>
      </c>
      <c r="BK44" s="110" t="e">
        <f t="shared" si="16"/>
        <v>#DIV/0!</v>
      </c>
      <c r="BL44" s="110" t="e">
        <f t="shared" si="16"/>
        <v>#DIV/0!</v>
      </c>
      <c r="BM44" s="110" t="e">
        <f t="shared" si="16"/>
        <v>#DIV/0!</v>
      </c>
      <c r="BN44" s="110" t="e">
        <f t="shared" si="16"/>
        <v>#DIV/0!</v>
      </c>
      <c r="BO44" s="110" t="e">
        <f t="shared" si="16"/>
        <v>#DIV/0!</v>
      </c>
      <c r="BP44" s="110" t="e">
        <f t="shared" si="16"/>
        <v>#DIV/0!</v>
      </c>
      <c r="BQ44" s="110" t="e">
        <f t="shared" si="16"/>
        <v>#DIV/0!</v>
      </c>
      <c r="BR44" s="110" t="e">
        <f t="shared" ref="BR44:CK44" si="17">BR32/BR43</f>
        <v>#DIV/0!</v>
      </c>
      <c r="BS44" s="110" t="e">
        <f t="shared" si="17"/>
        <v>#DIV/0!</v>
      </c>
      <c r="BT44" s="110" t="e">
        <f t="shared" si="17"/>
        <v>#DIV/0!</v>
      </c>
      <c r="BU44" s="110" t="e">
        <f t="shared" si="17"/>
        <v>#DIV/0!</v>
      </c>
      <c r="BV44" s="110" t="e">
        <f t="shared" si="17"/>
        <v>#DIV/0!</v>
      </c>
      <c r="BW44" s="110" t="e">
        <f t="shared" si="17"/>
        <v>#DIV/0!</v>
      </c>
      <c r="BX44" s="110" t="e">
        <f t="shared" si="17"/>
        <v>#DIV/0!</v>
      </c>
      <c r="BY44" s="110" t="e">
        <f t="shared" si="17"/>
        <v>#DIV/0!</v>
      </c>
      <c r="BZ44" s="110" t="e">
        <f t="shared" si="17"/>
        <v>#DIV/0!</v>
      </c>
      <c r="CA44" s="110" t="e">
        <f t="shared" si="17"/>
        <v>#DIV/0!</v>
      </c>
      <c r="CB44" s="110" t="e">
        <f t="shared" si="17"/>
        <v>#DIV/0!</v>
      </c>
      <c r="CC44" s="110" t="e">
        <f t="shared" si="17"/>
        <v>#DIV/0!</v>
      </c>
      <c r="CD44" s="110" t="e">
        <f t="shared" si="17"/>
        <v>#DIV/0!</v>
      </c>
      <c r="CE44" s="110" t="e">
        <f t="shared" si="17"/>
        <v>#DIV/0!</v>
      </c>
      <c r="CF44" s="110" t="e">
        <f t="shared" si="17"/>
        <v>#DIV/0!</v>
      </c>
      <c r="CG44" s="110" t="e">
        <f t="shared" si="17"/>
        <v>#DIV/0!</v>
      </c>
      <c r="CH44" s="110" t="e">
        <f t="shared" si="17"/>
        <v>#DIV/0!</v>
      </c>
      <c r="CI44" s="110" t="e">
        <f t="shared" si="17"/>
        <v>#DIV/0!</v>
      </c>
      <c r="CJ44" s="110" t="e">
        <f t="shared" si="17"/>
        <v>#DIV/0!</v>
      </c>
      <c r="CK44" s="110" t="e">
        <f t="shared" si="17"/>
        <v>#DIV/0!</v>
      </c>
    </row>
    <row r="45" spans="1:89" s="16" customFormat="1" ht="81.599999999999994" customHeight="1" x14ac:dyDescent="0.25">
      <c r="A45" s="279" t="s">
        <v>696</v>
      </c>
      <c r="B45" s="278"/>
      <c r="C45" s="278"/>
      <c r="D45" s="278"/>
      <c r="E45" s="278"/>
      <c r="F45" s="278"/>
      <c r="G45" s="278"/>
      <c r="H45" s="278"/>
      <c r="I45" s="278"/>
      <c r="J45" s="278"/>
      <c r="K45" s="278"/>
      <c r="L45" s="278"/>
      <c r="M45" s="278"/>
      <c r="N45" s="278"/>
      <c r="O45" s="278"/>
      <c r="P45" s="278"/>
      <c r="Q45" s="278"/>
      <c r="R45" s="278"/>
      <c r="S45" s="278"/>
      <c r="T45" s="278"/>
      <c r="U45" s="278"/>
      <c r="V45" s="278"/>
      <c r="W45" s="278"/>
      <c r="X45" s="278"/>
      <c r="Y45" s="278"/>
      <c r="Z45" s="278"/>
      <c r="AA45" s="278"/>
      <c r="AB45" s="278"/>
      <c r="AC45" s="278"/>
      <c r="AD45" s="278"/>
      <c r="AE45" s="278"/>
      <c r="AF45" s="278"/>
      <c r="AG45" s="278"/>
    </row>
    <row r="46" spans="1:89" s="57" customFormat="1" x14ac:dyDescent="0.25">
      <c r="A46" s="57" t="s">
        <v>697</v>
      </c>
      <c r="E46" s="57">
        <f>E43/资产资本表!E70</f>
        <v>0.21463167862036087</v>
      </c>
      <c r="F46" s="57">
        <f>F43/资产资本表!F70</f>
        <v>0.15626478545075001</v>
      </c>
      <c r="G46" s="57">
        <f>G43/资产资本表!G70</f>
        <v>0.23766010325584033</v>
      </c>
      <c r="H46" s="57">
        <f>H43/资产资本表!H70</f>
        <v>0.29969920088848329</v>
      </c>
      <c r="I46" s="57">
        <f>I43/资产资本表!I70</f>
        <v>0.45791266951713955</v>
      </c>
      <c r="J46" s="57">
        <f>J43/资产资本表!J70</f>
        <v>0.29755497703876937</v>
      </c>
      <c r="K46" s="57">
        <f>K43/资产资本表!K70</f>
        <v>0.24520220966395412</v>
      </c>
      <c r="L46" s="57">
        <f>L43/资产资本表!L70</f>
        <v>0.27641466059724851</v>
      </c>
      <c r="M46" s="57">
        <f>M43/资产资本表!M70</f>
        <v>0.25038020967085672</v>
      </c>
      <c r="N46" s="57">
        <f>N43/资产资本表!N70</f>
        <v>0.31325362227325732</v>
      </c>
      <c r="O46" s="57">
        <f>O43/资产资本表!O70</f>
        <v>0.25802249356708268</v>
      </c>
      <c r="P46" s="57">
        <f>P43/资产资本表!P70</f>
        <v>0.2568216396468076</v>
      </c>
      <c r="Q46" s="57">
        <f>Q43/资产资本表!Q70</f>
        <v>0.25961756424967081</v>
      </c>
      <c r="R46" s="57">
        <f>R43/资产资本表!R70</f>
        <v>0.27252340634217009</v>
      </c>
      <c r="S46" s="57">
        <f>S43/资产资本表!S70</f>
        <v>0.38114131808988361</v>
      </c>
      <c r="T46" s="57">
        <f>T43/资产资本表!T70</f>
        <v>0.39685406495707076</v>
      </c>
      <c r="U46" s="57">
        <f>U43/资产资本表!U70</f>
        <v>0.43701022134652312</v>
      </c>
      <c r="V46" s="57">
        <f>V43/资产资本表!V70</f>
        <v>0.46926216022085115</v>
      </c>
      <c r="W46" s="57">
        <f>W43/资产资本表!W70</f>
        <v>0.39838068794099346</v>
      </c>
      <c r="X46" s="57">
        <f>X43/资产资本表!X70</f>
        <v>0.50142367384582853</v>
      </c>
      <c r="Y46" s="57">
        <f>Y43/资产资本表!Y70</f>
        <v>0.50524969649979945</v>
      </c>
      <c r="Z46" s="57">
        <f>Z43/资产资本表!Z70</f>
        <v>0.45546356268716381</v>
      </c>
      <c r="AA46" s="57">
        <f>AA43/资产资本表!AA70</f>
        <v>0.40624448625781023</v>
      </c>
      <c r="AB46" s="57">
        <f>AB43/资产资本表!AB70</f>
        <v>0.57718820264566584</v>
      </c>
      <c r="AC46" s="57">
        <f>AC43/资产资本表!AC70</f>
        <v>0.60727464545520082</v>
      </c>
      <c r="AD46" s="57">
        <f>AD43/资产资本表!AD70</f>
        <v>0.63103365938122402</v>
      </c>
      <c r="AE46" s="57">
        <f>AE43/资产资本表!AE70</f>
        <v>0.59903009786750716</v>
      </c>
      <c r="AF46" s="57">
        <f>AF43/资产资本表!AF70</f>
        <v>0.75095631512101391</v>
      </c>
      <c r="AG46" s="57">
        <f>AG43/资产资本表!AG70</f>
        <v>0.71600946671288135</v>
      </c>
      <c r="AH46" s="57">
        <f>AH43/资产资本表!AH70</f>
        <v>0.69698180324177061</v>
      </c>
      <c r="AI46" s="57">
        <f>AI43/资产资本表!AI70</f>
        <v>0.70980562264374469</v>
      </c>
      <c r="AJ46" s="57">
        <f>AJ43/资产资本表!AJ70</f>
        <v>0.81550596797259123</v>
      </c>
      <c r="AK46" s="57">
        <f>AK43/资产资本表!AK70</f>
        <v>0.80081484436978179</v>
      </c>
      <c r="AL46" s="57">
        <f>AL43/资产资本表!AL70</f>
        <v>0.82093614974994356</v>
      </c>
      <c r="AM46" s="57">
        <f>AM43/资产资本表!AM70</f>
        <v>0.22600252483508187</v>
      </c>
      <c r="AN46" s="57">
        <f>AN43/资产资本表!AN70</f>
        <v>0.26052419466862259</v>
      </c>
      <c r="AO46" s="57">
        <f>AO43/资产资本表!AO70</f>
        <v>0.21043069834558487</v>
      </c>
      <c r="AP46" s="57">
        <f>AP43/资产资本表!AP70</f>
        <v>0.33776756050910184</v>
      </c>
      <c r="AQ46" s="57" t="e">
        <f>AQ43/资产资本表!AQ70</f>
        <v>#DIV/0!</v>
      </c>
      <c r="AR46" s="57" t="e">
        <f>AR43/资产资本表!AR70</f>
        <v>#DIV/0!</v>
      </c>
      <c r="AS46" s="57" t="e">
        <f>AS43/资产资本表!AS70</f>
        <v>#DIV/0!</v>
      </c>
      <c r="AT46" s="57" t="e">
        <f>AT43/资产资本表!AT70</f>
        <v>#DIV/0!</v>
      </c>
      <c r="AU46" s="57" t="e">
        <f>AU43/资产资本表!AU70</f>
        <v>#DIV/0!</v>
      </c>
      <c r="AV46" s="57" t="e">
        <f>AV43/资产资本表!AV70</f>
        <v>#DIV/0!</v>
      </c>
      <c r="AW46" s="57" t="e">
        <f>AW43/资产资本表!AW70</f>
        <v>#DIV/0!</v>
      </c>
      <c r="AX46" s="57" t="e">
        <f>AX43/资产资本表!AX70</f>
        <v>#DIV/0!</v>
      </c>
      <c r="AY46" s="57" t="e">
        <f>AY43/资产资本表!AY70</f>
        <v>#DIV/0!</v>
      </c>
      <c r="AZ46" s="57" t="e">
        <f>AZ43/资产资本表!AZ70</f>
        <v>#DIV/0!</v>
      </c>
      <c r="BA46" s="57" t="e">
        <f>BA43/资产资本表!BA70</f>
        <v>#DIV/0!</v>
      </c>
      <c r="BB46" s="57" t="e">
        <f>BB43/资产资本表!BB70</f>
        <v>#DIV/0!</v>
      </c>
      <c r="BC46" s="57" t="e">
        <f>BC43/资产资本表!BC70</f>
        <v>#DIV/0!</v>
      </c>
      <c r="BD46" s="57" t="e">
        <f>BD43/资产资本表!BD70</f>
        <v>#DIV/0!</v>
      </c>
      <c r="BE46" s="57" t="e">
        <f>BE43/资产资本表!BE70</f>
        <v>#DIV/0!</v>
      </c>
      <c r="BF46" s="57" t="e">
        <f>BF43/资产资本表!BF70</f>
        <v>#DIV/0!</v>
      </c>
      <c r="BG46" s="57" t="e">
        <f>BG43/资产资本表!BG70</f>
        <v>#DIV/0!</v>
      </c>
      <c r="BH46" s="57" t="e">
        <f>BH43/资产资本表!BH70</f>
        <v>#DIV/0!</v>
      </c>
      <c r="BI46" s="57" t="e">
        <f>BI43/资产资本表!BI70</f>
        <v>#DIV/0!</v>
      </c>
      <c r="BJ46" s="57" t="e">
        <f>BJ43/资产资本表!BJ70</f>
        <v>#DIV/0!</v>
      </c>
      <c r="BK46" s="57" t="e">
        <f>BK43/资产资本表!BK70</f>
        <v>#DIV/0!</v>
      </c>
      <c r="BL46" s="57" t="e">
        <f>BL43/资产资本表!BL70</f>
        <v>#DIV/0!</v>
      </c>
      <c r="BM46" s="57" t="e">
        <f>BM43/资产资本表!BM70</f>
        <v>#DIV/0!</v>
      </c>
      <c r="BN46" s="57" t="e">
        <f>BN43/资产资本表!BN70</f>
        <v>#DIV/0!</v>
      </c>
      <c r="BO46" s="57" t="e">
        <f>BO43/资产资本表!BO70</f>
        <v>#DIV/0!</v>
      </c>
      <c r="BP46" s="57" t="e">
        <f>BP43/资产资本表!BP70</f>
        <v>#DIV/0!</v>
      </c>
      <c r="BQ46" s="57" t="e">
        <f>BQ43/资产资本表!BQ70</f>
        <v>#DIV/0!</v>
      </c>
      <c r="BR46" s="57" t="e">
        <f>BR43/资产资本表!BR70</f>
        <v>#DIV/0!</v>
      </c>
      <c r="BS46" s="57" t="e">
        <f>BS43/资产资本表!BS70</f>
        <v>#DIV/0!</v>
      </c>
      <c r="BT46" s="57" t="e">
        <f>BT43/资产资本表!BT70</f>
        <v>#DIV/0!</v>
      </c>
      <c r="BU46" s="57" t="e">
        <f>BU43/资产资本表!BU70</f>
        <v>#DIV/0!</v>
      </c>
      <c r="BV46" s="57" t="e">
        <f>BV43/资产资本表!BV70</f>
        <v>#DIV/0!</v>
      </c>
      <c r="BW46" s="57" t="e">
        <f>BW43/资产资本表!BW70</f>
        <v>#DIV/0!</v>
      </c>
      <c r="BX46" s="57" t="e">
        <f>BX43/资产资本表!BX70</f>
        <v>#DIV/0!</v>
      </c>
      <c r="BY46" s="57" t="e">
        <f>BY43/资产资本表!BY70</f>
        <v>#DIV/0!</v>
      </c>
      <c r="BZ46" s="57" t="e">
        <f>BZ43/资产资本表!BZ70</f>
        <v>#DIV/0!</v>
      </c>
      <c r="CA46" s="57" t="e">
        <f>CA43/资产资本表!CA70</f>
        <v>#DIV/0!</v>
      </c>
      <c r="CB46" s="57" t="e">
        <f>CB43/资产资本表!CB70</f>
        <v>#DIV/0!</v>
      </c>
      <c r="CC46" s="57" t="e">
        <f>CC43/资产资本表!CC70</f>
        <v>#DIV/0!</v>
      </c>
      <c r="CD46" s="57" t="e">
        <f>CD43/资产资本表!CD70</f>
        <v>#DIV/0!</v>
      </c>
      <c r="CE46" s="57" t="e">
        <f>CE43/资产资本表!CE70</f>
        <v>#DIV/0!</v>
      </c>
      <c r="CF46" s="57" t="e">
        <f>CF43/资产资本表!CF70</f>
        <v>#DIV/0!</v>
      </c>
      <c r="CG46" s="57" t="e">
        <f>CG43/资产资本表!CG70</f>
        <v>#DIV/0!</v>
      </c>
      <c r="CH46" s="57" t="e">
        <f>CH43/资产资本表!CH70</f>
        <v>#DIV/0!</v>
      </c>
      <c r="CI46" s="57" t="e">
        <f>CI43/资产资本表!CI70</f>
        <v>#DIV/0!</v>
      </c>
      <c r="CJ46" s="57" t="e">
        <f>CJ43/资产资本表!CJ70</f>
        <v>#DIV/0!</v>
      </c>
      <c r="CK46" s="57" t="e">
        <f>CK43/资产资本表!CK70</f>
        <v>#DIV/0!</v>
      </c>
    </row>
    <row r="48" spans="1:89" s="116" customFormat="1" x14ac:dyDescent="0.25">
      <c r="A48" s="118" t="s">
        <v>462</v>
      </c>
      <c r="B48" s="1">
        <v>43373</v>
      </c>
      <c r="C48" s="1">
        <v>43281</v>
      </c>
      <c r="D48" s="1">
        <v>43190</v>
      </c>
      <c r="E48" s="1">
        <v>43100</v>
      </c>
      <c r="F48" s="1">
        <v>43008</v>
      </c>
      <c r="G48" s="1">
        <v>42916</v>
      </c>
      <c r="H48" s="1">
        <v>42825</v>
      </c>
      <c r="I48" s="1">
        <v>42735</v>
      </c>
      <c r="J48" s="1">
        <v>42643</v>
      </c>
      <c r="K48" s="1">
        <v>42551</v>
      </c>
      <c r="L48" s="1">
        <v>42460</v>
      </c>
      <c r="M48" s="1">
        <v>42369</v>
      </c>
      <c r="N48" s="1">
        <v>42277</v>
      </c>
      <c r="O48" s="1">
        <v>42185</v>
      </c>
      <c r="P48" s="1">
        <v>42094</v>
      </c>
      <c r="Q48" s="1">
        <v>42004</v>
      </c>
      <c r="R48" s="1">
        <v>41912</v>
      </c>
      <c r="S48" s="1">
        <v>41820</v>
      </c>
      <c r="T48" s="1">
        <v>41729</v>
      </c>
      <c r="U48" s="1">
        <v>41639</v>
      </c>
      <c r="V48" s="1">
        <v>41547</v>
      </c>
      <c r="W48" s="1">
        <v>41455</v>
      </c>
      <c r="X48" s="1">
        <v>41364</v>
      </c>
      <c r="Y48" s="1">
        <v>41274</v>
      </c>
      <c r="Z48" s="1">
        <v>41182</v>
      </c>
      <c r="AA48" s="1">
        <v>41090</v>
      </c>
      <c r="AB48" s="1">
        <v>40999</v>
      </c>
      <c r="AC48" s="1">
        <v>40908</v>
      </c>
      <c r="AD48" s="1">
        <v>40816</v>
      </c>
      <c r="AE48" s="1">
        <v>40724</v>
      </c>
      <c r="AF48" s="1">
        <v>40633</v>
      </c>
      <c r="AG48" s="1">
        <v>40543</v>
      </c>
      <c r="AH48" s="1">
        <v>40451</v>
      </c>
      <c r="AI48" s="1">
        <v>40359</v>
      </c>
      <c r="AJ48" s="1">
        <v>40268</v>
      </c>
      <c r="AK48" s="1">
        <v>40178</v>
      </c>
      <c r="AL48" s="1">
        <v>40086</v>
      </c>
      <c r="AM48" s="1">
        <v>39994</v>
      </c>
      <c r="AN48" s="1">
        <v>39903</v>
      </c>
      <c r="AO48" s="1">
        <v>39813</v>
      </c>
      <c r="AP48" s="1">
        <v>39721</v>
      </c>
      <c r="AQ48" s="1">
        <v>39447</v>
      </c>
      <c r="AR48" s="1">
        <v>39082</v>
      </c>
      <c r="AS48" s="1">
        <v>25569</v>
      </c>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row>
    <row r="49" spans="1:89" s="76" customFormat="1" x14ac:dyDescent="0.25">
      <c r="A49" s="147" t="s">
        <v>463</v>
      </c>
      <c r="E49" s="76">
        <f>利润表!E4</f>
        <v>4661850865.5100002</v>
      </c>
      <c r="F49" s="76">
        <f>利润表!F4</f>
        <v>3182670009.3200002</v>
      </c>
      <c r="G49" s="76">
        <f>利润表!G4</f>
        <v>1981435890.6199999</v>
      </c>
      <c r="H49" s="76">
        <f>利润表!H4</f>
        <v>1057767260.42</v>
      </c>
      <c r="I49" s="76">
        <f>利润表!I4</f>
        <v>3152216442.1500001</v>
      </c>
      <c r="J49" s="76">
        <f>利润表!J4</f>
        <v>2155264290.48</v>
      </c>
      <c r="K49" s="76">
        <f>利润表!K4</f>
        <v>1343083310.6500001</v>
      </c>
      <c r="L49" s="76">
        <f>利润表!L4</f>
        <v>762846279.96000004</v>
      </c>
      <c r="M49" s="76">
        <f>利润表!M4</f>
        <v>2915633891.98</v>
      </c>
      <c r="N49" s="76">
        <f>利润表!N4</f>
        <v>2046094586.02</v>
      </c>
      <c r="O49" s="76">
        <f>利润表!O4</f>
        <v>1249976092.8499999</v>
      </c>
      <c r="P49" s="76">
        <f>利润表!P4</f>
        <v>705394935.15999997</v>
      </c>
      <c r="Q49" s="76">
        <f>利润表!Q4</f>
        <v>2761400573.5100002</v>
      </c>
      <c r="R49" s="76">
        <f>利润表!R4</f>
        <v>1879993912.9100001</v>
      </c>
      <c r="S49" s="76">
        <f>利润表!S4</f>
        <v>1112279848.48</v>
      </c>
      <c r="T49" s="76">
        <f>利润表!T4</f>
        <v>657308577.96000004</v>
      </c>
      <c r="U49" s="76">
        <f>利润表!U4</f>
        <v>2524209416.4000001</v>
      </c>
      <c r="V49" s="76">
        <f>利润表!V4</f>
        <v>1722646961.76</v>
      </c>
      <c r="W49" s="76">
        <f>利润表!W4</f>
        <v>1078073329.79</v>
      </c>
      <c r="X49" s="76">
        <f>利润表!X4</f>
        <v>615351177.55999994</v>
      </c>
      <c r="Y49" s="76">
        <f>利润表!Y4</f>
        <v>2724953861.21</v>
      </c>
      <c r="Z49" s="76">
        <f>利润表!Z4</f>
        <v>1847721787.6600001</v>
      </c>
      <c r="AA49" s="76">
        <f>利润表!AA4</f>
        <v>1036490112.66</v>
      </c>
      <c r="AB49" s="76">
        <f>利润表!AB4</f>
        <v>614320304.89999998</v>
      </c>
      <c r="AC49" s="76">
        <f>利润表!AC4</f>
        <v>2382434788.48</v>
      </c>
      <c r="AD49" s="76">
        <f>利润表!AD4</f>
        <v>1633896787.0999999</v>
      </c>
      <c r="AE49" s="76">
        <f>利润表!AE4</f>
        <v>1003246147.98</v>
      </c>
      <c r="AF49" s="76">
        <f>利润表!AF4</f>
        <v>583149853.35000002</v>
      </c>
      <c r="AG49" s="76">
        <f>利润表!AG4</f>
        <v>1818814620.1400001</v>
      </c>
      <c r="AH49" s="76">
        <f>利润表!AH4</f>
        <v>1145669244.4200001</v>
      </c>
      <c r="AI49" s="76">
        <f>利润表!AI4</f>
        <v>661829336.29999995</v>
      </c>
      <c r="AJ49" s="76">
        <f>利润表!AJ4</f>
        <v>359335837.14999998</v>
      </c>
      <c r="AK49" s="76">
        <f>利润表!AK4</f>
        <v>1145306750.3299999</v>
      </c>
      <c r="AL49" s="76">
        <f>利润表!AL4</f>
        <v>723914564.5</v>
      </c>
      <c r="AM49" s="76">
        <f>利润表!AM4</f>
        <v>407570538.00999999</v>
      </c>
      <c r="AN49" s="76">
        <f>利润表!AN4</f>
        <v>255192022.33000001</v>
      </c>
      <c r="AO49" s="76">
        <f>利润表!AO4</f>
        <v>902684684.88</v>
      </c>
      <c r="AP49" s="76">
        <f>利润表!AP4</f>
        <v>632875455.57000005</v>
      </c>
      <c r="AQ49" s="76">
        <f>利润表!AQ4</f>
        <v>755362629.51999998</v>
      </c>
      <c r="AR49" s="76">
        <f>利润表!AR4</f>
        <v>552487592.55999994</v>
      </c>
      <c r="AS49" s="76">
        <f>利润表!AS4</f>
        <v>0</v>
      </c>
      <c r="AT49" s="76">
        <f>利润表!AT4</f>
        <v>0</v>
      </c>
      <c r="AU49" s="76">
        <f>利润表!AU4</f>
        <v>0</v>
      </c>
      <c r="AV49" s="76">
        <f>利润表!AV4</f>
        <v>0</v>
      </c>
      <c r="AW49" s="76">
        <f>利润表!AW4</f>
        <v>0</v>
      </c>
      <c r="AX49" s="76">
        <f>利润表!AX4</f>
        <v>0</v>
      </c>
      <c r="AY49" s="76">
        <f>利润表!AY4</f>
        <v>0</v>
      </c>
      <c r="AZ49" s="76">
        <f>利润表!AZ4</f>
        <v>0</v>
      </c>
      <c r="BA49" s="76">
        <f>利润表!BA4</f>
        <v>0</v>
      </c>
      <c r="BB49" s="76">
        <f>利润表!BB4</f>
        <v>0</v>
      </c>
      <c r="BC49" s="76">
        <f>利润表!BC4</f>
        <v>0</v>
      </c>
      <c r="BD49" s="76">
        <f>利润表!BD4</f>
        <v>0</v>
      </c>
      <c r="BE49" s="76">
        <f>利润表!BE4</f>
        <v>0</v>
      </c>
      <c r="BF49" s="76">
        <f>利润表!BF4</f>
        <v>0</v>
      </c>
      <c r="BG49" s="76">
        <f>利润表!BG4</f>
        <v>0</v>
      </c>
      <c r="BH49" s="76">
        <f>利润表!BH4</f>
        <v>0</v>
      </c>
      <c r="BI49" s="76">
        <f>利润表!BI4</f>
        <v>0</v>
      </c>
      <c r="BJ49" s="76">
        <f>利润表!BJ4</f>
        <v>0</v>
      </c>
      <c r="BK49" s="76">
        <f>利润表!BK4</f>
        <v>0</v>
      </c>
      <c r="BL49" s="76">
        <f>利润表!BL4</f>
        <v>0</v>
      </c>
      <c r="BM49" s="76">
        <f>利润表!BM4</f>
        <v>0</v>
      </c>
      <c r="BN49" s="76">
        <f>利润表!BN4</f>
        <v>0</v>
      </c>
      <c r="BO49" s="76">
        <f>利润表!BO4</f>
        <v>0</v>
      </c>
      <c r="BP49" s="76">
        <f>利润表!BP4</f>
        <v>0</v>
      </c>
      <c r="BQ49" s="76">
        <f>利润表!BQ4</f>
        <v>0</v>
      </c>
      <c r="BR49" s="76">
        <f>利润表!BR4</f>
        <v>0</v>
      </c>
      <c r="BS49" s="76">
        <f>利润表!BS4</f>
        <v>0</v>
      </c>
      <c r="BT49" s="76">
        <f>利润表!BT4</f>
        <v>0</v>
      </c>
      <c r="BU49" s="76">
        <f>利润表!BU4</f>
        <v>0</v>
      </c>
      <c r="BV49" s="76">
        <f>利润表!BV4</f>
        <v>0</v>
      </c>
      <c r="BW49" s="76">
        <f>利润表!BW4</f>
        <v>0</v>
      </c>
      <c r="BX49" s="76">
        <f>利润表!BX4</f>
        <v>0</v>
      </c>
      <c r="BY49" s="76">
        <f>利润表!BY4</f>
        <v>0</v>
      </c>
      <c r="BZ49" s="76">
        <f>利润表!BZ4</f>
        <v>0</v>
      </c>
      <c r="CA49" s="76">
        <f>利润表!CA4</f>
        <v>0</v>
      </c>
      <c r="CB49" s="76">
        <f>利润表!CB4</f>
        <v>0</v>
      </c>
      <c r="CC49" s="76">
        <f>利润表!CC4</f>
        <v>0</v>
      </c>
      <c r="CD49" s="76">
        <f>利润表!CD4</f>
        <v>0</v>
      </c>
      <c r="CE49" s="76">
        <f>利润表!CE4</f>
        <v>0</v>
      </c>
      <c r="CF49" s="76">
        <f>利润表!CF4</f>
        <v>0</v>
      </c>
      <c r="CG49" s="76">
        <f>利润表!CG4</f>
        <v>0</v>
      </c>
      <c r="CH49" s="76">
        <f>利润表!CH4</f>
        <v>0</v>
      </c>
      <c r="CI49" s="76">
        <f>利润表!CI4</f>
        <v>0</v>
      </c>
      <c r="CJ49" s="76">
        <f>利润表!CJ4</f>
        <v>0</v>
      </c>
      <c r="CK49" s="76">
        <f>利润表!CK4</f>
        <v>0</v>
      </c>
    </row>
    <row r="50" spans="1:89" s="76" customFormat="1" x14ac:dyDescent="0.25">
      <c r="A50" s="147" t="s">
        <v>464</v>
      </c>
      <c r="E50" s="76">
        <f>资产资本表!E50</f>
        <v>1597100710.9399998</v>
      </c>
      <c r="F50" s="76">
        <f>资产资本表!F50</f>
        <v>1754650310.4399998</v>
      </c>
      <c r="G50" s="76">
        <f>资产资本表!G50</f>
        <v>1349137181.4500003</v>
      </c>
      <c r="H50" s="76">
        <f>资产资本表!H50</f>
        <v>1278750158.9299998</v>
      </c>
      <c r="I50" s="76">
        <f>资产资本表!I50</f>
        <v>949049399.85000014</v>
      </c>
      <c r="J50" s="76">
        <f>资产资本表!J50</f>
        <v>1300496511.9699998</v>
      </c>
      <c r="K50" s="76">
        <f>资产资本表!K50</f>
        <v>1335104250.45</v>
      </c>
      <c r="L50" s="76">
        <f>资产资本表!L50</f>
        <v>1169926680.3800001</v>
      </c>
      <c r="M50" s="76">
        <f>资产资本表!M50</f>
        <v>1157095856.3699999</v>
      </c>
      <c r="N50" s="76">
        <f>资产资本表!N50</f>
        <v>919351714.72000003</v>
      </c>
      <c r="O50" s="76">
        <f>资产资本表!O50</f>
        <v>960746978.13</v>
      </c>
      <c r="P50" s="76">
        <f>资产资本表!P50</f>
        <v>1113176673.5599999</v>
      </c>
      <c r="Q50" s="76">
        <f>资产资本表!Q50</f>
        <v>1020208913.4599999</v>
      </c>
      <c r="R50" s="76">
        <f>资产资本表!R50</f>
        <v>1020629371.64</v>
      </c>
      <c r="S50" s="76">
        <f>资产资本表!S50</f>
        <v>713919009.73999977</v>
      </c>
      <c r="T50" s="76">
        <f>资产资本表!T50</f>
        <v>706716177.13999999</v>
      </c>
      <c r="U50" s="76">
        <f>资产资本表!U50</f>
        <v>554743546.35000014</v>
      </c>
      <c r="V50" s="76">
        <f>资产资本表!V50</f>
        <v>440012245.28999996</v>
      </c>
      <c r="W50" s="76">
        <f>资产资本表!W50</f>
        <v>605557151.28999996</v>
      </c>
      <c r="X50" s="76">
        <f>资产资本表!X50</f>
        <v>461092421.37</v>
      </c>
      <c r="Y50" s="76">
        <f>资产资本表!Y50</f>
        <v>421625578.88000011</v>
      </c>
      <c r="Z50" s="76">
        <f>资产资本表!Z50</f>
        <v>463458176.65999985</v>
      </c>
      <c r="AA50" s="76">
        <f>资产资本表!AA50</f>
        <v>538043845.96000004</v>
      </c>
      <c r="AB50" s="76">
        <f>资产资本表!AB50</f>
        <v>318249727.29000002</v>
      </c>
      <c r="AC50" s="76">
        <f>资产资本表!AC50</f>
        <v>241941336.04999995</v>
      </c>
      <c r="AD50" s="76">
        <f>资产资本表!AD50</f>
        <v>261233161.02999997</v>
      </c>
      <c r="AE50" s="76">
        <f>资产资本表!AE50</f>
        <v>321419707.1500001</v>
      </c>
      <c r="AF50" s="76">
        <f>资产资本表!AF50</f>
        <v>148020334.52999997</v>
      </c>
      <c r="AG50" s="76">
        <f>资产资本表!AG50</f>
        <v>204497911.35999995</v>
      </c>
      <c r="AH50" s="76">
        <f>资产资本表!AH50</f>
        <v>282006776.60000002</v>
      </c>
      <c r="AI50" s="76">
        <f>资产资本表!AI50</f>
        <v>252834625.30000001</v>
      </c>
      <c r="AJ50" s="76">
        <f>资产资本表!AJ50</f>
        <v>126923235.34999999</v>
      </c>
      <c r="AK50" s="76">
        <f>资产资本表!AK50</f>
        <v>137423752.91000006</v>
      </c>
      <c r="AL50" s="76">
        <f>资产资本表!AL50</f>
        <v>133608740.93999997</v>
      </c>
      <c r="AM50" s="76">
        <f>资产资本表!AM50</f>
        <v>157946398.67999998</v>
      </c>
      <c r="AN50" s="76">
        <f>资产资本表!AN50</f>
        <v>120859525.39000002</v>
      </c>
      <c r="AO50" s="76">
        <f>资产资本表!AO50</f>
        <v>110265855.45999999</v>
      </c>
      <c r="AP50" s="76">
        <f>资产资本表!AP50</f>
        <v>38950841.790000021</v>
      </c>
      <c r="AQ50" s="76">
        <f>资产资本表!AQ50</f>
        <v>0</v>
      </c>
      <c r="AR50" s="76">
        <f>资产资本表!AR50</f>
        <v>0</v>
      </c>
      <c r="AS50" s="76">
        <f>资产资本表!AS50</f>
        <v>0</v>
      </c>
      <c r="AT50" s="76">
        <f>资产资本表!AT50</f>
        <v>0</v>
      </c>
      <c r="AU50" s="76">
        <f>资产资本表!AU50</f>
        <v>0</v>
      </c>
      <c r="AV50" s="76">
        <f>资产资本表!AV50</f>
        <v>0</v>
      </c>
      <c r="AW50" s="76">
        <f>资产资本表!AW50</f>
        <v>0</v>
      </c>
      <c r="AX50" s="76">
        <f>资产资本表!AX50</f>
        <v>0</v>
      </c>
      <c r="AY50" s="76">
        <f>资产资本表!AY50</f>
        <v>0</v>
      </c>
      <c r="AZ50" s="76">
        <f>资产资本表!AZ50</f>
        <v>0</v>
      </c>
      <c r="BA50" s="76">
        <f>资产资本表!BA50</f>
        <v>0</v>
      </c>
      <c r="BB50" s="76">
        <f>资产资本表!BB50</f>
        <v>0</v>
      </c>
      <c r="BC50" s="76">
        <f>资产资本表!BC50</f>
        <v>0</v>
      </c>
      <c r="BD50" s="76">
        <f>资产资本表!BD50</f>
        <v>0</v>
      </c>
      <c r="BE50" s="76">
        <f>资产资本表!BE50</f>
        <v>0</v>
      </c>
      <c r="BF50" s="76">
        <f>资产资本表!BF50</f>
        <v>0</v>
      </c>
      <c r="BG50" s="76">
        <f>资产资本表!BG50</f>
        <v>0</v>
      </c>
      <c r="BH50" s="76">
        <f>资产资本表!BH50</f>
        <v>0</v>
      </c>
      <c r="BI50" s="76">
        <f>资产资本表!BI50</f>
        <v>0</v>
      </c>
      <c r="BJ50" s="76">
        <f>资产资本表!BJ50</f>
        <v>0</v>
      </c>
      <c r="BK50" s="76">
        <f>资产资本表!BK50</f>
        <v>0</v>
      </c>
      <c r="BL50" s="76">
        <f>资产资本表!BL50</f>
        <v>0</v>
      </c>
      <c r="BM50" s="76">
        <f>资产资本表!BM50</f>
        <v>0</v>
      </c>
      <c r="BN50" s="76">
        <f>资产资本表!BN50</f>
        <v>0</v>
      </c>
      <c r="BO50" s="76">
        <f>资产资本表!BO50</f>
        <v>0</v>
      </c>
      <c r="BP50" s="76">
        <f>资产资本表!BP50</f>
        <v>0</v>
      </c>
      <c r="BQ50" s="76">
        <f>资产资本表!BQ50</f>
        <v>0</v>
      </c>
      <c r="BR50" s="76">
        <f>资产资本表!BR50</f>
        <v>0</v>
      </c>
      <c r="BS50" s="76">
        <f>资产资本表!BS50</f>
        <v>0</v>
      </c>
      <c r="BT50" s="76">
        <f>资产资本表!BT50</f>
        <v>0</v>
      </c>
      <c r="BU50" s="76">
        <f>资产资本表!BU50</f>
        <v>0</v>
      </c>
      <c r="BV50" s="76">
        <f>资产资本表!BV50</f>
        <v>0</v>
      </c>
      <c r="BW50" s="76">
        <f>资产资本表!BW50</f>
        <v>0</v>
      </c>
      <c r="BX50" s="76">
        <f>资产资本表!BX50</f>
        <v>0</v>
      </c>
      <c r="BY50" s="76">
        <f>资产资本表!BY50</f>
        <v>0</v>
      </c>
      <c r="BZ50" s="76">
        <f>资产资本表!BZ50</f>
        <v>0</v>
      </c>
      <c r="CA50" s="76">
        <f>资产资本表!CA50</f>
        <v>0</v>
      </c>
      <c r="CB50" s="76">
        <f>资产资本表!CB50</f>
        <v>0</v>
      </c>
      <c r="CC50" s="76">
        <f>资产资本表!CC50</f>
        <v>0</v>
      </c>
      <c r="CD50" s="76">
        <f>资产资本表!CD50</f>
        <v>0</v>
      </c>
      <c r="CE50" s="76">
        <f>资产资本表!CE50</f>
        <v>0</v>
      </c>
      <c r="CF50" s="76">
        <f>资产资本表!CF50</f>
        <v>0</v>
      </c>
      <c r="CG50" s="76">
        <f>资产资本表!CG50</f>
        <v>0</v>
      </c>
      <c r="CH50" s="76">
        <f>资产资本表!CH50</f>
        <v>0</v>
      </c>
      <c r="CI50" s="76">
        <f>资产资本表!CI50</f>
        <v>0</v>
      </c>
      <c r="CJ50" s="76">
        <f>资产资本表!CJ50</f>
        <v>0</v>
      </c>
      <c r="CK50" s="76">
        <f>资产资本表!CK50</f>
        <v>0</v>
      </c>
    </row>
    <row r="51" spans="1:89" s="44" customFormat="1" x14ac:dyDescent="0.25">
      <c r="A51" s="143" t="s">
        <v>465</v>
      </c>
      <c r="E51" s="44">
        <f>E49/E50</f>
        <v>2.9189460837232937</v>
      </c>
      <c r="F51" s="44">
        <f t="shared" ref="F51:BQ51" si="18">F49/F50</f>
        <v>1.8138486001361189</v>
      </c>
      <c r="G51" s="44">
        <f t="shared" si="18"/>
        <v>1.4686689521746257</v>
      </c>
      <c r="H51" s="44">
        <f t="shared" si="18"/>
        <v>0.82718837063925887</v>
      </c>
      <c r="I51" s="44">
        <f t="shared" si="18"/>
        <v>3.3214461150791692</v>
      </c>
      <c r="J51" s="44">
        <f t="shared" si="18"/>
        <v>1.6572626459529622</v>
      </c>
      <c r="K51" s="44">
        <f t="shared" si="18"/>
        <v>1.005976357424756</v>
      </c>
      <c r="L51" s="44">
        <f t="shared" si="18"/>
        <v>0.6520462288390777</v>
      </c>
      <c r="M51" s="44">
        <f t="shared" si="18"/>
        <v>2.5197859588978422</v>
      </c>
      <c r="N51" s="44">
        <f t="shared" si="18"/>
        <v>2.2255841298377992</v>
      </c>
      <c r="O51" s="44">
        <f t="shared" si="18"/>
        <v>1.301046083208043</v>
      </c>
      <c r="P51" s="44">
        <f t="shared" si="18"/>
        <v>0.63367743136775256</v>
      </c>
      <c r="Q51" s="44">
        <f t="shared" si="18"/>
        <v>2.706701085510824</v>
      </c>
      <c r="R51" s="44">
        <f t="shared" si="18"/>
        <v>1.8419947192869128</v>
      </c>
      <c r="S51" s="44">
        <f t="shared" si="18"/>
        <v>1.5579916395349638</v>
      </c>
      <c r="T51" s="44">
        <f t="shared" si="18"/>
        <v>0.93008848420599788</v>
      </c>
      <c r="U51" s="44">
        <f t="shared" si="18"/>
        <v>4.5502276376324344</v>
      </c>
      <c r="V51" s="44">
        <f t="shared" si="18"/>
        <v>3.9149977760838244</v>
      </c>
      <c r="W51" s="44">
        <f t="shared" si="18"/>
        <v>1.7802998899334492</v>
      </c>
      <c r="X51" s="44">
        <f t="shared" si="18"/>
        <v>1.3345506216121825</v>
      </c>
      <c r="Y51" s="44">
        <f t="shared" si="18"/>
        <v>6.4629709337097783</v>
      </c>
      <c r="Z51" s="44">
        <f t="shared" si="18"/>
        <v>3.9868145190057089</v>
      </c>
      <c r="AA51" s="44">
        <f t="shared" si="18"/>
        <v>1.9264045494482918</v>
      </c>
      <c r="AB51" s="44">
        <f t="shared" si="18"/>
        <v>1.9303089750653906</v>
      </c>
      <c r="AC51" s="44">
        <f t="shared" si="18"/>
        <v>9.8471589327242643</v>
      </c>
      <c r="AD51" s="44">
        <f t="shared" si="18"/>
        <v>6.2545535209152234</v>
      </c>
      <c r="AE51" s="44">
        <f t="shared" si="18"/>
        <v>3.1212963165068324</v>
      </c>
      <c r="AF51" s="44">
        <f t="shared" si="18"/>
        <v>3.9396604203175229</v>
      </c>
      <c r="AG51" s="44">
        <f t="shared" si="18"/>
        <v>8.8940498611652927</v>
      </c>
      <c r="AH51" s="44">
        <f t="shared" si="18"/>
        <v>4.0625592697902562</v>
      </c>
      <c r="AI51" s="44">
        <f t="shared" si="18"/>
        <v>2.6176372619640556</v>
      </c>
      <c r="AJ51" s="44">
        <f t="shared" si="18"/>
        <v>2.831127304304097</v>
      </c>
      <c r="AK51" s="44">
        <f t="shared" si="18"/>
        <v>8.3341251135825889</v>
      </c>
      <c r="AL51" s="44">
        <f t="shared" si="18"/>
        <v>5.4181676992607111</v>
      </c>
      <c r="AM51" s="44">
        <f t="shared" si="18"/>
        <v>2.5804357770495261</v>
      </c>
      <c r="AN51" s="44">
        <f t="shared" si="18"/>
        <v>2.1114762904001503</v>
      </c>
      <c r="AO51" s="44">
        <f t="shared" si="18"/>
        <v>8.1864388673559745</v>
      </c>
      <c r="AP51" s="44">
        <f t="shared" si="18"/>
        <v>16.248055920898743</v>
      </c>
      <c r="AQ51" s="44" t="e">
        <f t="shared" si="18"/>
        <v>#DIV/0!</v>
      </c>
      <c r="AR51" s="44" t="e">
        <f t="shared" si="18"/>
        <v>#DIV/0!</v>
      </c>
      <c r="AS51" s="44" t="e">
        <f t="shared" si="18"/>
        <v>#DIV/0!</v>
      </c>
      <c r="AT51" s="44" t="e">
        <f t="shared" si="18"/>
        <v>#DIV/0!</v>
      </c>
      <c r="AU51" s="44" t="e">
        <f t="shared" si="18"/>
        <v>#DIV/0!</v>
      </c>
      <c r="AV51" s="44" t="e">
        <f t="shared" si="18"/>
        <v>#DIV/0!</v>
      </c>
      <c r="AW51" s="44" t="e">
        <f t="shared" si="18"/>
        <v>#DIV/0!</v>
      </c>
      <c r="AX51" s="44" t="e">
        <f t="shared" si="18"/>
        <v>#DIV/0!</v>
      </c>
      <c r="AY51" s="44" t="e">
        <f t="shared" si="18"/>
        <v>#DIV/0!</v>
      </c>
      <c r="AZ51" s="44" t="e">
        <f t="shared" si="18"/>
        <v>#DIV/0!</v>
      </c>
      <c r="BA51" s="44" t="e">
        <f t="shared" si="18"/>
        <v>#DIV/0!</v>
      </c>
      <c r="BB51" s="44" t="e">
        <f t="shared" si="18"/>
        <v>#DIV/0!</v>
      </c>
      <c r="BC51" s="44" t="e">
        <f t="shared" si="18"/>
        <v>#DIV/0!</v>
      </c>
      <c r="BD51" s="44" t="e">
        <f t="shared" si="18"/>
        <v>#DIV/0!</v>
      </c>
      <c r="BE51" s="44" t="e">
        <f t="shared" si="18"/>
        <v>#DIV/0!</v>
      </c>
      <c r="BF51" s="44" t="e">
        <f t="shared" si="18"/>
        <v>#DIV/0!</v>
      </c>
      <c r="BG51" s="44" t="e">
        <f t="shared" si="18"/>
        <v>#DIV/0!</v>
      </c>
      <c r="BH51" s="44" t="e">
        <f t="shared" si="18"/>
        <v>#DIV/0!</v>
      </c>
      <c r="BI51" s="44" t="e">
        <f t="shared" si="18"/>
        <v>#DIV/0!</v>
      </c>
      <c r="BJ51" s="44" t="e">
        <f t="shared" si="18"/>
        <v>#DIV/0!</v>
      </c>
      <c r="BK51" s="44" t="e">
        <f t="shared" si="18"/>
        <v>#DIV/0!</v>
      </c>
      <c r="BL51" s="44" t="e">
        <f t="shared" si="18"/>
        <v>#DIV/0!</v>
      </c>
      <c r="BM51" s="44" t="e">
        <f t="shared" si="18"/>
        <v>#DIV/0!</v>
      </c>
      <c r="BN51" s="44" t="e">
        <f t="shared" si="18"/>
        <v>#DIV/0!</v>
      </c>
      <c r="BO51" s="44" t="e">
        <f t="shared" si="18"/>
        <v>#DIV/0!</v>
      </c>
      <c r="BP51" s="44" t="e">
        <f t="shared" si="18"/>
        <v>#DIV/0!</v>
      </c>
      <c r="BQ51" s="44" t="e">
        <f t="shared" si="18"/>
        <v>#DIV/0!</v>
      </c>
      <c r="BR51" s="44" t="e">
        <f t="shared" ref="BR51:CJ51" si="19">BR49/BR50</f>
        <v>#DIV/0!</v>
      </c>
      <c r="BS51" s="44" t="e">
        <f t="shared" si="19"/>
        <v>#DIV/0!</v>
      </c>
      <c r="BT51" s="44" t="e">
        <f t="shared" si="19"/>
        <v>#DIV/0!</v>
      </c>
      <c r="BU51" s="44" t="e">
        <f t="shared" si="19"/>
        <v>#DIV/0!</v>
      </c>
      <c r="BV51" s="44" t="e">
        <f t="shared" si="19"/>
        <v>#DIV/0!</v>
      </c>
      <c r="BW51" s="44" t="e">
        <f t="shared" si="19"/>
        <v>#DIV/0!</v>
      </c>
      <c r="BX51" s="44" t="e">
        <f t="shared" si="19"/>
        <v>#DIV/0!</v>
      </c>
      <c r="BY51" s="44" t="e">
        <f t="shared" si="19"/>
        <v>#DIV/0!</v>
      </c>
      <c r="BZ51" s="44" t="e">
        <f t="shared" si="19"/>
        <v>#DIV/0!</v>
      </c>
      <c r="CA51" s="44" t="e">
        <f t="shared" si="19"/>
        <v>#DIV/0!</v>
      </c>
      <c r="CB51" s="44" t="e">
        <f t="shared" si="19"/>
        <v>#DIV/0!</v>
      </c>
      <c r="CC51" s="44" t="e">
        <f t="shared" si="19"/>
        <v>#DIV/0!</v>
      </c>
      <c r="CD51" s="44" t="e">
        <f t="shared" si="19"/>
        <v>#DIV/0!</v>
      </c>
      <c r="CE51" s="44" t="e">
        <f t="shared" si="19"/>
        <v>#DIV/0!</v>
      </c>
      <c r="CF51" s="44" t="e">
        <f t="shared" si="19"/>
        <v>#DIV/0!</v>
      </c>
      <c r="CG51" s="44" t="e">
        <f t="shared" si="19"/>
        <v>#DIV/0!</v>
      </c>
      <c r="CH51" s="44" t="e">
        <f t="shared" si="19"/>
        <v>#DIV/0!</v>
      </c>
      <c r="CI51" s="44" t="e">
        <f t="shared" si="19"/>
        <v>#DIV/0!</v>
      </c>
      <c r="CJ51" s="44" t="e">
        <f t="shared" si="19"/>
        <v>#DIV/0!</v>
      </c>
    </row>
    <row r="52" spans="1:89" s="76" customFormat="1" x14ac:dyDescent="0.25">
      <c r="A52" s="147" t="s">
        <v>466</v>
      </c>
      <c r="E52" s="76">
        <f>资产资本表!E68</f>
        <v>1083016609.1099997</v>
      </c>
      <c r="F52" s="76">
        <f>资产资本表!F68</f>
        <v>1135909896.98</v>
      </c>
      <c r="G52" s="76">
        <f>资产资本表!G68</f>
        <v>1155300874.6399999</v>
      </c>
      <c r="H52" s="76">
        <f>资产资本表!H68</f>
        <v>1164909636.75</v>
      </c>
      <c r="I52" s="76">
        <f>资产资本表!I68</f>
        <v>838520601.88999999</v>
      </c>
      <c r="J52" s="76">
        <f>资产资本表!J68</f>
        <v>860883066.41999996</v>
      </c>
      <c r="K52" s="76">
        <f>资产资本表!K68</f>
        <v>853457919.58000004</v>
      </c>
      <c r="L52" s="76">
        <f>资产资本表!L68</f>
        <v>868058308.17999995</v>
      </c>
      <c r="M52" s="76">
        <f>资产资本表!M68</f>
        <v>871078382.76999986</v>
      </c>
      <c r="N52" s="76">
        <f>资产资本表!N68</f>
        <v>829380215.16000009</v>
      </c>
      <c r="O52" s="76">
        <f>资产资本表!O68</f>
        <v>822129414.7299999</v>
      </c>
      <c r="P52" s="76">
        <f>资产资本表!P68</f>
        <v>825330317.23000002</v>
      </c>
      <c r="Q52" s="76">
        <f>资产资本表!Q68</f>
        <v>825502014.86000013</v>
      </c>
      <c r="R52" s="76">
        <f>资产资本表!R68</f>
        <v>658741725.48000002</v>
      </c>
      <c r="S52" s="76">
        <f>资产资本表!S68</f>
        <v>642750663.67000008</v>
      </c>
      <c r="T52" s="76">
        <f>资产资本表!T68</f>
        <v>638106996.24000001</v>
      </c>
      <c r="U52" s="76">
        <f>资产资本表!U68</f>
        <v>646286156.8499999</v>
      </c>
      <c r="V52" s="76">
        <f>资产资本表!V68</f>
        <v>637749387.55999994</v>
      </c>
      <c r="W52" s="76">
        <f>资产资本表!W68</f>
        <v>555994643.0200001</v>
      </c>
      <c r="X52" s="76">
        <f>资产资本表!X68</f>
        <v>525039706.84000003</v>
      </c>
      <c r="Y52" s="76">
        <f>资产资本表!Y68</f>
        <v>514551138.60999995</v>
      </c>
      <c r="Z52" s="76">
        <f>资产资本表!Z68</f>
        <v>496788347.33000004</v>
      </c>
      <c r="AA52" s="76">
        <f>资产资本表!AA68</f>
        <v>438036109.13999999</v>
      </c>
      <c r="AB52" s="76">
        <f>资产资本表!AB68</f>
        <v>424560822.61000007</v>
      </c>
      <c r="AC52" s="76">
        <f>资产资本表!AC68</f>
        <v>406249339.64999998</v>
      </c>
      <c r="AD52" s="76">
        <f>资产资本表!AD68</f>
        <v>313155620.74000001</v>
      </c>
      <c r="AE52" s="76">
        <f>资产资本表!AE68</f>
        <v>255703474.93000001</v>
      </c>
      <c r="AF52" s="76">
        <f>资产资本表!AF68</f>
        <v>233981981.54000002</v>
      </c>
      <c r="AG52" s="76">
        <f>资产资本表!AG68</f>
        <v>214815697.10000002</v>
      </c>
      <c r="AH52" s="76">
        <f>资产资本表!AH68</f>
        <v>135625805.69</v>
      </c>
      <c r="AI52" s="76">
        <f>资产资本表!AI68</f>
        <v>127706581.34</v>
      </c>
      <c r="AJ52" s="76">
        <f>资产资本表!AJ68</f>
        <v>128121301.53999999</v>
      </c>
      <c r="AK52" s="76">
        <f>资产资本表!AK68</f>
        <v>127940373.52</v>
      </c>
      <c r="AL52" s="76">
        <f>资产资本表!AL68</f>
        <v>97160166.030000001</v>
      </c>
      <c r="AM52" s="76">
        <f>资产资本表!AM68</f>
        <v>98253328.269999996</v>
      </c>
      <c r="AN52" s="76">
        <f>资产资本表!AN68</f>
        <v>101972525.01000001</v>
      </c>
      <c r="AO52" s="76">
        <f>资产资本表!AO68</f>
        <v>77886561.769999996</v>
      </c>
      <c r="AP52" s="76">
        <f>资产资本表!AP68</f>
        <v>64196426.760000005</v>
      </c>
      <c r="AQ52" s="76">
        <f>资产资本表!AQ68</f>
        <v>0</v>
      </c>
      <c r="AR52" s="76">
        <f>资产资本表!AR68</f>
        <v>0</v>
      </c>
      <c r="AS52" s="76">
        <f>资产资本表!AS68</f>
        <v>0</v>
      </c>
      <c r="AT52" s="76">
        <f>资产资本表!AT68</f>
        <v>0</v>
      </c>
      <c r="AU52" s="76">
        <f>资产资本表!AU68</f>
        <v>0</v>
      </c>
      <c r="AV52" s="76">
        <f>资产资本表!AV68</f>
        <v>0</v>
      </c>
      <c r="AW52" s="76">
        <f>资产资本表!AW68</f>
        <v>0</v>
      </c>
      <c r="AX52" s="76">
        <f>资产资本表!AX68</f>
        <v>0</v>
      </c>
      <c r="AY52" s="76">
        <f>资产资本表!AY68</f>
        <v>0</v>
      </c>
      <c r="AZ52" s="76">
        <f>资产资本表!AZ68</f>
        <v>0</v>
      </c>
      <c r="BA52" s="76">
        <f>资产资本表!BA68</f>
        <v>0</v>
      </c>
      <c r="BB52" s="76">
        <f>资产资本表!BB68</f>
        <v>0</v>
      </c>
      <c r="BC52" s="76">
        <f>资产资本表!BC68</f>
        <v>0</v>
      </c>
      <c r="BD52" s="76">
        <f>资产资本表!BD68</f>
        <v>0</v>
      </c>
      <c r="BE52" s="76">
        <f>资产资本表!BE68</f>
        <v>0</v>
      </c>
      <c r="BF52" s="76">
        <f>资产资本表!BF68</f>
        <v>0</v>
      </c>
      <c r="BG52" s="76">
        <f>资产资本表!BG68</f>
        <v>0</v>
      </c>
      <c r="BH52" s="76">
        <f>资产资本表!BH68</f>
        <v>0</v>
      </c>
      <c r="BI52" s="76">
        <f>资产资本表!BI68</f>
        <v>0</v>
      </c>
      <c r="BJ52" s="76">
        <f>资产资本表!BJ68</f>
        <v>0</v>
      </c>
      <c r="BK52" s="76">
        <f>资产资本表!BK68</f>
        <v>0</v>
      </c>
      <c r="BL52" s="76">
        <f>资产资本表!BL68</f>
        <v>0</v>
      </c>
      <c r="BM52" s="76">
        <f>资产资本表!BM68</f>
        <v>0</v>
      </c>
      <c r="BN52" s="76">
        <f>资产资本表!BN68</f>
        <v>0</v>
      </c>
      <c r="BO52" s="76">
        <f>资产资本表!BO68</f>
        <v>0</v>
      </c>
      <c r="BP52" s="76">
        <f>资产资本表!BP68</f>
        <v>0</v>
      </c>
      <c r="BQ52" s="76">
        <f>资产资本表!BQ68</f>
        <v>0</v>
      </c>
      <c r="BR52" s="76">
        <f>资产资本表!BR68</f>
        <v>0</v>
      </c>
      <c r="BS52" s="76">
        <f>资产资本表!BS68</f>
        <v>0</v>
      </c>
      <c r="BT52" s="76">
        <f>资产资本表!BT68</f>
        <v>0</v>
      </c>
      <c r="BU52" s="76">
        <f>资产资本表!BU68</f>
        <v>0</v>
      </c>
      <c r="BV52" s="76">
        <f>资产资本表!BV68</f>
        <v>0</v>
      </c>
      <c r="BW52" s="76">
        <f>资产资本表!BW68</f>
        <v>0</v>
      </c>
      <c r="BX52" s="76">
        <f>资产资本表!BX68</f>
        <v>0</v>
      </c>
      <c r="BY52" s="76">
        <f>资产资本表!BY68</f>
        <v>0</v>
      </c>
      <c r="BZ52" s="76">
        <f>资产资本表!BZ68</f>
        <v>0</v>
      </c>
      <c r="CA52" s="76">
        <f>资产资本表!CA68</f>
        <v>0</v>
      </c>
      <c r="CB52" s="76">
        <f>资产资本表!CB68</f>
        <v>0</v>
      </c>
      <c r="CC52" s="76">
        <f>资产资本表!CC68</f>
        <v>0</v>
      </c>
      <c r="CD52" s="76">
        <f>资产资本表!CD68</f>
        <v>0</v>
      </c>
      <c r="CE52" s="76">
        <f>资产资本表!CE68</f>
        <v>0</v>
      </c>
      <c r="CF52" s="76">
        <f>资产资本表!CF68</f>
        <v>0</v>
      </c>
      <c r="CG52" s="76">
        <f>资产资本表!CG68</f>
        <v>0</v>
      </c>
      <c r="CH52" s="76">
        <f>资产资本表!CH68</f>
        <v>0</v>
      </c>
      <c r="CI52" s="76">
        <f>资产资本表!CI68</f>
        <v>0</v>
      </c>
      <c r="CJ52" s="76">
        <f>资产资本表!CJ68</f>
        <v>0</v>
      </c>
      <c r="CK52" s="76">
        <f>资产资本表!CK68</f>
        <v>0</v>
      </c>
    </row>
    <row r="53" spans="1:89" s="44" customFormat="1" x14ac:dyDescent="0.25">
      <c r="A53" s="143" t="s">
        <v>467</v>
      </c>
      <c r="E53" s="44">
        <f>E49/E52</f>
        <v>4.3045054215198153</v>
      </c>
      <c r="F53" s="44">
        <f t="shared" ref="F53:BQ53" si="20">F49/F52</f>
        <v>2.8018683680647931</v>
      </c>
      <c r="G53" s="44">
        <f t="shared" si="20"/>
        <v>1.715082134978414</v>
      </c>
      <c r="H53" s="44">
        <f t="shared" si="20"/>
        <v>0.90802516096534469</v>
      </c>
      <c r="I53" s="44">
        <f t="shared" si="20"/>
        <v>3.7592593849751572</v>
      </c>
      <c r="J53" s="44">
        <f t="shared" si="20"/>
        <v>2.5035505686535466</v>
      </c>
      <c r="K53" s="44">
        <f t="shared" si="20"/>
        <v>1.5736959958271315</v>
      </c>
      <c r="L53" s="44">
        <f t="shared" si="20"/>
        <v>0.87879612783087002</v>
      </c>
      <c r="M53" s="44">
        <f t="shared" si="20"/>
        <v>3.3471544577979109</v>
      </c>
      <c r="N53" s="44">
        <f t="shared" si="20"/>
        <v>2.4670163920238646</v>
      </c>
      <c r="O53" s="44">
        <f t="shared" si="20"/>
        <v>1.5204128090472369</v>
      </c>
      <c r="P53" s="44">
        <f t="shared" si="20"/>
        <v>0.85468196240199801</v>
      </c>
      <c r="Q53" s="44">
        <f t="shared" si="20"/>
        <v>3.3451166972358219</v>
      </c>
      <c r="R53" s="44">
        <f t="shared" si="20"/>
        <v>2.8539165505875919</v>
      </c>
      <c r="S53" s="44">
        <f t="shared" si="20"/>
        <v>1.7304997277312262</v>
      </c>
      <c r="T53" s="44">
        <f t="shared" si="20"/>
        <v>1.0300914765597995</v>
      </c>
      <c r="U53" s="44">
        <f t="shared" si="20"/>
        <v>3.9057148132384611</v>
      </c>
      <c r="V53" s="44">
        <f t="shared" si="20"/>
        <v>2.7011346390323769</v>
      </c>
      <c r="W53" s="44">
        <f t="shared" si="20"/>
        <v>1.9389994909559223</v>
      </c>
      <c r="X53" s="44">
        <f t="shared" si="20"/>
        <v>1.1720088396048136</v>
      </c>
      <c r="Y53" s="44">
        <f t="shared" si="20"/>
        <v>5.2957882253863939</v>
      </c>
      <c r="Z53" s="44">
        <f t="shared" si="20"/>
        <v>3.7193339932198928</v>
      </c>
      <c r="AA53" s="44">
        <f t="shared" si="20"/>
        <v>2.366220708824553</v>
      </c>
      <c r="AB53" s="44">
        <f t="shared" si="20"/>
        <v>1.4469547640393381</v>
      </c>
      <c r="AC53" s="44">
        <f t="shared" si="20"/>
        <v>5.8644643965023127</v>
      </c>
      <c r="AD53" s="44">
        <f t="shared" si="20"/>
        <v>5.2175234256981637</v>
      </c>
      <c r="AE53" s="44">
        <f t="shared" si="20"/>
        <v>3.9234748305811769</v>
      </c>
      <c r="AF53" s="44">
        <f t="shared" si="20"/>
        <v>2.492285301252176</v>
      </c>
      <c r="AG53" s="44">
        <f t="shared" si="20"/>
        <v>8.4668608704759301</v>
      </c>
      <c r="AH53" s="44">
        <f t="shared" si="20"/>
        <v>8.4472806527590851</v>
      </c>
      <c r="AI53" s="44">
        <f t="shared" si="20"/>
        <v>5.182421527187989</v>
      </c>
      <c r="AJ53" s="44">
        <f t="shared" si="20"/>
        <v>2.8046533467177888</v>
      </c>
      <c r="AK53" s="44">
        <f t="shared" si="20"/>
        <v>8.9518790575592799</v>
      </c>
      <c r="AL53" s="44">
        <f t="shared" si="20"/>
        <v>7.4507341236580222</v>
      </c>
      <c r="AM53" s="44">
        <f t="shared" si="20"/>
        <v>4.1481601202352838</v>
      </c>
      <c r="AN53" s="44">
        <f t="shared" si="20"/>
        <v>2.5025566671510235</v>
      </c>
      <c r="AO53" s="44">
        <f t="shared" si="20"/>
        <v>11.589735948874457</v>
      </c>
      <c r="AP53" s="44">
        <f t="shared" si="20"/>
        <v>9.8584218392095444</v>
      </c>
      <c r="AQ53" s="44" t="e">
        <f t="shared" si="20"/>
        <v>#DIV/0!</v>
      </c>
      <c r="AR53" s="44" t="e">
        <f t="shared" si="20"/>
        <v>#DIV/0!</v>
      </c>
      <c r="AS53" s="44" t="e">
        <f t="shared" si="20"/>
        <v>#DIV/0!</v>
      </c>
      <c r="AT53" s="44" t="e">
        <f t="shared" si="20"/>
        <v>#DIV/0!</v>
      </c>
      <c r="AU53" s="44" t="e">
        <f t="shared" si="20"/>
        <v>#DIV/0!</v>
      </c>
      <c r="AV53" s="44" t="e">
        <f t="shared" si="20"/>
        <v>#DIV/0!</v>
      </c>
      <c r="AW53" s="44" t="e">
        <f t="shared" si="20"/>
        <v>#DIV/0!</v>
      </c>
      <c r="AX53" s="44" t="e">
        <f t="shared" si="20"/>
        <v>#DIV/0!</v>
      </c>
      <c r="AY53" s="44" t="e">
        <f t="shared" si="20"/>
        <v>#DIV/0!</v>
      </c>
      <c r="AZ53" s="44" t="e">
        <f t="shared" si="20"/>
        <v>#DIV/0!</v>
      </c>
      <c r="BA53" s="44" t="e">
        <f t="shared" si="20"/>
        <v>#DIV/0!</v>
      </c>
      <c r="BB53" s="44" t="e">
        <f t="shared" si="20"/>
        <v>#DIV/0!</v>
      </c>
      <c r="BC53" s="44" t="e">
        <f t="shared" si="20"/>
        <v>#DIV/0!</v>
      </c>
      <c r="BD53" s="44" t="e">
        <f t="shared" si="20"/>
        <v>#DIV/0!</v>
      </c>
      <c r="BE53" s="44" t="e">
        <f t="shared" si="20"/>
        <v>#DIV/0!</v>
      </c>
      <c r="BF53" s="44" t="e">
        <f t="shared" si="20"/>
        <v>#DIV/0!</v>
      </c>
      <c r="BG53" s="44" t="e">
        <f t="shared" si="20"/>
        <v>#DIV/0!</v>
      </c>
      <c r="BH53" s="44" t="e">
        <f t="shared" si="20"/>
        <v>#DIV/0!</v>
      </c>
      <c r="BI53" s="44" t="e">
        <f t="shared" si="20"/>
        <v>#DIV/0!</v>
      </c>
      <c r="BJ53" s="44" t="e">
        <f t="shared" si="20"/>
        <v>#DIV/0!</v>
      </c>
      <c r="BK53" s="44" t="e">
        <f t="shared" si="20"/>
        <v>#DIV/0!</v>
      </c>
      <c r="BL53" s="44" t="e">
        <f t="shared" si="20"/>
        <v>#DIV/0!</v>
      </c>
      <c r="BM53" s="44" t="e">
        <f t="shared" si="20"/>
        <v>#DIV/0!</v>
      </c>
      <c r="BN53" s="44" t="e">
        <f t="shared" si="20"/>
        <v>#DIV/0!</v>
      </c>
      <c r="BO53" s="44" t="e">
        <f t="shared" si="20"/>
        <v>#DIV/0!</v>
      </c>
      <c r="BP53" s="44" t="e">
        <f t="shared" si="20"/>
        <v>#DIV/0!</v>
      </c>
      <c r="BQ53" s="44" t="e">
        <f t="shared" si="20"/>
        <v>#DIV/0!</v>
      </c>
      <c r="BR53" s="44" t="e">
        <f t="shared" ref="BR53:CK53" si="21">BR49/BR52</f>
        <v>#DIV/0!</v>
      </c>
      <c r="BS53" s="44" t="e">
        <f t="shared" si="21"/>
        <v>#DIV/0!</v>
      </c>
      <c r="BT53" s="44" t="e">
        <f t="shared" si="21"/>
        <v>#DIV/0!</v>
      </c>
      <c r="BU53" s="44" t="e">
        <f t="shared" si="21"/>
        <v>#DIV/0!</v>
      </c>
      <c r="BV53" s="44" t="e">
        <f t="shared" si="21"/>
        <v>#DIV/0!</v>
      </c>
      <c r="BW53" s="44" t="e">
        <f t="shared" si="21"/>
        <v>#DIV/0!</v>
      </c>
      <c r="BX53" s="44" t="e">
        <f t="shared" si="21"/>
        <v>#DIV/0!</v>
      </c>
      <c r="BY53" s="44" t="e">
        <f t="shared" si="21"/>
        <v>#DIV/0!</v>
      </c>
      <c r="BZ53" s="44" t="e">
        <f t="shared" si="21"/>
        <v>#DIV/0!</v>
      </c>
      <c r="CA53" s="44" t="e">
        <f t="shared" si="21"/>
        <v>#DIV/0!</v>
      </c>
      <c r="CB53" s="44" t="e">
        <f t="shared" si="21"/>
        <v>#DIV/0!</v>
      </c>
      <c r="CC53" s="44" t="e">
        <f t="shared" si="21"/>
        <v>#DIV/0!</v>
      </c>
      <c r="CD53" s="44" t="e">
        <f t="shared" si="21"/>
        <v>#DIV/0!</v>
      </c>
      <c r="CE53" s="44" t="e">
        <f t="shared" si="21"/>
        <v>#DIV/0!</v>
      </c>
      <c r="CF53" s="44" t="e">
        <f t="shared" si="21"/>
        <v>#DIV/0!</v>
      </c>
      <c r="CG53" s="44" t="e">
        <f t="shared" si="21"/>
        <v>#DIV/0!</v>
      </c>
      <c r="CH53" s="44" t="e">
        <f t="shared" si="21"/>
        <v>#DIV/0!</v>
      </c>
      <c r="CI53" s="44" t="e">
        <f t="shared" si="21"/>
        <v>#DIV/0!</v>
      </c>
      <c r="CJ53" s="44" t="e">
        <f t="shared" si="21"/>
        <v>#DIV/0!</v>
      </c>
      <c r="CK53" s="44" t="e">
        <f t="shared" si="21"/>
        <v>#DIV/0!</v>
      </c>
    </row>
    <row r="54" spans="1:89" s="76" customFormat="1" x14ac:dyDescent="0.25">
      <c r="A54" s="147" t="s">
        <v>468</v>
      </c>
      <c r="E54" s="76">
        <f>资产资本表!E17</f>
        <v>733176594.04999995</v>
      </c>
      <c r="F54" s="76">
        <f>资产资本表!F17</f>
        <v>542119136.30999994</v>
      </c>
      <c r="G54" s="76">
        <f>资产资本表!G17</f>
        <v>792389362.92999995</v>
      </c>
      <c r="H54" s="76">
        <f>资产资本表!H17</f>
        <v>1064862608.49</v>
      </c>
      <c r="I54" s="76">
        <f>资产资本表!I17</f>
        <v>1547342145.5699999</v>
      </c>
      <c r="J54" s="76">
        <f>资产资本表!J17</f>
        <v>935254236.98000002</v>
      </c>
      <c r="K54" s="76">
        <f>资产资本表!K17</f>
        <v>726701245.64999998</v>
      </c>
      <c r="L54" s="76">
        <f>资产资本表!L17</f>
        <v>796484046.78999996</v>
      </c>
      <c r="M54" s="76">
        <f>资产资本表!M17</f>
        <v>693588693.25999999</v>
      </c>
      <c r="N54" s="76">
        <f>资产资本表!N17</f>
        <v>797669458.75</v>
      </c>
      <c r="O54" s="76">
        <f>资产资本表!O17</f>
        <v>619994822.77999997</v>
      </c>
      <c r="P54" s="76">
        <f>资产资本表!P17</f>
        <v>669893756.87</v>
      </c>
      <c r="Q54" s="76">
        <f>资产资本表!Q17</f>
        <v>647204677.45000005</v>
      </c>
      <c r="R54" s="76">
        <f>资产资本表!R17</f>
        <v>629117054.61000001</v>
      </c>
      <c r="S54" s="76">
        <f>资产资本表!S17</f>
        <v>835542721.87</v>
      </c>
      <c r="T54" s="76">
        <f>资产资本表!T17</f>
        <v>884858061.70000005</v>
      </c>
      <c r="U54" s="76">
        <f>资产资本表!U17</f>
        <v>932276706.14999998</v>
      </c>
      <c r="V54" s="76">
        <f>资产资本表!V17</f>
        <v>952923862.08000004</v>
      </c>
      <c r="W54" s="76">
        <f>资产资本表!W17</f>
        <v>769157162.38</v>
      </c>
      <c r="X54" s="76">
        <f>资产资本表!X17</f>
        <v>991763885.86000001</v>
      </c>
      <c r="Y54" s="76">
        <f>资产资本表!Y17</f>
        <v>956043885.24000001</v>
      </c>
      <c r="Z54" s="76">
        <f>资产资本表!Z17</f>
        <v>803173622.38</v>
      </c>
      <c r="AA54" s="76">
        <f>资产资本表!AA17</f>
        <v>667828913.97000003</v>
      </c>
      <c r="AB54" s="76">
        <f>资产资本表!AB17</f>
        <v>1014024416.74</v>
      </c>
      <c r="AC54" s="76">
        <f>资产资本表!AC17</f>
        <v>1002302902.5700001</v>
      </c>
      <c r="AD54" s="76">
        <f>资产资本表!AD17</f>
        <v>982362386.38999999</v>
      </c>
      <c r="AE54" s="76">
        <f>资产资本表!AE17</f>
        <v>862194779.22000003</v>
      </c>
      <c r="AF54" s="76">
        <f>资产资本表!AF17</f>
        <v>1151874426.3</v>
      </c>
      <c r="AG54" s="76">
        <f>资产资本表!AG17</f>
        <v>1057191976.45</v>
      </c>
      <c r="AH54" s="76">
        <f>资产资本表!AH17</f>
        <v>960610001.01999998</v>
      </c>
      <c r="AI54" s="76">
        <f>资产资本表!AI17</f>
        <v>930790908.42999995</v>
      </c>
      <c r="AJ54" s="76">
        <f>资产资本表!AJ17</f>
        <v>1127355392.73</v>
      </c>
      <c r="AK54" s="76">
        <f>资产资本表!AK17</f>
        <v>1066884381.7</v>
      </c>
      <c r="AL54" s="76">
        <f>资产资本表!AL17</f>
        <v>1057983159.11</v>
      </c>
      <c r="AM54" s="76">
        <f>资产资本表!AM17</f>
        <v>74808751.980000004</v>
      </c>
      <c r="AN54" s="76">
        <f>资产资本表!AN17</f>
        <v>78505801.079999998</v>
      </c>
      <c r="AO54" s="76">
        <f>资产资本表!AO17</f>
        <v>50145116.420000002</v>
      </c>
      <c r="AP54" s="76">
        <f>资产资本表!AP17</f>
        <v>52609626.460000001</v>
      </c>
      <c r="AQ54" s="76">
        <f>资产资本表!AQ17</f>
        <v>0</v>
      </c>
      <c r="AR54" s="76">
        <f>资产资本表!AR17</f>
        <v>0</v>
      </c>
      <c r="AS54" s="76">
        <f>资产资本表!AS17</f>
        <v>0</v>
      </c>
      <c r="AT54" s="76">
        <f>资产资本表!AT17</f>
        <v>0</v>
      </c>
      <c r="AU54" s="76">
        <f>资产资本表!AU17</f>
        <v>0</v>
      </c>
      <c r="AV54" s="76">
        <f>资产资本表!AV17</f>
        <v>0</v>
      </c>
      <c r="AW54" s="76">
        <f>资产资本表!AW17</f>
        <v>0</v>
      </c>
      <c r="AX54" s="76">
        <f>资产资本表!AX17</f>
        <v>0</v>
      </c>
      <c r="AY54" s="76">
        <f>资产资本表!AY17</f>
        <v>0</v>
      </c>
      <c r="AZ54" s="76">
        <f>资产资本表!AZ17</f>
        <v>0</v>
      </c>
      <c r="BA54" s="76">
        <f>资产资本表!BA17</f>
        <v>0</v>
      </c>
      <c r="BB54" s="76">
        <f>资产资本表!BB17</f>
        <v>0</v>
      </c>
      <c r="BC54" s="76">
        <f>资产资本表!BC17</f>
        <v>0</v>
      </c>
      <c r="BD54" s="76">
        <f>资产资本表!BD17</f>
        <v>0</v>
      </c>
      <c r="BE54" s="76">
        <f>资产资本表!BE17</f>
        <v>0</v>
      </c>
      <c r="BF54" s="76">
        <f>资产资本表!BF17</f>
        <v>0</v>
      </c>
      <c r="BG54" s="76">
        <f>资产资本表!BG17</f>
        <v>0</v>
      </c>
      <c r="BH54" s="76">
        <f>资产资本表!BH17</f>
        <v>0</v>
      </c>
      <c r="BI54" s="76">
        <f>资产资本表!BI17</f>
        <v>0</v>
      </c>
      <c r="BJ54" s="76">
        <f>资产资本表!BJ17</f>
        <v>0</v>
      </c>
      <c r="BK54" s="76">
        <f>资产资本表!BK17</f>
        <v>0</v>
      </c>
      <c r="BL54" s="76">
        <f>资产资本表!BL17</f>
        <v>0</v>
      </c>
      <c r="BM54" s="76">
        <f>资产资本表!BM17</f>
        <v>0</v>
      </c>
      <c r="BN54" s="76">
        <f>资产资本表!BN17</f>
        <v>0</v>
      </c>
      <c r="BO54" s="76">
        <f>资产资本表!BO17</f>
        <v>0</v>
      </c>
      <c r="BP54" s="76">
        <f>资产资本表!BP17</f>
        <v>0</v>
      </c>
      <c r="BQ54" s="76">
        <f>资产资本表!BQ17</f>
        <v>0</v>
      </c>
      <c r="BR54" s="76">
        <f>资产资本表!BR17</f>
        <v>0</v>
      </c>
      <c r="BS54" s="76">
        <f>资产资本表!BS17</f>
        <v>0</v>
      </c>
      <c r="BT54" s="76">
        <f>资产资本表!BT17</f>
        <v>0</v>
      </c>
      <c r="BU54" s="76">
        <f>资产资本表!BU17</f>
        <v>0</v>
      </c>
      <c r="BV54" s="76">
        <f>资产资本表!BV17</f>
        <v>0</v>
      </c>
      <c r="BW54" s="76">
        <f>资产资本表!BW17</f>
        <v>0</v>
      </c>
      <c r="BX54" s="76">
        <f>资产资本表!BX17</f>
        <v>0</v>
      </c>
      <c r="BY54" s="76">
        <f>资产资本表!BY17</f>
        <v>0</v>
      </c>
      <c r="BZ54" s="76">
        <f>资产资本表!BZ17</f>
        <v>0</v>
      </c>
      <c r="CA54" s="76">
        <f>资产资本表!CA17</f>
        <v>0</v>
      </c>
      <c r="CB54" s="76">
        <f>资产资本表!CB17</f>
        <v>0</v>
      </c>
      <c r="CC54" s="76">
        <f>资产资本表!CC17</f>
        <v>0</v>
      </c>
      <c r="CD54" s="76">
        <f>资产资本表!CD17</f>
        <v>0</v>
      </c>
      <c r="CE54" s="76">
        <f>资产资本表!CE17</f>
        <v>0</v>
      </c>
      <c r="CF54" s="76">
        <f>资产资本表!CF17</f>
        <v>0</v>
      </c>
      <c r="CG54" s="76">
        <f>资产资本表!CG17</f>
        <v>0</v>
      </c>
      <c r="CH54" s="76">
        <f>资产资本表!CH17</f>
        <v>0</v>
      </c>
      <c r="CI54" s="76">
        <f>资产资本表!CI17</f>
        <v>0</v>
      </c>
      <c r="CJ54" s="76">
        <f>资产资本表!CJ17</f>
        <v>0</v>
      </c>
      <c r="CK54" s="76">
        <f>资产资本表!CK17</f>
        <v>0</v>
      </c>
    </row>
    <row r="55" spans="1:89" s="44" customFormat="1" x14ac:dyDescent="0.25">
      <c r="A55" s="143" t="s">
        <v>469</v>
      </c>
      <c r="E55" s="44">
        <f>E49/E54</f>
        <v>6.3584283832062418</v>
      </c>
      <c r="F55" s="44">
        <f t="shared" ref="F55:BQ55" si="22">F49/F54</f>
        <v>5.8707944364097386</v>
      </c>
      <c r="G55" s="44">
        <f t="shared" si="22"/>
        <v>2.500583656617108</v>
      </c>
      <c r="H55" s="44">
        <f t="shared" si="22"/>
        <v>0.99333684175457959</v>
      </c>
      <c r="I55" s="44">
        <f t="shared" si="22"/>
        <v>2.0371812731752401</v>
      </c>
      <c r="J55" s="44">
        <f t="shared" si="22"/>
        <v>2.3044688869194498</v>
      </c>
      <c r="K55" s="44">
        <f t="shared" si="22"/>
        <v>1.8481918376907081</v>
      </c>
      <c r="L55" s="44">
        <f t="shared" si="22"/>
        <v>0.95776718069173228</v>
      </c>
      <c r="M55" s="44">
        <f t="shared" si="22"/>
        <v>4.2036929383550952</v>
      </c>
      <c r="N55" s="44">
        <f t="shared" si="22"/>
        <v>2.5650907949094144</v>
      </c>
      <c r="O55" s="44">
        <f t="shared" si="22"/>
        <v>2.0161073075501208</v>
      </c>
      <c r="P55" s="44">
        <f t="shared" si="22"/>
        <v>1.052995236820649</v>
      </c>
      <c r="Q55" s="44">
        <f t="shared" si="22"/>
        <v>4.2666573183463017</v>
      </c>
      <c r="R55" s="44">
        <f t="shared" si="22"/>
        <v>2.9883054339950124</v>
      </c>
      <c r="S55" s="44">
        <f t="shared" si="22"/>
        <v>1.3312064354897903</v>
      </c>
      <c r="T55" s="44">
        <f t="shared" si="22"/>
        <v>0.74284069548642728</v>
      </c>
      <c r="U55" s="44">
        <f t="shared" si="22"/>
        <v>2.7075753365373303</v>
      </c>
      <c r="V55" s="44">
        <f t="shared" si="22"/>
        <v>1.8077487932770226</v>
      </c>
      <c r="W55" s="44">
        <f t="shared" si="22"/>
        <v>1.4016294491156032</v>
      </c>
      <c r="X55" s="44">
        <f t="shared" si="22"/>
        <v>0.62046136820802178</v>
      </c>
      <c r="Y55" s="44">
        <f t="shared" si="22"/>
        <v>2.8502393072949181</v>
      </c>
      <c r="Z55" s="44">
        <f t="shared" si="22"/>
        <v>2.3005259836406831</v>
      </c>
      <c r="AA55" s="44">
        <f t="shared" si="22"/>
        <v>1.5520294060022697</v>
      </c>
      <c r="AB55" s="44">
        <f t="shared" si="22"/>
        <v>0.60582397697580703</v>
      </c>
      <c r="AC55" s="44">
        <f t="shared" si="22"/>
        <v>2.3769608791625867</v>
      </c>
      <c r="AD55" s="44">
        <f t="shared" si="22"/>
        <v>1.6632322345975279</v>
      </c>
      <c r="AE55" s="44">
        <f t="shared" si="22"/>
        <v>1.1635957119661575</v>
      </c>
      <c r="AF55" s="44">
        <f t="shared" si="22"/>
        <v>0.50626165494720476</v>
      </c>
      <c r="AG55" s="44">
        <f t="shared" si="22"/>
        <v>1.7204203783758294</v>
      </c>
      <c r="AH55" s="44">
        <f t="shared" si="22"/>
        <v>1.1926476334865341</v>
      </c>
      <c r="AI55" s="44">
        <f t="shared" si="22"/>
        <v>0.711039751576788</v>
      </c>
      <c r="AJ55" s="44">
        <f t="shared" si="22"/>
        <v>0.31874228789542003</v>
      </c>
      <c r="AK55" s="44">
        <f t="shared" si="22"/>
        <v>1.0735059674461067</v>
      </c>
      <c r="AL55" s="44">
        <f t="shared" si="22"/>
        <v>0.68424015851913345</v>
      </c>
      <c r="AM55" s="44">
        <f t="shared" si="22"/>
        <v>5.4481665209301084</v>
      </c>
      <c r="AN55" s="44">
        <f t="shared" si="22"/>
        <v>3.250613570199111</v>
      </c>
      <c r="AO55" s="44">
        <f t="shared" si="22"/>
        <v>18.001447585032846</v>
      </c>
      <c r="AP55" s="44">
        <f t="shared" si="22"/>
        <v>12.029651190380264</v>
      </c>
      <c r="AQ55" s="44" t="e">
        <f t="shared" si="22"/>
        <v>#DIV/0!</v>
      </c>
      <c r="AR55" s="44" t="e">
        <f t="shared" si="22"/>
        <v>#DIV/0!</v>
      </c>
      <c r="AS55" s="44" t="e">
        <f t="shared" si="22"/>
        <v>#DIV/0!</v>
      </c>
      <c r="AT55" s="44" t="e">
        <f t="shared" si="22"/>
        <v>#DIV/0!</v>
      </c>
      <c r="AU55" s="44" t="e">
        <f t="shared" si="22"/>
        <v>#DIV/0!</v>
      </c>
      <c r="AV55" s="44" t="e">
        <f t="shared" si="22"/>
        <v>#DIV/0!</v>
      </c>
      <c r="AW55" s="44" t="e">
        <f t="shared" si="22"/>
        <v>#DIV/0!</v>
      </c>
      <c r="AX55" s="44" t="e">
        <f t="shared" si="22"/>
        <v>#DIV/0!</v>
      </c>
      <c r="AY55" s="44" t="e">
        <f t="shared" si="22"/>
        <v>#DIV/0!</v>
      </c>
      <c r="AZ55" s="44" t="e">
        <f t="shared" si="22"/>
        <v>#DIV/0!</v>
      </c>
      <c r="BA55" s="44" t="e">
        <f t="shared" si="22"/>
        <v>#DIV/0!</v>
      </c>
      <c r="BB55" s="44" t="e">
        <f t="shared" si="22"/>
        <v>#DIV/0!</v>
      </c>
      <c r="BC55" s="44" t="e">
        <f t="shared" si="22"/>
        <v>#DIV/0!</v>
      </c>
      <c r="BD55" s="44" t="e">
        <f t="shared" si="22"/>
        <v>#DIV/0!</v>
      </c>
      <c r="BE55" s="44" t="e">
        <f t="shared" si="22"/>
        <v>#DIV/0!</v>
      </c>
      <c r="BF55" s="44" t="e">
        <f t="shared" si="22"/>
        <v>#DIV/0!</v>
      </c>
      <c r="BG55" s="44" t="e">
        <f t="shared" si="22"/>
        <v>#DIV/0!</v>
      </c>
      <c r="BH55" s="44" t="e">
        <f t="shared" si="22"/>
        <v>#DIV/0!</v>
      </c>
      <c r="BI55" s="44" t="e">
        <f t="shared" si="22"/>
        <v>#DIV/0!</v>
      </c>
      <c r="BJ55" s="44" t="e">
        <f t="shared" si="22"/>
        <v>#DIV/0!</v>
      </c>
      <c r="BK55" s="44" t="e">
        <f t="shared" si="22"/>
        <v>#DIV/0!</v>
      </c>
      <c r="BL55" s="44" t="e">
        <f t="shared" si="22"/>
        <v>#DIV/0!</v>
      </c>
      <c r="BM55" s="44" t="e">
        <f t="shared" si="22"/>
        <v>#DIV/0!</v>
      </c>
      <c r="BN55" s="44" t="e">
        <f t="shared" si="22"/>
        <v>#DIV/0!</v>
      </c>
      <c r="BO55" s="44" t="e">
        <f t="shared" si="22"/>
        <v>#DIV/0!</v>
      </c>
      <c r="BP55" s="44" t="e">
        <f t="shared" si="22"/>
        <v>#DIV/0!</v>
      </c>
      <c r="BQ55" s="44" t="e">
        <f t="shared" si="22"/>
        <v>#DIV/0!</v>
      </c>
      <c r="BR55" s="44" t="e">
        <f t="shared" ref="BR55:CK55" si="23">BR49/BR54</f>
        <v>#DIV/0!</v>
      </c>
      <c r="BS55" s="44" t="e">
        <f t="shared" si="23"/>
        <v>#DIV/0!</v>
      </c>
      <c r="BT55" s="44" t="e">
        <f t="shared" si="23"/>
        <v>#DIV/0!</v>
      </c>
      <c r="BU55" s="44" t="e">
        <f t="shared" si="23"/>
        <v>#DIV/0!</v>
      </c>
      <c r="BV55" s="44" t="e">
        <f t="shared" si="23"/>
        <v>#DIV/0!</v>
      </c>
      <c r="BW55" s="44" t="e">
        <f t="shared" si="23"/>
        <v>#DIV/0!</v>
      </c>
      <c r="BX55" s="44" t="e">
        <f t="shared" si="23"/>
        <v>#DIV/0!</v>
      </c>
      <c r="BY55" s="44" t="e">
        <f t="shared" si="23"/>
        <v>#DIV/0!</v>
      </c>
      <c r="BZ55" s="44" t="e">
        <f t="shared" si="23"/>
        <v>#DIV/0!</v>
      </c>
      <c r="CA55" s="44" t="e">
        <f t="shared" si="23"/>
        <v>#DIV/0!</v>
      </c>
      <c r="CB55" s="44" t="e">
        <f t="shared" si="23"/>
        <v>#DIV/0!</v>
      </c>
      <c r="CC55" s="44" t="e">
        <f t="shared" si="23"/>
        <v>#DIV/0!</v>
      </c>
      <c r="CD55" s="44" t="e">
        <f t="shared" si="23"/>
        <v>#DIV/0!</v>
      </c>
      <c r="CE55" s="44" t="e">
        <f t="shared" si="23"/>
        <v>#DIV/0!</v>
      </c>
      <c r="CF55" s="44" t="e">
        <f t="shared" si="23"/>
        <v>#DIV/0!</v>
      </c>
      <c r="CG55" s="44" t="e">
        <f t="shared" si="23"/>
        <v>#DIV/0!</v>
      </c>
      <c r="CH55" s="44" t="e">
        <f t="shared" si="23"/>
        <v>#DIV/0!</v>
      </c>
      <c r="CI55" s="44" t="e">
        <f t="shared" si="23"/>
        <v>#DIV/0!</v>
      </c>
      <c r="CJ55" s="44" t="e">
        <f t="shared" si="23"/>
        <v>#DIV/0!</v>
      </c>
      <c r="CK55" s="44" t="e">
        <f t="shared" si="23"/>
        <v>#DIV/0!</v>
      </c>
    </row>
    <row r="56" spans="1:89" s="76" customFormat="1" x14ac:dyDescent="0.25">
      <c r="A56" s="147" t="s">
        <v>443</v>
      </c>
      <c r="E56" s="76">
        <f>资产资本表!E19</f>
        <v>2681764.62</v>
      </c>
      <c r="F56" s="76">
        <f>资产资本表!F19</f>
        <v>36554845.829999998</v>
      </c>
      <c r="G56" s="76">
        <f>资产资本表!G19</f>
        <v>37301246.560000002</v>
      </c>
      <c r="H56" s="76">
        <f>资产资本表!H19</f>
        <v>44582193.149999999</v>
      </c>
      <c r="I56" s="76">
        <f>资产资本表!I19</f>
        <v>44208476.719999999</v>
      </c>
      <c r="J56" s="76">
        <f>资产资本表!J19</f>
        <v>46497065.140000001</v>
      </c>
      <c r="K56" s="76">
        <f>资产资本表!K19</f>
        <v>48418056.219999999</v>
      </c>
      <c r="L56" s="76">
        <f>资产资本表!L19</f>
        <v>47013607.68</v>
      </c>
      <c r="M56" s="76">
        <f>资产资本表!M19</f>
        <v>48378901.780000001</v>
      </c>
      <c r="N56" s="76">
        <f>资产资本表!N19</f>
        <v>0</v>
      </c>
      <c r="O56" s="76">
        <f>资产资本表!O19</f>
        <v>0</v>
      </c>
      <c r="P56" s="76">
        <f>资产资本表!P19</f>
        <v>0</v>
      </c>
      <c r="Q56" s="76">
        <f>资产资本表!Q19</f>
        <v>0</v>
      </c>
      <c r="R56" s="76">
        <f>资产资本表!R19</f>
        <v>0</v>
      </c>
      <c r="S56" s="76">
        <f>资产资本表!S19</f>
        <v>0</v>
      </c>
      <c r="T56" s="76">
        <f>资产资本表!T19</f>
        <v>0</v>
      </c>
      <c r="U56" s="76">
        <f>资产资本表!U19</f>
        <v>0</v>
      </c>
      <c r="V56" s="76">
        <f>资产资本表!V19</f>
        <v>0</v>
      </c>
      <c r="W56" s="76">
        <f>资产资本表!W19</f>
        <v>0</v>
      </c>
      <c r="X56" s="76">
        <f>资产资本表!X19</f>
        <v>0</v>
      </c>
      <c r="Y56" s="76">
        <f>资产资本表!Y19</f>
        <v>0</v>
      </c>
      <c r="Z56" s="76">
        <f>资产资本表!Z19</f>
        <v>0</v>
      </c>
      <c r="AA56" s="76">
        <f>资产资本表!AA19</f>
        <v>0</v>
      </c>
      <c r="AB56" s="76">
        <f>资产资本表!AB19</f>
        <v>0</v>
      </c>
      <c r="AC56" s="76">
        <f>资产资本表!AC19</f>
        <v>0</v>
      </c>
      <c r="AD56" s="76">
        <f>资产资本表!AD19</f>
        <v>0</v>
      </c>
      <c r="AE56" s="76">
        <f>资产资本表!AE19</f>
        <v>0</v>
      </c>
      <c r="AF56" s="76">
        <f>资产资本表!AF19</f>
        <v>0</v>
      </c>
      <c r="AG56" s="76">
        <f>资产资本表!AG19</f>
        <v>0</v>
      </c>
      <c r="AH56" s="76">
        <f>资产资本表!AH19</f>
        <v>0</v>
      </c>
      <c r="AI56" s="76">
        <f>资产资本表!AI19</f>
        <v>0</v>
      </c>
      <c r="AJ56" s="76">
        <f>资产资本表!AJ19</f>
        <v>0</v>
      </c>
      <c r="AK56" s="76">
        <f>资产资本表!AK19</f>
        <v>0</v>
      </c>
      <c r="AL56" s="76">
        <f>资产资本表!AL19</f>
        <v>0</v>
      </c>
      <c r="AM56" s="76">
        <f>资产资本表!AM19</f>
        <v>0</v>
      </c>
      <c r="AN56" s="76">
        <f>资产资本表!AN19</f>
        <v>0</v>
      </c>
      <c r="AO56" s="76">
        <f>资产资本表!AO19</f>
        <v>0</v>
      </c>
      <c r="AP56" s="76">
        <f>资产资本表!AP19</f>
        <v>0</v>
      </c>
      <c r="AQ56" s="76">
        <f>资产资本表!AQ19</f>
        <v>0</v>
      </c>
      <c r="AR56" s="76">
        <f>资产资本表!AR19</f>
        <v>0</v>
      </c>
      <c r="AS56" s="76">
        <f>资产资本表!AS19</f>
        <v>0</v>
      </c>
      <c r="AT56" s="76">
        <f>资产资本表!AT19</f>
        <v>0</v>
      </c>
      <c r="AU56" s="76">
        <f>资产资本表!AU19</f>
        <v>0</v>
      </c>
      <c r="AV56" s="76">
        <f>资产资本表!AV19</f>
        <v>0</v>
      </c>
      <c r="AW56" s="76">
        <f>资产资本表!AW19</f>
        <v>0</v>
      </c>
      <c r="AX56" s="76">
        <f>资产资本表!AX19</f>
        <v>0</v>
      </c>
      <c r="AY56" s="76">
        <f>资产资本表!AY19</f>
        <v>0</v>
      </c>
      <c r="AZ56" s="76">
        <f>资产资本表!AZ19</f>
        <v>0</v>
      </c>
      <c r="BA56" s="76">
        <f>资产资本表!BA19</f>
        <v>0</v>
      </c>
      <c r="BB56" s="76">
        <f>资产资本表!BB19</f>
        <v>0</v>
      </c>
      <c r="BC56" s="76">
        <f>资产资本表!BC19</f>
        <v>0</v>
      </c>
      <c r="BD56" s="76">
        <f>资产资本表!BD19</f>
        <v>0</v>
      </c>
      <c r="BE56" s="76">
        <f>资产资本表!BE19</f>
        <v>0</v>
      </c>
      <c r="BF56" s="76">
        <f>资产资本表!BF19</f>
        <v>0</v>
      </c>
      <c r="BG56" s="76">
        <f>资产资本表!BG19</f>
        <v>0</v>
      </c>
      <c r="BH56" s="76">
        <f>资产资本表!BH19</f>
        <v>0</v>
      </c>
      <c r="BI56" s="76">
        <f>资产资本表!BI19</f>
        <v>0</v>
      </c>
      <c r="BJ56" s="76">
        <f>资产资本表!BJ19</f>
        <v>0</v>
      </c>
      <c r="BK56" s="76">
        <f>资产资本表!BK19</f>
        <v>0</v>
      </c>
      <c r="BL56" s="76">
        <f>资产资本表!BL19</f>
        <v>0</v>
      </c>
      <c r="BM56" s="76">
        <f>资产资本表!BM19</f>
        <v>0</v>
      </c>
      <c r="BN56" s="76">
        <f>资产资本表!BN19</f>
        <v>0</v>
      </c>
      <c r="BO56" s="76">
        <f>资产资本表!BO19</f>
        <v>0</v>
      </c>
      <c r="BP56" s="76">
        <f>资产资本表!BP19</f>
        <v>0</v>
      </c>
      <c r="BQ56" s="76">
        <f>资产资本表!BQ19</f>
        <v>0</v>
      </c>
      <c r="BR56" s="76">
        <f>资产资本表!BR19</f>
        <v>0</v>
      </c>
      <c r="BS56" s="76">
        <f>资产资本表!BS19</f>
        <v>0</v>
      </c>
      <c r="BT56" s="76">
        <f>资产资本表!BT19</f>
        <v>0</v>
      </c>
      <c r="BU56" s="76">
        <f>资产资本表!BU19</f>
        <v>0</v>
      </c>
      <c r="BV56" s="76">
        <f>资产资本表!BV19</f>
        <v>0</v>
      </c>
      <c r="BW56" s="76">
        <f>资产资本表!BW19</f>
        <v>0</v>
      </c>
      <c r="BX56" s="76">
        <f>资产资本表!BX19</f>
        <v>0</v>
      </c>
      <c r="BY56" s="76">
        <f>资产资本表!BY19</f>
        <v>0</v>
      </c>
      <c r="BZ56" s="76">
        <f>资产资本表!BZ19</f>
        <v>0</v>
      </c>
      <c r="CA56" s="76">
        <f>资产资本表!CA19</f>
        <v>0</v>
      </c>
      <c r="CB56" s="76">
        <f>资产资本表!CB19</f>
        <v>0</v>
      </c>
      <c r="CC56" s="76">
        <f>资产资本表!CC19</f>
        <v>0</v>
      </c>
      <c r="CD56" s="76">
        <f>资产资本表!CD19</f>
        <v>0</v>
      </c>
      <c r="CE56" s="76">
        <f>资产资本表!CE19</f>
        <v>0</v>
      </c>
      <c r="CF56" s="76">
        <f>资产资本表!CF19</f>
        <v>0</v>
      </c>
      <c r="CG56" s="76">
        <f>资产资本表!CG19</f>
        <v>0</v>
      </c>
      <c r="CH56" s="76">
        <f>资产资本表!CH19</f>
        <v>0</v>
      </c>
      <c r="CI56" s="76">
        <f>资产资本表!CI19</f>
        <v>0</v>
      </c>
      <c r="CJ56" s="76">
        <f>资产资本表!CJ19</f>
        <v>0</v>
      </c>
    </row>
    <row r="57" spans="1:89" s="117" customFormat="1" x14ac:dyDescent="0.25">
      <c r="A57" s="145" t="s">
        <v>470</v>
      </c>
      <c r="E57" s="117">
        <f>E49/E56</f>
        <v>1738.3519906046042</v>
      </c>
      <c r="F57" s="117">
        <f t="shared" ref="F57:BQ57" si="24">F49/F56</f>
        <v>87.065611605124914</v>
      </c>
      <c r="G57" s="117">
        <f t="shared" si="24"/>
        <v>53.119830390461885</v>
      </c>
      <c r="H57" s="117">
        <f t="shared" si="24"/>
        <v>23.726227573889553</v>
      </c>
      <c r="I57" s="117">
        <f t="shared" si="24"/>
        <v>71.303439431196949</v>
      </c>
      <c r="J57" s="117">
        <f t="shared" si="24"/>
        <v>46.352695250563073</v>
      </c>
      <c r="K57" s="117">
        <f t="shared" si="24"/>
        <v>27.739306686483914</v>
      </c>
      <c r="L57" s="117">
        <f t="shared" si="24"/>
        <v>16.226074058224668</v>
      </c>
      <c r="M57" s="117">
        <f t="shared" si="24"/>
        <v>60.266640719515728</v>
      </c>
      <c r="N57" s="117" t="e">
        <f t="shared" si="24"/>
        <v>#DIV/0!</v>
      </c>
      <c r="O57" s="117" t="e">
        <f t="shared" si="24"/>
        <v>#DIV/0!</v>
      </c>
      <c r="P57" s="117" t="e">
        <f t="shared" si="24"/>
        <v>#DIV/0!</v>
      </c>
      <c r="Q57" s="117" t="e">
        <f t="shared" si="24"/>
        <v>#DIV/0!</v>
      </c>
      <c r="R57" s="117" t="e">
        <f t="shared" si="24"/>
        <v>#DIV/0!</v>
      </c>
      <c r="S57" s="117" t="e">
        <f t="shared" si="24"/>
        <v>#DIV/0!</v>
      </c>
      <c r="T57" s="117" t="e">
        <f t="shared" si="24"/>
        <v>#DIV/0!</v>
      </c>
      <c r="U57" s="117" t="e">
        <f t="shared" si="24"/>
        <v>#DIV/0!</v>
      </c>
      <c r="V57" s="117" t="e">
        <f t="shared" si="24"/>
        <v>#DIV/0!</v>
      </c>
      <c r="W57" s="117" t="e">
        <f t="shared" si="24"/>
        <v>#DIV/0!</v>
      </c>
      <c r="X57" s="117" t="e">
        <f t="shared" si="24"/>
        <v>#DIV/0!</v>
      </c>
      <c r="Y57" s="117" t="e">
        <f t="shared" si="24"/>
        <v>#DIV/0!</v>
      </c>
      <c r="Z57" s="117" t="e">
        <f t="shared" si="24"/>
        <v>#DIV/0!</v>
      </c>
      <c r="AA57" s="117" t="e">
        <f t="shared" si="24"/>
        <v>#DIV/0!</v>
      </c>
      <c r="AB57" s="117" t="e">
        <f t="shared" si="24"/>
        <v>#DIV/0!</v>
      </c>
      <c r="AC57" s="117" t="e">
        <f t="shared" si="24"/>
        <v>#DIV/0!</v>
      </c>
      <c r="AD57" s="117" t="e">
        <f t="shared" si="24"/>
        <v>#DIV/0!</v>
      </c>
      <c r="AE57" s="117" t="e">
        <f t="shared" si="24"/>
        <v>#DIV/0!</v>
      </c>
      <c r="AF57" s="117" t="e">
        <f t="shared" si="24"/>
        <v>#DIV/0!</v>
      </c>
      <c r="AG57" s="117" t="e">
        <f t="shared" si="24"/>
        <v>#DIV/0!</v>
      </c>
      <c r="AH57" s="117" t="e">
        <f t="shared" si="24"/>
        <v>#DIV/0!</v>
      </c>
      <c r="AI57" s="117" t="e">
        <f t="shared" si="24"/>
        <v>#DIV/0!</v>
      </c>
      <c r="AJ57" s="117" t="e">
        <f t="shared" si="24"/>
        <v>#DIV/0!</v>
      </c>
      <c r="AK57" s="117" t="e">
        <f t="shared" si="24"/>
        <v>#DIV/0!</v>
      </c>
      <c r="AL57" s="117" t="e">
        <f t="shared" si="24"/>
        <v>#DIV/0!</v>
      </c>
      <c r="AM57" s="117" t="e">
        <f t="shared" si="24"/>
        <v>#DIV/0!</v>
      </c>
      <c r="AN57" s="117" t="e">
        <f t="shared" si="24"/>
        <v>#DIV/0!</v>
      </c>
      <c r="AO57" s="117" t="e">
        <f t="shared" si="24"/>
        <v>#DIV/0!</v>
      </c>
      <c r="AP57" s="117" t="e">
        <f t="shared" si="24"/>
        <v>#DIV/0!</v>
      </c>
      <c r="AQ57" s="117" t="e">
        <f t="shared" si="24"/>
        <v>#DIV/0!</v>
      </c>
      <c r="AR57" s="117" t="e">
        <f t="shared" si="24"/>
        <v>#DIV/0!</v>
      </c>
      <c r="AS57" s="117" t="e">
        <f t="shared" si="24"/>
        <v>#DIV/0!</v>
      </c>
      <c r="AT57" s="117" t="e">
        <f t="shared" si="24"/>
        <v>#DIV/0!</v>
      </c>
      <c r="AU57" s="117" t="e">
        <f t="shared" si="24"/>
        <v>#DIV/0!</v>
      </c>
      <c r="AV57" s="117" t="e">
        <f t="shared" si="24"/>
        <v>#DIV/0!</v>
      </c>
      <c r="AW57" s="117" t="e">
        <f t="shared" si="24"/>
        <v>#DIV/0!</v>
      </c>
      <c r="AX57" s="117" t="e">
        <f t="shared" si="24"/>
        <v>#DIV/0!</v>
      </c>
      <c r="AY57" s="117" t="e">
        <f t="shared" si="24"/>
        <v>#DIV/0!</v>
      </c>
      <c r="AZ57" s="117" t="e">
        <f t="shared" si="24"/>
        <v>#DIV/0!</v>
      </c>
      <c r="BA57" s="117" t="e">
        <f t="shared" si="24"/>
        <v>#DIV/0!</v>
      </c>
      <c r="BB57" s="117" t="e">
        <f t="shared" si="24"/>
        <v>#DIV/0!</v>
      </c>
      <c r="BC57" s="117" t="e">
        <f t="shared" si="24"/>
        <v>#DIV/0!</v>
      </c>
      <c r="BD57" s="117" t="e">
        <f t="shared" si="24"/>
        <v>#DIV/0!</v>
      </c>
      <c r="BE57" s="117" t="e">
        <f t="shared" si="24"/>
        <v>#DIV/0!</v>
      </c>
      <c r="BF57" s="117" t="e">
        <f t="shared" si="24"/>
        <v>#DIV/0!</v>
      </c>
      <c r="BG57" s="117" t="e">
        <f t="shared" si="24"/>
        <v>#DIV/0!</v>
      </c>
      <c r="BH57" s="117" t="e">
        <f t="shared" si="24"/>
        <v>#DIV/0!</v>
      </c>
      <c r="BI57" s="117" t="e">
        <f t="shared" si="24"/>
        <v>#DIV/0!</v>
      </c>
      <c r="BJ57" s="117" t="e">
        <f t="shared" si="24"/>
        <v>#DIV/0!</v>
      </c>
      <c r="BK57" s="117" t="e">
        <f t="shared" si="24"/>
        <v>#DIV/0!</v>
      </c>
      <c r="BL57" s="117" t="e">
        <f t="shared" si="24"/>
        <v>#DIV/0!</v>
      </c>
      <c r="BM57" s="117" t="e">
        <f t="shared" si="24"/>
        <v>#DIV/0!</v>
      </c>
      <c r="BN57" s="117" t="e">
        <f t="shared" si="24"/>
        <v>#DIV/0!</v>
      </c>
      <c r="BO57" s="117" t="e">
        <f t="shared" si="24"/>
        <v>#DIV/0!</v>
      </c>
      <c r="BP57" s="117" t="e">
        <f t="shared" si="24"/>
        <v>#DIV/0!</v>
      </c>
      <c r="BQ57" s="117" t="e">
        <f t="shared" si="24"/>
        <v>#DIV/0!</v>
      </c>
      <c r="BR57" s="117" t="e">
        <f t="shared" ref="BR57:CK57" si="25">BR49/BR56</f>
        <v>#DIV/0!</v>
      </c>
      <c r="BS57" s="117" t="e">
        <f t="shared" si="25"/>
        <v>#DIV/0!</v>
      </c>
      <c r="BT57" s="117" t="e">
        <f t="shared" si="25"/>
        <v>#DIV/0!</v>
      </c>
      <c r="BU57" s="117" t="e">
        <f t="shared" si="25"/>
        <v>#DIV/0!</v>
      </c>
      <c r="BV57" s="117" t="e">
        <f t="shared" si="25"/>
        <v>#DIV/0!</v>
      </c>
      <c r="BW57" s="117" t="e">
        <f t="shared" si="25"/>
        <v>#DIV/0!</v>
      </c>
      <c r="BX57" s="117" t="e">
        <f t="shared" si="25"/>
        <v>#DIV/0!</v>
      </c>
      <c r="BY57" s="117" t="e">
        <f t="shared" si="25"/>
        <v>#DIV/0!</v>
      </c>
      <c r="BZ57" s="117" t="e">
        <f t="shared" si="25"/>
        <v>#DIV/0!</v>
      </c>
      <c r="CA57" s="117" t="e">
        <f t="shared" si="25"/>
        <v>#DIV/0!</v>
      </c>
      <c r="CB57" s="117" t="e">
        <f t="shared" si="25"/>
        <v>#DIV/0!</v>
      </c>
      <c r="CC57" s="117" t="e">
        <f t="shared" si="25"/>
        <v>#DIV/0!</v>
      </c>
      <c r="CD57" s="117" t="e">
        <f t="shared" si="25"/>
        <v>#DIV/0!</v>
      </c>
      <c r="CE57" s="117" t="e">
        <f t="shared" si="25"/>
        <v>#DIV/0!</v>
      </c>
      <c r="CF57" s="117" t="e">
        <f t="shared" si="25"/>
        <v>#DIV/0!</v>
      </c>
      <c r="CG57" s="117" t="e">
        <f t="shared" si="25"/>
        <v>#DIV/0!</v>
      </c>
      <c r="CH57" s="117" t="e">
        <f t="shared" si="25"/>
        <v>#DIV/0!</v>
      </c>
      <c r="CI57" s="117" t="e">
        <f t="shared" si="25"/>
        <v>#DIV/0!</v>
      </c>
      <c r="CJ57" s="117" t="e">
        <f t="shared" si="25"/>
        <v>#DIV/0!</v>
      </c>
      <c r="CK57" s="117" t="e">
        <f t="shared" si="25"/>
        <v>#DIV/0!</v>
      </c>
    </row>
    <row r="58" spans="1:89" s="16" customFormat="1" ht="44.4" customHeight="1" x14ac:dyDescent="0.25">
      <c r="A58" s="279" t="s">
        <v>694</v>
      </c>
      <c r="B58" s="278"/>
      <c r="C58" s="278"/>
      <c r="D58" s="278"/>
      <c r="E58" s="278"/>
      <c r="F58" s="278"/>
      <c r="G58" s="278"/>
      <c r="H58" s="278"/>
      <c r="I58" s="278"/>
      <c r="J58" s="278"/>
      <c r="K58" s="278"/>
      <c r="L58" s="278"/>
      <c r="M58" s="278"/>
      <c r="N58" s="278"/>
      <c r="O58" s="278"/>
      <c r="P58" s="278"/>
      <c r="Q58" s="278"/>
      <c r="R58" s="278"/>
      <c r="S58" s="278"/>
      <c r="T58" s="278"/>
      <c r="U58" s="278"/>
      <c r="V58" s="278"/>
      <c r="W58" s="278"/>
      <c r="X58" s="278"/>
      <c r="Y58" s="278"/>
      <c r="Z58" s="278"/>
      <c r="AA58" s="278"/>
      <c r="AB58" s="278"/>
      <c r="AC58" s="278"/>
      <c r="AD58" s="278"/>
      <c r="AE58" s="278"/>
      <c r="AF58" s="278"/>
      <c r="AG58" s="278"/>
    </row>
    <row r="61" spans="1:89" s="119" customFormat="1" x14ac:dyDescent="0.25">
      <c r="A61" s="118" t="s">
        <v>471</v>
      </c>
      <c r="B61" s="1">
        <v>43373</v>
      </c>
      <c r="C61" s="1">
        <v>43281</v>
      </c>
      <c r="D61" s="1">
        <v>43190</v>
      </c>
      <c r="E61" s="1">
        <v>43100</v>
      </c>
      <c r="F61" s="1">
        <v>43008</v>
      </c>
      <c r="G61" s="1">
        <v>42916</v>
      </c>
      <c r="H61" s="1">
        <v>42825</v>
      </c>
      <c r="I61" s="1">
        <v>42735</v>
      </c>
      <c r="J61" s="1">
        <v>42643</v>
      </c>
      <c r="K61" s="1">
        <v>42551</v>
      </c>
      <c r="L61" s="1">
        <v>42460</v>
      </c>
      <c r="M61" s="1">
        <v>42369</v>
      </c>
      <c r="N61" s="1">
        <v>42277</v>
      </c>
      <c r="O61" s="1">
        <v>42185</v>
      </c>
      <c r="P61" s="1">
        <v>42094</v>
      </c>
      <c r="Q61" s="1">
        <v>42004</v>
      </c>
      <c r="R61" s="1">
        <v>41912</v>
      </c>
      <c r="S61" s="1">
        <v>41820</v>
      </c>
      <c r="T61" s="1">
        <v>41729</v>
      </c>
      <c r="U61" s="1">
        <v>41639</v>
      </c>
      <c r="V61" s="1">
        <v>41547</v>
      </c>
      <c r="W61" s="1">
        <v>41455</v>
      </c>
      <c r="X61" s="1">
        <v>41364</v>
      </c>
      <c r="Y61" s="1">
        <v>41274</v>
      </c>
      <c r="Z61" s="1">
        <v>41182</v>
      </c>
      <c r="AA61" s="1">
        <v>41090</v>
      </c>
      <c r="AB61" s="1">
        <v>40999</v>
      </c>
      <c r="AC61" s="1">
        <v>40908</v>
      </c>
      <c r="AD61" s="1">
        <v>40816</v>
      </c>
      <c r="AE61" s="1">
        <v>40724</v>
      </c>
      <c r="AF61" s="1">
        <v>40633</v>
      </c>
      <c r="AG61" s="1">
        <v>40543</v>
      </c>
      <c r="AH61" s="1">
        <v>40451</v>
      </c>
      <c r="AI61" s="1">
        <v>40359</v>
      </c>
      <c r="AJ61" s="1">
        <v>40268</v>
      </c>
      <c r="AK61" s="1">
        <v>40178</v>
      </c>
      <c r="AL61" s="1">
        <v>40086</v>
      </c>
      <c r="AM61" s="1">
        <v>39994</v>
      </c>
      <c r="AN61" s="1">
        <v>39903</v>
      </c>
      <c r="AO61" s="1">
        <v>39813</v>
      </c>
      <c r="AP61" s="1">
        <v>39721</v>
      </c>
      <c r="AQ61" s="1">
        <v>39447</v>
      </c>
      <c r="AR61" s="1">
        <v>39082</v>
      </c>
      <c r="AS61" s="1">
        <v>25569</v>
      </c>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row>
    <row r="62" spans="1:89" s="76" customFormat="1" x14ac:dyDescent="0.25">
      <c r="A62" s="147" t="s">
        <v>472</v>
      </c>
      <c r="E62" s="76">
        <v>365</v>
      </c>
      <c r="F62" s="76">
        <v>365</v>
      </c>
      <c r="G62" s="76">
        <v>365</v>
      </c>
      <c r="H62" s="76">
        <v>365</v>
      </c>
      <c r="I62" s="76">
        <v>365</v>
      </c>
      <c r="J62" s="76">
        <v>365</v>
      </c>
      <c r="K62" s="76">
        <v>365</v>
      </c>
      <c r="L62" s="76">
        <v>365</v>
      </c>
      <c r="M62" s="76">
        <v>365</v>
      </c>
      <c r="N62" s="76">
        <v>365</v>
      </c>
      <c r="O62" s="76">
        <v>365</v>
      </c>
      <c r="P62" s="76">
        <v>365</v>
      </c>
      <c r="Q62" s="76">
        <v>365</v>
      </c>
      <c r="R62" s="76">
        <v>365</v>
      </c>
      <c r="S62" s="76">
        <v>365</v>
      </c>
      <c r="T62" s="76">
        <v>365</v>
      </c>
      <c r="U62" s="76">
        <v>365</v>
      </c>
      <c r="V62" s="76">
        <v>365</v>
      </c>
      <c r="W62" s="76">
        <v>365</v>
      </c>
      <c r="X62" s="76">
        <v>365</v>
      </c>
      <c r="Y62" s="76">
        <v>365</v>
      </c>
      <c r="Z62" s="76">
        <v>365</v>
      </c>
      <c r="AA62" s="76">
        <v>365</v>
      </c>
      <c r="AB62" s="76">
        <v>365</v>
      </c>
      <c r="AC62" s="76">
        <v>365</v>
      </c>
      <c r="AD62" s="76">
        <v>365</v>
      </c>
      <c r="AE62" s="76">
        <v>365</v>
      </c>
      <c r="AF62" s="76">
        <v>365</v>
      </c>
      <c r="AG62" s="76">
        <v>365</v>
      </c>
      <c r="AH62" s="76">
        <v>365</v>
      </c>
      <c r="AI62" s="76">
        <v>365</v>
      </c>
      <c r="AJ62" s="76">
        <v>365</v>
      </c>
      <c r="AK62" s="76">
        <v>365</v>
      </c>
      <c r="AL62" s="76">
        <v>365</v>
      </c>
      <c r="AM62" s="76">
        <v>365</v>
      </c>
      <c r="AN62" s="76">
        <v>365</v>
      </c>
      <c r="AO62" s="76">
        <v>365</v>
      </c>
      <c r="AP62" s="76">
        <v>365</v>
      </c>
      <c r="AQ62" s="76">
        <v>365</v>
      </c>
      <c r="AR62" s="76">
        <v>365</v>
      </c>
      <c r="AS62" s="76">
        <v>365</v>
      </c>
      <c r="AT62" s="76">
        <v>365</v>
      </c>
      <c r="AU62" s="76">
        <v>365</v>
      </c>
      <c r="AV62" s="76">
        <v>365</v>
      </c>
      <c r="AW62" s="76">
        <v>365</v>
      </c>
      <c r="AX62" s="76">
        <v>365</v>
      </c>
      <c r="AY62" s="76">
        <v>365</v>
      </c>
      <c r="AZ62" s="76">
        <v>365</v>
      </c>
      <c r="BA62" s="76">
        <v>365</v>
      </c>
      <c r="BB62" s="76">
        <v>365</v>
      </c>
      <c r="BC62" s="76">
        <v>365</v>
      </c>
      <c r="BD62" s="76">
        <v>365</v>
      </c>
      <c r="BE62" s="76">
        <v>365</v>
      </c>
      <c r="BF62" s="76">
        <v>365</v>
      </c>
      <c r="BG62" s="76">
        <v>365</v>
      </c>
      <c r="BH62" s="76">
        <v>365</v>
      </c>
      <c r="BI62" s="76">
        <v>365</v>
      </c>
      <c r="BJ62" s="76">
        <v>365</v>
      </c>
      <c r="BK62" s="76">
        <v>365</v>
      </c>
      <c r="BL62" s="76">
        <v>365</v>
      </c>
      <c r="BM62" s="76">
        <v>365</v>
      </c>
      <c r="BN62" s="76">
        <v>365</v>
      </c>
      <c r="BO62" s="76">
        <v>365</v>
      </c>
      <c r="BP62" s="76">
        <v>365</v>
      </c>
      <c r="BQ62" s="76">
        <v>365</v>
      </c>
      <c r="BR62" s="76">
        <v>365</v>
      </c>
      <c r="BS62" s="76">
        <v>365</v>
      </c>
      <c r="BT62" s="76">
        <v>365</v>
      </c>
      <c r="BU62" s="76">
        <v>365</v>
      </c>
      <c r="BV62" s="76">
        <v>365</v>
      </c>
      <c r="BW62" s="76">
        <v>365</v>
      </c>
      <c r="BX62" s="76">
        <v>365</v>
      </c>
      <c r="BY62" s="76">
        <v>365</v>
      </c>
      <c r="BZ62" s="76">
        <v>365</v>
      </c>
      <c r="CA62" s="76">
        <v>365</v>
      </c>
      <c r="CB62" s="76">
        <v>365</v>
      </c>
      <c r="CC62" s="76">
        <v>365</v>
      </c>
      <c r="CD62" s="76">
        <v>365</v>
      </c>
      <c r="CE62" s="76">
        <v>365</v>
      </c>
      <c r="CF62" s="76">
        <v>365</v>
      </c>
      <c r="CG62" s="76">
        <v>365</v>
      </c>
      <c r="CH62" s="76">
        <v>365</v>
      </c>
      <c r="CI62" s="76">
        <v>365</v>
      </c>
      <c r="CJ62" s="76">
        <v>365</v>
      </c>
    </row>
    <row r="63" spans="1:89" s="76" customFormat="1" x14ac:dyDescent="0.25">
      <c r="A63" s="147" t="s">
        <v>463</v>
      </c>
      <c r="E63" s="76">
        <f>E49</f>
        <v>4661850865.5100002</v>
      </c>
      <c r="F63" s="76">
        <f t="shared" ref="F63:BQ63" si="26">F49</f>
        <v>3182670009.3200002</v>
      </c>
      <c r="G63" s="76">
        <f t="shared" si="26"/>
        <v>1981435890.6199999</v>
      </c>
      <c r="H63" s="76">
        <f t="shared" si="26"/>
        <v>1057767260.42</v>
      </c>
      <c r="I63" s="76">
        <f t="shared" si="26"/>
        <v>3152216442.1500001</v>
      </c>
      <c r="J63" s="76">
        <f t="shared" si="26"/>
        <v>2155264290.48</v>
      </c>
      <c r="K63" s="76">
        <f t="shared" si="26"/>
        <v>1343083310.6500001</v>
      </c>
      <c r="L63" s="76">
        <f t="shared" si="26"/>
        <v>762846279.96000004</v>
      </c>
      <c r="M63" s="76">
        <f t="shared" si="26"/>
        <v>2915633891.98</v>
      </c>
      <c r="N63" s="76">
        <f t="shared" si="26"/>
        <v>2046094586.02</v>
      </c>
      <c r="O63" s="76">
        <f t="shared" si="26"/>
        <v>1249976092.8499999</v>
      </c>
      <c r="P63" s="76">
        <f t="shared" si="26"/>
        <v>705394935.15999997</v>
      </c>
      <c r="Q63" s="76">
        <f t="shared" si="26"/>
        <v>2761400573.5100002</v>
      </c>
      <c r="R63" s="76">
        <f t="shared" si="26"/>
        <v>1879993912.9100001</v>
      </c>
      <c r="S63" s="76">
        <f t="shared" si="26"/>
        <v>1112279848.48</v>
      </c>
      <c r="T63" s="76">
        <f t="shared" si="26"/>
        <v>657308577.96000004</v>
      </c>
      <c r="U63" s="76">
        <f t="shared" si="26"/>
        <v>2524209416.4000001</v>
      </c>
      <c r="V63" s="76">
        <f t="shared" si="26"/>
        <v>1722646961.76</v>
      </c>
      <c r="W63" s="76">
        <f t="shared" si="26"/>
        <v>1078073329.79</v>
      </c>
      <c r="X63" s="76">
        <f t="shared" si="26"/>
        <v>615351177.55999994</v>
      </c>
      <c r="Y63" s="76">
        <f t="shared" si="26"/>
        <v>2724953861.21</v>
      </c>
      <c r="Z63" s="76">
        <f t="shared" si="26"/>
        <v>1847721787.6600001</v>
      </c>
      <c r="AA63" s="76">
        <f t="shared" si="26"/>
        <v>1036490112.66</v>
      </c>
      <c r="AB63" s="76">
        <f t="shared" si="26"/>
        <v>614320304.89999998</v>
      </c>
      <c r="AC63" s="76">
        <f t="shared" si="26"/>
        <v>2382434788.48</v>
      </c>
      <c r="AD63" s="76">
        <f t="shared" si="26"/>
        <v>1633896787.0999999</v>
      </c>
      <c r="AE63" s="76">
        <f t="shared" si="26"/>
        <v>1003246147.98</v>
      </c>
      <c r="AF63" s="76">
        <f t="shared" si="26"/>
        <v>583149853.35000002</v>
      </c>
      <c r="AG63" s="76">
        <f t="shared" si="26"/>
        <v>1818814620.1400001</v>
      </c>
      <c r="AH63" s="76">
        <f t="shared" si="26"/>
        <v>1145669244.4200001</v>
      </c>
      <c r="AI63" s="76">
        <f t="shared" si="26"/>
        <v>661829336.29999995</v>
      </c>
      <c r="AJ63" s="76">
        <f t="shared" si="26"/>
        <v>359335837.14999998</v>
      </c>
      <c r="AK63" s="76">
        <f t="shared" si="26"/>
        <v>1145306750.3299999</v>
      </c>
      <c r="AL63" s="76">
        <f t="shared" si="26"/>
        <v>723914564.5</v>
      </c>
      <c r="AM63" s="76">
        <f t="shared" si="26"/>
        <v>407570538.00999999</v>
      </c>
      <c r="AN63" s="76">
        <f t="shared" si="26"/>
        <v>255192022.33000001</v>
      </c>
      <c r="AO63" s="76">
        <f t="shared" si="26"/>
        <v>902684684.88</v>
      </c>
      <c r="AP63" s="76">
        <f t="shared" si="26"/>
        <v>632875455.57000005</v>
      </c>
      <c r="AQ63" s="76">
        <f t="shared" si="26"/>
        <v>755362629.51999998</v>
      </c>
      <c r="AR63" s="76">
        <f t="shared" si="26"/>
        <v>552487592.55999994</v>
      </c>
      <c r="AS63" s="76">
        <f t="shared" si="26"/>
        <v>0</v>
      </c>
      <c r="AT63" s="76">
        <f t="shared" si="26"/>
        <v>0</v>
      </c>
      <c r="AU63" s="76">
        <f t="shared" si="26"/>
        <v>0</v>
      </c>
      <c r="AV63" s="76">
        <f t="shared" si="26"/>
        <v>0</v>
      </c>
      <c r="AW63" s="76">
        <f t="shared" si="26"/>
        <v>0</v>
      </c>
      <c r="AX63" s="76">
        <f t="shared" si="26"/>
        <v>0</v>
      </c>
      <c r="AY63" s="76">
        <f t="shared" si="26"/>
        <v>0</v>
      </c>
      <c r="AZ63" s="76">
        <f t="shared" si="26"/>
        <v>0</v>
      </c>
      <c r="BA63" s="76">
        <f t="shared" si="26"/>
        <v>0</v>
      </c>
      <c r="BB63" s="76">
        <f t="shared" si="26"/>
        <v>0</v>
      </c>
      <c r="BC63" s="76">
        <f t="shared" si="26"/>
        <v>0</v>
      </c>
      <c r="BD63" s="76">
        <f t="shared" si="26"/>
        <v>0</v>
      </c>
      <c r="BE63" s="76">
        <f t="shared" si="26"/>
        <v>0</v>
      </c>
      <c r="BF63" s="76">
        <f t="shared" si="26"/>
        <v>0</v>
      </c>
      <c r="BG63" s="76">
        <f t="shared" si="26"/>
        <v>0</v>
      </c>
      <c r="BH63" s="76">
        <f t="shared" si="26"/>
        <v>0</v>
      </c>
      <c r="BI63" s="76">
        <f t="shared" si="26"/>
        <v>0</v>
      </c>
      <c r="BJ63" s="76">
        <f t="shared" si="26"/>
        <v>0</v>
      </c>
      <c r="BK63" s="76">
        <f t="shared" si="26"/>
        <v>0</v>
      </c>
      <c r="BL63" s="76">
        <f t="shared" si="26"/>
        <v>0</v>
      </c>
      <c r="BM63" s="76">
        <f t="shared" si="26"/>
        <v>0</v>
      </c>
      <c r="BN63" s="76">
        <f t="shared" si="26"/>
        <v>0</v>
      </c>
      <c r="BO63" s="76">
        <f t="shared" si="26"/>
        <v>0</v>
      </c>
      <c r="BP63" s="76">
        <f t="shared" si="26"/>
        <v>0</v>
      </c>
      <c r="BQ63" s="76">
        <f t="shared" si="26"/>
        <v>0</v>
      </c>
      <c r="BR63" s="76">
        <f t="shared" ref="BR63:CJ63" si="27">BR49</f>
        <v>0</v>
      </c>
      <c r="BS63" s="76">
        <f t="shared" si="27"/>
        <v>0</v>
      </c>
      <c r="BT63" s="76">
        <f t="shared" si="27"/>
        <v>0</v>
      </c>
      <c r="BU63" s="76">
        <f t="shared" si="27"/>
        <v>0</v>
      </c>
      <c r="BV63" s="76">
        <f t="shared" si="27"/>
        <v>0</v>
      </c>
      <c r="BW63" s="76">
        <f t="shared" si="27"/>
        <v>0</v>
      </c>
      <c r="BX63" s="76">
        <f t="shared" si="27"/>
        <v>0</v>
      </c>
      <c r="BY63" s="76">
        <f t="shared" si="27"/>
        <v>0</v>
      </c>
      <c r="BZ63" s="76">
        <f t="shared" si="27"/>
        <v>0</v>
      </c>
      <c r="CA63" s="76">
        <f t="shared" si="27"/>
        <v>0</v>
      </c>
      <c r="CB63" s="76">
        <f t="shared" si="27"/>
        <v>0</v>
      </c>
      <c r="CC63" s="76">
        <f t="shared" si="27"/>
        <v>0</v>
      </c>
      <c r="CD63" s="76">
        <f t="shared" si="27"/>
        <v>0</v>
      </c>
      <c r="CE63" s="76">
        <f t="shared" si="27"/>
        <v>0</v>
      </c>
      <c r="CF63" s="76">
        <f t="shared" si="27"/>
        <v>0</v>
      </c>
      <c r="CG63" s="76">
        <f t="shared" si="27"/>
        <v>0</v>
      </c>
      <c r="CH63" s="76">
        <f t="shared" si="27"/>
        <v>0</v>
      </c>
      <c r="CI63" s="76">
        <f t="shared" si="27"/>
        <v>0</v>
      </c>
      <c r="CJ63" s="76">
        <f t="shared" si="27"/>
        <v>0</v>
      </c>
    </row>
    <row r="64" spans="1:89" s="76" customFormat="1" x14ac:dyDescent="0.25">
      <c r="A64" s="147" t="s">
        <v>473</v>
      </c>
      <c r="E64" s="76">
        <f>资产资本表!E22+资产资本表!E23-资产资本表!E37</f>
        <v>395251778.04999995</v>
      </c>
      <c r="F64" s="76">
        <f>资产资本表!F22+资产资本表!F23-资产资本表!F37</f>
        <v>381287417.51999998</v>
      </c>
      <c r="G64" s="76">
        <f>资产资本表!G22+资产资本表!G23-资产资本表!G37</f>
        <v>311685625.25999999</v>
      </c>
      <c r="H64" s="76">
        <f>资产资本表!H22+资产资本表!H23-资产资本表!H37</f>
        <v>271683526.72000003</v>
      </c>
      <c r="I64" s="76">
        <f>资产资本表!I22+资产资本表!I23-资产资本表!I37</f>
        <v>185068438.53999999</v>
      </c>
      <c r="J64" s="76">
        <f>资产资本表!J22+资产资本表!J23-资产资本表!J37</f>
        <v>223700077.00999999</v>
      </c>
      <c r="K64" s="76">
        <f>资产资本表!K22+资产资本表!K23-资产资本表!K37</f>
        <v>190873364.37</v>
      </c>
      <c r="L64" s="76">
        <f>资产资本表!L22+资产资本表!L23-资产资本表!L37</f>
        <v>244223902.33000004</v>
      </c>
      <c r="M64" s="76">
        <f>资产资本表!M22+资产资本表!M23-资产资本表!M37</f>
        <v>188341767.87</v>
      </c>
      <c r="N64" s="76">
        <f>资产资本表!N22+资产资本表!N23-资产资本表!N37</f>
        <v>177051374.20999998</v>
      </c>
      <c r="O64" s="76">
        <f>资产资本表!O22+资产资本表!O23-资产资本表!O37</f>
        <v>153266220.40000001</v>
      </c>
      <c r="P64" s="76">
        <f>资产资本表!P22+资产资本表!P23-资产资本表!P37</f>
        <v>80500528.519999996</v>
      </c>
      <c r="Q64" s="76">
        <f>资产资本表!Q22+资产资本表!Q23-资产资本表!Q37</f>
        <v>71488623.379999995</v>
      </c>
      <c r="R64" s="76">
        <f>资产资本表!R22+资产资本表!R23-资产资本表!R37</f>
        <v>107906407.30000001</v>
      </c>
      <c r="S64" s="76">
        <f>资产资本表!S22+资产资本表!S23-资产资本表!S37</f>
        <v>84821907.330000013</v>
      </c>
      <c r="T64" s="76">
        <f>资产资本表!T22+资产资本表!T23-资产资本表!T37</f>
        <v>58882571.989999995</v>
      </c>
      <c r="U64" s="76">
        <f>资产资本表!U22+资产资本表!U23-资产资本表!U37</f>
        <v>59490416.670000002</v>
      </c>
      <c r="V64" s="76">
        <f>资产资本表!V22+资产资本表!V23-资产资本表!V37</f>
        <v>76251731.270000011</v>
      </c>
      <c r="W64" s="76">
        <f>资产资本表!W22+资产资本表!W23-资产资本表!W37</f>
        <v>98910400.510000005</v>
      </c>
      <c r="X64" s="76">
        <f>资产资本表!X22+资产资本表!X23-资产资本表!X37</f>
        <v>98155140.639999986</v>
      </c>
      <c r="Y64" s="76">
        <f>资产资本表!Y22+资产资本表!Y23-资产资本表!Y37</f>
        <v>104134212.42000002</v>
      </c>
      <c r="Z64" s="76">
        <f>资产资本表!Z22+资产资本表!Z23-资产资本表!Z37</f>
        <v>110790545.41</v>
      </c>
      <c r="AA64" s="76">
        <f>资产资本表!AA22+资产资本表!AA23-资产资本表!AA37</f>
        <v>62735757.68</v>
      </c>
      <c r="AB64" s="76">
        <f>资产资本表!AB22+资产资本表!AB23-资产资本表!AB37</f>
        <v>59955007.269999996</v>
      </c>
      <c r="AC64" s="76">
        <f>资产资本表!AC22+资产资本表!AC23-资产资本表!AC37</f>
        <v>70444304.569999993</v>
      </c>
      <c r="AD64" s="76">
        <f>资产资本表!AD22+资产资本表!AD23-资产资本表!AD37</f>
        <v>62695217.669999994</v>
      </c>
      <c r="AE64" s="76">
        <f>资产资本表!AE22+资产资本表!AE23-资产资本表!AE37</f>
        <v>22351499.729999989</v>
      </c>
      <c r="AF64" s="76">
        <f>资产资本表!AF22+资产资本表!AF23-资产资本表!AF37</f>
        <v>5079093.8199999928</v>
      </c>
      <c r="AG64" s="76">
        <f>资产资本表!AG22+资产资本表!AG23-资产资本表!AG37</f>
        <v>66668958.359999999</v>
      </c>
      <c r="AH64" s="76">
        <f>资产资本表!AH22+资产资本表!AH23-资产资本表!AH37</f>
        <v>27062027.720000006</v>
      </c>
      <c r="AI64" s="76">
        <f>资产资本表!AI22+资产资本表!AI23-资产资本表!AI37</f>
        <v>25428781.740000002</v>
      </c>
      <c r="AJ64" s="76">
        <f>资产资本表!AJ22+资产资本表!AJ23-资产资本表!AJ37</f>
        <v>-1413686.3999999985</v>
      </c>
      <c r="AK64" s="76">
        <f>资产资本表!AK22+资产资本表!AK23-资产资本表!AK37</f>
        <v>34499813.680000007</v>
      </c>
      <c r="AL64" s="76">
        <f>资产资本表!AL22+资产资本表!AL23-资产资本表!AL37</f>
        <v>36907524.159999996</v>
      </c>
      <c r="AM64" s="76">
        <f>资产资本表!AM22+资产资本表!AM23-资产资本表!AM37</f>
        <v>22502583.609999999</v>
      </c>
      <c r="AN64" s="76">
        <f>资产资本表!AN22+资产资本表!AN23-资产资本表!AN37</f>
        <v>16973318.370000001</v>
      </c>
      <c r="AO64" s="76">
        <f>资产资本表!AO22+资产资本表!AO23-资产资本表!AO37</f>
        <v>13990957.320000002</v>
      </c>
      <c r="AP64" s="76">
        <f>资产资本表!AP22+资产资本表!AP23-资产资本表!AP37</f>
        <v>-30120554.680000003</v>
      </c>
      <c r="AQ64" s="76">
        <f>资产资本表!AQ22+资产资本表!AQ23-资产资本表!AQ37</f>
        <v>0</v>
      </c>
      <c r="AR64" s="76">
        <f>资产资本表!AR22+资产资本表!AR23-资产资本表!AR37</f>
        <v>0</v>
      </c>
      <c r="AS64" s="76">
        <f>资产资本表!AS22+资产资本表!AS23-资产资本表!AS37</f>
        <v>0</v>
      </c>
      <c r="AT64" s="76">
        <f>资产资本表!AT22+资产资本表!AT23-资产资本表!AT37</f>
        <v>0</v>
      </c>
      <c r="AU64" s="76">
        <f>资产资本表!AU22+资产资本表!AU23-资产资本表!AU37</f>
        <v>0</v>
      </c>
      <c r="AV64" s="76">
        <f>资产资本表!AV22+资产资本表!AV23-资产资本表!AV37</f>
        <v>0</v>
      </c>
      <c r="AW64" s="76">
        <f>资产资本表!AW22+资产资本表!AW23-资产资本表!AW37</f>
        <v>0</v>
      </c>
      <c r="AX64" s="76">
        <f>资产资本表!AX22+资产资本表!AX23-资产资本表!AX37</f>
        <v>0</v>
      </c>
      <c r="AY64" s="76">
        <f>资产资本表!AY22+资产资本表!AY23-资产资本表!AY37</f>
        <v>0</v>
      </c>
      <c r="AZ64" s="76">
        <f>资产资本表!AZ22+资产资本表!AZ23-资产资本表!AZ37</f>
        <v>0</v>
      </c>
      <c r="BA64" s="76">
        <f>资产资本表!BA22+资产资本表!BA23-资产资本表!BA37</f>
        <v>0</v>
      </c>
      <c r="BB64" s="76">
        <f>资产资本表!BB22+资产资本表!BB23-资产资本表!BB37</f>
        <v>0</v>
      </c>
      <c r="BC64" s="76">
        <f>资产资本表!BC22+资产资本表!BC23-资产资本表!BC37</f>
        <v>0</v>
      </c>
      <c r="BD64" s="76">
        <f>资产资本表!BD22+资产资本表!BD23-资产资本表!BD37</f>
        <v>0</v>
      </c>
      <c r="BE64" s="76">
        <f>资产资本表!BE22+资产资本表!BE23-资产资本表!BE37</f>
        <v>0</v>
      </c>
      <c r="BF64" s="76">
        <f>资产资本表!BF22+资产资本表!BF23-资产资本表!BF37</f>
        <v>0</v>
      </c>
      <c r="BG64" s="76">
        <f>资产资本表!BG22+资产资本表!BG23-资产资本表!BG37</f>
        <v>0</v>
      </c>
      <c r="BH64" s="76">
        <f>资产资本表!BH22+资产资本表!BH23-资产资本表!BH37</f>
        <v>0</v>
      </c>
      <c r="BI64" s="76">
        <f>资产资本表!BI22+资产资本表!BI23-资产资本表!BI37</f>
        <v>0</v>
      </c>
      <c r="BJ64" s="76">
        <f>资产资本表!BJ22+资产资本表!BJ23-资产资本表!BJ37</f>
        <v>0</v>
      </c>
      <c r="BK64" s="76">
        <f>资产资本表!BK22+资产资本表!BK23-资产资本表!BK37</f>
        <v>0</v>
      </c>
      <c r="BL64" s="76">
        <f>资产资本表!BL22+资产资本表!BL23-资产资本表!BL37</f>
        <v>0</v>
      </c>
      <c r="BM64" s="76">
        <f>资产资本表!BM22+资产资本表!BM23-资产资本表!BM37</f>
        <v>0</v>
      </c>
      <c r="BN64" s="76">
        <f>资产资本表!BN22+资产资本表!BN23-资产资本表!BN37</f>
        <v>0</v>
      </c>
      <c r="BO64" s="76">
        <f>资产资本表!BO22+资产资本表!BO23-资产资本表!BO37</f>
        <v>0</v>
      </c>
      <c r="BP64" s="76">
        <f>资产资本表!BP22+资产资本表!BP23-资产资本表!BP37</f>
        <v>0</v>
      </c>
      <c r="BQ64" s="76">
        <f>资产资本表!BQ22+资产资本表!BQ23-资产资本表!BQ37</f>
        <v>0</v>
      </c>
      <c r="BR64" s="76">
        <f>资产资本表!BR22+资产资本表!BR23-资产资本表!BR37</f>
        <v>0</v>
      </c>
      <c r="BS64" s="76">
        <f>资产资本表!BS22+资产资本表!BS23-资产资本表!BS37</f>
        <v>0</v>
      </c>
      <c r="BT64" s="76">
        <f>资产资本表!BT22+资产资本表!BT23-资产资本表!BT37</f>
        <v>0</v>
      </c>
      <c r="BU64" s="76">
        <f>资产资本表!BU22+资产资本表!BU23-资产资本表!BU37</f>
        <v>0</v>
      </c>
      <c r="BV64" s="76">
        <f>资产资本表!BV22+资产资本表!BV23-资产资本表!BV37</f>
        <v>0</v>
      </c>
      <c r="BW64" s="76">
        <f>资产资本表!BW22+资产资本表!BW23-资产资本表!BW37</f>
        <v>0</v>
      </c>
      <c r="BX64" s="76">
        <f>资产资本表!BX22+资产资本表!BX23-资产资本表!BX37</f>
        <v>0</v>
      </c>
      <c r="BY64" s="76">
        <f>资产资本表!BY22+资产资本表!BY23-资产资本表!BY37</f>
        <v>0</v>
      </c>
      <c r="BZ64" s="76">
        <f>资产资本表!BZ22+资产资本表!BZ23-资产资本表!BZ37</f>
        <v>0</v>
      </c>
      <c r="CA64" s="76">
        <f>资产资本表!CA22+资产资本表!CA23-资产资本表!CA37</f>
        <v>0</v>
      </c>
      <c r="CB64" s="76">
        <f>资产资本表!CB22+资产资本表!CB23-资产资本表!CB37</f>
        <v>0</v>
      </c>
      <c r="CC64" s="76">
        <f>资产资本表!CC22+资产资本表!CC23-资产资本表!CC37</f>
        <v>0</v>
      </c>
      <c r="CD64" s="76">
        <f>资产资本表!CD22+资产资本表!CD23-资产资本表!CD37</f>
        <v>0</v>
      </c>
      <c r="CE64" s="76">
        <f>资产资本表!CE22+资产资本表!CE23-资产资本表!CE37</f>
        <v>0</v>
      </c>
      <c r="CF64" s="76">
        <f>资产资本表!CF22+资产资本表!CF23-资产资本表!CF37</f>
        <v>0</v>
      </c>
      <c r="CG64" s="76">
        <f>资产资本表!CG22+资产资本表!CG23-资产资本表!CG37</f>
        <v>0</v>
      </c>
      <c r="CH64" s="76">
        <f>资产资本表!CH22+资产资本表!CH23-资产资本表!CH37</f>
        <v>0</v>
      </c>
      <c r="CI64" s="76">
        <f>资产资本表!CI22+资产资本表!CI23-资产资本表!CI37</f>
        <v>0</v>
      </c>
      <c r="CJ64" s="76">
        <f>资产资本表!CJ22+资产资本表!CJ23-资产资本表!CJ37</f>
        <v>0</v>
      </c>
      <c r="CK64" s="76">
        <f>资产资本表!CK22+资产资本表!CK23-资产资本表!CK37</f>
        <v>0</v>
      </c>
    </row>
    <row r="65" spans="1:89" s="155" customFormat="1" x14ac:dyDescent="0.25">
      <c r="A65" s="154" t="s">
        <v>692</v>
      </c>
      <c r="E65" s="155">
        <f>E63/(E64+I64)*2</f>
        <v>16.06647754890686</v>
      </c>
      <c r="F65" s="155">
        <f t="shared" ref="F65:BQ65" si="28">F63/(F64+J64)*2</f>
        <v>10.521440651570952</v>
      </c>
      <c r="G65" s="155">
        <f t="shared" si="28"/>
        <v>7.8853863188430733</v>
      </c>
      <c r="H65" s="155">
        <f t="shared" si="28"/>
        <v>4.1006087559847275</v>
      </c>
      <c r="I65" s="155">
        <f t="shared" si="28"/>
        <v>16.883397336434367</v>
      </c>
      <c r="J65" s="155">
        <f t="shared" si="28"/>
        <v>10.756114713590033</v>
      </c>
      <c r="K65" s="155">
        <f t="shared" si="28"/>
        <v>7.8054566814662003</v>
      </c>
      <c r="L65" s="155">
        <f t="shared" si="28"/>
        <v>4.6984224621668931</v>
      </c>
      <c r="M65" s="155">
        <f t="shared" si="28"/>
        <v>22.44259324672052</v>
      </c>
      <c r="N65" s="155">
        <f t="shared" si="28"/>
        <v>14.360685819335638</v>
      </c>
      <c r="O65" s="155">
        <f t="shared" si="28"/>
        <v>10.500112750414123</v>
      </c>
      <c r="P65" s="155">
        <f t="shared" si="28"/>
        <v>10.121670885193025</v>
      </c>
      <c r="Q65" s="155">
        <f t="shared" si="28"/>
        <v>42.165533851154535</v>
      </c>
      <c r="R65" s="155">
        <f t="shared" si="28"/>
        <v>20.417168934354741</v>
      </c>
      <c r="S65" s="155">
        <f t="shared" si="28"/>
        <v>12.107613098166805</v>
      </c>
      <c r="T65" s="155">
        <f t="shared" si="28"/>
        <v>8.3713468179290054</v>
      </c>
      <c r="U65" s="155">
        <f t="shared" si="28"/>
        <v>30.853660973148301</v>
      </c>
      <c r="V65" s="155">
        <f t="shared" si="28"/>
        <v>18.41986734054974</v>
      </c>
      <c r="W65" s="155">
        <f t="shared" si="28"/>
        <v>13.338681746123841</v>
      </c>
      <c r="X65" s="155">
        <f t="shared" si="28"/>
        <v>7.7838290039456846</v>
      </c>
      <c r="Y65" s="155">
        <f t="shared" si="28"/>
        <v>31.217516429768818</v>
      </c>
      <c r="Z65" s="155">
        <f t="shared" si="28"/>
        <v>21.301134512207263</v>
      </c>
      <c r="AA65" s="155">
        <f t="shared" si="28"/>
        <v>24.362992631566122</v>
      </c>
      <c r="AB65" s="155">
        <f t="shared" si="28"/>
        <v>18.892251744968345</v>
      </c>
      <c r="AC65" s="155">
        <f t="shared" si="28"/>
        <v>34.751339696383667</v>
      </c>
      <c r="AD65" s="155">
        <f t="shared" si="28"/>
        <v>36.407017171719822</v>
      </c>
      <c r="AE65" s="155">
        <f t="shared" si="28"/>
        <v>41.994149766987555</v>
      </c>
      <c r="AF65" s="155">
        <f t="shared" si="28"/>
        <v>318.19101482039395</v>
      </c>
      <c r="AG65" s="155">
        <f t="shared" si="28"/>
        <v>35.956048165156716</v>
      </c>
      <c r="AH65" s="155">
        <f t="shared" si="28"/>
        <v>35.819204942037182</v>
      </c>
      <c r="AI65" s="155">
        <f t="shared" si="28"/>
        <v>27.615709732750183</v>
      </c>
      <c r="AJ65" s="155">
        <f t="shared" si="28"/>
        <v>46.188218055905587</v>
      </c>
      <c r="AK65" s="155">
        <f t="shared" si="28"/>
        <v>47.238133224567612</v>
      </c>
      <c r="AL65" s="155">
        <f t="shared" si="28"/>
        <v>213.32483272047975</v>
      </c>
      <c r="AM65" s="155">
        <f t="shared" si="28"/>
        <v>36.224332732076</v>
      </c>
      <c r="AN65" s="155">
        <f t="shared" si="28"/>
        <v>30.069785620830253</v>
      </c>
      <c r="AO65" s="155">
        <f t="shared" si="28"/>
        <v>129.03830155919593</v>
      </c>
      <c r="AP65" s="155">
        <f t="shared" si="28"/>
        <v>-42.022828748915984</v>
      </c>
      <c r="AQ65" s="155" t="e">
        <f t="shared" si="28"/>
        <v>#DIV/0!</v>
      </c>
      <c r="AR65" s="155" t="e">
        <f t="shared" si="28"/>
        <v>#DIV/0!</v>
      </c>
      <c r="AS65" s="155" t="e">
        <f t="shared" si="28"/>
        <v>#DIV/0!</v>
      </c>
      <c r="AT65" s="155" t="e">
        <f t="shared" si="28"/>
        <v>#DIV/0!</v>
      </c>
      <c r="AU65" s="155" t="e">
        <f t="shared" si="28"/>
        <v>#DIV/0!</v>
      </c>
      <c r="AV65" s="155" t="e">
        <f t="shared" si="28"/>
        <v>#DIV/0!</v>
      </c>
      <c r="AW65" s="155" t="e">
        <f t="shared" si="28"/>
        <v>#DIV/0!</v>
      </c>
      <c r="AX65" s="155" t="e">
        <f t="shared" si="28"/>
        <v>#DIV/0!</v>
      </c>
      <c r="AY65" s="155" t="e">
        <f t="shared" si="28"/>
        <v>#DIV/0!</v>
      </c>
      <c r="AZ65" s="155" t="e">
        <f t="shared" si="28"/>
        <v>#DIV/0!</v>
      </c>
      <c r="BA65" s="155" t="e">
        <f t="shared" si="28"/>
        <v>#DIV/0!</v>
      </c>
      <c r="BB65" s="155" t="e">
        <f t="shared" si="28"/>
        <v>#DIV/0!</v>
      </c>
      <c r="BC65" s="155" t="e">
        <f t="shared" si="28"/>
        <v>#DIV/0!</v>
      </c>
      <c r="BD65" s="155" t="e">
        <f t="shared" si="28"/>
        <v>#DIV/0!</v>
      </c>
      <c r="BE65" s="155" t="e">
        <f t="shared" si="28"/>
        <v>#DIV/0!</v>
      </c>
      <c r="BF65" s="155" t="e">
        <f t="shared" si="28"/>
        <v>#DIV/0!</v>
      </c>
      <c r="BG65" s="155" t="e">
        <f t="shared" si="28"/>
        <v>#DIV/0!</v>
      </c>
      <c r="BH65" s="155" t="e">
        <f t="shared" si="28"/>
        <v>#DIV/0!</v>
      </c>
      <c r="BI65" s="155" t="e">
        <f t="shared" si="28"/>
        <v>#DIV/0!</v>
      </c>
      <c r="BJ65" s="155" t="e">
        <f t="shared" si="28"/>
        <v>#DIV/0!</v>
      </c>
      <c r="BK65" s="155" t="e">
        <f t="shared" si="28"/>
        <v>#DIV/0!</v>
      </c>
      <c r="BL65" s="155" t="e">
        <f t="shared" si="28"/>
        <v>#DIV/0!</v>
      </c>
      <c r="BM65" s="155" t="e">
        <f t="shared" si="28"/>
        <v>#DIV/0!</v>
      </c>
      <c r="BN65" s="155" t="e">
        <f t="shared" si="28"/>
        <v>#DIV/0!</v>
      </c>
      <c r="BO65" s="155" t="e">
        <f t="shared" si="28"/>
        <v>#DIV/0!</v>
      </c>
      <c r="BP65" s="155" t="e">
        <f t="shared" si="28"/>
        <v>#DIV/0!</v>
      </c>
      <c r="BQ65" s="155" t="e">
        <f t="shared" si="28"/>
        <v>#DIV/0!</v>
      </c>
      <c r="BR65" s="155" t="e">
        <f t="shared" ref="BR65:CK65" si="29">BR63/(BR64+BV64)*2</f>
        <v>#DIV/0!</v>
      </c>
      <c r="BS65" s="155" t="e">
        <f t="shared" si="29"/>
        <v>#DIV/0!</v>
      </c>
      <c r="BT65" s="155" t="e">
        <f t="shared" si="29"/>
        <v>#DIV/0!</v>
      </c>
      <c r="BU65" s="155" t="e">
        <f t="shared" si="29"/>
        <v>#DIV/0!</v>
      </c>
      <c r="BV65" s="155" t="e">
        <f t="shared" si="29"/>
        <v>#DIV/0!</v>
      </c>
      <c r="BW65" s="155" t="e">
        <f t="shared" si="29"/>
        <v>#DIV/0!</v>
      </c>
      <c r="BX65" s="155" t="e">
        <f t="shared" si="29"/>
        <v>#DIV/0!</v>
      </c>
      <c r="BY65" s="155" t="e">
        <f t="shared" si="29"/>
        <v>#DIV/0!</v>
      </c>
      <c r="BZ65" s="155" t="e">
        <f t="shared" si="29"/>
        <v>#DIV/0!</v>
      </c>
      <c r="CA65" s="155" t="e">
        <f t="shared" si="29"/>
        <v>#DIV/0!</v>
      </c>
      <c r="CB65" s="155" t="e">
        <f t="shared" si="29"/>
        <v>#DIV/0!</v>
      </c>
      <c r="CC65" s="155" t="e">
        <f t="shared" si="29"/>
        <v>#DIV/0!</v>
      </c>
      <c r="CD65" s="155" t="e">
        <f t="shared" si="29"/>
        <v>#DIV/0!</v>
      </c>
      <c r="CE65" s="155" t="e">
        <f t="shared" si="29"/>
        <v>#DIV/0!</v>
      </c>
      <c r="CF65" s="155" t="e">
        <f t="shared" si="29"/>
        <v>#DIV/0!</v>
      </c>
      <c r="CG65" s="155" t="e">
        <f t="shared" si="29"/>
        <v>#DIV/0!</v>
      </c>
      <c r="CH65" s="155" t="e">
        <f t="shared" si="29"/>
        <v>#DIV/0!</v>
      </c>
      <c r="CI65" s="155" t="e">
        <f t="shared" si="29"/>
        <v>#DIV/0!</v>
      </c>
      <c r="CJ65" s="155" t="e">
        <f t="shared" si="29"/>
        <v>#DIV/0!</v>
      </c>
      <c r="CK65" s="155" t="e">
        <f t="shared" si="29"/>
        <v>#DIV/0!</v>
      </c>
    </row>
    <row r="66" spans="1:89" s="83" customFormat="1" x14ac:dyDescent="0.25">
      <c r="A66" s="148" t="s">
        <v>474</v>
      </c>
      <c r="E66" s="83">
        <f>E62/E65</f>
        <v>22.718109734316595</v>
      </c>
      <c r="F66" s="83">
        <f t="shared" ref="F66:BQ66" si="30">F62/F65</f>
        <v>34.691066754770127</v>
      </c>
      <c r="G66" s="83">
        <f t="shared" si="30"/>
        <v>46.288157008590545</v>
      </c>
      <c r="H66" s="83">
        <f t="shared" si="30"/>
        <v>89.011174125620343</v>
      </c>
      <c r="I66" s="83">
        <f t="shared" si="30"/>
        <v>21.61887164808531</v>
      </c>
      <c r="J66" s="83">
        <f t="shared" si="30"/>
        <v>33.934186248388862</v>
      </c>
      <c r="K66" s="83">
        <f t="shared" si="30"/>
        <v>46.762158179249198</v>
      </c>
      <c r="L66" s="83">
        <f t="shared" si="30"/>
        <v>77.6856493725478</v>
      </c>
      <c r="M66" s="83">
        <f t="shared" si="30"/>
        <v>16.263717654524463</v>
      </c>
      <c r="N66" s="83">
        <f t="shared" si="30"/>
        <v>25.416613425840261</v>
      </c>
      <c r="O66" s="83">
        <f t="shared" si="30"/>
        <v>34.761531487898019</v>
      </c>
      <c r="P66" s="83">
        <f t="shared" si="30"/>
        <v>36.061239704400769</v>
      </c>
      <c r="Q66" s="83">
        <f t="shared" si="30"/>
        <v>8.6563590369437691</v>
      </c>
      <c r="R66" s="83">
        <f t="shared" si="30"/>
        <v>17.877111227984035</v>
      </c>
      <c r="S66" s="83">
        <f t="shared" si="30"/>
        <v>30.146321743239721</v>
      </c>
      <c r="T66" s="83">
        <f t="shared" si="30"/>
        <v>43.601108392531948</v>
      </c>
      <c r="U66" s="83">
        <f t="shared" si="30"/>
        <v>11.830038591454565</v>
      </c>
      <c r="V66" s="83">
        <f t="shared" si="30"/>
        <v>19.815560734060455</v>
      </c>
      <c r="W66" s="83">
        <f t="shared" si="30"/>
        <v>27.364023443026316</v>
      </c>
      <c r="X66" s="83">
        <f t="shared" si="30"/>
        <v>46.892088689895246</v>
      </c>
      <c r="Y66" s="83">
        <f t="shared" si="30"/>
        <v>11.692153692660138</v>
      </c>
      <c r="Z66" s="83">
        <f t="shared" si="30"/>
        <v>17.135237552292139</v>
      </c>
      <c r="AA66" s="83">
        <f t="shared" si="30"/>
        <v>14.981739128676852</v>
      </c>
      <c r="AB66" s="83">
        <f t="shared" si="30"/>
        <v>19.320089787455434</v>
      </c>
      <c r="AC66" s="83">
        <f t="shared" si="30"/>
        <v>10.503192198889041</v>
      </c>
      <c r="AD66" s="83">
        <f t="shared" si="30"/>
        <v>10.025539809493759</v>
      </c>
      <c r="AE66" s="83">
        <f t="shared" si="30"/>
        <v>8.6916868665104836</v>
      </c>
      <c r="AF66" s="83">
        <f t="shared" si="30"/>
        <v>1.1471097014038183</v>
      </c>
      <c r="AG66" s="83">
        <f t="shared" si="30"/>
        <v>10.151282430245047</v>
      </c>
      <c r="AH66" s="83">
        <f t="shared" si="30"/>
        <v>10.190064257167204</v>
      </c>
      <c r="AI66" s="83">
        <f t="shared" si="30"/>
        <v>13.217114589205616</v>
      </c>
      <c r="AJ66" s="83">
        <f t="shared" si="30"/>
        <v>7.9024481862064695</v>
      </c>
      <c r="AK66" s="83">
        <f t="shared" si="30"/>
        <v>7.7268083026229917</v>
      </c>
      <c r="AL66" s="83">
        <f t="shared" si="30"/>
        <v>1.7110056777977682</v>
      </c>
      <c r="AM66" s="83">
        <f t="shared" si="30"/>
        <v>10.076100026455395</v>
      </c>
      <c r="AN66" s="83">
        <f t="shared" si="30"/>
        <v>12.138430403280076</v>
      </c>
      <c r="AO66" s="83">
        <f t="shared" si="30"/>
        <v>2.8286175158044635</v>
      </c>
      <c r="AP66" s="83">
        <f t="shared" si="30"/>
        <v>-8.6857551208857036</v>
      </c>
      <c r="AQ66" s="83" t="e">
        <f t="shared" si="30"/>
        <v>#DIV/0!</v>
      </c>
      <c r="AR66" s="83" t="e">
        <f t="shared" si="30"/>
        <v>#DIV/0!</v>
      </c>
      <c r="AS66" s="83" t="e">
        <f t="shared" si="30"/>
        <v>#DIV/0!</v>
      </c>
      <c r="AT66" s="83" t="e">
        <f t="shared" si="30"/>
        <v>#DIV/0!</v>
      </c>
      <c r="AU66" s="83" t="e">
        <f t="shared" si="30"/>
        <v>#DIV/0!</v>
      </c>
      <c r="AV66" s="83" t="e">
        <f t="shared" si="30"/>
        <v>#DIV/0!</v>
      </c>
      <c r="AW66" s="83" t="e">
        <f t="shared" si="30"/>
        <v>#DIV/0!</v>
      </c>
      <c r="AX66" s="83" t="e">
        <f t="shared" si="30"/>
        <v>#DIV/0!</v>
      </c>
      <c r="AY66" s="83" t="e">
        <f t="shared" si="30"/>
        <v>#DIV/0!</v>
      </c>
      <c r="AZ66" s="83" t="e">
        <f t="shared" si="30"/>
        <v>#DIV/0!</v>
      </c>
      <c r="BA66" s="83" t="e">
        <f t="shared" si="30"/>
        <v>#DIV/0!</v>
      </c>
      <c r="BB66" s="83" t="e">
        <f t="shared" si="30"/>
        <v>#DIV/0!</v>
      </c>
      <c r="BC66" s="83" t="e">
        <f t="shared" si="30"/>
        <v>#DIV/0!</v>
      </c>
      <c r="BD66" s="83" t="e">
        <f t="shared" si="30"/>
        <v>#DIV/0!</v>
      </c>
      <c r="BE66" s="83" t="e">
        <f t="shared" si="30"/>
        <v>#DIV/0!</v>
      </c>
      <c r="BF66" s="83" t="e">
        <f t="shared" si="30"/>
        <v>#DIV/0!</v>
      </c>
      <c r="BG66" s="83" t="e">
        <f t="shared" si="30"/>
        <v>#DIV/0!</v>
      </c>
      <c r="BH66" s="83" t="e">
        <f t="shared" si="30"/>
        <v>#DIV/0!</v>
      </c>
      <c r="BI66" s="83" t="e">
        <f t="shared" si="30"/>
        <v>#DIV/0!</v>
      </c>
      <c r="BJ66" s="83" t="e">
        <f t="shared" si="30"/>
        <v>#DIV/0!</v>
      </c>
      <c r="BK66" s="83" t="e">
        <f t="shared" si="30"/>
        <v>#DIV/0!</v>
      </c>
      <c r="BL66" s="83" t="e">
        <f t="shared" si="30"/>
        <v>#DIV/0!</v>
      </c>
      <c r="BM66" s="83" t="e">
        <f t="shared" si="30"/>
        <v>#DIV/0!</v>
      </c>
      <c r="BN66" s="83" t="e">
        <f t="shared" si="30"/>
        <v>#DIV/0!</v>
      </c>
      <c r="BO66" s="83" t="e">
        <f t="shared" si="30"/>
        <v>#DIV/0!</v>
      </c>
      <c r="BP66" s="83" t="e">
        <f t="shared" si="30"/>
        <v>#DIV/0!</v>
      </c>
      <c r="BQ66" s="83" t="e">
        <f t="shared" si="30"/>
        <v>#DIV/0!</v>
      </c>
      <c r="BR66" s="83" t="e">
        <f t="shared" ref="BR66:CJ66" si="31">BR62/BR65</f>
        <v>#DIV/0!</v>
      </c>
      <c r="BS66" s="83" t="e">
        <f t="shared" si="31"/>
        <v>#DIV/0!</v>
      </c>
      <c r="BT66" s="83" t="e">
        <f t="shared" si="31"/>
        <v>#DIV/0!</v>
      </c>
      <c r="BU66" s="83" t="e">
        <f t="shared" si="31"/>
        <v>#DIV/0!</v>
      </c>
      <c r="BV66" s="83" t="e">
        <f t="shared" si="31"/>
        <v>#DIV/0!</v>
      </c>
      <c r="BW66" s="83" t="e">
        <f t="shared" si="31"/>
        <v>#DIV/0!</v>
      </c>
      <c r="BX66" s="83" t="e">
        <f t="shared" si="31"/>
        <v>#DIV/0!</v>
      </c>
      <c r="BY66" s="83" t="e">
        <f t="shared" si="31"/>
        <v>#DIV/0!</v>
      </c>
      <c r="BZ66" s="83" t="e">
        <f t="shared" si="31"/>
        <v>#DIV/0!</v>
      </c>
      <c r="CA66" s="83" t="e">
        <f t="shared" si="31"/>
        <v>#DIV/0!</v>
      </c>
      <c r="CB66" s="83" t="e">
        <f t="shared" si="31"/>
        <v>#DIV/0!</v>
      </c>
      <c r="CC66" s="83" t="e">
        <f t="shared" si="31"/>
        <v>#DIV/0!</v>
      </c>
      <c r="CD66" s="83" t="e">
        <f t="shared" si="31"/>
        <v>#DIV/0!</v>
      </c>
      <c r="CE66" s="83" t="e">
        <f t="shared" si="31"/>
        <v>#DIV/0!</v>
      </c>
      <c r="CF66" s="83" t="e">
        <f t="shared" si="31"/>
        <v>#DIV/0!</v>
      </c>
      <c r="CG66" s="83" t="e">
        <f t="shared" si="31"/>
        <v>#DIV/0!</v>
      </c>
      <c r="CH66" s="83" t="e">
        <f t="shared" si="31"/>
        <v>#DIV/0!</v>
      </c>
      <c r="CI66" s="83" t="e">
        <f t="shared" si="31"/>
        <v>#DIV/0!</v>
      </c>
      <c r="CJ66" s="83" t="e">
        <f t="shared" si="31"/>
        <v>#DIV/0!</v>
      </c>
    </row>
    <row r="67" spans="1:89" s="76" customFormat="1" x14ac:dyDescent="0.25">
      <c r="A67" s="147" t="s">
        <v>475</v>
      </c>
      <c r="E67" s="76">
        <f>股权价值增加表!E5</f>
        <v>2635590846.21</v>
      </c>
      <c r="F67" s="76">
        <f>股权价值增加表!F5</f>
        <v>1773993047.99</v>
      </c>
      <c r="G67" s="76">
        <f>股权价值增加表!G5</f>
        <v>1090223199.48</v>
      </c>
      <c r="H67" s="76">
        <f>股权价值增加表!H5</f>
        <v>586351416.38999999</v>
      </c>
      <c r="I67" s="76">
        <f>股权价值增加表!I5</f>
        <v>1624554797.76</v>
      </c>
      <c r="J67" s="76">
        <f>股权价值增加表!J5</f>
        <v>1105706598.52</v>
      </c>
      <c r="K67" s="76">
        <f>股权价值增加表!K5</f>
        <v>676890906.00999999</v>
      </c>
      <c r="L67" s="76">
        <f>股权价值增加表!L5</f>
        <v>382181848.41000003</v>
      </c>
      <c r="M67" s="76">
        <f>股权价值增加表!M5</f>
        <v>1488077938.76</v>
      </c>
      <c r="N67" s="76">
        <f>股权价值增加表!N5</f>
        <v>1070685858.4</v>
      </c>
      <c r="O67" s="76">
        <f>股权价值增加表!O5</f>
        <v>646044667.88</v>
      </c>
      <c r="P67" s="76">
        <f>股权价值增加表!P5</f>
        <v>368353515.80000001</v>
      </c>
      <c r="Q67" s="76">
        <f>股权价值增加表!Q5</f>
        <v>1522590313.74</v>
      </c>
      <c r="R67" s="76">
        <f>股权价值增加表!R5</f>
        <v>1049502064.09</v>
      </c>
      <c r="S67" s="76">
        <f>股权价值增加表!S5</f>
        <v>614113615.22000003</v>
      </c>
      <c r="T67" s="76">
        <f>股权价值增加表!T5</f>
        <v>364584481.94</v>
      </c>
      <c r="U67" s="76">
        <f>股权价值增加表!U5</f>
        <v>1414058164.54</v>
      </c>
      <c r="V67" s="76">
        <f>股权价值增加表!V5</f>
        <v>987390552.35000002</v>
      </c>
      <c r="W67" s="76">
        <f>股权价值增加表!W5</f>
        <v>613641321.99000001</v>
      </c>
      <c r="X67" s="76">
        <f>股权价值增加表!X5</f>
        <v>354907772.18000001</v>
      </c>
      <c r="Y67" s="76">
        <f>股权价值增加表!Y5</f>
        <v>1574584274.8199999</v>
      </c>
      <c r="Z67" s="76">
        <f>股权价值增加表!Z5</f>
        <v>1075633938.99</v>
      </c>
      <c r="AA67" s="76">
        <f>股权价值增加表!AA5</f>
        <v>583133528.04999995</v>
      </c>
      <c r="AB67" s="76">
        <f>股权价值增加表!AB5</f>
        <v>327439565.81</v>
      </c>
      <c r="AC67" s="76">
        <f>股权价值增加表!AC5</f>
        <v>1377436916.3499999</v>
      </c>
      <c r="AD67" s="76">
        <f>股权价值增加表!AD5</f>
        <v>987289834.52999997</v>
      </c>
      <c r="AE67" s="76">
        <f>股权价值增加表!AE5</f>
        <v>593673817.29999995</v>
      </c>
      <c r="AF67" s="76">
        <f>股权价值增加表!AF5</f>
        <v>349417553.02999997</v>
      </c>
      <c r="AG67" s="76">
        <f>股权价值增加表!AG5</f>
        <v>1131280282.5999999</v>
      </c>
      <c r="AH67" s="76">
        <f>股权价值增加表!AH5</f>
        <v>712739208.15999997</v>
      </c>
      <c r="AI67" s="76">
        <f>股权价值增加表!AI5</f>
        <v>401643789.75</v>
      </c>
      <c r="AJ67" s="76">
        <f>股权价值增加表!AJ5</f>
        <v>217129319.08000001</v>
      </c>
      <c r="AK67" s="76">
        <f>股权价值增加表!AK5</f>
        <v>697436260.83000004</v>
      </c>
      <c r="AL67" s="76">
        <f>股权价值增加表!AL5</f>
        <v>441509914.73000002</v>
      </c>
      <c r="AM67" s="76">
        <f>股权价值增加表!AM5</f>
        <v>245422172.28</v>
      </c>
      <c r="AN67" s="76">
        <f>股权价值增加表!AN5</f>
        <v>160507029.72999999</v>
      </c>
      <c r="AO67" s="76">
        <f>股权价值增加表!AO5</f>
        <v>568121133.83000004</v>
      </c>
      <c r="AP67" s="76">
        <f>股权价值增加表!AP5</f>
        <v>392963008.33999997</v>
      </c>
      <c r="AQ67" s="76">
        <f>股权价值增加表!AQ5</f>
        <v>492404923.29000002</v>
      </c>
      <c r="AR67" s="76">
        <f>股权价值增加表!AR5</f>
        <v>410889235.10000002</v>
      </c>
      <c r="AS67" s="76">
        <f>股权价值增加表!AS5</f>
        <v>0</v>
      </c>
      <c r="AT67" s="76">
        <f>股权价值增加表!AT5</f>
        <v>0</v>
      </c>
      <c r="AU67" s="76">
        <f>股权价值增加表!AU5</f>
        <v>0</v>
      </c>
      <c r="AV67" s="76">
        <f>股权价值增加表!AV5</f>
        <v>0</v>
      </c>
      <c r="AW67" s="76">
        <f>股权价值增加表!AW5</f>
        <v>0</v>
      </c>
      <c r="AX67" s="76">
        <f>股权价值增加表!AX5</f>
        <v>0</v>
      </c>
      <c r="AY67" s="76">
        <f>股权价值增加表!AY5</f>
        <v>0</v>
      </c>
      <c r="AZ67" s="76">
        <f>股权价值增加表!AZ5</f>
        <v>0</v>
      </c>
      <c r="BA67" s="76">
        <f>股权价值增加表!BA5</f>
        <v>0</v>
      </c>
      <c r="BB67" s="76">
        <f>股权价值增加表!BB5</f>
        <v>0</v>
      </c>
      <c r="BC67" s="76">
        <f>股权价值增加表!BC5</f>
        <v>0</v>
      </c>
      <c r="BD67" s="76">
        <f>股权价值增加表!BD5</f>
        <v>0</v>
      </c>
      <c r="BE67" s="76">
        <f>股权价值增加表!BE5</f>
        <v>0</v>
      </c>
      <c r="BF67" s="76">
        <f>股权价值增加表!BF5</f>
        <v>0</v>
      </c>
      <c r="BG67" s="76">
        <f>股权价值增加表!BG5</f>
        <v>0</v>
      </c>
      <c r="BH67" s="76">
        <f>股权价值增加表!BH5</f>
        <v>0</v>
      </c>
      <c r="BI67" s="76">
        <f>股权价值增加表!BI5</f>
        <v>0</v>
      </c>
      <c r="BJ67" s="76">
        <f>股权价值增加表!BJ5</f>
        <v>0</v>
      </c>
      <c r="BK67" s="76">
        <f>股权价值增加表!BK5</f>
        <v>0</v>
      </c>
      <c r="BL67" s="76">
        <f>股权价值增加表!BL5</f>
        <v>0</v>
      </c>
      <c r="BM67" s="76">
        <f>股权价值增加表!BM5</f>
        <v>0</v>
      </c>
      <c r="BN67" s="76">
        <f>股权价值增加表!BN5</f>
        <v>0</v>
      </c>
      <c r="BO67" s="76">
        <f>股权价值增加表!BO5</f>
        <v>0</v>
      </c>
      <c r="BP67" s="76">
        <f>股权价值增加表!BP5</f>
        <v>0</v>
      </c>
      <c r="BQ67" s="76">
        <f>股权价值增加表!BQ5</f>
        <v>0</v>
      </c>
      <c r="BR67" s="76">
        <f>股权价值增加表!BR5</f>
        <v>0</v>
      </c>
      <c r="BS67" s="76">
        <f>股权价值增加表!BS5</f>
        <v>0</v>
      </c>
      <c r="BT67" s="76">
        <f>股权价值增加表!BT5</f>
        <v>0</v>
      </c>
      <c r="BU67" s="76">
        <f>股权价值增加表!BU5</f>
        <v>0</v>
      </c>
      <c r="BV67" s="76">
        <f>股权价值增加表!BV5</f>
        <v>0</v>
      </c>
      <c r="BW67" s="76">
        <f>股权价值增加表!BW5</f>
        <v>0</v>
      </c>
      <c r="BX67" s="76">
        <f>股权价值增加表!BX5</f>
        <v>0</v>
      </c>
      <c r="BY67" s="76">
        <f>股权价值增加表!BY5</f>
        <v>0</v>
      </c>
      <c r="BZ67" s="76">
        <f>股权价值增加表!BZ5</f>
        <v>0</v>
      </c>
      <c r="CA67" s="76">
        <f>股权价值增加表!CA5</f>
        <v>0</v>
      </c>
      <c r="CB67" s="76">
        <f>股权价值增加表!CB5</f>
        <v>0</v>
      </c>
      <c r="CC67" s="76">
        <f>股权价值增加表!CC5</f>
        <v>0</v>
      </c>
      <c r="CD67" s="76">
        <f>股权价值增加表!CD5</f>
        <v>0</v>
      </c>
      <c r="CE67" s="76">
        <f>股权价值增加表!CE5</f>
        <v>0</v>
      </c>
      <c r="CF67" s="76">
        <f>股权价值增加表!CF5</f>
        <v>0</v>
      </c>
      <c r="CG67" s="76">
        <f>股权价值增加表!CG5</f>
        <v>0</v>
      </c>
      <c r="CH67" s="76">
        <f>股权价值增加表!CH5</f>
        <v>0</v>
      </c>
      <c r="CI67" s="76">
        <f>股权价值增加表!CI5</f>
        <v>0</v>
      </c>
      <c r="CJ67" s="76">
        <f>股权价值增加表!CJ5</f>
        <v>0</v>
      </c>
      <c r="CK67" s="76">
        <f>股权价值增加表!CK5</f>
        <v>0</v>
      </c>
    </row>
    <row r="68" spans="1:89" s="76" customFormat="1" x14ac:dyDescent="0.25">
      <c r="A68" s="147" t="s">
        <v>476</v>
      </c>
      <c r="E68" s="76">
        <f>资产资本表!E26</f>
        <v>1006969529.14</v>
      </c>
      <c r="F68" s="76">
        <f>资产资本表!F26</f>
        <v>1155240446.72</v>
      </c>
      <c r="G68" s="76">
        <f>资产资本表!G26</f>
        <v>1079101133.6400001</v>
      </c>
      <c r="H68" s="76">
        <f>资产资本表!H26</f>
        <v>955221936.07000005</v>
      </c>
      <c r="I68" s="76">
        <f>资产资本表!I26</f>
        <v>658849754.71000004</v>
      </c>
      <c r="J68" s="76">
        <f>资产资本表!J26</f>
        <v>648882684.19000006</v>
      </c>
      <c r="K68" s="76">
        <f>资产资本表!K26</f>
        <v>584122349.22000003</v>
      </c>
      <c r="L68" s="76">
        <f>资产资本表!L26</f>
        <v>561215080.60000002</v>
      </c>
      <c r="M68" s="76">
        <f>资产资本表!M26</f>
        <v>659822679.88999999</v>
      </c>
      <c r="N68" s="76">
        <f>资产资本表!N26</f>
        <v>596130321.23000002</v>
      </c>
      <c r="O68" s="76">
        <f>资产资本表!O26</f>
        <v>609801140.38999999</v>
      </c>
      <c r="P68" s="76">
        <f>资产资本表!P26</f>
        <v>560459480.14999998</v>
      </c>
      <c r="Q68" s="76">
        <f>资产资本表!Q26</f>
        <v>633174159.28999996</v>
      </c>
      <c r="R68" s="76">
        <f>资产资本表!R26</f>
        <v>667486290.90999997</v>
      </c>
      <c r="S68" s="76">
        <f>资产资本表!S26</f>
        <v>698269102.41999996</v>
      </c>
      <c r="T68" s="76">
        <f>资产资本表!T26</f>
        <v>606326560.25999999</v>
      </c>
      <c r="U68" s="76">
        <f>资产资本表!U26</f>
        <v>685201506.19000006</v>
      </c>
      <c r="V68" s="76">
        <f>资产资本表!V26</f>
        <v>665815546.09000003</v>
      </c>
      <c r="W68" s="76">
        <f>资产资本表!W26</f>
        <v>678268671.26999998</v>
      </c>
      <c r="X68" s="76">
        <f>资产资本表!X26</f>
        <v>626612547.63</v>
      </c>
      <c r="Y68" s="76">
        <f>资产资本表!Y26</f>
        <v>617828802.88</v>
      </c>
      <c r="Z68" s="76">
        <f>资产资本表!Z26</f>
        <v>684421196.61000001</v>
      </c>
      <c r="AA68" s="76">
        <f>资产资本表!AA26</f>
        <v>767935065.25999999</v>
      </c>
      <c r="AB68" s="76">
        <f>资产资本表!AB26</f>
        <v>616708419.55999994</v>
      </c>
      <c r="AC68" s="76">
        <f>资产资本表!AC26</f>
        <v>517115102.25999999</v>
      </c>
      <c r="AD68" s="76">
        <f>资产资本表!AD26</f>
        <v>498955231.80000001</v>
      </c>
      <c r="AE68" s="76">
        <f>资产资本表!AE26</f>
        <v>518664663.74000001</v>
      </c>
      <c r="AF68" s="76">
        <f>资产资本表!AF26</f>
        <v>433392310.58999997</v>
      </c>
      <c r="AG68" s="76">
        <f>资产资本表!AG26</f>
        <v>458547043.06999999</v>
      </c>
      <c r="AH68" s="76">
        <f>资产资本表!AH26</f>
        <v>462790607.91000003</v>
      </c>
      <c r="AI68" s="76">
        <f>资产资本表!AI26</f>
        <v>392900466.92000002</v>
      </c>
      <c r="AJ68" s="76">
        <f>资产资本表!AJ26</f>
        <v>288797940.39999998</v>
      </c>
      <c r="AK68" s="76">
        <f>资产资本表!AK26</f>
        <v>260446354.96000001</v>
      </c>
      <c r="AL68" s="76">
        <f>资产资本表!AL26</f>
        <v>228862805.44999999</v>
      </c>
      <c r="AM68" s="76">
        <f>资产资本表!AM26</f>
        <v>238414526.06999999</v>
      </c>
      <c r="AN68" s="76">
        <f>资产资本表!AN26</f>
        <v>212903239.86000001</v>
      </c>
      <c r="AO68" s="76">
        <f>资产资本表!AO26</f>
        <v>179548764.44</v>
      </c>
      <c r="AP68" s="76">
        <f>资产资本表!AP26</f>
        <v>151966774.36000001</v>
      </c>
      <c r="AQ68" s="76">
        <f>资产资本表!AQ26</f>
        <v>0</v>
      </c>
      <c r="AR68" s="76">
        <f>资产资本表!AR26</f>
        <v>0</v>
      </c>
      <c r="AS68" s="76">
        <f>资产资本表!AS26</f>
        <v>0</v>
      </c>
      <c r="AT68" s="76">
        <f>资产资本表!AT26</f>
        <v>0</v>
      </c>
      <c r="AU68" s="76">
        <f>资产资本表!AU26</f>
        <v>0</v>
      </c>
      <c r="AV68" s="76">
        <f>资产资本表!AV26</f>
        <v>0</v>
      </c>
      <c r="AW68" s="76">
        <f>资产资本表!AW26</f>
        <v>0</v>
      </c>
      <c r="AX68" s="76">
        <f>资产资本表!AX26</f>
        <v>0</v>
      </c>
      <c r="AY68" s="76">
        <f>资产资本表!AY26</f>
        <v>0</v>
      </c>
      <c r="AZ68" s="76">
        <f>资产资本表!AZ26</f>
        <v>0</v>
      </c>
      <c r="BA68" s="76">
        <f>资产资本表!BA26</f>
        <v>0</v>
      </c>
      <c r="BB68" s="76">
        <f>资产资本表!BB26</f>
        <v>0</v>
      </c>
      <c r="BC68" s="76">
        <f>资产资本表!BC26</f>
        <v>0</v>
      </c>
      <c r="BD68" s="76">
        <f>资产资本表!BD26</f>
        <v>0</v>
      </c>
      <c r="BE68" s="76">
        <f>资产资本表!BE26</f>
        <v>0</v>
      </c>
      <c r="BF68" s="76">
        <f>资产资本表!BF26</f>
        <v>0</v>
      </c>
      <c r="BG68" s="76">
        <f>资产资本表!BG26</f>
        <v>0</v>
      </c>
      <c r="BH68" s="76">
        <f>资产资本表!BH26</f>
        <v>0</v>
      </c>
      <c r="BI68" s="76">
        <f>资产资本表!BI26</f>
        <v>0</v>
      </c>
      <c r="BJ68" s="76">
        <f>资产资本表!BJ26</f>
        <v>0</v>
      </c>
      <c r="BK68" s="76">
        <f>资产资本表!BK26</f>
        <v>0</v>
      </c>
      <c r="BL68" s="76">
        <f>资产资本表!BL26</f>
        <v>0</v>
      </c>
      <c r="BM68" s="76">
        <f>资产资本表!BM26</f>
        <v>0</v>
      </c>
      <c r="BN68" s="76">
        <f>资产资本表!BN26</f>
        <v>0</v>
      </c>
      <c r="BO68" s="76">
        <f>资产资本表!BO26</f>
        <v>0</v>
      </c>
      <c r="BP68" s="76">
        <f>资产资本表!BP26</f>
        <v>0</v>
      </c>
      <c r="BQ68" s="76">
        <f>资产资本表!BQ26</f>
        <v>0</v>
      </c>
      <c r="BR68" s="76">
        <f>资产资本表!BR26</f>
        <v>0</v>
      </c>
      <c r="BS68" s="76">
        <f>资产资本表!BS26</f>
        <v>0</v>
      </c>
      <c r="BT68" s="76">
        <f>资产资本表!BT26</f>
        <v>0</v>
      </c>
      <c r="BU68" s="76">
        <f>资产资本表!BU26</f>
        <v>0</v>
      </c>
      <c r="BV68" s="76">
        <f>资产资本表!BV26</f>
        <v>0</v>
      </c>
      <c r="BW68" s="76">
        <f>资产资本表!BW26</f>
        <v>0</v>
      </c>
      <c r="BX68" s="76">
        <f>资产资本表!BX26</f>
        <v>0</v>
      </c>
      <c r="BY68" s="76">
        <f>资产资本表!BY26</f>
        <v>0</v>
      </c>
      <c r="BZ68" s="76">
        <f>资产资本表!BZ26</f>
        <v>0</v>
      </c>
      <c r="CA68" s="76">
        <f>资产资本表!CA26</f>
        <v>0</v>
      </c>
      <c r="CB68" s="76">
        <f>资产资本表!CB26</f>
        <v>0</v>
      </c>
      <c r="CC68" s="76">
        <f>资产资本表!CC26</f>
        <v>0</v>
      </c>
      <c r="CD68" s="76">
        <f>资产资本表!CD26</f>
        <v>0</v>
      </c>
      <c r="CE68" s="76">
        <f>资产资本表!CE26</f>
        <v>0</v>
      </c>
      <c r="CF68" s="76">
        <f>资产资本表!CF26</f>
        <v>0</v>
      </c>
      <c r="CG68" s="76">
        <f>资产资本表!CG26</f>
        <v>0</v>
      </c>
      <c r="CH68" s="76">
        <f>资产资本表!CH26</f>
        <v>0</v>
      </c>
      <c r="CI68" s="76">
        <f>资产资本表!CI26</f>
        <v>0</v>
      </c>
      <c r="CJ68" s="76">
        <f>资产资本表!CJ26</f>
        <v>0</v>
      </c>
    </row>
    <row r="69" spans="1:89" s="155" customFormat="1" x14ac:dyDescent="0.25">
      <c r="A69" s="154" t="s">
        <v>477</v>
      </c>
      <c r="E69" s="155">
        <f>E67/(E68+I68)*2</f>
        <v>3.1643178485948229</v>
      </c>
      <c r="F69" s="155">
        <f t="shared" ref="F69:BQ69" si="32">F67/(F68+J68)*2</f>
        <v>1.966598640188375</v>
      </c>
      <c r="G69" s="155">
        <f t="shared" si="32"/>
        <v>1.3109761985867394</v>
      </c>
      <c r="H69" s="155">
        <f t="shared" si="32"/>
        <v>0.77332775439311108</v>
      </c>
      <c r="I69" s="155">
        <f t="shared" si="32"/>
        <v>2.4639247096308416</v>
      </c>
      <c r="J69" s="155">
        <f t="shared" si="32"/>
        <v>1.7762169450543119</v>
      </c>
      <c r="K69" s="155">
        <f t="shared" si="32"/>
        <v>1.1338932718898245</v>
      </c>
      <c r="L69" s="155">
        <f t="shared" si="32"/>
        <v>0.68144872279969826</v>
      </c>
      <c r="M69" s="155">
        <f t="shared" si="32"/>
        <v>2.3017503116306424</v>
      </c>
      <c r="N69" s="155">
        <f t="shared" si="32"/>
        <v>1.6946371994694471</v>
      </c>
      <c r="O69" s="155">
        <f t="shared" si="32"/>
        <v>0.98778283724605664</v>
      </c>
      <c r="P69" s="155">
        <f t="shared" si="32"/>
        <v>0.63139856501979297</v>
      </c>
      <c r="Q69" s="155">
        <f t="shared" si="32"/>
        <v>2.3097973568643635</v>
      </c>
      <c r="R69" s="155">
        <f t="shared" si="32"/>
        <v>1.574290284413671</v>
      </c>
      <c r="S69" s="155">
        <f t="shared" si="32"/>
        <v>0.89225828300197452</v>
      </c>
      <c r="T69" s="155">
        <f t="shared" si="32"/>
        <v>0.59140711752413233</v>
      </c>
      <c r="U69" s="155">
        <f t="shared" si="32"/>
        <v>2.1704148471408047</v>
      </c>
      <c r="V69" s="155">
        <f t="shared" si="32"/>
        <v>1.4625443392624098</v>
      </c>
      <c r="W69" s="155">
        <f t="shared" si="32"/>
        <v>0.84862361573254119</v>
      </c>
      <c r="X69" s="155">
        <f t="shared" si="32"/>
        <v>0.57090289884215262</v>
      </c>
      <c r="Y69" s="155">
        <f t="shared" si="32"/>
        <v>2.7747349762202895</v>
      </c>
      <c r="Z69" s="155">
        <f t="shared" si="32"/>
        <v>1.817906649425552</v>
      </c>
      <c r="AA69" s="155">
        <f t="shared" si="32"/>
        <v>0.90647233153583229</v>
      </c>
      <c r="AB69" s="155">
        <f t="shared" si="32"/>
        <v>0.62363458363318625</v>
      </c>
      <c r="AC69" s="155">
        <f t="shared" si="32"/>
        <v>2.8235940544441376</v>
      </c>
      <c r="AD69" s="155">
        <f t="shared" si="32"/>
        <v>2.0531200526486337</v>
      </c>
      <c r="AE69" s="155">
        <f t="shared" si="32"/>
        <v>1.3025373554386894</v>
      </c>
      <c r="AF69" s="155">
        <f t="shared" si="32"/>
        <v>0.96766067542730727</v>
      </c>
      <c r="AG69" s="155">
        <f t="shared" si="32"/>
        <v>3.1468447017723444</v>
      </c>
      <c r="AH69" s="155">
        <f t="shared" si="32"/>
        <v>2.06097214122769</v>
      </c>
      <c r="AI69" s="155">
        <f t="shared" si="32"/>
        <v>1.2724037737413976</v>
      </c>
      <c r="AJ69" s="155">
        <f t="shared" si="32"/>
        <v>0.86557228734234037</v>
      </c>
      <c r="AK69" s="155">
        <f t="shared" si="32"/>
        <v>3.1701999866773982</v>
      </c>
      <c r="AL69" s="155">
        <f t="shared" si="32"/>
        <v>2.3186744840055442</v>
      </c>
      <c r="AM69" s="155">
        <f t="shared" si="32"/>
        <v>2.0587853963893332</v>
      </c>
      <c r="AN69" s="155">
        <f t="shared" si="32"/>
        <v>1.5077932100567892</v>
      </c>
      <c r="AO69" s="155">
        <f t="shared" si="32"/>
        <v>6.3283212847710759</v>
      </c>
      <c r="AP69" s="155">
        <f t="shared" si="32"/>
        <v>5.1716963789610295</v>
      </c>
      <c r="AQ69" s="155" t="e">
        <f t="shared" si="32"/>
        <v>#DIV/0!</v>
      </c>
      <c r="AR69" s="155" t="e">
        <f t="shared" si="32"/>
        <v>#DIV/0!</v>
      </c>
      <c r="AS69" s="155" t="e">
        <f t="shared" si="32"/>
        <v>#DIV/0!</v>
      </c>
      <c r="AT69" s="155" t="e">
        <f t="shared" si="32"/>
        <v>#DIV/0!</v>
      </c>
      <c r="AU69" s="155" t="e">
        <f t="shared" si="32"/>
        <v>#DIV/0!</v>
      </c>
      <c r="AV69" s="155" t="e">
        <f t="shared" si="32"/>
        <v>#DIV/0!</v>
      </c>
      <c r="AW69" s="155" t="e">
        <f t="shared" si="32"/>
        <v>#DIV/0!</v>
      </c>
      <c r="AX69" s="155" t="e">
        <f t="shared" si="32"/>
        <v>#DIV/0!</v>
      </c>
      <c r="AY69" s="155" t="e">
        <f t="shared" si="32"/>
        <v>#DIV/0!</v>
      </c>
      <c r="AZ69" s="155" t="e">
        <f t="shared" si="32"/>
        <v>#DIV/0!</v>
      </c>
      <c r="BA69" s="155" t="e">
        <f t="shared" si="32"/>
        <v>#DIV/0!</v>
      </c>
      <c r="BB69" s="155" t="e">
        <f t="shared" si="32"/>
        <v>#DIV/0!</v>
      </c>
      <c r="BC69" s="155" t="e">
        <f t="shared" si="32"/>
        <v>#DIV/0!</v>
      </c>
      <c r="BD69" s="155" t="e">
        <f t="shared" si="32"/>
        <v>#DIV/0!</v>
      </c>
      <c r="BE69" s="155" t="e">
        <f t="shared" si="32"/>
        <v>#DIV/0!</v>
      </c>
      <c r="BF69" s="155" t="e">
        <f t="shared" si="32"/>
        <v>#DIV/0!</v>
      </c>
      <c r="BG69" s="155" t="e">
        <f t="shared" si="32"/>
        <v>#DIV/0!</v>
      </c>
      <c r="BH69" s="155" t="e">
        <f t="shared" si="32"/>
        <v>#DIV/0!</v>
      </c>
      <c r="BI69" s="155" t="e">
        <f t="shared" si="32"/>
        <v>#DIV/0!</v>
      </c>
      <c r="BJ69" s="155" t="e">
        <f t="shared" si="32"/>
        <v>#DIV/0!</v>
      </c>
      <c r="BK69" s="155" t="e">
        <f t="shared" si="32"/>
        <v>#DIV/0!</v>
      </c>
      <c r="BL69" s="155" t="e">
        <f t="shared" si="32"/>
        <v>#DIV/0!</v>
      </c>
      <c r="BM69" s="155" t="e">
        <f t="shared" si="32"/>
        <v>#DIV/0!</v>
      </c>
      <c r="BN69" s="155" t="e">
        <f t="shared" si="32"/>
        <v>#DIV/0!</v>
      </c>
      <c r="BO69" s="155" t="e">
        <f t="shared" si="32"/>
        <v>#DIV/0!</v>
      </c>
      <c r="BP69" s="155" t="e">
        <f t="shared" si="32"/>
        <v>#DIV/0!</v>
      </c>
      <c r="BQ69" s="155" t="e">
        <f t="shared" si="32"/>
        <v>#DIV/0!</v>
      </c>
      <c r="BR69" s="155" t="e">
        <f t="shared" ref="BR69:CJ69" si="33">BR67/(BR68+BV68)*2</f>
        <v>#DIV/0!</v>
      </c>
      <c r="BS69" s="155" t="e">
        <f t="shared" si="33"/>
        <v>#DIV/0!</v>
      </c>
      <c r="BT69" s="155" t="e">
        <f t="shared" si="33"/>
        <v>#DIV/0!</v>
      </c>
      <c r="BU69" s="155" t="e">
        <f t="shared" si="33"/>
        <v>#DIV/0!</v>
      </c>
      <c r="BV69" s="155" t="e">
        <f t="shared" si="33"/>
        <v>#DIV/0!</v>
      </c>
      <c r="BW69" s="155" t="e">
        <f t="shared" si="33"/>
        <v>#DIV/0!</v>
      </c>
      <c r="BX69" s="155" t="e">
        <f t="shared" si="33"/>
        <v>#DIV/0!</v>
      </c>
      <c r="BY69" s="155" t="e">
        <f t="shared" si="33"/>
        <v>#DIV/0!</v>
      </c>
      <c r="BZ69" s="155" t="e">
        <f t="shared" si="33"/>
        <v>#DIV/0!</v>
      </c>
      <c r="CA69" s="155" t="e">
        <f t="shared" si="33"/>
        <v>#DIV/0!</v>
      </c>
      <c r="CB69" s="155" t="e">
        <f t="shared" si="33"/>
        <v>#DIV/0!</v>
      </c>
      <c r="CC69" s="155" t="e">
        <f t="shared" si="33"/>
        <v>#DIV/0!</v>
      </c>
      <c r="CD69" s="155" t="e">
        <f t="shared" si="33"/>
        <v>#DIV/0!</v>
      </c>
      <c r="CE69" s="155" t="e">
        <f t="shared" si="33"/>
        <v>#DIV/0!</v>
      </c>
      <c r="CF69" s="155" t="e">
        <f t="shared" si="33"/>
        <v>#DIV/0!</v>
      </c>
      <c r="CG69" s="155" t="e">
        <f t="shared" si="33"/>
        <v>#DIV/0!</v>
      </c>
      <c r="CH69" s="155" t="e">
        <f t="shared" si="33"/>
        <v>#DIV/0!</v>
      </c>
      <c r="CI69" s="155" t="e">
        <f t="shared" si="33"/>
        <v>#DIV/0!</v>
      </c>
      <c r="CJ69" s="155" t="e">
        <f t="shared" si="33"/>
        <v>#DIV/0!</v>
      </c>
    </row>
    <row r="70" spans="1:89" s="83" customFormat="1" x14ac:dyDescent="0.25">
      <c r="A70" s="148" t="s">
        <v>478</v>
      </c>
      <c r="E70" s="83">
        <f>E62/E69</f>
        <v>115.34871573097038</v>
      </c>
      <c r="F70" s="83">
        <f t="shared" ref="F70:BQ70" si="34">F62/F69</f>
        <v>185.59964018130191</v>
      </c>
      <c r="G70" s="83">
        <f t="shared" si="34"/>
        <v>278.41847959823974</v>
      </c>
      <c r="H70" s="83">
        <f t="shared" si="34"/>
        <v>471.98616359817987</v>
      </c>
      <c r="I70" s="83">
        <f t="shared" si="34"/>
        <v>148.13764340010465</v>
      </c>
      <c r="J70" s="83">
        <f t="shared" si="34"/>
        <v>205.49291628835309</v>
      </c>
      <c r="K70" s="83">
        <f t="shared" si="34"/>
        <v>321.89978461700008</v>
      </c>
      <c r="L70" s="83">
        <f t="shared" si="34"/>
        <v>535.62357340757148</v>
      </c>
      <c r="M70" s="83">
        <f t="shared" si="34"/>
        <v>158.57497581543541</v>
      </c>
      <c r="N70" s="83">
        <f t="shared" si="34"/>
        <v>215.38533446231045</v>
      </c>
      <c r="O70" s="83">
        <f t="shared" si="34"/>
        <v>369.51441778197096</v>
      </c>
      <c r="P70" s="83">
        <f t="shared" si="34"/>
        <v>578.08176993331949</v>
      </c>
      <c r="Q70" s="83">
        <f t="shared" si="34"/>
        <v>158.02252042382679</v>
      </c>
      <c r="R70" s="83">
        <f t="shared" si="34"/>
        <v>231.85050661475731</v>
      </c>
      <c r="S70" s="83">
        <f t="shared" si="34"/>
        <v>409.07437560788918</v>
      </c>
      <c r="T70" s="83">
        <f t="shared" si="34"/>
        <v>617.1721461994515</v>
      </c>
      <c r="U70" s="83">
        <f t="shared" si="34"/>
        <v>168.17061516181232</v>
      </c>
      <c r="V70" s="83">
        <f t="shared" si="34"/>
        <v>249.5650833971138</v>
      </c>
      <c r="W70" s="83">
        <f t="shared" si="34"/>
        <v>430.10822846937629</v>
      </c>
      <c r="X70" s="83">
        <f t="shared" si="34"/>
        <v>639.33814443797007</v>
      </c>
      <c r="Y70" s="83">
        <f t="shared" si="34"/>
        <v>131.54409452725412</v>
      </c>
      <c r="Z70" s="83">
        <f t="shared" si="34"/>
        <v>200.7803866691053</v>
      </c>
      <c r="AA70" s="83">
        <f t="shared" si="34"/>
        <v>402.65983560864129</v>
      </c>
      <c r="AB70" s="83">
        <f t="shared" si="34"/>
        <v>585.27863845134073</v>
      </c>
      <c r="AC70" s="83">
        <f t="shared" si="34"/>
        <v>129.26787383813752</v>
      </c>
      <c r="AD70" s="83">
        <f t="shared" si="34"/>
        <v>177.77820616438413</v>
      </c>
      <c r="AE70" s="83">
        <f t="shared" si="34"/>
        <v>280.2222895765392</v>
      </c>
      <c r="AF70" s="83">
        <f t="shared" si="34"/>
        <v>377.19833953035283</v>
      </c>
      <c r="AG70" s="83">
        <f t="shared" si="34"/>
        <v>115.98920016435103</v>
      </c>
      <c r="AH70" s="83">
        <f t="shared" si="34"/>
        <v>177.10088976873556</v>
      </c>
      <c r="AI70" s="83">
        <f t="shared" si="34"/>
        <v>286.85862737324948</v>
      </c>
      <c r="AJ70" s="83">
        <f t="shared" si="34"/>
        <v>421.68632861467728</v>
      </c>
      <c r="AK70" s="83">
        <f t="shared" si="34"/>
        <v>115.13469230139854</v>
      </c>
      <c r="AL70" s="83">
        <f t="shared" si="34"/>
        <v>157.4175256241476</v>
      </c>
      <c r="AM70" s="83">
        <f t="shared" si="34"/>
        <v>177.28899798887807</v>
      </c>
      <c r="AN70" s="83">
        <f t="shared" si="34"/>
        <v>242.07563581364894</v>
      </c>
      <c r="AO70" s="83">
        <f t="shared" si="34"/>
        <v>57.677223322773145</v>
      </c>
      <c r="AP70" s="83">
        <f t="shared" si="34"/>
        <v>70.576455625828302</v>
      </c>
      <c r="AQ70" s="83" t="e">
        <f t="shared" si="34"/>
        <v>#DIV/0!</v>
      </c>
      <c r="AR70" s="83" t="e">
        <f t="shared" si="34"/>
        <v>#DIV/0!</v>
      </c>
      <c r="AS70" s="83" t="e">
        <f t="shared" si="34"/>
        <v>#DIV/0!</v>
      </c>
      <c r="AT70" s="83" t="e">
        <f t="shared" si="34"/>
        <v>#DIV/0!</v>
      </c>
      <c r="AU70" s="83" t="e">
        <f t="shared" si="34"/>
        <v>#DIV/0!</v>
      </c>
      <c r="AV70" s="83" t="e">
        <f t="shared" si="34"/>
        <v>#DIV/0!</v>
      </c>
      <c r="AW70" s="83" t="e">
        <f t="shared" si="34"/>
        <v>#DIV/0!</v>
      </c>
      <c r="AX70" s="83" t="e">
        <f t="shared" si="34"/>
        <v>#DIV/0!</v>
      </c>
      <c r="AY70" s="83" t="e">
        <f t="shared" si="34"/>
        <v>#DIV/0!</v>
      </c>
      <c r="AZ70" s="83" t="e">
        <f t="shared" si="34"/>
        <v>#DIV/0!</v>
      </c>
      <c r="BA70" s="83" t="e">
        <f t="shared" si="34"/>
        <v>#DIV/0!</v>
      </c>
      <c r="BB70" s="83" t="e">
        <f t="shared" si="34"/>
        <v>#DIV/0!</v>
      </c>
      <c r="BC70" s="83" t="e">
        <f t="shared" si="34"/>
        <v>#DIV/0!</v>
      </c>
      <c r="BD70" s="83" t="e">
        <f t="shared" si="34"/>
        <v>#DIV/0!</v>
      </c>
      <c r="BE70" s="83" t="e">
        <f t="shared" si="34"/>
        <v>#DIV/0!</v>
      </c>
      <c r="BF70" s="83" t="e">
        <f t="shared" si="34"/>
        <v>#DIV/0!</v>
      </c>
      <c r="BG70" s="83" t="e">
        <f t="shared" si="34"/>
        <v>#DIV/0!</v>
      </c>
      <c r="BH70" s="83" t="e">
        <f t="shared" si="34"/>
        <v>#DIV/0!</v>
      </c>
      <c r="BI70" s="83" t="e">
        <f t="shared" si="34"/>
        <v>#DIV/0!</v>
      </c>
      <c r="BJ70" s="83" t="e">
        <f t="shared" si="34"/>
        <v>#DIV/0!</v>
      </c>
      <c r="BK70" s="83" t="e">
        <f t="shared" si="34"/>
        <v>#DIV/0!</v>
      </c>
      <c r="BL70" s="83" t="e">
        <f t="shared" si="34"/>
        <v>#DIV/0!</v>
      </c>
      <c r="BM70" s="83" t="e">
        <f t="shared" si="34"/>
        <v>#DIV/0!</v>
      </c>
      <c r="BN70" s="83" t="e">
        <f t="shared" si="34"/>
        <v>#DIV/0!</v>
      </c>
      <c r="BO70" s="83" t="e">
        <f t="shared" si="34"/>
        <v>#DIV/0!</v>
      </c>
      <c r="BP70" s="83" t="e">
        <f t="shared" si="34"/>
        <v>#DIV/0!</v>
      </c>
      <c r="BQ70" s="83" t="e">
        <f t="shared" si="34"/>
        <v>#DIV/0!</v>
      </c>
      <c r="BR70" s="83" t="e">
        <f t="shared" ref="BR70:CJ70" si="35">BR62/BR69</f>
        <v>#DIV/0!</v>
      </c>
      <c r="BS70" s="83" t="e">
        <f t="shared" si="35"/>
        <v>#DIV/0!</v>
      </c>
      <c r="BT70" s="83" t="e">
        <f t="shared" si="35"/>
        <v>#DIV/0!</v>
      </c>
      <c r="BU70" s="83" t="e">
        <f t="shared" si="35"/>
        <v>#DIV/0!</v>
      </c>
      <c r="BV70" s="83" t="e">
        <f t="shared" si="35"/>
        <v>#DIV/0!</v>
      </c>
      <c r="BW70" s="83" t="e">
        <f t="shared" si="35"/>
        <v>#DIV/0!</v>
      </c>
      <c r="BX70" s="83" t="e">
        <f t="shared" si="35"/>
        <v>#DIV/0!</v>
      </c>
      <c r="BY70" s="83" t="e">
        <f t="shared" si="35"/>
        <v>#DIV/0!</v>
      </c>
      <c r="BZ70" s="83" t="e">
        <f t="shared" si="35"/>
        <v>#DIV/0!</v>
      </c>
      <c r="CA70" s="83" t="e">
        <f t="shared" si="35"/>
        <v>#DIV/0!</v>
      </c>
      <c r="CB70" s="83" t="e">
        <f t="shared" si="35"/>
        <v>#DIV/0!</v>
      </c>
      <c r="CC70" s="83" t="e">
        <f t="shared" si="35"/>
        <v>#DIV/0!</v>
      </c>
      <c r="CD70" s="83" t="e">
        <f t="shared" si="35"/>
        <v>#DIV/0!</v>
      </c>
      <c r="CE70" s="83" t="e">
        <f t="shared" si="35"/>
        <v>#DIV/0!</v>
      </c>
      <c r="CF70" s="83" t="e">
        <f t="shared" si="35"/>
        <v>#DIV/0!</v>
      </c>
      <c r="CG70" s="83" t="e">
        <f t="shared" si="35"/>
        <v>#DIV/0!</v>
      </c>
      <c r="CH70" s="83" t="e">
        <f t="shared" si="35"/>
        <v>#DIV/0!</v>
      </c>
      <c r="CI70" s="83" t="e">
        <f t="shared" si="35"/>
        <v>#DIV/0!</v>
      </c>
      <c r="CJ70" s="83" t="e">
        <f t="shared" si="35"/>
        <v>#DIV/0!</v>
      </c>
    </row>
    <row r="71" spans="1:89" s="76" customFormat="1" x14ac:dyDescent="0.25">
      <c r="A71" s="147" t="s">
        <v>479</v>
      </c>
      <c r="E71" s="76">
        <f>资产资本表!E35+资产资本表!E36-资产资本表!E24</f>
        <v>420562666.25999999</v>
      </c>
      <c r="F71" s="76">
        <f>资产资本表!F35+资产资本表!F36-资产资本表!F24</f>
        <v>367869651.42000002</v>
      </c>
      <c r="G71" s="76">
        <f>资产资本表!G35+资产资本表!G36-资产资本表!G24</f>
        <v>349526037.30000001</v>
      </c>
      <c r="H71" s="76">
        <f>资产资本表!H35+资产资本表!H36-资产资本表!H24</f>
        <v>312557865.52000004</v>
      </c>
      <c r="I71" s="76">
        <f>资产资本表!I35+资产资本表!I36-资产资本表!I24</f>
        <v>288209716.71000004</v>
      </c>
      <c r="J71" s="76">
        <f>资产资本表!J35+资产资本表!J36-资产资本表!J24</f>
        <v>241096925.09000003</v>
      </c>
      <c r="K71" s="76">
        <f>资产资本表!K35+资产资本表!K36-资产资本表!K24</f>
        <v>112268621.31999999</v>
      </c>
      <c r="L71" s="76">
        <f>资产资本表!L35+资产资本表!L36-资产资本表!L24</f>
        <v>138198382.38000003</v>
      </c>
      <c r="M71" s="76">
        <f>资产资本表!M35+资产资本表!M36-资产资本表!M24</f>
        <v>211762808.20000005</v>
      </c>
      <c r="N71" s="76">
        <f>资产资本表!N35+资产资本表!N36-资产资本表!N24</f>
        <v>233542088.69999999</v>
      </c>
      <c r="O71" s="76">
        <f>资产资本表!O35+资产资本表!O36-资产资本表!O24</f>
        <v>240202410.80000004</v>
      </c>
      <c r="P71" s="76">
        <f>资产资本表!P35+资产资本表!P36-资产资本表!P24</f>
        <v>148345223.24000001</v>
      </c>
      <c r="Q71" s="76">
        <f>资产资本表!Q35+资产资本表!Q36-资产资本表!Q24</f>
        <v>247632546.90999997</v>
      </c>
      <c r="R71" s="76">
        <f>资产资本表!R35+资产资本表!R36-资产资本表!R24</f>
        <v>349056348.88</v>
      </c>
      <c r="S71" s="76">
        <f>资产资本表!S35+资产资本表!S36-资产资本表!S24</f>
        <v>262375612.88000005</v>
      </c>
      <c r="T71" s="76">
        <f>资产资本表!T35+资产资本表!T36-资产资本表!T24</f>
        <v>232232572.72999999</v>
      </c>
      <c r="U71" s="76">
        <f>资产资本表!U35+资产资本表!U36-资产资本表!U24</f>
        <v>291266204.84000003</v>
      </c>
      <c r="V71" s="76">
        <f>资产资本表!V35+资产资本表!V36-资产资本表!V24</f>
        <v>178715499.91000003</v>
      </c>
      <c r="W71" s="76">
        <f>资产资本表!W35+资产资本表!W36-资产资本表!W24</f>
        <v>122995866.44</v>
      </c>
      <c r="X71" s="76">
        <f>资产资本表!X35+资产资本表!X36-资产资本表!X24</f>
        <v>154603470.69</v>
      </c>
      <c r="Y71" s="76">
        <f>资产资本表!Y35+资产资本表!Y36-资产资本表!Y24</f>
        <v>223903790.01999998</v>
      </c>
      <c r="Z71" s="76">
        <f>资产资本表!Z35+资产资本表!Z36-资产资本表!Z24</f>
        <v>208731527.06000003</v>
      </c>
      <c r="AA71" s="76">
        <f>资产资本表!AA35+资产资本表!AA36-资产资本表!AA24</f>
        <v>236594498.11000001</v>
      </c>
      <c r="AB71" s="76">
        <f>资产资本表!AB35+资产资本表!AB36-资产资本表!AB24</f>
        <v>248660746.48999995</v>
      </c>
      <c r="AC71" s="76">
        <f>资产资本表!AC35+资产资本表!AC36-资产资本表!AC24</f>
        <v>292668369.69000006</v>
      </c>
      <c r="AD71" s="76">
        <f>资产资本表!AD35+资产资本表!AD36-资产资本表!AD24</f>
        <v>193405200.60000002</v>
      </c>
      <c r="AE71" s="76">
        <f>资产资本表!AE35+资产资本表!AE36-资产资本表!AE24</f>
        <v>199934529.49999997</v>
      </c>
      <c r="AF71" s="76">
        <f>资产资本表!AF35+资产资本表!AF36-资产资本表!AF24</f>
        <v>186684101.16</v>
      </c>
      <c r="AG71" s="76">
        <f>资产资本表!AG35+资产资本表!AG36-资产资本表!AG24</f>
        <v>266819752.66999999</v>
      </c>
      <c r="AH71" s="76">
        <f>资产资本表!AH35+资产资本表!AH36-资产资本表!AH24</f>
        <v>120222011.23</v>
      </c>
      <c r="AI71" s="76">
        <f>资产资本表!AI35+资产资本表!AI36-资产资本表!AI24</f>
        <v>105919141.61</v>
      </c>
      <c r="AJ71" s="76">
        <f>资产资本表!AJ35+资产资本表!AJ36-资产资本表!AJ24</f>
        <v>71688069.599999994</v>
      </c>
      <c r="AK71" s="76">
        <f>资产资本表!AK35+资产资本表!AK36-资产资本表!AK24</f>
        <v>82331856.75</v>
      </c>
      <c r="AL71" s="76">
        <f>资产资本表!AL35+资产资本表!AL36-资产资本表!AL24</f>
        <v>66728723.660000004</v>
      </c>
      <c r="AM71" s="76">
        <f>资产资本表!AM35+资产资本表!AM36-资产资本表!AM24</f>
        <v>75387574.350000009</v>
      </c>
      <c r="AN71" s="76">
        <f>资产资本表!AN35+资产资本表!AN36-资产资本表!AN24</f>
        <v>70962312.879999995</v>
      </c>
      <c r="AO71" s="76">
        <f>资产资本表!AO35+资产资本表!AO36-资产资本表!AO24</f>
        <v>37868258.040000007</v>
      </c>
      <c r="AP71" s="76">
        <f>资产资本表!AP35+资产资本表!AP36-资产资本表!AP24</f>
        <v>31432017.879999999</v>
      </c>
      <c r="AQ71" s="76">
        <f>资产资本表!AQ35+资产资本表!AQ36-资产资本表!AQ24</f>
        <v>0</v>
      </c>
      <c r="AR71" s="76">
        <f>资产资本表!AR35+资产资本表!AR36-资产资本表!AR24</f>
        <v>0</v>
      </c>
      <c r="AS71" s="76">
        <f>资产资本表!AS35+资产资本表!AS36-资产资本表!AS24</f>
        <v>0</v>
      </c>
      <c r="AT71" s="76">
        <f>资产资本表!AT35+资产资本表!AT36-资产资本表!AT24</f>
        <v>0</v>
      </c>
      <c r="AU71" s="76">
        <f>资产资本表!AU35+资产资本表!AU36-资产资本表!AU24</f>
        <v>0</v>
      </c>
      <c r="AV71" s="76">
        <f>资产资本表!AV35+资产资本表!AV36-资产资本表!AV24</f>
        <v>0</v>
      </c>
      <c r="AW71" s="76">
        <f>资产资本表!AW35+资产资本表!AW36-资产资本表!AW24</f>
        <v>0</v>
      </c>
      <c r="AX71" s="76">
        <f>资产资本表!AX35+资产资本表!AX36-资产资本表!AX24</f>
        <v>0</v>
      </c>
      <c r="AY71" s="76">
        <f>资产资本表!AY35+资产资本表!AY36-资产资本表!AY24</f>
        <v>0</v>
      </c>
      <c r="AZ71" s="76">
        <f>资产资本表!AZ35+资产资本表!AZ36-资产资本表!AZ24</f>
        <v>0</v>
      </c>
      <c r="BA71" s="76">
        <f>资产资本表!BA35+资产资本表!BA36-资产资本表!BA24</f>
        <v>0</v>
      </c>
      <c r="BB71" s="76">
        <f>资产资本表!BB35+资产资本表!BB36-资产资本表!BB24</f>
        <v>0</v>
      </c>
      <c r="BC71" s="76">
        <f>资产资本表!BC35+资产资本表!BC36-资产资本表!BC24</f>
        <v>0</v>
      </c>
      <c r="BD71" s="76">
        <f>资产资本表!BD35+资产资本表!BD36-资产资本表!BD24</f>
        <v>0</v>
      </c>
      <c r="BE71" s="76">
        <f>资产资本表!BE35+资产资本表!BE36-资产资本表!BE24</f>
        <v>0</v>
      </c>
      <c r="BF71" s="76">
        <f>资产资本表!BF35+资产资本表!BF36-资产资本表!BF24</f>
        <v>0</v>
      </c>
      <c r="BG71" s="76">
        <f>资产资本表!BG35+资产资本表!BG36-资产资本表!BG24</f>
        <v>0</v>
      </c>
      <c r="BH71" s="76">
        <f>资产资本表!BH35+资产资本表!BH36-资产资本表!BH24</f>
        <v>0</v>
      </c>
      <c r="BI71" s="76">
        <f>资产资本表!BI35+资产资本表!BI36-资产资本表!BI24</f>
        <v>0</v>
      </c>
      <c r="BJ71" s="76">
        <f>资产资本表!BJ35+资产资本表!BJ36-资产资本表!BJ24</f>
        <v>0</v>
      </c>
      <c r="BK71" s="76">
        <f>资产资本表!BK35+资产资本表!BK36-资产资本表!BK24</f>
        <v>0</v>
      </c>
      <c r="BL71" s="76">
        <f>资产资本表!BL35+资产资本表!BL36-资产资本表!BL24</f>
        <v>0</v>
      </c>
      <c r="BM71" s="76">
        <f>资产资本表!BM35+资产资本表!BM36-资产资本表!BM24</f>
        <v>0</v>
      </c>
      <c r="BN71" s="76">
        <f>资产资本表!BN35+资产资本表!BN36-资产资本表!BN24</f>
        <v>0</v>
      </c>
      <c r="BO71" s="76">
        <f>资产资本表!BO35+资产资本表!BO36-资产资本表!BO24</f>
        <v>0</v>
      </c>
      <c r="BP71" s="76">
        <f>资产资本表!BP35+资产资本表!BP36-资产资本表!BP24</f>
        <v>0</v>
      </c>
      <c r="BQ71" s="76">
        <f>资产资本表!BQ35+资产资本表!BQ36-资产资本表!BQ24</f>
        <v>0</v>
      </c>
      <c r="BR71" s="76">
        <f>资产资本表!BR35+资产资本表!BR36-资产资本表!BR24</f>
        <v>0</v>
      </c>
      <c r="BS71" s="76">
        <f>资产资本表!BS35+资产资本表!BS36-资产资本表!BS24</f>
        <v>0</v>
      </c>
      <c r="BT71" s="76">
        <f>资产资本表!BT35+资产资本表!BT36-资产资本表!BT24</f>
        <v>0</v>
      </c>
      <c r="BU71" s="76">
        <f>资产资本表!BU35+资产资本表!BU36-资产资本表!BU24</f>
        <v>0</v>
      </c>
      <c r="BV71" s="76">
        <f>资产资本表!BV35+资产资本表!BV36-资产资本表!BV24</f>
        <v>0</v>
      </c>
      <c r="BW71" s="76">
        <f>资产资本表!BW35+资产资本表!BW36-资产资本表!BW24</f>
        <v>0</v>
      </c>
      <c r="BX71" s="76">
        <f>资产资本表!BX35+资产资本表!BX36-资产资本表!BX24</f>
        <v>0</v>
      </c>
      <c r="BY71" s="76">
        <f>资产资本表!BY35+资产资本表!BY36-资产资本表!BY24</f>
        <v>0</v>
      </c>
      <c r="BZ71" s="76">
        <f>资产资本表!BZ35+资产资本表!BZ36-资产资本表!BZ24</f>
        <v>0</v>
      </c>
      <c r="CA71" s="76">
        <f>资产资本表!CA35+资产资本表!CA36-资产资本表!CA24</f>
        <v>0</v>
      </c>
      <c r="CB71" s="76">
        <f>资产资本表!CB35+资产资本表!CB36-资产资本表!CB24</f>
        <v>0</v>
      </c>
      <c r="CC71" s="76">
        <f>资产资本表!CC35+资产资本表!CC36-资产资本表!CC24</f>
        <v>0</v>
      </c>
      <c r="CD71" s="76">
        <f>资产资本表!CD35+资产资本表!CD36-资产资本表!CD24</f>
        <v>0</v>
      </c>
      <c r="CE71" s="76">
        <f>资产资本表!CE35+资产资本表!CE36-资产资本表!CE24</f>
        <v>0</v>
      </c>
      <c r="CF71" s="76">
        <f>资产资本表!CF35+资产资本表!CF36-资产资本表!CF24</f>
        <v>0</v>
      </c>
      <c r="CG71" s="76">
        <f>资产资本表!CG35+资产资本表!CG36-资产资本表!CG24</f>
        <v>0</v>
      </c>
      <c r="CH71" s="76">
        <f>资产资本表!CH35+资产资本表!CH36-资产资本表!CH24</f>
        <v>0</v>
      </c>
      <c r="CI71" s="76">
        <f>资产资本表!CI35+资产资本表!CI36-资产资本表!CI24</f>
        <v>0</v>
      </c>
      <c r="CJ71" s="76">
        <f>资产资本表!CJ35+资产资本表!CJ36-资产资本表!CJ24</f>
        <v>0</v>
      </c>
      <c r="CK71" s="76">
        <f>资产资本表!CK35+资产资本表!CK36-资产资本表!CK24</f>
        <v>0</v>
      </c>
    </row>
    <row r="72" spans="1:89" s="155" customFormat="1" x14ac:dyDescent="0.25">
      <c r="A72" s="154" t="s">
        <v>480</v>
      </c>
      <c r="E72" s="155">
        <f>E67/(E71+I71)*2</f>
        <v>7.4370585241088767</v>
      </c>
      <c r="F72" s="155">
        <f t="shared" ref="F72:BQ72" si="36">F67/(F71+J71)*2</f>
        <v>5.8262410990001809</v>
      </c>
      <c r="G72" s="155">
        <f t="shared" si="36"/>
        <v>4.7216795566148768</v>
      </c>
      <c r="H72" s="155">
        <f t="shared" si="36"/>
        <v>2.601634116539552</v>
      </c>
      <c r="I72" s="155">
        <f t="shared" si="36"/>
        <v>6.4985762889768219</v>
      </c>
      <c r="J72" s="155">
        <f t="shared" si="36"/>
        <v>4.6591475474842046</v>
      </c>
      <c r="K72" s="155">
        <f t="shared" si="36"/>
        <v>3.8408314120948814</v>
      </c>
      <c r="L72" s="155">
        <f t="shared" si="36"/>
        <v>2.6675301134922602</v>
      </c>
      <c r="M72" s="155">
        <f t="shared" si="36"/>
        <v>6.4784196105060179</v>
      </c>
      <c r="N72" s="155">
        <f t="shared" si="36"/>
        <v>3.6755534836221662</v>
      </c>
      <c r="O72" s="155">
        <f t="shared" si="36"/>
        <v>2.5709228714359686</v>
      </c>
      <c r="P72" s="155">
        <f t="shared" si="36"/>
        <v>1.9357593622147959</v>
      </c>
      <c r="Q72" s="155">
        <f t="shared" si="36"/>
        <v>5.6507472277328388</v>
      </c>
      <c r="R72" s="155">
        <f t="shared" si="36"/>
        <v>3.9771051316819896</v>
      </c>
      <c r="S72" s="155">
        <f t="shared" si="36"/>
        <v>3.1871254006841534</v>
      </c>
      <c r="T72" s="155">
        <f t="shared" si="36"/>
        <v>1.8849561106908503</v>
      </c>
      <c r="U72" s="155">
        <f t="shared" si="36"/>
        <v>5.4896759463806788</v>
      </c>
      <c r="V72" s="155">
        <f t="shared" si="36"/>
        <v>5.096906072924666</v>
      </c>
      <c r="W72" s="155">
        <f t="shared" si="36"/>
        <v>3.4130020294505137</v>
      </c>
      <c r="X72" s="155">
        <f t="shared" si="36"/>
        <v>1.760174878206882</v>
      </c>
      <c r="Y72" s="155">
        <f t="shared" si="36"/>
        <v>6.0962800461564184</v>
      </c>
      <c r="Z72" s="155">
        <f t="shared" si="36"/>
        <v>5.3495931358919826</v>
      </c>
      <c r="AA72" s="155">
        <f t="shared" si="36"/>
        <v>2.6716827114231592</v>
      </c>
      <c r="AB72" s="155">
        <f t="shared" si="36"/>
        <v>1.5042767478587387</v>
      </c>
      <c r="AC72" s="155">
        <f t="shared" si="36"/>
        <v>4.9239183507230724</v>
      </c>
      <c r="AD72" s="155">
        <f t="shared" si="36"/>
        <v>6.2959449772818514</v>
      </c>
      <c r="AE72" s="155">
        <f t="shared" si="36"/>
        <v>3.8820774336004997</v>
      </c>
      <c r="AF72" s="155">
        <f t="shared" si="36"/>
        <v>2.7047615229007875</v>
      </c>
      <c r="AG72" s="155">
        <f t="shared" si="36"/>
        <v>6.4801665069180023</v>
      </c>
      <c r="AH72" s="155">
        <f t="shared" si="36"/>
        <v>7.624888006772145</v>
      </c>
      <c r="AI72" s="155">
        <f t="shared" si="36"/>
        <v>4.4305450862461253</v>
      </c>
      <c r="AJ72" s="155">
        <f t="shared" si="36"/>
        <v>3.0442164304808954</v>
      </c>
      <c r="AK72" s="155">
        <f t="shared" si="36"/>
        <v>11.604585603740587</v>
      </c>
      <c r="AL72" s="155">
        <f t="shared" si="36"/>
        <v>8.9956515772670063</v>
      </c>
      <c r="AM72" s="155">
        <f t="shared" si="36"/>
        <v>6.5109449241750266</v>
      </c>
      <c r="AN72" s="155">
        <f t="shared" si="36"/>
        <v>4.5237259952736757</v>
      </c>
      <c r="AO72" s="155">
        <f t="shared" si="36"/>
        <v>30.005136926546619</v>
      </c>
      <c r="AP72" s="155">
        <f t="shared" si="36"/>
        <v>25.003994960822414</v>
      </c>
      <c r="AQ72" s="155" t="e">
        <f t="shared" si="36"/>
        <v>#DIV/0!</v>
      </c>
      <c r="AR72" s="155" t="e">
        <f t="shared" si="36"/>
        <v>#DIV/0!</v>
      </c>
      <c r="AS72" s="155" t="e">
        <f t="shared" si="36"/>
        <v>#DIV/0!</v>
      </c>
      <c r="AT72" s="155" t="e">
        <f t="shared" si="36"/>
        <v>#DIV/0!</v>
      </c>
      <c r="AU72" s="155" t="e">
        <f t="shared" si="36"/>
        <v>#DIV/0!</v>
      </c>
      <c r="AV72" s="155" t="e">
        <f t="shared" si="36"/>
        <v>#DIV/0!</v>
      </c>
      <c r="AW72" s="155" t="e">
        <f t="shared" si="36"/>
        <v>#DIV/0!</v>
      </c>
      <c r="AX72" s="155" t="e">
        <f t="shared" si="36"/>
        <v>#DIV/0!</v>
      </c>
      <c r="AY72" s="155" t="e">
        <f t="shared" si="36"/>
        <v>#DIV/0!</v>
      </c>
      <c r="AZ72" s="155" t="e">
        <f t="shared" si="36"/>
        <v>#DIV/0!</v>
      </c>
      <c r="BA72" s="155" t="e">
        <f t="shared" si="36"/>
        <v>#DIV/0!</v>
      </c>
      <c r="BB72" s="155" t="e">
        <f t="shared" si="36"/>
        <v>#DIV/0!</v>
      </c>
      <c r="BC72" s="155" t="e">
        <f t="shared" si="36"/>
        <v>#DIV/0!</v>
      </c>
      <c r="BD72" s="155" t="e">
        <f t="shared" si="36"/>
        <v>#DIV/0!</v>
      </c>
      <c r="BE72" s="155" t="e">
        <f t="shared" si="36"/>
        <v>#DIV/0!</v>
      </c>
      <c r="BF72" s="155" t="e">
        <f t="shared" si="36"/>
        <v>#DIV/0!</v>
      </c>
      <c r="BG72" s="155" t="e">
        <f t="shared" si="36"/>
        <v>#DIV/0!</v>
      </c>
      <c r="BH72" s="155" t="e">
        <f t="shared" si="36"/>
        <v>#DIV/0!</v>
      </c>
      <c r="BI72" s="155" t="e">
        <f t="shared" si="36"/>
        <v>#DIV/0!</v>
      </c>
      <c r="BJ72" s="155" t="e">
        <f t="shared" si="36"/>
        <v>#DIV/0!</v>
      </c>
      <c r="BK72" s="155" t="e">
        <f t="shared" si="36"/>
        <v>#DIV/0!</v>
      </c>
      <c r="BL72" s="155" t="e">
        <f t="shared" si="36"/>
        <v>#DIV/0!</v>
      </c>
      <c r="BM72" s="155" t="e">
        <f t="shared" si="36"/>
        <v>#DIV/0!</v>
      </c>
      <c r="BN72" s="155" t="e">
        <f t="shared" si="36"/>
        <v>#DIV/0!</v>
      </c>
      <c r="BO72" s="155" t="e">
        <f t="shared" si="36"/>
        <v>#DIV/0!</v>
      </c>
      <c r="BP72" s="155" t="e">
        <f t="shared" si="36"/>
        <v>#DIV/0!</v>
      </c>
      <c r="BQ72" s="155" t="e">
        <f t="shared" si="36"/>
        <v>#DIV/0!</v>
      </c>
      <c r="BR72" s="155" t="e">
        <f t="shared" ref="BR72:CJ72" si="37">BR67/(BR71+BV71)*2</f>
        <v>#DIV/0!</v>
      </c>
      <c r="BS72" s="155" t="e">
        <f t="shared" si="37"/>
        <v>#DIV/0!</v>
      </c>
      <c r="BT72" s="155" t="e">
        <f t="shared" si="37"/>
        <v>#DIV/0!</v>
      </c>
      <c r="BU72" s="155" t="e">
        <f t="shared" si="37"/>
        <v>#DIV/0!</v>
      </c>
      <c r="BV72" s="155" t="e">
        <f t="shared" si="37"/>
        <v>#DIV/0!</v>
      </c>
      <c r="BW72" s="155" t="e">
        <f t="shared" si="37"/>
        <v>#DIV/0!</v>
      </c>
      <c r="BX72" s="155" t="e">
        <f t="shared" si="37"/>
        <v>#DIV/0!</v>
      </c>
      <c r="BY72" s="155" t="e">
        <f t="shared" si="37"/>
        <v>#DIV/0!</v>
      </c>
      <c r="BZ72" s="155" t="e">
        <f t="shared" si="37"/>
        <v>#DIV/0!</v>
      </c>
      <c r="CA72" s="155" t="e">
        <f t="shared" si="37"/>
        <v>#DIV/0!</v>
      </c>
      <c r="CB72" s="155" t="e">
        <f t="shared" si="37"/>
        <v>#DIV/0!</v>
      </c>
      <c r="CC72" s="155" t="e">
        <f t="shared" si="37"/>
        <v>#DIV/0!</v>
      </c>
      <c r="CD72" s="155" t="e">
        <f t="shared" si="37"/>
        <v>#DIV/0!</v>
      </c>
      <c r="CE72" s="155" t="e">
        <f t="shared" si="37"/>
        <v>#DIV/0!</v>
      </c>
      <c r="CF72" s="155" t="e">
        <f t="shared" si="37"/>
        <v>#DIV/0!</v>
      </c>
      <c r="CG72" s="155" t="e">
        <f t="shared" si="37"/>
        <v>#DIV/0!</v>
      </c>
      <c r="CH72" s="155" t="e">
        <f t="shared" si="37"/>
        <v>#DIV/0!</v>
      </c>
      <c r="CI72" s="155" t="e">
        <f t="shared" si="37"/>
        <v>#DIV/0!</v>
      </c>
      <c r="CJ72" s="155" t="e">
        <f t="shared" si="37"/>
        <v>#DIV/0!</v>
      </c>
    </row>
    <row r="73" spans="1:89" s="83" customFormat="1" x14ac:dyDescent="0.25">
      <c r="A73" s="148" t="s">
        <v>481</v>
      </c>
      <c r="E73" s="83">
        <f>E62/E72</f>
        <v>49.078543461339109</v>
      </c>
      <c r="F73" s="83">
        <f t="shared" ref="F73:BQ73" si="38">F62/F72</f>
        <v>62.647596245654213</v>
      </c>
      <c r="G73" s="83">
        <f t="shared" si="38"/>
        <v>77.303001108715677</v>
      </c>
      <c r="H73" s="83">
        <f t="shared" si="38"/>
        <v>140.29643818074177</v>
      </c>
      <c r="I73" s="83">
        <f t="shared" si="38"/>
        <v>56.166148363777687</v>
      </c>
      <c r="J73" s="83">
        <f t="shared" si="38"/>
        <v>78.340511065610855</v>
      </c>
      <c r="K73" s="83">
        <f t="shared" si="38"/>
        <v>95.031507722678271</v>
      </c>
      <c r="L73" s="83">
        <f t="shared" si="38"/>
        <v>136.83069523895705</v>
      </c>
      <c r="M73" s="83">
        <f t="shared" si="38"/>
        <v>56.340901322304205</v>
      </c>
      <c r="N73" s="83">
        <f t="shared" si="38"/>
        <v>99.304771819100736</v>
      </c>
      <c r="O73" s="83">
        <f t="shared" si="38"/>
        <v>141.97236488706179</v>
      </c>
      <c r="P73" s="83">
        <f t="shared" si="38"/>
        <v>188.55649474033066</v>
      </c>
      <c r="Q73" s="83">
        <f t="shared" si="38"/>
        <v>64.593227283047881</v>
      </c>
      <c r="R73" s="83">
        <f t="shared" si="38"/>
        <v>91.775295828208314</v>
      </c>
      <c r="S73" s="83">
        <f t="shared" si="38"/>
        <v>114.5232628504823</v>
      </c>
      <c r="T73" s="83">
        <f t="shared" si="38"/>
        <v>193.63846082666871</v>
      </c>
      <c r="U73" s="83">
        <f t="shared" si="38"/>
        <v>66.488441861608067</v>
      </c>
      <c r="V73" s="83">
        <f t="shared" si="38"/>
        <v>71.612071083459966</v>
      </c>
      <c r="W73" s="83">
        <f t="shared" si="38"/>
        <v>106.94397391224648</v>
      </c>
      <c r="X73" s="83">
        <f t="shared" si="38"/>
        <v>207.36575923173683</v>
      </c>
      <c r="Y73" s="83">
        <f t="shared" si="38"/>
        <v>59.87257757788295</v>
      </c>
      <c r="Z73" s="83">
        <f t="shared" si="38"/>
        <v>68.229487874714877</v>
      </c>
      <c r="AA73" s="83">
        <f t="shared" si="38"/>
        <v>136.61801921290677</v>
      </c>
      <c r="AB73" s="83">
        <f t="shared" si="38"/>
        <v>242.64152225949042</v>
      </c>
      <c r="AC73" s="83">
        <f t="shared" si="38"/>
        <v>74.127955421194201</v>
      </c>
      <c r="AD73" s="83">
        <f t="shared" si="38"/>
        <v>57.973823042777205</v>
      </c>
      <c r="AE73" s="83">
        <f t="shared" si="38"/>
        <v>94.021823686673471</v>
      </c>
      <c r="AF73" s="83">
        <f t="shared" si="38"/>
        <v>134.94720215057882</v>
      </c>
      <c r="AG73" s="83">
        <f t="shared" si="38"/>
        <v>56.325713175786234</v>
      </c>
      <c r="AH73" s="83">
        <f t="shared" si="38"/>
        <v>47.869555549644851</v>
      </c>
      <c r="AI73" s="83">
        <f t="shared" si="38"/>
        <v>82.382639809507978</v>
      </c>
      <c r="AJ73" s="83">
        <f t="shared" si="38"/>
        <v>119.89949083296318</v>
      </c>
      <c r="AK73" s="83">
        <f t="shared" si="38"/>
        <v>31.453083501951763</v>
      </c>
      <c r="AL73" s="83">
        <f t="shared" si="38"/>
        <v>40.57515977190522</v>
      </c>
      <c r="AM73" s="83">
        <f t="shared" si="38"/>
        <v>56.059451316315283</v>
      </c>
      <c r="AN73" s="83">
        <f t="shared" si="38"/>
        <v>80.685700323438425</v>
      </c>
      <c r="AO73" s="83">
        <f t="shared" si="38"/>
        <v>12.164583714232993</v>
      </c>
      <c r="AP73" s="83">
        <f t="shared" si="38"/>
        <v>14.597667315639015</v>
      </c>
      <c r="AQ73" s="83" t="e">
        <f t="shared" si="38"/>
        <v>#DIV/0!</v>
      </c>
      <c r="AR73" s="83" t="e">
        <f t="shared" si="38"/>
        <v>#DIV/0!</v>
      </c>
      <c r="AS73" s="83" t="e">
        <f t="shared" si="38"/>
        <v>#DIV/0!</v>
      </c>
      <c r="AT73" s="83" t="e">
        <f t="shared" si="38"/>
        <v>#DIV/0!</v>
      </c>
      <c r="AU73" s="83" t="e">
        <f t="shared" si="38"/>
        <v>#DIV/0!</v>
      </c>
      <c r="AV73" s="83" t="e">
        <f t="shared" si="38"/>
        <v>#DIV/0!</v>
      </c>
      <c r="AW73" s="83" t="e">
        <f t="shared" si="38"/>
        <v>#DIV/0!</v>
      </c>
      <c r="AX73" s="83" t="e">
        <f t="shared" si="38"/>
        <v>#DIV/0!</v>
      </c>
      <c r="AY73" s="83" t="e">
        <f t="shared" si="38"/>
        <v>#DIV/0!</v>
      </c>
      <c r="AZ73" s="83" t="e">
        <f t="shared" si="38"/>
        <v>#DIV/0!</v>
      </c>
      <c r="BA73" s="83" t="e">
        <f t="shared" si="38"/>
        <v>#DIV/0!</v>
      </c>
      <c r="BB73" s="83" t="e">
        <f t="shared" si="38"/>
        <v>#DIV/0!</v>
      </c>
      <c r="BC73" s="83" t="e">
        <f t="shared" si="38"/>
        <v>#DIV/0!</v>
      </c>
      <c r="BD73" s="83" t="e">
        <f t="shared" si="38"/>
        <v>#DIV/0!</v>
      </c>
      <c r="BE73" s="83" t="e">
        <f t="shared" si="38"/>
        <v>#DIV/0!</v>
      </c>
      <c r="BF73" s="83" t="e">
        <f t="shared" si="38"/>
        <v>#DIV/0!</v>
      </c>
      <c r="BG73" s="83" t="e">
        <f t="shared" si="38"/>
        <v>#DIV/0!</v>
      </c>
      <c r="BH73" s="83" t="e">
        <f t="shared" si="38"/>
        <v>#DIV/0!</v>
      </c>
      <c r="BI73" s="83" t="e">
        <f t="shared" si="38"/>
        <v>#DIV/0!</v>
      </c>
      <c r="BJ73" s="83" t="e">
        <f t="shared" si="38"/>
        <v>#DIV/0!</v>
      </c>
      <c r="BK73" s="83" t="e">
        <f t="shared" si="38"/>
        <v>#DIV/0!</v>
      </c>
      <c r="BL73" s="83" t="e">
        <f t="shared" si="38"/>
        <v>#DIV/0!</v>
      </c>
      <c r="BM73" s="83" t="e">
        <f t="shared" si="38"/>
        <v>#DIV/0!</v>
      </c>
      <c r="BN73" s="83" t="e">
        <f t="shared" si="38"/>
        <v>#DIV/0!</v>
      </c>
      <c r="BO73" s="83" t="e">
        <f t="shared" si="38"/>
        <v>#DIV/0!</v>
      </c>
      <c r="BP73" s="83" t="e">
        <f t="shared" si="38"/>
        <v>#DIV/0!</v>
      </c>
      <c r="BQ73" s="83" t="e">
        <f t="shared" si="38"/>
        <v>#DIV/0!</v>
      </c>
      <c r="BR73" s="83" t="e">
        <f t="shared" ref="BR73:CJ73" si="39">BR62/BR72</f>
        <v>#DIV/0!</v>
      </c>
      <c r="BS73" s="83" t="e">
        <f t="shared" si="39"/>
        <v>#DIV/0!</v>
      </c>
      <c r="BT73" s="83" t="e">
        <f t="shared" si="39"/>
        <v>#DIV/0!</v>
      </c>
      <c r="BU73" s="83" t="e">
        <f t="shared" si="39"/>
        <v>#DIV/0!</v>
      </c>
      <c r="BV73" s="83" t="e">
        <f t="shared" si="39"/>
        <v>#DIV/0!</v>
      </c>
      <c r="BW73" s="83" t="e">
        <f t="shared" si="39"/>
        <v>#DIV/0!</v>
      </c>
      <c r="BX73" s="83" t="e">
        <f t="shared" si="39"/>
        <v>#DIV/0!</v>
      </c>
      <c r="BY73" s="83" t="e">
        <f t="shared" si="39"/>
        <v>#DIV/0!</v>
      </c>
      <c r="BZ73" s="83" t="e">
        <f t="shared" si="39"/>
        <v>#DIV/0!</v>
      </c>
      <c r="CA73" s="83" t="e">
        <f t="shared" si="39"/>
        <v>#DIV/0!</v>
      </c>
      <c r="CB73" s="83" t="e">
        <f t="shared" si="39"/>
        <v>#DIV/0!</v>
      </c>
      <c r="CC73" s="83" t="e">
        <f t="shared" si="39"/>
        <v>#DIV/0!</v>
      </c>
      <c r="CD73" s="83" t="e">
        <f t="shared" si="39"/>
        <v>#DIV/0!</v>
      </c>
      <c r="CE73" s="83" t="e">
        <f t="shared" si="39"/>
        <v>#DIV/0!</v>
      </c>
      <c r="CF73" s="83" t="e">
        <f t="shared" si="39"/>
        <v>#DIV/0!</v>
      </c>
      <c r="CG73" s="83" t="e">
        <f t="shared" si="39"/>
        <v>#DIV/0!</v>
      </c>
      <c r="CH73" s="83" t="e">
        <f t="shared" si="39"/>
        <v>#DIV/0!</v>
      </c>
      <c r="CI73" s="83" t="e">
        <f t="shared" si="39"/>
        <v>#DIV/0!</v>
      </c>
      <c r="CJ73" s="83" t="e">
        <f t="shared" si="39"/>
        <v>#DIV/0!</v>
      </c>
    </row>
    <row r="74" spans="1:89" s="256" customFormat="1" x14ac:dyDescent="0.25">
      <c r="A74" s="255" t="s">
        <v>482</v>
      </c>
      <c r="E74" s="256">
        <f>E66+E70</f>
        <v>138.06682546528697</v>
      </c>
      <c r="F74" s="256">
        <f t="shared" ref="F74:BQ74" si="40">F66+F70</f>
        <v>220.29070693607204</v>
      </c>
      <c r="G74" s="256">
        <f t="shared" si="40"/>
        <v>324.70663660683027</v>
      </c>
      <c r="H74" s="256">
        <f t="shared" si="40"/>
        <v>560.99733772380023</v>
      </c>
      <c r="I74" s="256">
        <f t="shared" si="40"/>
        <v>169.75651504818995</v>
      </c>
      <c r="J74" s="256">
        <f t="shared" si="40"/>
        <v>239.42710253674196</v>
      </c>
      <c r="K74" s="256">
        <f t="shared" si="40"/>
        <v>368.66194279624926</v>
      </c>
      <c r="L74" s="256">
        <f t="shared" si="40"/>
        <v>613.30922278011928</v>
      </c>
      <c r="M74" s="256">
        <f t="shared" si="40"/>
        <v>174.83869346995988</v>
      </c>
      <c r="N74" s="256">
        <f t="shared" si="40"/>
        <v>240.80194788815072</v>
      </c>
      <c r="O74" s="256">
        <f t="shared" si="40"/>
        <v>404.27594926986899</v>
      </c>
      <c r="P74" s="256">
        <f t="shared" si="40"/>
        <v>614.1430096377203</v>
      </c>
      <c r="Q74" s="256">
        <f t="shared" si="40"/>
        <v>166.67887946077056</v>
      </c>
      <c r="R74" s="256">
        <f t="shared" si="40"/>
        <v>249.72761784274135</v>
      </c>
      <c r="S74" s="256">
        <f t="shared" si="40"/>
        <v>439.22069735112888</v>
      </c>
      <c r="T74" s="256">
        <f t="shared" si="40"/>
        <v>660.77325459198346</v>
      </c>
      <c r="U74" s="256">
        <f t="shared" si="40"/>
        <v>180.00065375326687</v>
      </c>
      <c r="V74" s="256">
        <f t="shared" si="40"/>
        <v>269.38064413117422</v>
      </c>
      <c r="W74" s="256">
        <f t="shared" si="40"/>
        <v>457.47225191240261</v>
      </c>
      <c r="X74" s="256">
        <f t="shared" si="40"/>
        <v>686.23023312786529</v>
      </c>
      <c r="Y74" s="256">
        <f t="shared" si="40"/>
        <v>143.23624821991424</v>
      </c>
      <c r="Z74" s="256">
        <f t="shared" si="40"/>
        <v>217.91562422139742</v>
      </c>
      <c r="AA74" s="256">
        <f t="shared" si="40"/>
        <v>417.64157473731814</v>
      </c>
      <c r="AB74" s="256">
        <f t="shared" si="40"/>
        <v>604.59872823879618</v>
      </c>
      <c r="AC74" s="256">
        <f t="shared" si="40"/>
        <v>139.77106603702657</v>
      </c>
      <c r="AD74" s="256">
        <f t="shared" si="40"/>
        <v>187.80374597387788</v>
      </c>
      <c r="AE74" s="256">
        <f t="shared" si="40"/>
        <v>288.91397644304971</v>
      </c>
      <c r="AF74" s="256">
        <f t="shared" si="40"/>
        <v>378.34544923175662</v>
      </c>
      <c r="AG74" s="256">
        <f t="shared" si="40"/>
        <v>126.14048259459608</v>
      </c>
      <c r="AH74" s="256">
        <f t="shared" si="40"/>
        <v>187.29095402590275</v>
      </c>
      <c r="AI74" s="256">
        <f t="shared" si="40"/>
        <v>300.07574196245508</v>
      </c>
      <c r="AJ74" s="256">
        <f t="shared" si="40"/>
        <v>429.58877680088375</v>
      </c>
      <c r="AK74" s="256">
        <f t="shared" si="40"/>
        <v>122.86150060402153</v>
      </c>
      <c r="AL74" s="256">
        <f t="shared" si="40"/>
        <v>159.12853130194537</v>
      </c>
      <c r="AM74" s="256">
        <f t="shared" si="40"/>
        <v>187.36509801533347</v>
      </c>
      <c r="AN74" s="256">
        <f t="shared" si="40"/>
        <v>254.21406621692901</v>
      </c>
      <c r="AO74" s="256">
        <f t="shared" si="40"/>
        <v>60.505840838577612</v>
      </c>
      <c r="AP74" s="256">
        <f t="shared" si="40"/>
        <v>61.8907005049426</v>
      </c>
      <c r="AQ74" s="256" t="e">
        <f t="shared" si="40"/>
        <v>#DIV/0!</v>
      </c>
      <c r="AR74" s="256" t="e">
        <f t="shared" si="40"/>
        <v>#DIV/0!</v>
      </c>
      <c r="AS74" s="256" t="e">
        <f t="shared" si="40"/>
        <v>#DIV/0!</v>
      </c>
      <c r="AT74" s="256" t="e">
        <f t="shared" si="40"/>
        <v>#DIV/0!</v>
      </c>
      <c r="AU74" s="256" t="e">
        <f t="shared" si="40"/>
        <v>#DIV/0!</v>
      </c>
      <c r="AV74" s="256" t="e">
        <f t="shared" si="40"/>
        <v>#DIV/0!</v>
      </c>
      <c r="AW74" s="256" t="e">
        <f t="shared" si="40"/>
        <v>#DIV/0!</v>
      </c>
      <c r="AX74" s="256" t="e">
        <f t="shared" si="40"/>
        <v>#DIV/0!</v>
      </c>
      <c r="AY74" s="256" t="e">
        <f t="shared" si="40"/>
        <v>#DIV/0!</v>
      </c>
      <c r="AZ74" s="256" t="e">
        <f t="shared" si="40"/>
        <v>#DIV/0!</v>
      </c>
      <c r="BA74" s="256" t="e">
        <f t="shared" si="40"/>
        <v>#DIV/0!</v>
      </c>
      <c r="BB74" s="256" t="e">
        <f t="shared" si="40"/>
        <v>#DIV/0!</v>
      </c>
      <c r="BC74" s="256" t="e">
        <f t="shared" si="40"/>
        <v>#DIV/0!</v>
      </c>
      <c r="BD74" s="256" t="e">
        <f t="shared" si="40"/>
        <v>#DIV/0!</v>
      </c>
      <c r="BE74" s="256" t="e">
        <f t="shared" si="40"/>
        <v>#DIV/0!</v>
      </c>
      <c r="BF74" s="256" t="e">
        <f t="shared" si="40"/>
        <v>#DIV/0!</v>
      </c>
      <c r="BG74" s="256" t="e">
        <f t="shared" si="40"/>
        <v>#DIV/0!</v>
      </c>
      <c r="BH74" s="256" t="e">
        <f t="shared" si="40"/>
        <v>#DIV/0!</v>
      </c>
      <c r="BI74" s="256" t="e">
        <f t="shared" si="40"/>
        <v>#DIV/0!</v>
      </c>
      <c r="BJ74" s="256" t="e">
        <f t="shared" si="40"/>
        <v>#DIV/0!</v>
      </c>
      <c r="BK74" s="256" t="e">
        <f t="shared" si="40"/>
        <v>#DIV/0!</v>
      </c>
      <c r="BL74" s="256" t="e">
        <f t="shared" si="40"/>
        <v>#DIV/0!</v>
      </c>
      <c r="BM74" s="256" t="e">
        <f t="shared" si="40"/>
        <v>#DIV/0!</v>
      </c>
      <c r="BN74" s="256" t="e">
        <f t="shared" si="40"/>
        <v>#DIV/0!</v>
      </c>
      <c r="BO74" s="256" t="e">
        <f t="shared" si="40"/>
        <v>#DIV/0!</v>
      </c>
      <c r="BP74" s="256" t="e">
        <f t="shared" si="40"/>
        <v>#DIV/0!</v>
      </c>
      <c r="BQ74" s="256" t="e">
        <f t="shared" si="40"/>
        <v>#DIV/0!</v>
      </c>
      <c r="BR74" s="256" t="e">
        <f t="shared" ref="BR74:CK74" si="41">BR66+BR70</f>
        <v>#DIV/0!</v>
      </c>
      <c r="BS74" s="256" t="e">
        <f t="shared" si="41"/>
        <v>#DIV/0!</v>
      </c>
      <c r="BT74" s="256" t="e">
        <f t="shared" si="41"/>
        <v>#DIV/0!</v>
      </c>
      <c r="BU74" s="256" t="e">
        <f t="shared" si="41"/>
        <v>#DIV/0!</v>
      </c>
      <c r="BV74" s="256" t="e">
        <f t="shared" si="41"/>
        <v>#DIV/0!</v>
      </c>
      <c r="BW74" s="256" t="e">
        <f t="shared" si="41"/>
        <v>#DIV/0!</v>
      </c>
      <c r="BX74" s="256" t="e">
        <f t="shared" si="41"/>
        <v>#DIV/0!</v>
      </c>
      <c r="BY74" s="256" t="e">
        <f t="shared" si="41"/>
        <v>#DIV/0!</v>
      </c>
      <c r="BZ74" s="256" t="e">
        <f t="shared" si="41"/>
        <v>#DIV/0!</v>
      </c>
      <c r="CA74" s="256" t="e">
        <f t="shared" si="41"/>
        <v>#DIV/0!</v>
      </c>
      <c r="CB74" s="256" t="e">
        <f t="shared" si="41"/>
        <v>#DIV/0!</v>
      </c>
      <c r="CC74" s="256" t="e">
        <f t="shared" si="41"/>
        <v>#DIV/0!</v>
      </c>
      <c r="CD74" s="256" t="e">
        <f t="shared" si="41"/>
        <v>#DIV/0!</v>
      </c>
      <c r="CE74" s="256" t="e">
        <f t="shared" si="41"/>
        <v>#DIV/0!</v>
      </c>
      <c r="CF74" s="256" t="e">
        <f t="shared" si="41"/>
        <v>#DIV/0!</v>
      </c>
      <c r="CG74" s="256" t="e">
        <f t="shared" si="41"/>
        <v>#DIV/0!</v>
      </c>
      <c r="CH74" s="256" t="e">
        <f t="shared" si="41"/>
        <v>#DIV/0!</v>
      </c>
      <c r="CI74" s="256" t="e">
        <f t="shared" si="41"/>
        <v>#DIV/0!</v>
      </c>
      <c r="CJ74" s="256" t="e">
        <f t="shared" si="41"/>
        <v>#DIV/0!</v>
      </c>
      <c r="CK74" s="256">
        <f t="shared" si="41"/>
        <v>0</v>
      </c>
    </row>
    <row r="75" spans="1:89" s="256" customFormat="1" x14ac:dyDescent="0.25">
      <c r="A75" s="255" t="s">
        <v>483</v>
      </c>
      <c r="E75" s="256">
        <f>E74-E73</f>
        <v>88.988282003947859</v>
      </c>
      <c r="F75" s="256">
        <f t="shared" ref="F75:BQ75" si="42">F74-F73</f>
        <v>157.64311069041781</v>
      </c>
      <c r="G75" s="256">
        <f t="shared" si="42"/>
        <v>247.4036354981146</v>
      </c>
      <c r="H75" s="256">
        <f t="shared" si="42"/>
        <v>420.70089954305843</v>
      </c>
      <c r="I75" s="256">
        <f t="shared" si="42"/>
        <v>113.59036668441226</v>
      </c>
      <c r="J75" s="256">
        <f t="shared" si="42"/>
        <v>161.0865914711311</v>
      </c>
      <c r="K75" s="256">
        <f t="shared" si="42"/>
        <v>273.63043507357099</v>
      </c>
      <c r="L75" s="256">
        <f t="shared" si="42"/>
        <v>476.47852754116224</v>
      </c>
      <c r="M75" s="256">
        <f t="shared" si="42"/>
        <v>118.49779214765567</v>
      </c>
      <c r="N75" s="256">
        <f t="shared" si="42"/>
        <v>141.49717606905</v>
      </c>
      <c r="O75" s="256">
        <f t="shared" si="42"/>
        <v>262.30358438280723</v>
      </c>
      <c r="P75" s="256">
        <f t="shared" si="42"/>
        <v>425.58651489738963</v>
      </c>
      <c r="Q75" s="256">
        <f t="shared" si="42"/>
        <v>102.08565217772268</v>
      </c>
      <c r="R75" s="256">
        <f t="shared" si="42"/>
        <v>157.95232201453302</v>
      </c>
      <c r="S75" s="256">
        <f t="shared" si="42"/>
        <v>324.69743450064658</v>
      </c>
      <c r="T75" s="256">
        <f t="shared" si="42"/>
        <v>467.13479376531473</v>
      </c>
      <c r="U75" s="256">
        <f t="shared" si="42"/>
        <v>113.51221189165881</v>
      </c>
      <c r="V75" s="256">
        <f t="shared" si="42"/>
        <v>197.76857304771426</v>
      </c>
      <c r="W75" s="256">
        <f t="shared" si="42"/>
        <v>350.52827800015615</v>
      </c>
      <c r="X75" s="256">
        <f t="shared" si="42"/>
        <v>478.86447389612846</v>
      </c>
      <c r="Y75" s="256">
        <f t="shared" si="42"/>
        <v>83.363670642031295</v>
      </c>
      <c r="Z75" s="256">
        <f t="shared" si="42"/>
        <v>149.68613634668253</v>
      </c>
      <c r="AA75" s="256">
        <f t="shared" si="42"/>
        <v>281.02355552441134</v>
      </c>
      <c r="AB75" s="256">
        <f t="shared" si="42"/>
        <v>361.95720597930574</v>
      </c>
      <c r="AC75" s="256">
        <f t="shared" si="42"/>
        <v>65.64311061583237</v>
      </c>
      <c r="AD75" s="256">
        <f t="shared" si="42"/>
        <v>129.82992293110067</v>
      </c>
      <c r="AE75" s="256">
        <f t="shared" si="42"/>
        <v>194.89215275637622</v>
      </c>
      <c r="AF75" s="256">
        <f t="shared" si="42"/>
        <v>243.3982470811778</v>
      </c>
      <c r="AG75" s="256">
        <f t="shared" si="42"/>
        <v>69.814769418809846</v>
      </c>
      <c r="AH75" s="256">
        <f t="shared" si="42"/>
        <v>139.42139847625791</v>
      </c>
      <c r="AI75" s="256">
        <f t="shared" si="42"/>
        <v>217.69310215294712</v>
      </c>
      <c r="AJ75" s="256">
        <f t="shared" si="42"/>
        <v>309.68928596792057</v>
      </c>
      <c r="AK75" s="256">
        <f t="shared" si="42"/>
        <v>91.408417102069762</v>
      </c>
      <c r="AL75" s="256">
        <f t="shared" si="42"/>
        <v>118.55337153004015</v>
      </c>
      <c r="AM75" s="256">
        <f t="shared" si="42"/>
        <v>131.30564669901818</v>
      </c>
      <c r="AN75" s="256">
        <f t="shared" si="42"/>
        <v>173.52836589349059</v>
      </c>
      <c r="AO75" s="256">
        <f t="shared" si="42"/>
        <v>48.341257124344622</v>
      </c>
      <c r="AP75" s="256">
        <f t="shared" si="42"/>
        <v>47.293033189303586</v>
      </c>
      <c r="AQ75" s="256" t="e">
        <f t="shared" si="42"/>
        <v>#DIV/0!</v>
      </c>
      <c r="AR75" s="256" t="e">
        <f t="shared" si="42"/>
        <v>#DIV/0!</v>
      </c>
      <c r="AS75" s="256" t="e">
        <f t="shared" si="42"/>
        <v>#DIV/0!</v>
      </c>
      <c r="AT75" s="256" t="e">
        <f t="shared" si="42"/>
        <v>#DIV/0!</v>
      </c>
      <c r="AU75" s="256" t="e">
        <f t="shared" si="42"/>
        <v>#DIV/0!</v>
      </c>
      <c r="AV75" s="256" t="e">
        <f t="shared" si="42"/>
        <v>#DIV/0!</v>
      </c>
      <c r="AW75" s="256" t="e">
        <f t="shared" si="42"/>
        <v>#DIV/0!</v>
      </c>
      <c r="AX75" s="256" t="e">
        <f t="shared" si="42"/>
        <v>#DIV/0!</v>
      </c>
      <c r="AY75" s="256" t="e">
        <f t="shared" si="42"/>
        <v>#DIV/0!</v>
      </c>
      <c r="AZ75" s="256" t="e">
        <f t="shared" si="42"/>
        <v>#DIV/0!</v>
      </c>
      <c r="BA75" s="256" t="e">
        <f t="shared" si="42"/>
        <v>#DIV/0!</v>
      </c>
      <c r="BB75" s="256" t="e">
        <f t="shared" si="42"/>
        <v>#DIV/0!</v>
      </c>
      <c r="BC75" s="256" t="e">
        <f t="shared" si="42"/>
        <v>#DIV/0!</v>
      </c>
      <c r="BD75" s="256" t="e">
        <f t="shared" si="42"/>
        <v>#DIV/0!</v>
      </c>
      <c r="BE75" s="256" t="e">
        <f t="shared" si="42"/>
        <v>#DIV/0!</v>
      </c>
      <c r="BF75" s="256" t="e">
        <f t="shared" si="42"/>
        <v>#DIV/0!</v>
      </c>
      <c r="BG75" s="256" t="e">
        <f t="shared" si="42"/>
        <v>#DIV/0!</v>
      </c>
      <c r="BH75" s="256" t="e">
        <f t="shared" si="42"/>
        <v>#DIV/0!</v>
      </c>
      <c r="BI75" s="256" t="e">
        <f t="shared" si="42"/>
        <v>#DIV/0!</v>
      </c>
      <c r="BJ75" s="256" t="e">
        <f t="shared" si="42"/>
        <v>#DIV/0!</v>
      </c>
      <c r="BK75" s="256" t="e">
        <f t="shared" si="42"/>
        <v>#DIV/0!</v>
      </c>
      <c r="BL75" s="256" t="e">
        <f t="shared" si="42"/>
        <v>#DIV/0!</v>
      </c>
      <c r="BM75" s="256" t="e">
        <f t="shared" si="42"/>
        <v>#DIV/0!</v>
      </c>
      <c r="BN75" s="256" t="e">
        <f t="shared" si="42"/>
        <v>#DIV/0!</v>
      </c>
      <c r="BO75" s="256" t="e">
        <f t="shared" si="42"/>
        <v>#DIV/0!</v>
      </c>
      <c r="BP75" s="256" t="e">
        <f t="shared" si="42"/>
        <v>#DIV/0!</v>
      </c>
      <c r="BQ75" s="256" t="e">
        <f t="shared" si="42"/>
        <v>#DIV/0!</v>
      </c>
      <c r="BR75" s="256" t="e">
        <f t="shared" ref="BR75:CJ75" si="43">BR74-BR73</f>
        <v>#DIV/0!</v>
      </c>
      <c r="BS75" s="256" t="e">
        <f t="shared" si="43"/>
        <v>#DIV/0!</v>
      </c>
      <c r="BT75" s="256" t="e">
        <f t="shared" si="43"/>
        <v>#DIV/0!</v>
      </c>
      <c r="BU75" s="256" t="e">
        <f t="shared" si="43"/>
        <v>#DIV/0!</v>
      </c>
      <c r="BV75" s="256" t="e">
        <f t="shared" si="43"/>
        <v>#DIV/0!</v>
      </c>
      <c r="BW75" s="256" t="e">
        <f t="shared" si="43"/>
        <v>#DIV/0!</v>
      </c>
      <c r="BX75" s="256" t="e">
        <f t="shared" si="43"/>
        <v>#DIV/0!</v>
      </c>
      <c r="BY75" s="256" t="e">
        <f t="shared" si="43"/>
        <v>#DIV/0!</v>
      </c>
      <c r="BZ75" s="256" t="e">
        <f t="shared" si="43"/>
        <v>#DIV/0!</v>
      </c>
      <c r="CA75" s="256" t="e">
        <f t="shared" si="43"/>
        <v>#DIV/0!</v>
      </c>
      <c r="CB75" s="256" t="e">
        <f t="shared" si="43"/>
        <v>#DIV/0!</v>
      </c>
      <c r="CC75" s="256" t="e">
        <f t="shared" si="43"/>
        <v>#DIV/0!</v>
      </c>
      <c r="CD75" s="256" t="e">
        <f t="shared" si="43"/>
        <v>#DIV/0!</v>
      </c>
      <c r="CE75" s="256" t="e">
        <f t="shared" si="43"/>
        <v>#DIV/0!</v>
      </c>
      <c r="CF75" s="256" t="e">
        <f t="shared" si="43"/>
        <v>#DIV/0!</v>
      </c>
      <c r="CG75" s="256" t="e">
        <f t="shared" si="43"/>
        <v>#DIV/0!</v>
      </c>
      <c r="CH75" s="256" t="e">
        <f t="shared" si="43"/>
        <v>#DIV/0!</v>
      </c>
      <c r="CI75" s="256" t="e">
        <f t="shared" si="43"/>
        <v>#DIV/0!</v>
      </c>
      <c r="CJ75" s="256" t="e">
        <f t="shared" si="43"/>
        <v>#DIV/0!</v>
      </c>
    </row>
    <row r="76" spans="1:89" s="120" customFormat="1" x14ac:dyDescent="0.25">
      <c r="A76" s="149" t="s">
        <v>484</v>
      </c>
      <c r="E76" s="120">
        <f>E71-E64-E68</f>
        <v>-981658640.92999995</v>
      </c>
      <c r="F76" s="120">
        <f t="shared" ref="F76:BQ76" si="44">F71-F64-F68</f>
        <v>-1168658212.8199999</v>
      </c>
      <c r="G76" s="120">
        <f t="shared" si="44"/>
        <v>-1041260721.6000001</v>
      </c>
      <c r="H76" s="120">
        <f t="shared" si="44"/>
        <v>-914347597.26999998</v>
      </c>
      <c r="I76" s="120">
        <f t="shared" si="44"/>
        <v>-555708476.53999996</v>
      </c>
      <c r="J76" s="120">
        <f t="shared" si="44"/>
        <v>-631485836.11000001</v>
      </c>
      <c r="K76" s="120">
        <f t="shared" si="44"/>
        <v>-662727092.26999998</v>
      </c>
      <c r="L76" s="120">
        <f t="shared" si="44"/>
        <v>-667240600.55000007</v>
      </c>
      <c r="M76" s="120">
        <f t="shared" si="44"/>
        <v>-636401639.55999994</v>
      </c>
      <c r="N76" s="120">
        <f t="shared" si="44"/>
        <v>-539639606.74000001</v>
      </c>
      <c r="O76" s="120">
        <f t="shared" si="44"/>
        <v>-522864949.98999995</v>
      </c>
      <c r="P76" s="120">
        <f t="shared" si="44"/>
        <v>-492614785.42999995</v>
      </c>
      <c r="Q76" s="120">
        <f t="shared" si="44"/>
        <v>-457030235.75999999</v>
      </c>
      <c r="R76" s="120">
        <f t="shared" si="44"/>
        <v>-426336349.32999998</v>
      </c>
      <c r="S76" s="120">
        <f t="shared" si="44"/>
        <v>-520715396.86999989</v>
      </c>
      <c r="T76" s="120">
        <f t="shared" si="44"/>
        <v>-432976559.51999998</v>
      </c>
      <c r="U76" s="120">
        <f t="shared" si="44"/>
        <v>-453425718.02000004</v>
      </c>
      <c r="V76" s="120">
        <f t="shared" si="44"/>
        <v>-563351777.45000005</v>
      </c>
      <c r="W76" s="120">
        <f t="shared" si="44"/>
        <v>-654183205.34000003</v>
      </c>
      <c r="X76" s="120">
        <f t="shared" si="44"/>
        <v>-570164217.57999992</v>
      </c>
      <c r="Y76" s="120">
        <f t="shared" si="44"/>
        <v>-498059225.28000003</v>
      </c>
      <c r="Z76" s="120">
        <f t="shared" si="44"/>
        <v>-586480214.96000004</v>
      </c>
      <c r="AA76" s="120">
        <f t="shared" si="44"/>
        <v>-594076324.82999992</v>
      </c>
      <c r="AB76" s="120">
        <f t="shared" si="44"/>
        <v>-428002680.33999997</v>
      </c>
      <c r="AC76" s="120">
        <f t="shared" si="44"/>
        <v>-294891037.13999993</v>
      </c>
      <c r="AD76" s="120">
        <f t="shared" si="44"/>
        <v>-368245248.87</v>
      </c>
      <c r="AE76" s="120">
        <f t="shared" si="44"/>
        <v>-341081633.97000003</v>
      </c>
      <c r="AF76" s="120">
        <f t="shared" si="44"/>
        <v>-251787303.24999997</v>
      </c>
      <c r="AG76" s="120">
        <f t="shared" si="44"/>
        <v>-258396248.75999999</v>
      </c>
      <c r="AH76" s="120">
        <f t="shared" si="44"/>
        <v>-369630624.40000004</v>
      </c>
      <c r="AI76" s="120">
        <f t="shared" si="44"/>
        <v>-312410107.05000001</v>
      </c>
      <c r="AJ76" s="120">
        <f t="shared" si="44"/>
        <v>-215696184.39999998</v>
      </c>
      <c r="AK76" s="120">
        <f t="shared" si="44"/>
        <v>-212614311.89000002</v>
      </c>
      <c r="AL76" s="120">
        <f t="shared" si="44"/>
        <v>-199041605.94999999</v>
      </c>
      <c r="AM76" s="120">
        <f t="shared" si="44"/>
        <v>-185529535.32999998</v>
      </c>
      <c r="AN76" s="120">
        <f t="shared" si="44"/>
        <v>-158914245.35000002</v>
      </c>
      <c r="AO76" s="120">
        <f t="shared" si="44"/>
        <v>-155671463.72</v>
      </c>
      <c r="AP76" s="120">
        <f t="shared" si="44"/>
        <v>-90414201.800000012</v>
      </c>
      <c r="AQ76" s="120">
        <f t="shared" si="44"/>
        <v>0</v>
      </c>
      <c r="AR76" s="120">
        <f t="shared" si="44"/>
        <v>0</v>
      </c>
      <c r="AS76" s="120">
        <f t="shared" si="44"/>
        <v>0</v>
      </c>
      <c r="AT76" s="120">
        <f t="shared" si="44"/>
        <v>0</v>
      </c>
      <c r="AU76" s="120">
        <f t="shared" si="44"/>
        <v>0</v>
      </c>
      <c r="AV76" s="120">
        <f t="shared" si="44"/>
        <v>0</v>
      </c>
      <c r="AW76" s="120">
        <f t="shared" si="44"/>
        <v>0</v>
      </c>
      <c r="AX76" s="120">
        <f t="shared" si="44"/>
        <v>0</v>
      </c>
      <c r="AY76" s="120">
        <f t="shared" si="44"/>
        <v>0</v>
      </c>
      <c r="AZ76" s="120">
        <f t="shared" si="44"/>
        <v>0</v>
      </c>
      <c r="BA76" s="120">
        <f t="shared" si="44"/>
        <v>0</v>
      </c>
      <c r="BB76" s="120">
        <f t="shared" si="44"/>
        <v>0</v>
      </c>
      <c r="BC76" s="120">
        <f t="shared" si="44"/>
        <v>0</v>
      </c>
      <c r="BD76" s="120">
        <f t="shared" si="44"/>
        <v>0</v>
      </c>
      <c r="BE76" s="120">
        <f t="shared" si="44"/>
        <v>0</v>
      </c>
      <c r="BF76" s="120">
        <f t="shared" si="44"/>
        <v>0</v>
      </c>
      <c r="BG76" s="120">
        <f t="shared" si="44"/>
        <v>0</v>
      </c>
      <c r="BH76" s="120">
        <f t="shared" si="44"/>
        <v>0</v>
      </c>
      <c r="BI76" s="120">
        <f t="shared" si="44"/>
        <v>0</v>
      </c>
      <c r="BJ76" s="120">
        <f t="shared" si="44"/>
        <v>0</v>
      </c>
      <c r="BK76" s="120">
        <f t="shared" si="44"/>
        <v>0</v>
      </c>
      <c r="BL76" s="120">
        <f t="shared" si="44"/>
        <v>0</v>
      </c>
      <c r="BM76" s="120">
        <f t="shared" si="44"/>
        <v>0</v>
      </c>
      <c r="BN76" s="120">
        <f t="shared" si="44"/>
        <v>0</v>
      </c>
      <c r="BO76" s="120">
        <f t="shared" si="44"/>
        <v>0</v>
      </c>
      <c r="BP76" s="120">
        <f t="shared" si="44"/>
        <v>0</v>
      </c>
      <c r="BQ76" s="120">
        <f t="shared" si="44"/>
        <v>0</v>
      </c>
      <c r="BR76" s="120">
        <f t="shared" ref="BR76:CJ76" si="45">BR71-BR64-BR68</f>
        <v>0</v>
      </c>
      <c r="BS76" s="120">
        <f t="shared" si="45"/>
        <v>0</v>
      </c>
      <c r="BT76" s="120">
        <f t="shared" si="45"/>
        <v>0</v>
      </c>
      <c r="BU76" s="120">
        <f t="shared" si="45"/>
        <v>0</v>
      </c>
      <c r="BV76" s="120">
        <f t="shared" si="45"/>
        <v>0</v>
      </c>
      <c r="BW76" s="120">
        <f t="shared" si="45"/>
        <v>0</v>
      </c>
      <c r="BX76" s="120">
        <f t="shared" si="45"/>
        <v>0</v>
      </c>
      <c r="BY76" s="120">
        <f t="shared" si="45"/>
        <v>0</v>
      </c>
      <c r="BZ76" s="120">
        <f t="shared" si="45"/>
        <v>0</v>
      </c>
      <c r="CA76" s="120">
        <f t="shared" si="45"/>
        <v>0</v>
      </c>
      <c r="CB76" s="120">
        <f t="shared" si="45"/>
        <v>0</v>
      </c>
      <c r="CC76" s="120">
        <f t="shared" si="45"/>
        <v>0</v>
      </c>
      <c r="CD76" s="120">
        <f t="shared" si="45"/>
        <v>0</v>
      </c>
      <c r="CE76" s="120">
        <f t="shared" si="45"/>
        <v>0</v>
      </c>
      <c r="CF76" s="120">
        <f t="shared" si="45"/>
        <v>0</v>
      </c>
      <c r="CG76" s="120">
        <f t="shared" si="45"/>
        <v>0</v>
      </c>
      <c r="CH76" s="120">
        <f t="shared" si="45"/>
        <v>0</v>
      </c>
      <c r="CI76" s="120">
        <f t="shared" si="45"/>
        <v>0</v>
      </c>
      <c r="CJ76" s="120">
        <f t="shared" si="45"/>
        <v>0</v>
      </c>
    </row>
    <row r="77" spans="1:89" s="16" customFormat="1" ht="262.2" customHeight="1" x14ac:dyDescent="0.25">
      <c r="A77" s="279" t="s">
        <v>691</v>
      </c>
      <c r="B77" s="278"/>
      <c r="C77" s="278"/>
      <c r="D77" s="278"/>
      <c r="E77" s="278"/>
      <c r="F77" s="278"/>
      <c r="G77" s="278"/>
      <c r="H77" s="278"/>
      <c r="I77" s="278"/>
      <c r="J77" s="278"/>
      <c r="K77" s="278"/>
      <c r="L77" s="278"/>
      <c r="M77" s="278"/>
      <c r="N77" s="278"/>
      <c r="O77" s="278"/>
      <c r="P77" s="278"/>
      <c r="Q77" s="278"/>
      <c r="R77" s="278"/>
      <c r="S77" s="278"/>
      <c r="T77" s="278"/>
      <c r="U77" s="278"/>
      <c r="V77" s="278"/>
      <c r="W77" s="278"/>
      <c r="X77" s="278"/>
      <c r="Y77" s="278"/>
      <c r="Z77" s="278"/>
      <c r="AA77" s="278"/>
      <c r="AB77" s="278"/>
      <c r="AC77" s="278"/>
      <c r="AD77" s="278"/>
      <c r="AE77" s="278"/>
      <c r="AF77" s="278"/>
      <c r="AG77" s="278"/>
    </row>
    <row r="79" spans="1:89" ht="15" thickBot="1" x14ac:dyDescent="0.3">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row>
    <row r="80" spans="1:89" s="250" customFormat="1" x14ac:dyDescent="0.25">
      <c r="A80" s="249" t="s">
        <v>579</v>
      </c>
      <c r="B80" s="1">
        <v>43373</v>
      </c>
      <c r="C80" s="1">
        <v>43281</v>
      </c>
      <c r="D80" s="1">
        <v>43190</v>
      </c>
      <c r="E80" s="1">
        <v>43100</v>
      </c>
      <c r="F80" s="1">
        <v>43008</v>
      </c>
      <c r="G80" s="1">
        <v>42916</v>
      </c>
      <c r="H80" s="1">
        <v>42825</v>
      </c>
      <c r="I80" s="1">
        <v>42735</v>
      </c>
      <c r="J80" s="1">
        <v>42643</v>
      </c>
      <c r="K80" s="1">
        <v>42551</v>
      </c>
      <c r="L80" s="1">
        <v>42460</v>
      </c>
      <c r="M80" s="1">
        <v>42369</v>
      </c>
      <c r="N80" s="1">
        <v>42277</v>
      </c>
      <c r="O80" s="1">
        <v>42185</v>
      </c>
      <c r="P80" s="1">
        <v>42094</v>
      </c>
      <c r="Q80" s="1">
        <v>42004</v>
      </c>
      <c r="R80" s="1">
        <v>41912</v>
      </c>
      <c r="S80" s="1">
        <v>41820</v>
      </c>
      <c r="T80" s="1">
        <v>41729</v>
      </c>
      <c r="U80" s="1">
        <v>41639</v>
      </c>
      <c r="V80" s="1">
        <v>41547</v>
      </c>
      <c r="W80" s="1">
        <v>41455</v>
      </c>
      <c r="X80" s="1">
        <v>41364</v>
      </c>
      <c r="Y80" s="1">
        <v>41274</v>
      </c>
      <c r="Z80" s="1">
        <v>41182</v>
      </c>
      <c r="AA80" s="1">
        <v>41090</v>
      </c>
      <c r="AB80" s="1">
        <v>40999</v>
      </c>
      <c r="AC80" s="1">
        <v>40908</v>
      </c>
      <c r="AD80" s="1">
        <v>40816</v>
      </c>
      <c r="AE80" s="1">
        <v>40724</v>
      </c>
      <c r="AF80" s="1">
        <v>40633</v>
      </c>
      <c r="AG80" s="1">
        <v>40543</v>
      </c>
      <c r="AH80" s="1">
        <v>40451</v>
      </c>
      <c r="AI80" s="1">
        <v>40359</v>
      </c>
      <c r="AJ80" s="1">
        <v>40268</v>
      </c>
      <c r="AK80" s="1">
        <v>40178</v>
      </c>
      <c r="AL80" s="1">
        <v>40086</v>
      </c>
      <c r="AM80" s="1">
        <v>39994</v>
      </c>
      <c r="AN80" s="1">
        <v>39903</v>
      </c>
      <c r="AO80" s="1">
        <v>39813</v>
      </c>
      <c r="AP80" s="1">
        <v>39721</v>
      </c>
      <c r="AQ80" s="1">
        <v>39447</v>
      </c>
      <c r="AR80" s="1">
        <v>39082</v>
      </c>
      <c r="AS80" s="1">
        <v>25569</v>
      </c>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row>
    <row r="81" spans="1:89" s="76" customFormat="1" x14ac:dyDescent="0.25">
      <c r="A81" s="70" t="s">
        <v>580</v>
      </c>
      <c r="E81" s="76">
        <f>股权价值增加表!E4</f>
        <v>4661850865.5100002</v>
      </c>
      <c r="F81" s="76">
        <f>股权价值增加表!F4</f>
        <v>3182670009.3200002</v>
      </c>
      <c r="G81" s="76">
        <f>股权价值增加表!G4</f>
        <v>1981435890.6199999</v>
      </c>
      <c r="H81" s="76">
        <f>股权价值增加表!H4</f>
        <v>1057767260.42</v>
      </c>
      <c r="I81" s="76">
        <f>股权价值增加表!I4</f>
        <v>3152216442.1500001</v>
      </c>
      <c r="J81" s="76">
        <f>股权价值增加表!J4</f>
        <v>2155264290.48</v>
      </c>
      <c r="K81" s="76">
        <f>股权价值增加表!K4</f>
        <v>1343083310.6500001</v>
      </c>
      <c r="L81" s="76">
        <f>股权价值增加表!L4</f>
        <v>762846279.96000004</v>
      </c>
      <c r="M81" s="76">
        <f>股权价值增加表!M4</f>
        <v>2915633891.98</v>
      </c>
      <c r="N81" s="76">
        <f>股权价值增加表!N4</f>
        <v>2046094586.02</v>
      </c>
      <c r="O81" s="76">
        <f>股权价值增加表!O4</f>
        <v>1249976092.8499999</v>
      </c>
      <c r="P81" s="76">
        <f>股权价值增加表!P4</f>
        <v>705394935.15999997</v>
      </c>
      <c r="Q81" s="76">
        <f>股权价值增加表!Q4</f>
        <v>2761400573.5100002</v>
      </c>
      <c r="R81" s="76">
        <f>股权价值增加表!R4</f>
        <v>1879993912.9100001</v>
      </c>
      <c r="S81" s="76">
        <f>股权价值增加表!S4</f>
        <v>1112279848.48</v>
      </c>
      <c r="T81" s="76">
        <f>股权价值增加表!T4</f>
        <v>657308577.96000004</v>
      </c>
      <c r="U81" s="76">
        <f>股权价值增加表!U4</f>
        <v>2524209416.4000001</v>
      </c>
      <c r="V81" s="76">
        <f>股权价值增加表!V4</f>
        <v>1722646961.76</v>
      </c>
      <c r="W81" s="76">
        <f>股权价值增加表!W4</f>
        <v>1078073329.79</v>
      </c>
      <c r="X81" s="76">
        <f>股权价值增加表!X4</f>
        <v>615351177.55999994</v>
      </c>
      <c r="Y81" s="76">
        <f>股权价值增加表!Y4</f>
        <v>2724953861.21</v>
      </c>
      <c r="Z81" s="76">
        <f>股权价值增加表!Z4</f>
        <v>1847721787.6600001</v>
      </c>
      <c r="AA81" s="76">
        <f>股权价值增加表!AA4</f>
        <v>1036490112.66</v>
      </c>
      <c r="AB81" s="76">
        <f>股权价值增加表!AB4</f>
        <v>614320304.89999998</v>
      </c>
      <c r="AC81" s="76">
        <f>股权价值增加表!AC4</f>
        <v>2382434788.48</v>
      </c>
      <c r="AD81" s="76">
        <f>股权价值增加表!AD4</f>
        <v>1633896787.0999999</v>
      </c>
      <c r="AE81" s="76">
        <f>股权价值增加表!AE4</f>
        <v>1003246147.98</v>
      </c>
      <c r="AF81" s="76">
        <f>股权价值增加表!AF4</f>
        <v>583149853.35000002</v>
      </c>
      <c r="AG81" s="76">
        <f>股权价值增加表!AG4</f>
        <v>1818814620.1400001</v>
      </c>
      <c r="AH81" s="76">
        <f>股权价值增加表!AH4</f>
        <v>1145669244.4200001</v>
      </c>
      <c r="AI81" s="76">
        <f>股权价值增加表!AI4</f>
        <v>661829336.29999995</v>
      </c>
      <c r="AJ81" s="76">
        <f>股权价值增加表!AJ4</f>
        <v>359335837.14999998</v>
      </c>
      <c r="AK81" s="76">
        <f>股权价值增加表!AK4</f>
        <v>1145306750.3299999</v>
      </c>
      <c r="AL81" s="76">
        <f>股权价值增加表!AL4</f>
        <v>723914564.5</v>
      </c>
      <c r="AM81" s="76">
        <f>股权价值增加表!AM4</f>
        <v>407570538.00999999</v>
      </c>
      <c r="AN81" s="76">
        <f>股权价值增加表!AN4</f>
        <v>255192022.33000001</v>
      </c>
      <c r="AO81" s="76">
        <f>股权价值增加表!AO4</f>
        <v>902684684.88</v>
      </c>
      <c r="AP81" s="76">
        <f>股权价值增加表!AP4</f>
        <v>632875455.57000005</v>
      </c>
      <c r="AQ81" s="76">
        <f>股权价值增加表!AQ4</f>
        <v>755362629.51999998</v>
      </c>
      <c r="AR81" s="76">
        <f>股权价值增加表!AR4</f>
        <v>552487592.55999994</v>
      </c>
      <c r="AS81" s="76">
        <f>股权价值增加表!AS4</f>
        <v>0</v>
      </c>
      <c r="AT81" s="76">
        <f>股权价值增加表!AT4</f>
        <v>0</v>
      </c>
      <c r="AU81" s="76">
        <f>股权价值增加表!AU4</f>
        <v>0</v>
      </c>
      <c r="AV81" s="76">
        <f>股权价值增加表!AV4</f>
        <v>0</v>
      </c>
      <c r="AW81" s="76">
        <f>股权价值增加表!AW4</f>
        <v>0</v>
      </c>
      <c r="AX81" s="76">
        <f>股权价值增加表!AX4</f>
        <v>0</v>
      </c>
      <c r="AY81" s="76">
        <f>股权价值增加表!AY4</f>
        <v>0</v>
      </c>
      <c r="AZ81" s="76">
        <f>股权价值增加表!AZ4</f>
        <v>0</v>
      </c>
      <c r="BA81" s="76">
        <f>股权价值增加表!BA4</f>
        <v>0</v>
      </c>
      <c r="BB81" s="76">
        <f>股权价值增加表!BB4</f>
        <v>0</v>
      </c>
      <c r="BC81" s="76">
        <f>股权价值增加表!BC4</f>
        <v>0</v>
      </c>
      <c r="BD81" s="76">
        <f>股权价值增加表!BD4</f>
        <v>0</v>
      </c>
      <c r="BE81" s="76">
        <f>股权价值增加表!BE4</f>
        <v>0</v>
      </c>
      <c r="BF81" s="76">
        <f>股权价值增加表!BF4</f>
        <v>0</v>
      </c>
      <c r="BG81" s="76">
        <f>股权价值增加表!BG4</f>
        <v>0</v>
      </c>
      <c r="BH81" s="76">
        <f>股权价值增加表!BH4</f>
        <v>0</v>
      </c>
      <c r="BI81" s="76">
        <f>股权价值增加表!BI4</f>
        <v>0</v>
      </c>
      <c r="BJ81" s="76">
        <f>股权价值增加表!BJ4</f>
        <v>0</v>
      </c>
      <c r="BK81" s="76">
        <f>股权价值增加表!BK4</f>
        <v>0</v>
      </c>
      <c r="BL81" s="76">
        <f>股权价值增加表!BL4</f>
        <v>0</v>
      </c>
      <c r="BM81" s="76">
        <f>股权价值增加表!BM4</f>
        <v>0</v>
      </c>
      <c r="BN81" s="76">
        <f>股权价值增加表!BN4</f>
        <v>0</v>
      </c>
      <c r="BO81" s="76">
        <f>股权价值增加表!BO4</f>
        <v>0</v>
      </c>
      <c r="BP81" s="76">
        <f>股权价值增加表!BP4</f>
        <v>0</v>
      </c>
      <c r="BQ81" s="76">
        <f>股权价值增加表!BQ4</f>
        <v>0</v>
      </c>
      <c r="BR81" s="76">
        <f>股权价值增加表!BR4</f>
        <v>0</v>
      </c>
      <c r="BS81" s="76">
        <f>股权价值增加表!BS4</f>
        <v>0</v>
      </c>
      <c r="BT81" s="76">
        <f>股权价值增加表!BT4</f>
        <v>0</v>
      </c>
      <c r="BU81" s="76">
        <f>股权价值增加表!BU4</f>
        <v>0</v>
      </c>
      <c r="BV81" s="76">
        <f>股权价值增加表!BV4</f>
        <v>0</v>
      </c>
      <c r="BW81" s="76">
        <f>股权价值增加表!BW4</f>
        <v>0</v>
      </c>
      <c r="BX81" s="76">
        <f>股权价值增加表!BX4</f>
        <v>0</v>
      </c>
      <c r="BY81" s="76">
        <f>股权价值增加表!BY4</f>
        <v>0</v>
      </c>
      <c r="BZ81" s="76">
        <f>股权价值增加表!BZ4</f>
        <v>0</v>
      </c>
      <c r="CA81" s="76">
        <f>股权价值增加表!CA4</f>
        <v>0</v>
      </c>
      <c r="CB81" s="76">
        <f>股权价值增加表!CB4</f>
        <v>0</v>
      </c>
      <c r="CC81" s="76">
        <f>股权价值增加表!CC4</f>
        <v>0</v>
      </c>
      <c r="CD81" s="76">
        <f>股权价值增加表!CD4</f>
        <v>0</v>
      </c>
      <c r="CE81" s="76">
        <f>股权价值增加表!CE4</f>
        <v>0</v>
      </c>
      <c r="CF81" s="76">
        <f>股权价值增加表!CF4</f>
        <v>0</v>
      </c>
      <c r="CG81" s="76">
        <f>股权价值增加表!CG4</f>
        <v>0</v>
      </c>
      <c r="CH81" s="76">
        <f>股权价值增加表!CH4</f>
        <v>0</v>
      </c>
      <c r="CI81" s="76">
        <f>股权价值增加表!CI4</f>
        <v>0</v>
      </c>
      <c r="CJ81" s="76">
        <f>股权价值增加表!CJ4</f>
        <v>0</v>
      </c>
      <c r="CK81" s="76">
        <f>股权价值增加表!CK4</f>
        <v>0</v>
      </c>
    </row>
    <row r="82" spans="1:89" s="76" customFormat="1" x14ac:dyDescent="0.25">
      <c r="A82" s="70" t="s">
        <v>581</v>
      </c>
      <c r="E82" s="76">
        <f>投资和筹资活动现金流表!E34</f>
        <v>896821141.30999994</v>
      </c>
      <c r="F82" s="76">
        <f>投资和筹资活动现金流表!F34</f>
        <v>937298818.53999996</v>
      </c>
      <c r="G82" s="76">
        <f>投资和筹资活动现金流表!G34</f>
        <v>959317700.02999997</v>
      </c>
      <c r="H82" s="76">
        <f>投资和筹资活动现金流表!H34</f>
        <v>975828712.37000012</v>
      </c>
      <c r="I82" s="76">
        <f>投资和筹资活动现金流表!I34</f>
        <v>712655645.71999979</v>
      </c>
      <c r="J82" s="76">
        <f>投资和筹资活动现金流表!J34</f>
        <v>712011638.26999998</v>
      </c>
      <c r="K82" s="76">
        <f>投资和筹资活动现金流表!K34</f>
        <v>706507482.50999999</v>
      </c>
      <c r="L82" s="76">
        <f>投资和筹资活动现金流表!L34</f>
        <v>719703422.57000005</v>
      </c>
      <c r="M82" s="76">
        <f>投资和筹资活动现金流表!M34</f>
        <v>724088791.25999999</v>
      </c>
      <c r="N82" s="76">
        <f>投资和筹资活动现金流表!N34</f>
        <v>660102135.26999998</v>
      </c>
      <c r="O82" s="76">
        <f>投资和筹资活动现金流表!O34</f>
        <v>654397807.84000003</v>
      </c>
      <c r="P82" s="76">
        <f>投资和筹资活动现金流表!P34</f>
        <v>657598710.34000003</v>
      </c>
      <c r="Q82" s="76">
        <f>投资和筹资活动现金流表!Q34</f>
        <v>657770407.97000003</v>
      </c>
      <c r="R82" s="76">
        <f>投资和筹资活动现金流表!R34</f>
        <v>658741725.48000002</v>
      </c>
      <c r="S82" s="76">
        <f>投资和筹资活动现金流表!S34</f>
        <v>642750663.66999996</v>
      </c>
      <c r="T82" s="76">
        <f>投资和筹资活动现金流表!T34</f>
        <v>638106996.24000001</v>
      </c>
      <c r="U82" s="76">
        <f>投资和筹资活动现金流表!U34</f>
        <v>646286156.85000002</v>
      </c>
      <c r="V82" s="76">
        <f>投资和筹资活动现金流表!V34</f>
        <v>687749387.55999994</v>
      </c>
      <c r="W82" s="76">
        <f>投资和筹资活动现金流表!W34</f>
        <v>656425843.01999998</v>
      </c>
      <c r="X82" s="76">
        <f>投资和筹资活动现金流表!X34</f>
        <v>675710284.61000001</v>
      </c>
      <c r="Y82" s="76">
        <f>投资和筹资活动现金流表!AZ34</f>
        <v>5394582476.9899998</v>
      </c>
      <c r="Z82" s="76">
        <f>投资和筹资活动现金流表!BA34</f>
        <v>5501322858.9799995</v>
      </c>
      <c r="AA82" s="76">
        <f>投资和筹资活动现金流表!BB34</f>
        <v>5577867470.3299999</v>
      </c>
      <c r="AB82" s="76">
        <f>投资和筹资活动现金流表!BC34</f>
        <v>5696283898.6499996</v>
      </c>
      <c r="AC82" s="76">
        <f>投资和筹资活动现金流表!BD34</f>
        <v>5779603253.5100002</v>
      </c>
      <c r="AD82" s="76">
        <f>投资和筹资活动现金流表!BE34</f>
        <v>5840992847.29</v>
      </c>
      <c r="AE82" s="76">
        <f>投资和筹资活动现金流表!BF34</f>
        <v>5434316703.3800001</v>
      </c>
      <c r="AF82" s="76">
        <f>投资和筹资活动现金流表!BG34</f>
        <v>5519652065.3800001</v>
      </c>
      <c r="AG82" s="76">
        <f>投资和筹资活动现金流表!BH34</f>
        <v>5587811046.9799995</v>
      </c>
      <c r="AH82" s="76">
        <f>投资和筹资活动现金流表!BI34</f>
        <v>5587556850.7200003</v>
      </c>
      <c r="AI82" s="76">
        <f>投资和筹资活动现金流表!BJ34</f>
        <v>5175235607.8500004</v>
      </c>
      <c r="AJ82" s="76">
        <f>投资和筹资活动现金流表!BK34</f>
        <v>4543535291.6599998</v>
      </c>
      <c r="AK82" s="76">
        <f>投资和筹资活动现金流表!BL34</f>
        <v>4478639735.0500002</v>
      </c>
      <c r="AL82" s="76">
        <f>投资和筹资活动现金流表!BM34</f>
        <v>4520776529.7700005</v>
      </c>
      <c r="AM82" s="76">
        <f>投资和筹资活动现金流表!BN34</f>
        <v>3620875395.5999999</v>
      </c>
      <c r="AN82" s="76">
        <f>投资和筹资活动现金流表!BO34</f>
        <v>3684993020.0500002</v>
      </c>
      <c r="AO82" s="76">
        <f>投资和筹资活动现金流表!BP34</f>
        <v>3523637936.8200002</v>
      </c>
      <c r="AP82" s="76">
        <f>投资和筹资活动现金流表!BQ34</f>
        <v>64196426.759999998</v>
      </c>
      <c r="AQ82" s="76">
        <f>投资和筹资活动现金流表!BR34</f>
        <v>0</v>
      </c>
      <c r="AR82" s="76">
        <f>投资和筹资活动现金流表!BS34</f>
        <v>0</v>
      </c>
      <c r="AS82" s="76">
        <f>投资和筹资活动现金流表!AS34</f>
        <v>0</v>
      </c>
      <c r="AT82" s="76">
        <f>投资和筹资活动现金流表!AT34</f>
        <v>5119825755.0799999</v>
      </c>
      <c r="AU82" s="76">
        <f>投资和筹资活动现金流表!AU34</f>
        <v>5166324238.8199997</v>
      </c>
      <c r="AV82" s="76">
        <f>投资和筹资活动现金流表!AV34</f>
        <v>5229742144.5900002</v>
      </c>
      <c r="AW82" s="76">
        <f>投资和筹资活动现金流表!AW34</f>
        <v>5303368604.3599997</v>
      </c>
      <c r="AX82" s="76">
        <f>投资和筹资活动现金流表!AX34</f>
        <v>5412891640.3100004</v>
      </c>
      <c r="AY82" s="76">
        <f>投资和筹资活动现金流表!AY34</f>
        <v>5477269087.8599997</v>
      </c>
      <c r="AZ82" s="76" t="e">
        <f>投资和筹资活动现金流表!#REF!</f>
        <v>#REF!</v>
      </c>
      <c r="BA82" s="76" t="e">
        <f>投资和筹资活动现金流表!#REF!</f>
        <v>#REF!</v>
      </c>
      <c r="BB82" s="76" t="e">
        <f>投资和筹资活动现金流表!#REF!</f>
        <v>#REF!</v>
      </c>
      <c r="BC82" s="76" t="e">
        <f>投资和筹资活动现金流表!#REF!</f>
        <v>#REF!</v>
      </c>
      <c r="BD82" s="76" t="e">
        <f>投资和筹资活动现金流表!#REF!</f>
        <v>#REF!</v>
      </c>
      <c r="BE82" s="76" t="e">
        <f>投资和筹资活动现金流表!#REF!</f>
        <v>#REF!</v>
      </c>
      <c r="BF82" s="76" t="e">
        <f>投资和筹资活动现金流表!#REF!</f>
        <v>#REF!</v>
      </c>
      <c r="BG82" s="76" t="e">
        <f>投资和筹资活动现金流表!#REF!</f>
        <v>#REF!</v>
      </c>
      <c r="BH82" s="76" t="e">
        <f>投资和筹资活动现金流表!#REF!</f>
        <v>#REF!</v>
      </c>
      <c r="BI82" s="76" t="e">
        <f>投资和筹资活动现金流表!#REF!</f>
        <v>#REF!</v>
      </c>
      <c r="BJ82" s="76" t="e">
        <f>投资和筹资活动现金流表!#REF!</f>
        <v>#REF!</v>
      </c>
      <c r="BK82" s="76" t="e">
        <f>投资和筹资活动现金流表!#REF!</f>
        <v>#REF!</v>
      </c>
      <c r="BL82" s="76" t="e">
        <f>投资和筹资活动现金流表!#REF!</f>
        <v>#REF!</v>
      </c>
      <c r="BM82" s="76" t="e">
        <f>投资和筹资活动现金流表!#REF!</f>
        <v>#REF!</v>
      </c>
      <c r="BN82" s="76" t="e">
        <f>投资和筹资活动现金流表!#REF!</f>
        <v>#REF!</v>
      </c>
      <c r="BO82" s="76" t="e">
        <f>投资和筹资活动现金流表!#REF!</f>
        <v>#REF!</v>
      </c>
      <c r="BP82" s="76" t="e">
        <f>投资和筹资活动现金流表!#REF!</f>
        <v>#REF!</v>
      </c>
      <c r="BQ82" s="76" t="e">
        <f>投资和筹资活动现金流表!#REF!</f>
        <v>#REF!</v>
      </c>
      <c r="BR82" s="76" t="e">
        <f>投资和筹资活动现金流表!#REF!</f>
        <v>#REF!</v>
      </c>
      <c r="BS82" s="76" t="e">
        <f>投资和筹资活动现金流表!#REF!</f>
        <v>#REF!</v>
      </c>
      <c r="BT82" s="76">
        <f>投资和筹资活动现金流表!BT34</f>
        <v>0</v>
      </c>
      <c r="BU82" s="76">
        <f>投资和筹资活动现金流表!BU34</f>
        <v>0</v>
      </c>
      <c r="BV82" s="76">
        <f>投资和筹资活动现金流表!BV34</f>
        <v>0</v>
      </c>
      <c r="BW82" s="76">
        <f>投资和筹资活动现金流表!BW34</f>
        <v>0</v>
      </c>
      <c r="BX82" s="76">
        <f>投资和筹资活动现金流表!BX34</f>
        <v>0</v>
      </c>
      <c r="BY82" s="76">
        <f>投资和筹资活动现金流表!BY34</f>
        <v>0</v>
      </c>
      <c r="BZ82" s="76">
        <f>投资和筹资活动现金流表!BZ34</f>
        <v>0</v>
      </c>
      <c r="CA82" s="76">
        <f>投资和筹资活动现金流表!CA34</f>
        <v>0</v>
      </c>
      <c r="CB82" s="76">
        <f>投资和筹资活动现金流表!CB34</f>
        <v>0</v>
      </c>
      <c r="CC82" s="76">
        <f>投资和筹资活动现金流表!CC34</f>
        <v>0</v>
      </c>
      <c r="CD82" s="76">
        <f>投资和筹资活动现金流表!CD34</f>
        <v>0</v>
      </c>
      <c r="CE82" s="76">
        <f>投资和筹资活动现金流表!CE34</f>
        <v>0</v>
      </c>
      <c r="CF82" s="76">
        <f>投资和筹资活动现金流表!CF34</f>
        <v>0</v>
      </c>
      <c r="CG82" s="76">
        <f>投资和筹资活动现金流表!CG34</f>
        <v>0</v>
      </c>
      <c r="CH82" s="76">
        <f>投资和筹资活动现金流表!CH34</f>
        <v>0</v>
      </c>
      <c r="CI82" s="76">
        <f>投资和筹资活动现金流表!CI34</f>
        <v>0</v>
      </c>
      <c r="CJ82" s="76">
        <f>投资和筹资活动现金流表!CJ34</f>
        <v>0</v>
      </c>
      <c r="CK82" s="76">
        <f>投资和筹资活动现金流表!CK34</f>
        <v>0</v>
      </c>
    </row>
    <row r="83" spans="1:89" s="155" customFormat="1" x14ac:dyDescent="0.25">
      <c r="A83" s="251" t="s">
        <v>582</v>
      </c>
      <c r="E83" s="155">
        <f>E81/E82</f>
        <v>5.198194657521527</v>
      </c>
      <c r="F83" s="155">
        <f t="shared" ref="F83:BQ83" si="46">F81/F82</f>
        <v>3.3955766788200399</v>
      </c>
      <c r="G83" s="155">
        <f t="shared" si="46"/>
        <v>2.0654637046288586</v>
      </c>
      <c r="H83" s="155">
        <f t="shared" si="46"/>
        <v>1.0839681667605325</v>
      </c>
      <c r="I83" s="155">
        <f t="shared" si="46"/>
        <v>4.4231971795653129</v>
      </c>
      <c r="J83" s="155">
        <f t="shared" si="46"/>
        <v>3.0270071086432271</v>
      </c>
      <c r="K83" s="155">
        <f t="shared" si="46"/>
        <v>1.9010178149542669</v>
      </c>
      <c r="L83" s="155">
        <f t="shared" si="46"/>
        <v>1.0599453275294155</v>
      </c>
      <c r="M83" s="155">
        <f t="shared" si="46"/>
        <v>4.0266248106208806</v>
      </c>
      <c r="N83" s="155">
        <f t="shared" si="46"/>
        <v>3.0996636379355005</v>
      </c>
      <c r="O83" s="155">
        <f t="shared" si="46"/>
        <v>1.9101165649925564</v>
      </c>
      <c r="P83" s="155">
        <f t="shared" si="46"/>
        <v>1.0726829661744435</v>
      </c>
      <c r="Q83" s="155">
        <f t="shared" si="46"/>
        <v>4.1981222323944127</v>
      </c>
      <c r="R83" s="155">
        <f t="shared" si="46"/>
        <v>2.8539165505875919</v>
      </c>
      <c r="S83" s="155">
        <f t="shared" si="46"/>
        <v>1.7304997277312264</v>
      </c>
      <c r="T83" s="155">
        <f t="shared" si="46"/>
        <v>1.0300914765597995</v>
      </c>
      <c r="U83" s="155">
        <f t="shared" si="46"/>
        <v>3.9057148132384603</v>
      </c>
      <c r="V83" s="155">
        <f t="shared" si="46"/>
        <v>2.5047597175936627</v>
      </c>
      <c r="W83" s="155">
        <f t="shared" si="46"/>
        <v>1.6423383406572449</v>
      </c>
      <c r="X83" s="155">
        <f t="shared" si="46"/>
        <v>0.91067309699920052</v>
      </c>
      <c r="Y83" s="155">
        <f t="shared" si="46"/>
        <v>0.50512785240247826</v>
      </c>
      <c r="Z83" s="155">
        <f t="shared" si="46"/>
        <v>0.33586863287689067</v>
      </c>
      <c r="AA83" s="155">
        <f t="shared" si="46"/>
        <v>0.18582193251692278</v>
      </c>
      <c r="AB83" s="155">
        <f t="shared" si="46"/>
        <v>0.1078458019000057</v>
      </c>
      <c r="AC83" s="155">
        <f t="shared" si="46"/>
        <v>0.41221424446965765</v>
      </c>
      <c r="AD83" s="155">
        <f t="shared" si="46"/>
        <v>0.27972929086158121</v>
      </c>
      <c r="AE83" s="155">
        <f t="shared" si="46"/>
        <v>0.18461311747915016</v>
      </c>
      <c r="AF83" s="155">
        <f t="shared" si="46"/>
        <v>0.10564974865129531</v>
      </c>
      <c r="AG83" s="155">
        <f t="shared" si="46"/>
        <v>0.32549680095625289</v>
      </c>
      <c r="AH83" s="155">
        <f t="shared" si="46"/>
        <v>0.2050393893124097</v>
      </c>
      <c r="AI83" s="155">
        <f t="shared" si="46"/>
        <v>0.12788390451173107</v>
      </c>
      <c r="AJ83" s="155">
        <f t="shared" si="46"/>
        <v>7.9087277655703017E-2</v>
      </c>
      <c r="AK83" s="155">
        <f t="shared" si="46"/>
        <v>0.25572647457369407</v>
      </c>
      <c r="AL83" s="155">
        <f t="shared" si="46"/>
        <v>0.16013057927834137</v>
      </c>
      <c r="AM83" s="155">
        <f t="shared" si="46"/>
        <v>0.11256132660772306</v>
      </c>
      <c r="AN83" s="155">
        <f t="shared" si="46"/>
        <v>6.9251697612859361E-2</v>
      </c>
      <c r="AO83" s="155">
        <f t="shared" si="46"/>
        <v>0.25617974975449709</v>
      </c>
      <c r="AP83" s="155">
        <f t="shared" si="46"/>
        <v>9.8584218392095462</v>
      </c>
      <c r="AQ83" s="155" t="e">
        <f t="shared" si="46"/>
        <v>#DIV/0!</v>
      </c>
      <c r="AR83" s="155" t="e">
        <f t="shared" si="46"/>
        <v>#DIV/0!</v>
      </c>
      <c r="AS83" s="155" t="e">
        <f t="shared" si="46"/>
        <v>#DIV/0!</v>
      </c>
      <c r="AT83" s="155">
        <f t="shared" si="46"/>
        <v>0</v>
      </c>
      <c r="AU83" s="155">
        <f t="shared" si="46"/>
        <v>0</v>
      </c>
      <c r="AV83" s="155">
        <f t="shared" si="46"/>
        <v>0</v>
      </c>
      <c r="AW83" s="155">
        <f t="shared" si="46"/>
        <v>0</v>
      </c>
      <c r="AX83" s="155">
        <f t="shared" si="46"/>
        <v>0</v>
      </c>
      <c r="AY83" s="155">
        <f t="shared" si="46"/>
        <v>0</v>
      </c>
      <c r="AZ83" s="155" t="e">
        <f t="shared" si="46"/>
        <v>#REF!</v>
      </c>
      <c r="BA83" s="155" t="e">
        <f t="shared" si="46"/>
        <v>#REF!</v>
      </c>
      <c r="BB83" s="155" t="e">
        <f t="shared" si="46"/>
        <v>#REF!</v>
      </c>
      <c r="BC83" s="155" t="e">
        <f t="shared" si="46"/>
        <v>#REF!</v>
      </c>
      <c r="BD83" s="155" t="e">
        <f t="shared" si="46"/>
        <v>#REF!</v>
      </c>
      <c r="BE83" s="155" t="e">
        <f t="shared" si="46"/>
        <v>#REF!</v>
      </c>
      <c r="BF83" s="155" t="e">
        <f t="shared" si="46"/>
        <v>#REF!</v>
      </c>
      <c r="BG83" s="155" t="e">
        <f t="shared" si="46"/>
        <v>#REF!</v>
      </c>
      <c r="BH83" s="155" t="e">
        <f t="shared" si="46"/>
        <v>#REF!</v>
      </c>
      <c r="BI83" s="155" t="e">
        <f t="shared" si="46"/>
        <v>#REF!</v>
      </c>
      <c r="BJ83" s="155" t="e">
        <f t="shared" si="46"/>
        <v>#REF!</v>
      </c>
      <c r="BK83" s="155" t="e">
        <f t="shared" si="46"/>
        <v>#REF!</v>
      </c>
      <c r="BL83" s="155" t="e">
        <f t="shared" si="46"/>
        <v>#REF!</v>
      </c>
      <c r="BM83" s="155" t="e">
        <f t="shared" si="46"/>
        <v>#REF!</v>
      </c>
      <c r="BN83" s="155" t="e">
        <f t="shared" si="46"/>
        <v>#REF!</v>
      </c>
      <c r="BO83" s="155" t="e">
        <f t="shared" si="46"/>
        <v>#REF!</v>
      </c>
      <c r="BP83" s="155" t="e">
        <f t="shared" si="46"/>
        <v>#REF!</v>
      </c>
      <c r="BQ83" s="155" t="e">
        <f t="shared" si="46"/>
        <v>#REF!</v>
      </c>
      <c r="BR83" s="155" t="e">
        <f t="shared" ref="BR83:CK83" si="47">BR81/BR82</f>
        <v>#REF!</v>
      </c>
      <c r="BS83" s="155" t="e">
        <f t="shared" si="47"/>
        <v>#REF!</v>
      </c>
      <c r="BT83" s="155" t="e">
        <f t="shared" si="47"/>
        <v>#DIV/0!</v>
      </c>
      <c r="BU83" s="155" t="e">
        <f t="shared" si="47"/>
        <v>#DIV/0!</v>
      </c>
      <c r="BV83" s="155" t="e">
        <f t="shared" si="47"/>
        <v>#DIV/0!</v>
      </c>
      <c r="BW83" s="155" t="e">
        <f t="shared" si="47"/>
        <v>#DIV/0!</v>
      </c>
      <c r="BX83" s="155" t="e">
        <f t="shared" si="47"/>
        <v>#DIV/0!</v>
      </c>
      <c r="BY83" s="155" t="e">
        <f t="shared" si="47"/>
        <v>#DIV/0!</v>
      </c>
      <c r="BZ83" s="155" t="e">
        <f t="shared" si="47"/>
        <v>#DIV/0!</v>
      </c>
      <c r="CA83" s="155" t="e">
        <f t="shared" si="47"/>
        <v>#DIV/0!</v>
      </c>
      <c r="CB83" s="155" t="e">
        <f t="shared" si="47"/>
        <v>#DIV/0!</v>
      </c>
      <c r="CC83" s="155" t="e">
        <f t="shared" si="47"/>
        <v>#DIV/0!</v>
      </c>
      <c r="CD83" s="155" t="e">
        <f t="shared" si="47"/>
        <v>#DIV/0!</v>
      </c>
      <c r="CE83" s="155" t="e">
        <f t="shared" si="47"/>
        <v>#DIV/0!</v>
      </c>
      <c r="CF83" s="155" t="e">
        <f t="shared" si="47"/>
        <v>#DIV/0!</v>
      </c>
      <c r="CG83" s="155" t="e">
        <f t="shared" si="47"/>
        <v>#DIV/0!</v>
      </c>
      <c r="CH83" s="155" t="e">
        <f t="shared" si="47"/>
        <v>#DIV/0!</v>
      </c>
      <c r="CI83" s="155" t="e">
        <f t="shared" si="47"/>
        <v>#DIV/0!</v>
      </c>
      <c r="CJ83" s="155" t="e">
        <f t="shared" si="47"/>
        <v>#DIV/0!</v>
      </c>
      <c r="CK83" s="155" t="e">
        <f t="shared" si="47"/>
        <v>#DIV/0!</v>
      </c>
    </row>
    <row r="84" spans="1:89" s="76" customFormat="1" x14ac:dyDescent="0.25">
      <c r="A84" s="70" t="s">
        <v>583</v>
      </c>
      <c r="E84" s="76">
        <f>资产资本表!E52</f>
        <v>381088077.97000003</v>
      </c>
      <c r="F84" s="76">
        <f>资产资本表!F52</f>
        <v>381539162.49000001</v>
      </c>
      <c r="G84" s="76">
        <f>资产资本表!G52</f>
        <v>390950110.38999999</v>
      </c>
      <c r="H84" s="76">
        <f>资产资本表!H52</f>
        <v>397152171</v>
      </c>
      <c r="I84" s="76">
        <f>资产资本表!I52</f>
        <v>386784475.27999997</v>
      </c>
      <c r="J84" s="76">
        <f>资产资本表!J52</f>
        <v>392012152.26999998</v>
      </c>
      <c r="K84" s="76">
        <f>资产资本表!K52</f>
        <v>381374642.98000002</v>
      </c>
      <c r="L84" s="76">
        <f>资产资本表!L52</f>
        <v>388749418.19999999</v>
      </c>
      <c r="M84" s="76">
        <f>资产资本表!M52</f>
        <v>393127990.83999997</v>
      </c>
      <c r="N84" s="76">
        <f>资产资本表!N52</f>
        <v>390402293.52999997</v>
      </c>
      <c r="O84" s="76">
        <f>资产资本表!O52</f>
        <v>395693007.80000001</v>
      </c>
      <c r="P84" s="76">
        <f>资产资本表!P52</f>
        <v>390946237.61000001</v>
      </c>
      <c r="Q84" s="76">
        <f>资产资本表!Q52</f>
        <v>397503360.81999999</v>
      </c>
      <c r="R84" s="76">
        <f>资产资本表!R52</f>
        <v>392443251.63</v>
      </c>
      <c r="S84" s="76">
        <f>资产资本表!S52</f>
        <v>397521952.61000001</v>
      </c>
      <c r="T84" s="76">
        <f>资产资本表!T52</f>
        <v>403387978.83999997</v>
      </c>
      <c r="U84" s="76">
        <f>资产资本表!U52</f>
        <v>407928568.80000001</v>
      </c>
      <c r="V84" s="76">
        <f>资产资本表!V52</f>
        <v>325765584.14999998</v>
      </c>
      <c r="W84" s="76">
        <f>资产资本表!W52</f>
        <v>328137977.91000003</v>
      </c>
      <c r="X84" s="76">
        <f>资产资本表!X52</f>
        <v>328664938.44999999</v>
      </c>
      <c r="Y84" s="76">
        <f>资产资本表!Y52</f>
        <v>334824871.51999998</v>
      </c>
      <c r="Z84" s="76">
        <f>资产资本表!Z52</f>
        <v>332916373.94</v>
      </c>
      <c r="AA84" s="76">
        <f>资产资本表!AA52</f>
        <v>248829080.34</v>
      </c>
      <c r="AB84" s="76">
        <f>资产资本表!AB52</f>
        <v>248914102.15000001</v>
      </c>
      <c r="AC84" s="76">
        <f>资产资本表!AC52</f>
        <v>249966842.94</v>
      </c>
      <c r="AD84" s="76">
        <f>资产资本表!AD52</f>
        <v>125511902.36</v>
      </c>
      <c r="AE84" s="76">
        <f>资产资本表!AE52</f>
        <v>86220540.829999998</v>
      </c>
      <c r="AF84" s="76">
        <f>资产资本表!AF52</f>
        <v>84605227.299999997</v>
      </c>
      <c r="AG84" s="76">
        <f>资产资本表!AG52</f>
        <v>84235402.629999995</v>
      </c>
      <c r="AH84" s="76">
        <f>资产资本表!AH52</f>
        <v>77945026.120000005</v>
      </c>
      <c r="AI84" s="76">
        <f>资产资本表!AI52</f>
        <v>77504194.579999998</v>
      </c>
      <c r="AJ84" s="76">
        <f>资产资本表!AJ52</f>
        <v>77668880.290000007</v>
      </c>
      <c r="AK84" s="76">
        <f>资产资本表!AK52</f>
        <v>78949390.819999993</v>
      </c>
      <c r="AL84" s="76">
        <f>资产资本表!AL52</f>
        <v>79720945.200000003</v>
      </c>
      <c r="AM84" s="76">
        <f>资产资本表!AM52</f>
        <v>80968896.030000001</v>
      </c>
      <c r="AN84" s="76">
        <f>资产资本表!AN52</f>
        <v>82222263.489999995</v>
      </c>
      <c r="AO84" s="76">
        <f>资产资本表!AO52</f>
        <v>60766014.450000003</v>
      </c>
      <c r="AP84" s="76">
        <f>资产资本表!AP52</f>
        <v>47596871.630000003</v>
      </c>
      <c r="AQ84" s="76">
        <f>资产资本表!AQ52</f>
        <v>0</v>
      </c>
      <c r="AR84" s="76">
        <f>资产资本表!AR52</f>
        <v>0</v>
      </c>
      <c r="AS84" s="76">
        <f>资产资本表!AS52</f>
        <v>0</v>
      </c>
      <c r="AT84" s="76">
        <f>资产资本表!AT52</f>
        <v>0</v>
      </c>
      <c r="AU84" s="76">
        <f>资产资本表!AU52</f>
        <v>0</v>
      </c>
      <c r="AV84" s="76">
        <f>资产资本表!AV52</f>
        <v>0</v>
      </c>
      <c r="AW84" s="76">
        <f>资产资本表!AW52</f>
        <v>0</v>
      </c>
      <c r="AX84" s="76">
        <f>资产资本表!AX52</f>
        <v>0</v>
      </c>
      <c r="AY84" s="76">
        <f>资产资本表!AY52</f>
        <v>0</v>
      </c>
      <c r="AZ84" s="76">
        <f>资产资本表!AZ52</f>
        <v>0</v>
      </c>
      <c r="BA84" s="76">
        <f>资产资本表!BA52</f>
        <v>0</v>
      </c>
      <c r="BB84" s="76">
        <f>资产资本表!BB52</f>
        <v>0</v>
      </c>
      <c r="BC84" s="76">
        <f>资产资本表!BC52</f>
        <v>0</v>
      </c>
      <c r="BD84" s="76">
        <f>资产资本表!BD52</f>
        <v>0</v>
      </c>
      <c r="BE84" s="76">
        <f>资产资本表!BE52</f>
        <v>0</v>
      </c>
      <c r="BF84" s="76">
        <f>资产资本表!BF52</f>
        <v>0</v>
      </c>
      <c r="BG84" s="76">
        <f>资产资本表!BG52</f>
        <v>0</v>
      </c>
      <c r="BH84" s="76">
        <f>资产资本表!BH52</f>
        <v>0</v>
      </c>
      <c r="BI84" s="76">
        <f>资产资本表!BI52</f>
        <v>0</v>
      </c>
      <c r="BJ84" s="76">
        <f>资产资本表!BJ52</f>
        <v>0</v>
      </c>
      <c r="BK84" s="76">
        <f>资产资本表!BK52</f>
        <v>0</v>
      </c>
      <c r="BL84" s="76">
        <f>资产资本表!BL52</f>
        <v>0</v>
      </c>
      <c r="BM84" s="76">
        <f>资产资本表!BM52</f>
        <v>0</v>
      </c>
      <c r="BN84" s="76">
        <f>资产资本表!BN52</f>
        <v>0</v>
      </c>
      <c r="BO84" s="76">
        <f>资产资本表!BO52</f>
        <v>0</v>
      </c>
      <c r="BP84" s="76">
        <f>资产资本表!BP52</f>
        <v>0</v>
      </c>
      <c r="BQ84" s="76">
        <f>资产资本表!BQ52</f>
        <v>0</v>
      </c>
      <c r="BR84" s="76">
        <f>资产资本表!BR52</f>
        <v>0</v>
      </c>
      <c r="BS84" s="76">
        <f>资产资本表!BS52</f>
        <v>0</v>
      </c>
      <c r="BT84" s="76">
        <f>资产资本表!BT52</f>
        <v>0</v>
      </c>
      <c r="BU84" s="76">
        <f>资产资本表!BU52</f>
        <v>0</v>
      </c>
      <c r="BV84" s="76">
        <f>资产资本表!BV52</f>
        <v>0</v>
      </c>
      <c r="BW84" s="76">
        <f>资产资本表!BW52</f>
        <v>0</v>
      </c>
      <c r="BX84" s="76">
        <f>资产资本表!BX52</f>
        <v>0</v>
      </c>
      <c r="BY84" s="76">
        <f>资产资本表!BY52</f>
        <v>0</v>
      </c>
      <c r="BZ84" s="76">
        <f>资产资本表!BZ52</f>
        <v>0</v>
      </c>
      <c r="CA84" s="76">
        <f>资产资本表!CA52</f>
        <v>0</v>
      </c>
      <c r="CB84" s="76">
        <f>资产资本表!CB52</f>
        <v>0</v>
      </c>
      <c r="CC84" s="76">
        <f>资产资本表!CC52</f>
        <v>0</v>
      </c>
      <c r="CD84" s="76">
        <f>资产资本表!CD52</f>
        <v>0</v>
      </c>
      <c r="CE84" s="76">
        <f>资产资本表!CE52</f>
        <v>0</v>
      </c>
      <c r="CF84" s="76">
        <f>资产资本表!CF52</f>
        <v>0</v>
      </c>
      <c r="CG84" s="76">
        <f>资产资本表!CG52</f>
        <v>0</v>
      </c>
      <c r="CH84" s="76">
        <f>资产资本表!CH52</f>
        <v>0</v>
      </c>
      <c r="CI84" s="76">
        <f>资产资本表!CI52</f>
        <v>0</v>
      </c>
      <c r="CJ84" s="76">
        <f>资产资本表!CJ52</f>
        <v>0</v>
      </c>
      <c r="CK84" s="76">
        <f>资产资本表!CK52</f>
        <v>0</v>
      </c>
    </row>
    <row r="85" spans="1:89" s="155" customFormat="1" x14ac:dyDescent="0.25">
      <c r="A85" s="251" t="s">
        <v>584</v>
      </c>
      <c r="E85" s="155">
        <f>E81/E84</f>
        <v>12.233001069839267</v>
      </c>
      <c r="F85" s="155">
        <f t="shared" ref="F85:BQ85" si="48">F81/F84</f>
        <v>8.3416601025940995</v>
      </c>
      <c r="G85" s="155">
        <f t="shared" si="48"/>
        <v>5.0682576573347928</v>
      </c>
      <c r="H85" s="155">
        <f t="shared" si="48"/>
        <v>2.6633802800488784</v>
      </c>
      <c r="I85" s="155">
        <f t="shared" si="48"/>
        <v>8.1498008415876981</v>
      </c>
      <c r="J85" s="155">
        <f t="shared" si="48"/>
        <v>5.4979527496779053</v>
      </c>
      <c r="K85" s="155">
        <f t="shared" si="48"/>
        <v>3.5216901159326262</v>
      </c>
      <c r="L85" s="155">
        <f t="shared" si="48"/>
        <v>1.9623084800799326</v>
      </c>
      <c r="M85" s="155">
        <f t="shared" si="48"/>
        <v>7.4165003762518662</v>
      </c>
      <c r="N85" s="155">
        <f t="shared" si="48"/>
        <v>5.2409901784113631</v>
      </c>
      <c r="O85" s="155">
        <f t="shared" si="48"/>
        <v>3.158954209981367</v>
      </c>
      <c r="P85" s="155">
        <f t="shared" si="48"/>
        <v>1.8043272125403789</v>
      </c>
      <c r="Q85" s="155">
        <f t="shared" si="48"/>
        <v>6.946860946819605</v>
      </c>
      <c r="R85" s="155">
        <f t="shared" si="48"/>
        <v>4.7904860259451727</v>
      </c>
      <c r="S85" s="155">
        <f t="shared" si="48"/>
        <v>2.7980337719140587</v>
      </c>
      <c r="T85" s="155">
        <f t="shared" si="48"/>
        <v>1.629469920869197</v>
      </c>
      <c r="U85" s="155">
        <f t="shared" si="48"/>
        <v>6.1878711359330518</v>
      </c>
      <c r="V85" s="155">
        <f t="shared" si="48"/>
        <v>5.2879955574644155</v>
      </c>
      <c r="W85" s="155">
        <f t="shared" si="48"/>
        <v>3.2854268702956664</v>
      </c>
      <c r="X85" s="155">
        <f t="shared" si="48"/>
        <v>1.8722750910456905</v>
      </c>
      <c r="Y85" s="155">
        <f t="shared" si="48"/>
        <v>8.1384451783392429</v>
      </c>
      <c r="Z85" s="155">
        <f t="shared" si="48"/>
        <v>5.5501078718134984</v>
      </c>
      <c r="AA85" s="155">
        <f t="shared" si="48"/>
        <v>4.1654701743210243</v>
      </c>
      <c r="AB85" s="155">
        <f t="shared" si="48"/>
        <v>2.4680012084241003</v>
      </c>
      <c r="AC85" s="155">
        <f t="shared" si="48"/>
        <v>9.5310032341043733</v>
      </c>
      <c r="AD85" s="155">
        <f t="shared" si="48"/>
        <v>13.017863297247851</v>
      </c>
      <c r="AE85" s="155">
        <f t="shared" si="48"/>
        <v>11.635813674123066</v>
      </c>
      <c r="AF85" s="155">
        <f t="shared" si="48"/>
        <v>6.8925983885395228</v>
      </c>
      <c r="AG85" s="155">
        <f t="shared" si="48"/>
        <v>21.592045189468102</v>
      </c>
      <c r="AH85" s="155">
        <f t="shared" si="48"/>
        <v>14.698426589224422</v>
      </c>
      <c r="AI85" s="155">
        <f t="shared" si="48"/>
        <v>8.5392711954042468</v>
      </c>
      <c r="AJ85" s="155">
        <f t="shared" si="48"/>
        <v>4.6265098171663102</v>
      </c>
      <c r="AK85" s="155">
        <f t="shared" si="48"/>
        <v>14.506847214834533</v>
      </c>
      <c r="AL85" s="155">
        <f t="shared" si="48"/>
        <v>9.0806068930050774</v>
      </c>
      <c r="AM85" s="155">
        <f t="shared" si="48"/>
        <v>5.0336679637942687</v>
      </c>
      <c r="AN85" s="155">
        <f t="shared" si="48"/>
        <v>3.103685200311189</v>
      </c>
      <c r="AO85" s="155">
        <f t="shared" si="48"/>
        <v>14.855091173089104</v>
      </c>
      <c r="AP85" s="155">
        <f t="shared" si="48"/>
        <v>13.296576726507014</v>
      </c>
      <c r="AQ85" s="155" t="e">
        <f t="shared" si="48"/>
        <v>#DIV/0!</v>
      </c>
      <c r="AR85" s="155" t="e">
        <f t="shared" si="48"/>
        <v>#DIV/0!</v>
      </c>
      <c r="AS85" s="155" t="e">
        <f t="shared" si="48"/>
        <v>#DIV/0!</v>
      </c>
      <c r="AT85" s="155" t="e">
        <f t="shared" si="48"/>
        <v>#DIV/0!</v>
      </c>
      <c r="AU85" s="155" t="e">
        <f t="shared" si="48"/>
        <v>#DIV/0!</v>
      </c>
      <c r="AV85" s="155" t="e">
        <f t="shared" si="48"/>
        <v>#DIV/0!</v>
      </c>
      <c r="AW85" s="155" t="e">
        <f t="shared" si="48"/>
        <v>#DIV/0!</v>
      </c>
      <c r="AX85" s="155" t="e">
        <f t="shared" si="48"/>
        <v>#DIV/0!</v>
      </c>
      <c r="AY85" s="155" t="e">
        <f t="shared" si="48"/>
        <v>#DIV/0!</v>
      </c>
      <c r="AZ85" s="155" t="e">
        <f t="shared" si="48"/>
        <v>#DIV/0!</v>
      </c>
      <c r="BA85" s="155" t="e">
        <f t="shared" si="48"/>
        <v>#DIV/0!</v>
      </c>
      <c r="BB85" s="155" t="e">
        <f t="shared" si="48"/>
        <v>#DIV/0!</v>
      </c>
      <c r="BC85" s="155" t="e">
        <f t="shared" si="48"/>
        <v>#DIV/0!</v>
      </c>
      <c r="BD85" s="155" t="e">
        <f t="shared" si="48"/>
        <v>#DIV/0!</v>
      </c>
      <c r="BE85" s="155" t="e">
        <f t="shared" si="48"/>
        <v>#DIV/0!</v>
      </c>
      <c r="BF85" s="155" t="e">
        <f t="shared" si="48"/>
        <v>#DIV/0!</v>
      </c>
      <c r="BG85" s="155" t="e">
        <f t="shared" si="48"/>
        <v>#DIV/0!</v>
      </c>
      <c r="BH85" s="155" t="e">
        <f t="shared" si="48"/>
        <v>#DIV/0!</v>
      </c>
      <c r="BI85" s="155" t="e">
        <f t="shared" si="48"/>
        <v>#DIV/0!</v>
      </c>
      <c r="BJ85" s="155" t="e">
        <f t="shared" si="48"/>
        <v>#DIV/0!</v>
      </c>
      <c r="BK85" s="155" t="e">
        <f t="shared" si="48"/>
        <v>#DIV/0!</v>
      </c>
      <c r="BL85" s="155" t="e">
        <f t="shared" si="48"/>
        <v>#DIV/0!</v>
      </c>
      <c r="BM85" s="155" t="e">
        <f t="shared" si="48"/>
        <v>#DIV/0!</v>
      </c>
      <c r="BN85" s="155" t="e">
        <f t="shared" si="48"/>
        <v>#DIV/0!</v>
      </c>
      <c r="BO85" s="155" t="e">
        <f t="shared" si="48"/>
        <v>#DIV/0!</v>
      </c>
      <c r="BP85" s="155" t="e">
        <f t="shared" si="48"/>
        <v>#DIV/0!</v>
      </c>
      <c r="BQ85" s="155" t="e">
        <f t="shared" si="48"/>
        <v>#DIV/0!</v>
      </c>
      <c r="BR85" s="155" t="e">
        <f t="shared" ref="BR85:CK85" si="49">BR81/BR84</f>
        <v>#DIV/0!</v>
      </c>
      <c r="BS85" s="155" t="e">
        <f t="shared" si="49"/>
        <v>#DIV/0!</v>
      </c>
      <c r="BT85" s="155" t="e">
        <f t="shared" si="49"/>
        <v>#DIV/0!</v>
      </c>
      <c r="BU85" s="155" t="e">
        <f t="shared" si="49"/>
        <v>#DIV/0!</v>
      </c>
      <c r="BV85" s="155" t="e">
        <f t="shared" si="49"/>
        <v>#DIV/0!</v>
      </c>
      <c r="BW85" s="155" t="e">
        <f t="shared" si="49"/>
        <v>#DIV/0!</v>
      </c>
      <c r="BX85" s="155" t="e">
        <f t="shared" si="49"/>
        <v>#DIV/0!</v>
      </c>
      <c r="BY85" s="155" t="e">
        <f t="shared" si="49"/>
        <v>#DIV/0!</v>
      </c>
      <c r="BZ85" s="155" t="e">
        <f t="shared" si="49"/>
        <v>#DIV/0!</v>
      </c>
      <c r="CA85" s="155" t="e">
        <f t="shared" si="49"/>
        <v>#DIV/0!</v>
      </c>
      <c r="CB85" s="155" t="e">
        <f t="shared" si="49"/>
        <v>#DIV/0!</v>
      </c>
      <c r="CC85" s="155" t="e">
        <f t="shared" si="49"/>
        <v>#DIV/0!</v>
      </c>
      <c r="CD85" s="155" t="e">
        <f t="shared" si="49"/>
        <v>#DIV/0!</v>
      </c>
      <c r="CE85" s="155" t="e">
        <f t="shared" si="49"/>
        <v>#DIV/0!</v>
      </c>
      <c r="CF85" s="155" t="e">
        <f t="shared" si="49"/>
        <v>#DIV/0!</v>
      </c>
      <c r="CG85" s="155" t="e">
        <f t="shared" si="49"/>
        <v>#DIV/0!</v>
      </c>
      <c r="CH85" s="155" t="e">
        <f t="shared" si="49"/>
        <v>#DIV/0!</v>
      </c>
      <c r="CI85" s="155" t="e">
        <f t="shared" si="49"/>
        <v>#DIV/0!</v>
      </c>
      <c r="CJ85" s="155" t="e">
        <f t="shared" si="49"/>
        <v>#DIV/0!</v>
      </c>
      <c r="CK85" s="155" t="e">
        <f t="shared" si="49"/>
        <v>#DIV/0!</v>
      </c>
    </row>
    <row r="86" spans="1:89" s="76" customFormat="1" x14ac:dyDescent="0.25">
      <c r="A86" s="70" t="s">
        <v>585</v>
      </c>
      <c r="E86" s="76">
        <f>资产资本表!E53</f>
        <v>8989773.8000000007</v>
      </c>
      <c r="F86" s="76">
        <f>资产资本表!F53</f>
        <v>25669698.649999999</v>
      </c>
      <c r="G86" s="76">
        <f>资产资本表!G53</f>
        <v>21599109.84</v>
      </c>
      <c r="H86" s="76">
        <f>资产资本表!H53</f>
        <v>20240701.100000001</v>
      </c>
      <c r="I86" s="76">
        <f>资产资本表!I53</f>
        <v>7884796.1200000001</v>
      </c>
      <c r="J86" s="76">
        <f>资产资本表!J53</f>
        <v>15397381.529999999</v>
      </c>
      <c r="K86" s="76">
        <f>资产资本表!K53</f>
        <v>13701536.6</v>
      </c>
      <c r="L86" s="76">
        <f>资产资本表!L53</f>
        <v>12874743.26</v>
      </c>
      <c r="M86" s="76">
        <f>资产资本表!M53</f>
        <v>11604165.609999999</v>
      </c>
      <c r="N86" s="76">
        <f>资产资本表!N53</f>
        <v>20430685.149999999</v>
      </c>
      <c r="O86" s="76">
        <f>资产资本表!O53</f>
        <v>12776418.76</v>
      </c>
      <c r="P86" s="76">
        <f>资产资本表!P53</f>
        <v>21241440.440000001</v>
      </c>
      <c r="Q86" s="76">
        <f>资产资本表!Q53</f>
        <v>9578658.2200000007</v>
      </c>
      <c r="R86" s="76">
        <f>资产资本表!R53</f>
        <v>15817383.17</v>
      </c>
      <c r="S86" s="76">
        <f>资产资本表!S53</f>
        <v>6650276.6200000001</v>
      </c>
      <c r="T86" s="76">
        <f>资产资本表!T53</f>
        <v>2547847.0499999998</v>
      </c>
      <c r="U86" s="76">
        <f>资产资本表!U53</f>
        <v>2050000</v>
      </c>
      <c r="V86" s="76">
        <f>资产资本表!V53</f>
        <v>82286664.459999993</v>
      </c>
      <c r="W86" s="76">
        <f>资产资本表!W53</f>
        <v>49111965.100000001</v>
      </c>
      <c r="X86" s="76">
        <f>资产资本表!X53</f>
        <v>38208937.420000002</v>
      </c>
      <c r="Y86" s="76">
        <f>资产资本表!Y53</f>
        <v>29105269.140000001</v>
      </c>
      <c r="Z86" s="76">
        <f>资产资本表!Z53</f>
        <v>17622460.850000001</v>
      </c>
      <c r="AA86" s="76">
        <f>资产资本表!AA53</f>
        <v>49511361.219999999</v>
      </c>
      <c r="AB86" s="76">
        <f>资产资本表!AB53</f>
        <v>42077971.189999998</v>
      </c>
      <c r="AC86" s="76">
        <f>资产资本表!AC53</f>
        <v>23413300.07</v>
      </c>
      <c r="AD86" s="76">
        <f>资产资本表!AD53</f>
        <v>70618503.939999998</v>
      </c>
      <c r="AE86" s="76">
        <f>资产资本表!AE53</f>
        <v>64998837.409999996</v>
      </c>
      <c r="AF86" s="76">
        <f>资产资本表!AF53</f>
        <v>59754084.57</v>
      </c>
      <c r="AG86" s="76">
        <f>资产资本表!AG53</f>
        <v>46221172.68</v>
      </c>
      <c r="AH86" s="76">
        <f>资产资本表!AH53</f>
        <v>10074928</v>
      </c>
      <c r="AI86" s="76">
        <f>资产资本表!AI53</f>
        <v>3126577.64</v>
      </c>
      <c r="AJ86" s="76">
        <f>资产资本表!AJ53</f>
        <v>1725129.21</v>
      </c>
      <c r="AK86" s="76">
        <f>资产资本表!AK53</f>
        <v>24062856.719999999</v>
      </c>
      <c r="AL86" s="76">
        <f>资产资本表!AL53</f>
        <v>0</v>
      </c>
      <c r="AM86" s="76">
        <f>资产资本表!AM53</f>
        <v>0</v>
      </c>
      <c r="AN86" s="76">
        <f>资产资本表!AN53</f>
        <v>799996.06</v>
      </c>
      <c r="AO86" s="76">
        <f>资产资本表!AO53</f>
        <v>0</v>
      </c>
      <c r="AP86" s="76">
        <f>资产资本表!AP53</f>
        <v>442457.92</v>
      </c>
      <c r="AQ86" s="76">
        <f>资产资本表!AQ53</f>
        <v>0</v>
      </c>
      <c r="AR86" s="76">
        <f>资产资本表!AR53</f>
        <v>0</v>
      </c>
      <c r="AS86" s="76">
        <f>资产资本表!AS53</f>
        <v>0</v>
      </c>
      <c r="AT86" s="76">
        <f>资产资本表!AT53</f>
        <v>0</v>
      </c>
      <c r="AU86" s="76">
        <f>资产资本表!AU53</f>
        <v>0</v>
      </c>
      <c r="AV86" s="76">
        <f>资产资本表!AV53</f>
        <v>0</v>
      </c>
      <c r="AW86" s="76">
        <f>资产资本表!AW53</f>
        <v>0</v>
      </c>
      <c r="AX86" s="76">
        <f>资产资本表!AX53</f>
        <v>0</v>
      </c>
      <c r="AY86" s="76">
        <f>资产资本表!AY53</f>
        <v>0</v>
      </c>
      <c r="AZ86" s="76">
        <f>资产资本表!AZ53</f>
        <v>0</v>
      </c>
      <c r="BA86" s="76">
        <f>资产资本表!BA53</f>
        <v>0</v>
      </c>
      <c r="BB86" s="76">
        <f>资产资本表!BB53</f>
        <v>0</v>
      </c>
      <c r="BC86" s="76">
        <f>资产资本表!BC53</f>
        <v>0</v>
      </c>
      <c r="BD86" s="76">
        <f>资产资本表!BD53</f>
        <v>0</v>
      </c>
      <c r="BE86" s="76">
        <f>资产资本表!BE53</f>
        <v>0</v>
      </c>
      <c r="BF86" s="76">
        <f>资产资本表!BF53</f>
        <v>0</v>
      </c>
      <c r="BG86" s="76">
        <f>资产资本表!BG53</f>
        <v>0</v>
      </c>
      <c r="BH86" s="76">
        <f>资产资本表!BH53</f>
        <v>0</v>
      </c>
      <c r="BI86" s="76">
        <f>资产资本表!BI53</f>
        <v>0</v>
      </c>
      <c r="BJ86" s="76">
        <f>资产资本表!BJ53</f>
        <v>0</v>
      </c>
      <c r="BK86" s="76">
        <f>资产资本表!BK53</f>
        <v>0</v>
      </c>
      <c r="BL86" s="76">
        <f>资产资本表!BL53</f>
        <v>0</v>
      </c>
      <c r="BM86" s="76">
        <f>资产资本表!BM53</f>
        <v>0</v>
      </c>
      <c r="BN86" s="76">
        <f>资产资本表!BN53</f>
        <v>0</v>
      </c>
      <c r="BO86" s="76">
        <f>资产资本表!BO53</f>
        <v>0</v>
      </c>
      <c r="BP86" s="76">
        <f>资产资本表!BP53</f>
        <v>0</v>
      </c>
      <c r="BQ86" s="76">
        <f>资产资本表!BQ53</f>
        <v>0</v>
      </c>
      <c r="BR86" s="76">
        <f>资产资本表!BR53</f>
        <v>0</v>
      </c>
      <c r="BS86" s="76">
        <f>资产资本表!BS53</f>
        <v>0</v>
      </c>
      <c r="BT86" s="76">
        <f>资产资本表!BT53</f>
        <v>0</v>
      </c>
      <c r="BU86" s="76">
        <f>资产资本表!BU53</f>
        <v>0</v>
      </c>
      <c r="BV86" s="76">
        <f>资产资本表!BV53</f>
        <v>0</v>
      </c>
      <c r="BW86" s="76">
        <f>资产资本表!BW53</f>
        <v>0</v>
      </c>
      <c r="BX86" s="76">
        <f>资产资本表!BX53</f>
        <v>0</v>
      </c>
      <c r="BY86" s="76">
        <f>资产资本表!BY53</f>
        <v>0</v>
      </c>
      <c r="BZ86" s="76">
        <f>资产资本表!BZ53</f>
        <v>0</v>
      </c>
      <c r="CA86" s="76">
        <f>资产资本表!CA53</f>
        <v>0</v>
      </c>
      <c r="CB86" s="76">
        <f>资产资本表!CB53</f>
        <v>0</v>
      </c>
      <c r="CC86" s="76">
        <f>资产资本表!CC53</f>
        <v>0</v>
      </c>
      <c r="CD86" s="76">
        <f>资产资本表!CD53</f>
        <v>0</v>
      </c>
      <c r="CE86" s="76">
        <f>资产资本表!CE53</f>
        <v>0</v>
      </c>
      <c r="CF86" s="76">
        <f>资产资本表!CF53</f>
        <v>0</v>
      </c>
      <c r="CG86" s="76">
        <f>资产资本表!CG53</f>
        <v>0</v>
      </c>
      <c r="CH86" s="76">
        <f>资产资本表!CH53</f>
        <v>0</v>
      </c>
      <c r="CI86" s="76">
        <f>资产资本表!CI53</f>
        <v>0</v>
      </c>
      <c r="CJ86" s="76">
        <f>资产资本表!CJ53</f>
        <v>0</v>
      </c>
      <c r="CK86" s="76">
        <f>资产资本表!CK53</f>
        <v>0</v>
      </c>
    </row>
    <row r="87" spans="1:89" s="54" customFormat="1" x14ac:dyDescent="0.25">
      <c r="A87" s="254" t="s">
        <v>586</v>
      </c>
      <c r="E87" s="54">
        <f>E81/E86</f>
        <v>518.57265479916748</v>
      </c>
      <c r="F87" s="54">
        <f t="shared" ref="F87:BQ87" si="50">F81/F86</f>
        <v>123.98548392464282</v>
      </c>
      <c r="G87" s="54">
        <f t="shared" si="50"/>
        <v>91.736923664813403</v>
      </c>
      <c r="H87" s="54">
        <f t="shared" si="50"/>
        <v>52.259418050494304</v>
      </c>
      <c r="I87" s="54">
        <f t="shared" si="50"/>
        <v>399.78414079145523</v>
      </c>
      <c r="J87" s="54">
        <f t="shared" si="50"/>
        <v>139.97602685110579</v>
      </c>
      <c r="K87" s="54">
        <f t="shared" si="50"/>
        <v>98.024283688736062</v>
      </c>
      <c r="L87" s="54">
        <f t="shared" si="50"/>
        <v>59.251378031751138</v>
      </c>
      <c r="M87" s="54">
        <f t="shared" si="50"/>
        <v>251.25752164958979</v>
      </c>
      <c r="N87" s="54">
        <f t="shared" si="50"/>
        <v>100.14811402543688</v>
      </c>
      <c r="O87" s="54">
        <f t="shared" si="50"/>
        <v>97.834621448334545</v>
      </c>
      <c r="P87" s="54">
        <f t="shared" si="50"/>
        <v>33.208432222499496</v>
      </c>
      <c r="Q87" s="54">
        <f t="shared" si="50"/>
        <v>288.28678402411981</v>
      </c>
      <c r="R87" s="54">
        <f t="shared" si="50"/>
        <v>118.85619085688496</v>
      </c>
      <c r="S87" s="54">
        <f t="shared" si="50"/>
        <v>167.25317036210743</v>
      </c>
      <c r="T87" s="54">
        <f t="shared" si="50"/>
        <v>257.9858857540134</v>
      </c>
      <c r="U87" s="54">
        <f t="shared" si="50"/>
        <v>1231.3216665365853</v>
      </c>
      <c r="V87" s="54">
        <f t="shared" si="50"/>
        <v>20.93470397742745</v>
      </c>
      <c r="W87" s="54">
        <f t="shared" si="50"/>
        <v>21.951337674940643</v>
      </c>
      <c r="X87" s="54">
        <f t="shared" si="50"/>
        <v>16.104901604458174</v>
      </c>
      <c r="Y87" s="54">
        <f t="shared" si="50"/>
        <v>93.624073637753682</v>
      </c>
      <c r="Z87" s="54">
        <f t="shared" si="50"/>
        <v>104.85038402908411</v>
      </c>
      <c r="AA87" s="54">
        <f t="shared" si="50"/>
        <v>20.934389342567947</v>
      </c>
      <c r="AB87" s="54">
        <f t="shared" si="50"/>
        <v>14.599570452816787</v>
      </c>
      <c r="AC87" s="54">
        <f t="shared" si="50"/>
        <v>101.75561673737178</v>
      </c>
      <c r="AD87" s="54">
        <f t="shared" si="50"/>
        <v>23.136949891889767</v>
      </c>
      <c r="AE87" s="54">
        <f t="shared" si="50"/>
        <v>15.434832190177785</v>
      </c>
      <c r="AF87" s="54">
        <f t="shared" si="50"/>
        <v>9.7591630354048622</v>
      </c>
      <c r="AG87" s="54">
        <f t="shared" si="50"/>
        <v>39.350248266786295</v>
      </c>
      <c r="AH87" s="54">
        <f t="shared" si="50"/>
        <v>113.71488157731748</v>
      </c>
      <c r="AI87" s="54">
        <f t="shared" si="50"/>
        <v>211.6785228144854</v>
      </c>
      <c r="AJ87" s="54">
        <f t="shared" si="50"/>
        <v>208.29502802865414</v>
      </c>
      <c r="AK87" s="54">
        <f t="shared" si="50"/>
        <v>47.596458045568248</v>
      </c>
      <c r="AL87" s="54" t="e">
        <f t="shared" si="50"/>
        <v>#DIV/0!</v>
      </c>
      <c r="AM87" s="54" t="e">
        <f t="shared" si="50"/>
        <v>#DIV/0!</v>
      </c>
      <c r="AN87" s="54">
        <f t="shared" si="50"/>
        <v>318.99159894612478</v>
      </c>
      <c r="AO87" s="54" t="e">
        <f t="shared" si="50"/>
        <v>#DIV/0!</v>
      </c>
      <c r="AP87" s="54">
        <f t="shared" si="50"/>
        <v>1430.3630401055993</v>
      </c>
      <c r="AQ87" s="54" t="e">
        <f t="shared" si="50"/>
        <v>#DIV/0!</v>
      </c>
      <c r="AR87" s="54" t="e">
        <f t="shared" si="50"/>
        <v>#DIV/0!</v>
      </c>
      <c r="AS87" s="54" t="e">
        <f t="shared" si="50"/>
        <v>#DIV/0!</v>
      </c>
      <c r="AT87" s="54" t="e">
        <f t="shared" si="50"/>
        <v>#DIV/0!</v>
      </c>
      <c r="AU87" s="54" t="e">
        <f t="shared" si="50"/>
        <v>#DIV/0!</v>
      </c>
      <c r="AV87" s="54" t="e">
        <f t="shared" si="50"/>
        <v>#DIV/0!</v>
      </c>
      <c r="AW87" s="54" t="e">
        <f t="shared" si="50"/>
        <v>#DIV/0!</v>
      </c>
      <c r="AX87" s="54" t="e">
        <f t="shared" si="50"/>
        <v>#DIV/0!</v>
      </c>
      <c r="AY87" s="54" t="e">
        <f t="shared" si="50"/>
        <v>#DIV/0!</v>
      </c>
      <c r="AZ87" s="54" t="e">
        <f t="shared" si="50"/>
        <v>#DIV/0!</v>
      </c>
      <c r="BA87" s="54" t="e">
        <f t="shared" si="50"/>
        <v>#DIV/0!</v>
      </c>
      <c r="BB87" s="54" t="e">
        <f t="shared" si="50"/>
        <v>#DIV/0!</v>
      </c>
      <c r="BC87" s="54" t="e">
        <f t="shared" si="50"/>
        <v>#DIV/0!</v>
      </c>
      <c r="BD87" s="54" t="e">
        <f t="shared" si="50"/>
        <v>#DIV/0!</v>
      </c>
      <c r="BE87" s="54" t="e">
        <f t="shared" si="50"/>
        <v>#DIV/0!</v>
      </c>
      <c r="BF87" s="54" t="e">
        <f t="shared" si="50"/>
        <v>#DIV/0!</v>
      </c>
      <c r="BG87" s="54" t="e">
        <f t="shared" si="50"/>
        <v>#DIV/0!</v>
      </c>
      <c r="BH87" s="54" t="e">
        <f t="shared" si="50"/>
        <v>#DIV/0!</v>
      </c>
      <c r="BI87" s="54" t="e">
        <f t="shared" si="50"/>
        <v>#DIV/0!</v>
      </c>
      <c r="BJ87" s="54" t="e">
        <f t="shared" si="50"/>
        <v>#DIV/0!</v>
      </c>
      <c r="BK87" s="54" t="e">
        <f t="shared" si="50"/>
        <v>#DIV/0!</v>
      </c>
      <c r="BL87" s="54" t="e">
        <f t="shared" si="50"/>
        <v>#DIV/0!</v>
      </c>
      <c r="BM87" s="54" t="e">
        <f t="shared" si="50"/>
        <v>#DIV/0!</v>
      </c>
      <c r="BN87" s="54" t="e">
        <f t="shared" si="50"/>
        <v>#DIV/0!</v>
      </c>
      <c r="BO87" s="54" t="e">
        <f t="shared" si="50"/>
        <v>#DIV/0!</v>
      </c>
      <c r="BP87" s="54" t="e">
        <f t="shared" si="50"/>
        <v>#DIV/0!</v>
      </c>
      <c r="BQ87" s="54" t="e">
        <f t="shared" si="50"/>
        <v>#DIV/0!</v>
      </c>
      <c r="BR87" s="54" t="e">
        <f t="shared" ref="BR87:CK87" si="51">BR81/BR86</f>
        <v>#DIV/0!</v>
      </c>
      <c r="BS87" s="54" t="e">
        <f t="shared" si="51"/>
        <v>#DIV/0!</v>
      </c>
      <c r="BT87" s="54" t="e">
        <f t="shared" si="51"/>
        <v>#DIV/0!</v>
      </c>
      <c r="BU87" s="54" t="e">
        <f t="shared" si="51"/>
        <v>#DIV/0!</v>
      </c>
      <c r="BV87" s="54" t="e">
        <f t="shared" si="51"/>
        <v>#DIV/0!</v>
      </c>
      <c r="BW87" s="54" t="e">
        <f t="shared" si="51"/>
        <v>#DIV/0!</v>
      </c>
      <c r="BX87" s="54" t="e">
        <f t="shared" si="51"/>
        <v>#DIV/0!</v>
      </c>
      <c r="BY87" s="54" t="e">
        <f t="shared" si="51"/>
        <v>#DIV/0!</v>
      </c>
      <c r="BZ87" s="54" t="e">
        <f t="shared" si="51"/>
        <v>#DIV/0!</v>
      </c>
      <c r="CA87" s="54" t="e">
        <f t="shared" si="51"/>
        <v>#DIV/0!</v>
      </c>
      <c r="CB87" s="54" t="e">
        <f t="shared" si="51"/>
        <v>#DIV/0!</v>
      </c>
      <c r="CC87" s="54" t="e">
        <f t="shared" si="51"/>
        <v>#DIV/0!</v>
      </c>
      <c r="CD87" s="54" t="e">
        <f t="shared" si="51"/>
        <v>#DIV/0!</v>
      </c>
      <c r="CE87" s="54" t="e">
        <f t="shared" si="51"/>
        <v>#DIV/0!</v>
      </c>
      <c r="CF87" s="54" t="e">
        <f t="shared" si="51"/>
        <v>#DIV/0!</v>
      </c>
      <c r="CG87" s="54" t="e">
        <f t="shared" si="51"/>
        <v>#DIV/0!</v>
      </c>
      <c r="CH87" s="54" t="e">
        <f t="shared" si="51"/>
        <v>#DIV/0!</v>
      </c>
      <c r="CI87" s="54" t="e">
        <f t="shared" si="51"/>
        <v>#DIV/0!</v>
      </c>
      <c r="CJ87" s="54" t="e">
        <f t="shared" si="51"/>
        <v>#DIV/0!</v>
      </c>
      <c r="CK87" s="54" t="e">
        <f t="shared" si="51"/>
        <v>#DIV/0!</v>
      </c>
    </row>
    <row r="88" spans="1:89" s="76" customFormat="1" x14ac:dyDescent="0.25">
      <c r="A88" s="70" t="s">
        <v>587</v>
      </c>
      <c r="E88" s="76">
        <f>资产资本表!E54</f>
        <v>0</v>
      </c>
      <c r="F88" s="76">
        <f>资产资本表!F54</f>
        <v>0</v>
      </c>
      <c r="G88" s="76">
        <f>资产资本表!G54</f>
        <v>0</v>
      </c>
      <c r="H88" s="76">
        <f>资产资本表!H54</f>
        <v>0</v>
      </c>
      <c r="I88" s="76">
        <f>资产资本表!I54</f>
        <v>0</v>
      </c>
      <c r="J88" s="76">
        <f>资产资本表!J54</f>
        <v>0</v>
      </c>
      <c r="K88" s="76">
        <f>资产资本表!K54</f>
        <v>0</v>
      </c>
      <c r="L88" s="76">
        <f>资产资本表!L54</f>
        <v>0</v>
      </c>
      <c r="M88" s="76">
        <f>资产资本表!M54</f>
        <v>0</v>
      </c>
      <c r="N88" s="76">
        <f>资产资本表!N54</f>
        <v>0</v>
      </c>
      <c r="O88" s="76">
        <f>资产资本表!O54</f>
        <v>0</v>
      </c>
      <c r="P88" s="76">
        <f>资产资本表!P54</f>
        <v>0</v>
      </c>
      <c r="Q88" s="76">
        <f>资产资本表!Q54</f>
        <v>0</v>
      </c>
      <c r="R88" s="76">
        <f>资产资本表!R54</f>
        <v>0</v>
      </c>
      <c r="S88" s="76">
        <f>资产资本表!S54</f>
        <v>0</v>
      </c>
      <c r="T88" s="76">
        <f>资产资本表!T54</f>
        <v>0</v>
      </c>
      <c r="U88" s="76">
        <f>资产资本表!U54</f>
        <v>0</v>
      </c>
      <c r="V88" s="76">
        <f>资产资本表!V54</f>
        <v>0</v>
      </c>
      <c r="W88" s="76">
        <f>资产资本表!W54</f>
        <v>0</v>
      </c>
      <c r="X88" s="76">
        <f>资产资本表!X54</f>
        <v>0</v>
      </c>
      <c r="Y88" s="76">
        <f>资产资本表!Y54</f>
        <v>0</v>
      </c>
      <c r="Z88" s="76">
        <f>资产资本表!Z54</f>
        <v>0</v>
      </c>
      <c r="AA88" s="76">
        <f>资产资本表!AA54</f>
        <v>0</v>
      </c>
      <c r="AB88" s="76">
        <f>资产资本表!AB54</f>
        <v>0</v>
      </c>
      <c r="AC88" s="76">
        <f>资产资本表!AC54</f>
        <v>0</v>
      </c>
      <c r="AD88" s="76">
        <f>资产资本表!AD54</f>
        <v>0</v>
      </c>
      <c r="AE88" s="76">
        <f>资产资本表!AE54</f>
        <v>0</v>
      </c>
      <c r="AF88" s="76">
        <f>资产资本表!AF54</f>
        <v>0</v>
      </c>
      <c r="AG88" s="76">
        <f>资产资本表!AG54</f>
        <v>0</v>
      </c>
      <c r="AH88" s="76">
        <f>资产资本表!AH54</f>
        <v>0</v>
      </c>
      <c r="AI88" s="76">
        <f>资产资本表!AI54</f>
        <v>0</v>
      </c>
      <c r="AJ88" s="76">
        <f>资产资本表!AJ54</f>
        <v>0</v>
      </c>
      <c r="AK88" s="76">
        <f>资产资本表!AK54</f>
        <v>0</v>
      </c>
      <c r="AL88" s="76">
        <f>资产资本表!AL54</f>
        <v>0</v>
      </c>
      <c r="AM88" s="76">
        <f>资产资本表!AM54</f>
        <v>0</v>
      </c>
      <c r="AN88" s="76">
        <f>资产资本表!AN54</f>
        <v>0</v>
      </c>
      <c r="AO88" s="76">
        <f>资产资本表!AO54</f>
        <v>0</v>
      </c>
      <c r="AP88" s="76">
        <f>资产资本表!AP54</f>
        <v>0</v>
      </c>
      <c r="AQ88" s="76">
        <f>资产资本表!AQ54</f>
        <v>0</v>
      </c>
      <c r="AR88" s="76">
        <f>资产资本表!AR54</f>
        <v>0</v>
      </c>
      <c r="AS88" s="76">
        <f>资产资本表!AS54</f>
        <v>0</v>
      </c>
      <c r="AT88" s="76">
        <f>资产资本表!AT54</f>
        <v>0</v>
      </c>
      <c r="AU88" s="76">
        <f>资产资本表!AU54</f>
        <v>0</v>
      </c>
      <c r="AV88" s="76">
        <f>资产资本表!AV54</f>
        <v>0</v>
      </c>
      <c r="AW88" s="76">
        <f>资产资本表!AW54</f>
        <v>0</v>
      </c>
      <c r="AX88" s="76">
        <f>资产资本表!AX54</f>
        <v>0</v>
      </c>
      <c r="AY88" s="76">
        <f>资产资本表!AY54</f>
        <v>0</v>
      </c>
      <c r="AZ88" s="76">
        <f>资产资本表!AZ54</f>
        <v>0</v>
      </c>
      <c r="BA88" s="76">
        <f>资产资本表!BA54</f>
        <v>0</v>
      </c>
      <c r="BB88" s="76">
        <f>资产资本表!BB54</f>
        <v>0</v>
      </c>
      <c r="BC88" s="76">
        <f>资产资本表!BC54</f>
        <v>0</v>
      </c>
      <c r="BD88" s="76">
        <f>资产资本表!BD54</f>
        <v>0</v>
      </c>
      <c r="BE88" s="76">
        <f>资产资本表!BE54</f>
        <v>0</v>
      </c>
      <c r="BF88" s="76">
        <f>资产资本表!BF54</f>
        <v>0</v>
      </c>
      <c r="BG88" s="76">
        <f>资产资本表!BG54</f>
        <v>0</v>
      </c>
      <c r="BH88" s="76">
        <f>资产资本表!BH54</f>
        <v>0</v>
      </c>
      <c r="BI88" s="76">
        <f>资产资本表!BI54</f>
        <v>0</v>
      </c>
      <c r="BJ88" s="76">
        <f>资产资本表!BJ54</f>
        <v>0</v>
      </c>
      <c r="BK88" s="76">
        <f>资产资本表!BK54</f>
        <v>0</v>
      </c>
      <c r="BL88" s="76">
        <f>资产资本表!BL54</f>
        <v>0</v>
      </c>
      <c r="BM88" s="76">
        <f>资产资本表!BM54</f>
        <v>0</v>
      </c>
      <c r="BN88" s="76">
        <f>资产资本表!BN54</f>
        <v>0</v>
      </c>
      <c r="BO88" s="76">
        <f>资产资本表!BO54</f>
        <v>0</v>
      </c>
      <c r="BP88" s="76">
        <f>资产资本表!BP54</f>
        <v>0</v>
      </c>
      <c r="BQ88" s="76">
        <f>资产资本表!BQ54</f>
        <v>0</v>
      </c>
      <c r="BR88" s="76">
        <f>资产资本表!BR54</f>
        <v>0</v>
      </c>
      <c r="BS88" s="76">
        <f>资产资本表!BS54</f>
        <v>0</v>
      </c>
      <c r="BT88" s="76">
        <f>资产资本表!BT54</f>
        <v>0</v>
      </c>
      <c r="BU88" s="76">
        <f>资产资本表!BU54</f>
        <v>0</v>
      </c>
      <c r="BV88" s="76">
        <f>资产资本表!BV54</f>
        <v>0</v>
      </c>
      <c r="BW88" s="76">
        <f>资产资本表!BW54</f>
        <v>0</v>
      </c>
      <c r="BX88" s="76">
        <f>资产资本表!BX54</f>
        <v>0</v>
      </c>
      <c r="BY88" s="76">
        <f>资产资本表!BY54</f>
        <v>0</v>
      </c>
      <c r="BZ88" s="76">
        <f>资产资本表!BZ54</f>
        <v>0</v>
      </c>
      <c r="CA88" s="76">
        <f>资产资本表!CA54</f>
        <v>0</v>
      </c>
      <c r="CB88" s="76">
        <f>资产资本表!CB54</f>
        <v>0</v>
      </c>
      <c r="CC88" s="76">
        <f>资产资本表!CC54</f>
        <v>0</v>
      </c>
      <c r="CD88" s="76">
        <f>资产资本表!CD54</f>
        <v>0</v>
      </c>
      <c r="CE88" s="76">
        <f>资产资本表!CE54</f>
        <v>0</v>
      </c>
      <c r="CF88" s="76">
        <f>资产资本表!CF54</f>
        <v>0</v>
      </c>
      <c r="CG88" s="76">
        <f>资产资本表!CG54</f>
        <v>0</v>
      </c>
      <c r="CH88" s="76">
        <f>资产资本表!CH54</f>
        <v>0</v>
      </c>
      <c r="CI88" s="76">
        <f>资产资本表!CI54</f>
        <v>0</v>
      </c>
      <c r="CJ88" s="76">
        <f>资产资本表!CJ54</f>
        <v>0</v>
      </c>
      <c r="CK88" s="76">
        <f>资产资本表!CK54</f>
        <v>0</v>
      </c>
    </row>
    <row r="89" spans="1:89" s="76" customFormat="1" x14ac:dyDescent="0.25">
      <c r="A89" s="70" t="s">
        <v>588</v>
      </c>
      <c r="E89" s="76">
        <f>资产资本表!E55</f>
        <v>0</v>
      </c>
      <c r="F89" s="76">
        <f>资产资本表!F55</f>
        <v>0</v>
      </c>
      <c r="G89" s="76">
        <f>资产资本表!G55</f>
        <v>0</v>
      </c>
      <c r="H89" s="76">
        <f>资产资本表!H55</f>
        <v>0</v>
      </c>
      <c r="I89" s="76">
        <f>资产资本表!I55</f>
        <v>0</v>
      </c>
      <c r="J89" s="76">
        <f>资产资本表!J55</f>
        <v>0</v>
      </c>
      <c r="K89" s="76">
        <f>资产资本表!K55</f>
        <v>0</v>
      </c>
      <c r="L89" s="76">
        <f>资产资本表!L55</f>
        <v>0</v>
      </c>
      <c r="M89" s="76">
        <f>资产资本表!M55</f>
        <v>0</v>
      </c>
      <c r="N89" s="76">
        <f>资产资本表!N55</f>
        <v>0</v>
      </c>
      <c r="O89" s="76">
        <f>资产资本表!O55</f>
        <v>0</v>
      </c>
      <c r="P89" s="76">
        <f>资产资本表!P55</f>
        <v>0</v>
      </c>
      <c r="Q89" s="76">
        <f>资产资本表!Q55</f>
        <v>0</v>
      </c>
      <c r="R89" s="76">
        <f>资产资本表!R55</f>
        <v>0</v>
      </c>
      <c r="S89" s="76">
        <f>资产资本表!S55</f>
        <v>0</v>
      </c>
      <c r="T89" s="76">
        <f>资产资本表!T55</f>
        <v>0</v>
      </c>
      <c r="U89" s="76">
        <f>资产资本表!U55</f>
        <v>0</v>
      </c>
      <c r="V89" s="76">
        <f>资产资本表!V55</f>
        <v>0</v>
      </c>
      <c r="W89" s="76">
        <f>资产资本表!W55</f>
        <v>0</v>
      </c>
      <c r="X89" s="76">
        <f>资产资本表!X55</f>
        <v>0</v>
      </c>
      <c r="Y89" s="76">
        <f>资产资本表!Y55</f>
        <v>0</v>
      </c>
      <c r="Z89" s="76">
        <f>资产资本表!Z55</f>
        <v>0</v>
      </c>
      <c r="AA89" s="76">
        <f>资产资本表!AA55</f>
        <v>0</v>
      </c>
      <c r="AB89" s="76">
        <f>资产资本表!AB55</f>
        <v>0</v>
      </c>
      <c r="AC89" s="76">
        <f>资产资本表!AC55</f>
        <v>0</v>
      </c>
      <c r="AD89" s="76">
        <f>资产资本表!AD55</f>
        <v>0</v>
      </c>
      <c r="AE89" s="76">
        <f>资产资本表!AE55</f>
        <v>0</v>
      </c>
      <c r="AF89" s="76">
        <f>资产资本表!AF55</f>
        <v>0</v>
      </c>
      <c r="AG89" s="76">
        <f>资产资本表!AG55</f>
        <v>0</v>
      </c>
      <c r="AH89" s="76">
        <f>资产资本表!AH55</f>
        <v>0</v>
      </c>
      <c r="AI89" s="76">
        <f>资产资本表!AI55</f>
        <v>0</v>
      </c>
      <c r="AJ89" s="76">
        <f>资产资本表!AJ55</f>
        <v>0</v>
      </c>
      <c r="AK89" s="76">
        <f>资产资本表!AK55</f>
        <v>0</v>
      </c>
      <c r="AL89" s="76">
        <f>资产资本表!AL55</f>
        <v>0</v>
      </c>
      <c r="AM89" s="76">
        <f>资产资本表!AM55</f>
        <v>0</v>
      </c>
      <c r="AN89" s="76">
        <f>资产资本表!AN55</f>
        <v>0</v>
      </c>
      <c r="AO89" s="76">
        <f>资产资本表!AO55</f>
        <v>0</v>
      </c>
      <c r="AP89" s="76">
        <f>资产资本表!AP55</f>
        <v>0</v>
      </c>
      <c r="AQ89" s="76">
        <f>资产资本表!AQ55</f>
        <v>0</v>
      </c>
      <c r="AR89" s="76">
        <f>资产资本表!AR55</f>
        <v>0</v>
      </c>
      <c r="AS89" s="76">
        <f>资产资本表!AS55</f>
        <v>0</v>
      </c>
      <c r="AT89" s="76">
        <f>资产资本表!AT55</f>
        <v>0</v>
      </c>
      <c r="AU89" s="76">
        <f>资产资本表!AU55</f>
        <v>0</v>
      </c>
      <c r="AV89" s="76">
        <f>资产资本表!AV55</f>
        <v>0</v>
      </c>
      <c r="AW89" s="76">
        <f>资产资本表!AW55</f>
        <v>0</v>
      </c>
      <c r="AX89" s="76">
        <f>资产资本表!AX55</f>
        <v>0</v>
      </c>
      <c r="AY89" s="76">
        <f>资产资本表!AY55</f>
        <v>0</v>
      </c>
      <c r="AZ89" s="76">
        <f>资产资本表!AZ55</f>
        <v>0</v>
      </c>
      <c r="BA89" s="76">
        <f>资产资本表!BA55</f>
        <v>0</v>
      </c>
      <c r="BB89" s="76">
        <f>资产资本表!BB55</f>
        <v>0</v>
      </c>
      <c r="BC89" s="76">
        <f>资产资本表!BC55</f>
        <v>0</v>
      </c>
      <c r="BD89" s="76">
        <f>资产资本表!BD55</f>
        <v>0</v>
      </c>
      <c r="BE89" s="76">
        <f>资产资本表!BE55</f>
        <v>0</v>
      </c>
      <c r="BF89" s="76">
        <f>资产资本表!BF55</f>
        <v>0</v>
      </c>
      <c r="BG89" s="76">
        <f>资产资本表!BG55</f>
        <v>0</v>
      </c>
      <c r="BH89" s="76">
        <f>资产资本表!BH55</f>
        <v>0</v>
      </c>
      <c r="BI89" s="76">
        <f>资产资本表!BI55</f>
        <v>0</v>
      </c>
      <c r="BJ89" s="76">
        <f>资产资本表!BJ55</f>
        <v>0</v>
      </c>
      <c r="BK89" s="76">
        <f>资产资本表!BK55</f>
        <v>0</v>
      </c>
      <c r="BL89" s="76">
        <f>资产资本表!BL55</f>
        <v>0</v>
      </c>
      <c r="BM89" s="76">
        <f>资产资本表!BM55</f>
        <v>0</v>
      </c>
      <c r="BN89" s="76">
        <f>资产资本表!BN55</f>
        <v>0</v>
      </c>
      <c r="BO89" s="76">
        <f>资产资本表!BO55</f>
        <v>0</v>
      </c>
      <c r="BP89" s="76">
        <f>资产资本表!BP55</f>
        <v>0</v>
      </c>
      <c r="BQ89" s="76">
        <f>资产资本表!BQ55</f>
        <v>0</v>
      </c>
      <c r="BR89" s="76">
        <f>资产资本表!BR55</f>
        <v>0</v>
      </c>
      <c r="BS89" s="76">
        <f>资产资本表!BS55</f>
        <v>0</v>
      </c>
      <c r="BT89" s="76">
        <f>资产资本表!BT55</f>
        <v>0</v>
      </c>
      <c r="BU89" s="76">
        <f>资产资本表!BU55</f>
        <v>0</v>
      </c>
      <c r="BV89" s="76">
        <f>资产资本表!BV55</f>
        <v>0</v>
      </c>
      <c r="BW89" s="76">
        <f>资产资本表!BW55</f>
        <v>0</v>
      </c>
      <c r="BX89" s="76">
        <f>资产资本表!BX55</f>
        <v>0</v>
      </c>
      <c r="BY89" s="76">
        <f>资产资本表!BY55</f>
        <v>0</v>
      </c>
      <c r="BZ89" s="76">
        <f>资产资本表!BZ55</f>
        <v>0</v>
      </c>
      <c r="CA89" s="76">
        <f>资产资本表!CA55</f>
        <v>0</v>
      </c>
      <c r="CB89" s="76">
        <f>资产资本表!CB55</f>
        <v>0</v>
      </c>
      <c r="CC89" s="76">
        <f>资产资本表!CC55</f>
        <v>0</v>
      </c>
      <c r="CD89" s="76">
        <f>资产资本表!CD55</f>
        <v>0</v>
      </c>
      <c r="CE89" s="76">
        <f>资产资本表!CE55</f>
        <v>0</v>
      </c>
      <c r="CF89" s="76">
        <f>资产资本表!CF55</f>
        <v>0</v>
      </c>
      <c r="CG89" s="76">
        <f>资产资本表!CG55</f>
        <v>0</v>
      </c>
      <c r="CH89" s="76">
        <f>资产资本表!CH55</f>
        <v>0</v>
      </c>
      <c r="CI89" s="76">
        <f>资产资本表!CI55</f>
        <v>0</v>
      </c>
      <c r="CJ89" s="76">
        <f>资产资本表!CJ55</f>
        <v>0</v>
      </c>
      <c r="CK89" s="76">
        <f>资产资本表!CK55</f>
        <v>0</v>
      </c>
    </row>
    <row r="90" spans="1:89" s="76" customFormat="1" x14ac:dyDescent="0.25">
      <c r="A90" s="70" t="s">
        <v>589</v>
      </c>
      <c r="E90" s="76">
        <f>资产资本表!E56</f>
        <v>0</v>
      </c>
      <c r="F90" s="76">
        <f>资产资本表!F56</f>
        <v>0</v>
      </c>
      <c r="G90" s="76">
        <f>资产资本表!G56</f>
        <v>0</v>
      </c>
      <c r="H90" s="76">
        <f>资产资本表!H56</f>
        <v>0</v>
      </c>
      <c r="I90" s="76">
        <f>资产资本表!I56</f>
        <v>0</v>
      </c>
      <c r="J90" s="76">
        <f>资产资本表!J56</f>
        <v>0</v>
      </c>
      <c r="K90" s="76">
        <f>资产资本表!K56</f>
        <v>0</v>
      </c>
      <c r="L90" s="76">
        <f>资产资本表!L56</f>
        <v>0</v>
      </c>
      <c r="M90" s="76">
        <f>资产资本表!M56</f>
        <v>0</v>
      </c>
      <c r="N90" s="76">
        <f>资产资本表!N56</f>
        <v>0</v>
      </c>
      <c r="O90" s="76">
        <f>资产资本表!O56</f>
        <v>0</v>
      </c>
      <c r="P90" s="76">
        <f>资产资本表!P56</f>
        <v>0</v>
      </c>
      <c r="Q90" s="76">
        <f>资产资本表!Q56</f>
        <v>0</v>
      </c>
      <c r="R90" s="76">
        <f>资产资本表!R56</f>
        <v>0</v>
      </c>
      <c r="S90" s="76">
        <f>资产资本表!S56</f>
        <v>0</v>
      </c>
      <c r="T90" s="76">
        <f>资产资本表!T56</f>
        <v>0</v>
      </c>
      <c r="U90" s="76">
        <f>资产资本表!U56</f>
        <v>0</v>
      </c>
      <c r="V90" s="76">
        <f>资产资本表!V56</f>
        <v>0</v>
      </c>
      <c r="W90" s="76">
        <f>资产资本表!W56</f>
        <v>0</v>
      </c>
      <c r="X90" s="76">
        <f>资产资本表!X56</f>
        <v>0</v>
      </c>
      <c r="Y90" s="76">
        <f>资产资本表!Y56</f>
        <v>0</v>
      </c>
      <c r="Z90" s="76">
        <f>资产资本表!Z56</f>
        <v>0</v>
      </c>
      <c r="AA90" s="76">
        <f>资产资本表!AA56</f>
        <v>0</v>
      </c>
      <c r="AB90" s="76">
        <f>资产资本表!AB56</f>
        <v>0</v>
      </c>
      <c r="AC90" s="76">
        <f>资产资本表!AC56</f>
        <v>0</v>
      </c>
      <c r="AD90" s="76">
        <f>资产资本表!AD56</f>
        <v>0</v>
      </c>
      <c r="AE90" s="76">
        <f>资产资本表!AE56</f>
        <v>0</v>
      </c>
      <c r="AF90" s="76">
        <f>资产资本表!AF56</f>
        <v>0</v>
      </c>
      <c r="AG90" s="76">
        <f>资产资本表!AG56</f>
        <v>0</v>
      </c>
      <c r="AH90" s="76">
        <f>资产资本表!AH56</f>
        <v>0</v>
      </c>
      <c r="AI90" s="76">
        <f>资产资本表!AI56</f>
        <v>0</v>
      </c>
      <c r="AJ90" s="76">
        <f>资产资本表!AJ56</f>
        <v>0</v>
      </c>
      <c r="AK90" s="76">
        <f>资产资本表!AK56</f>
        <v>0</v>
      </c>
      <c r="AL90" s="76">
        <f>资产资本表!AL56</f>
        <v>0</v>
      </c>
      <c r="AM90" s="76">
        <f>资产资本表!AM56</f>
        <v>0</v>
      </c>
      <c r="AN90" s="76">
        <f>资产资本表!AN56</f>
        <v>0</v>
      </c>
      <c r="AO90" s="76">
        <f>资产资本表!AO56</f>
        <v>0</v>
      </c>
      <c r="AP90" s="76">
        <f>资产资本表!AP56</f>
        <v>0</v>
      </c>
      <c r="AQ90" s="76">
        <f>资产资本表!AQ56</f>
        <v>0</v>
      </c>
      <c r="AR90" s="76">
        <f>资产资本表!AR56</f>
        <v>0</v>
      </c>
      <c r="AS90" s="76">
        <f>资产资本表!AS56</f>
        <v>0</v>
      </c>
      <c r="AT90" s="76">
        <f>资产资本表!AT56</f>
        <v>0</v>
      </c>
      <c r="AU90" s="76">
        <f>资产资本表!AU56</f>
        <v>0</v>
      </c>
      <c r="AV90" s="76">
        <f>资产资本表!AV56</f>
        <v>0</v>
      </c>
      <c r="AW90" s="76">
        <f>资产资本表!AW56</f>
        <v>0</v>
      </c>
      <c r="AX90" s="76">
        <f>资产资本表!AX56</f>
        <v>0</v>
      </c>
      <c r="AY90" s="76">
        <f>资产资本表!AY56</f>
        <v>0</v>
      </c>
      <c r="AZ90" s="76">
        <f>资产资本表!AZ56</f>
        <v>0</v>
      </c>
      <c r="BA90" s="76">
        <f>资产资本表!BA56</f>
        <v>0</v>
      </c>
      <c r="BB90" s="76">
        <f>资产资本表!BB56</f>
        <v>0</v>
      </c>
      <c r="BC90" s="76">
        <f>资产资本表!BC56</f>
        <v>0</v>
      </c>
      <c r="BD90" s="76">
        <f>资产资本表!BD56</f>
        <v>0</v>
      </c>
      <c r="BE90" s="76">
        <f>资产资本表!BE56</f>
        <v>0</v>
      </c>
      <c r="BF90" s="76">
        <f>资产资本表!BF56</f>
        <v>0</v>
      </c>
      <c r="BG90" s="76">
        <f>资产资本表!BG56</f>
        <v>0</v>
      </c>
      <c r="BH90" s="76">
        <f>资产资本表!BH56</f>
        <v>0</v>
      </c>
      <c r="BI90" s="76">
        <f>资产资本表!BI56</f>
        <v>0</v>
      </c>
      <c r="BJ90" s="76">
        <f>资产资本表!BJ56</f>
        <v>0</v>
      </c>
      <c r="BK90" s="76">
        <f>资产资本表!BK56</f>
        <v>0</v>
      </c>
      <c r="BL90" s="76">
        <f>资产资本表!BL56</f>
        <v>0</v>
      </c>
      <c r="BM90" s="76">
        <f>资产资本表!BM56</f>
        <v>0</v>
      </c>
      <c r="BN90" s="76">
        <f>资产资本表!BN56</f>
        <v>0</v>
      </c>
      <c r="BO90" s="76">
        <f>资产资本表!BO56</f>
        <v>0</v>
      </c>
      <c r="BP90" s="76">
        <f>资产资本表!BP56</f>
        <v>0</v>
      </c>
      <c r="BQ90" s="76">
        <f>资产资本表!BQ56</f>
        <v>0</v>
      </c>
      <c r="BR90" s="76">
        <f>资产资本表!BR56</f>
        <v>0</v>
      </c>
      <c r="BS90" s="76">
        <f>资产资本表!BS56</f>
        <v>0</v>
      </c>
      <c r="BT90" s="76">
        <f>资产资本表!BT56</f>
        <v>0</v>
      </c>
      <c r="BU90" s="76">
        <f>资产资本表!BU56</f>
        <v>0</v>
      </c>
      <c r="BV90" s="76">
        <f>资产资本表!BV56</f>
        <v>0</v>
      </c>
      <c r="BW90" s="76">
        <f>资产资本表!BW56</f>
        <v>0</v>
      </c>
      <c r="BX90" s="76">
        <f>资产资本表!BX56</f>
        <v>0</v>
      </c>
      <c r="BY90" s="76">
        <f>资产资本表!BY56</f>
        <v>0</v>
      </c>
      <c r="BZ90" s="76">
        <f>资产资本表!BZ56</f>
        <v>0</v>
      </c>
      <c r="CA90" s="76">
        <f>资产资本表!CA56</f>
        <v>0</v>
      </c>
      <c r="CB90" s="76">
        <f>资产资本表!CB56</f>
        <v>0</v>
      </c>
      <c r="CC90" s="76">
        <f>资产资本表!CC56</f>
        <v>0</v>
      </c>
      <c r="CD90" s="76">
        <f>资产资本表!CD56</f>
        <v>0</v>
      </c>
      <c r="CE90" s="76">
        <f>资产资本表!CE56</f>
        <v>0</v>
      </c>
      <c r="CF90" s="76">
        <f>资产资本表!CF56</f>
        <v>0</v>
      </c>
      <c r="CG90" s="76">
        <f>资产资本表!CG56</f>
        <v>0</v>
      </c>
      <c r="CH90" s="76">
        <f>资产资本表!CH56</f>
        <v>0</v>
      </c>
      <c r="CI90" s="76">
        <f>资产资本表!CI56</f>
        <v>0</v>
      </c>
      <c r="CJ90" s="76">
        <f>资产资本表!CJ56</f>
        <v>0</v>
      </c>
      <c r="CK90" s="76">
        <f>资产资本表!CK56</f>
        <v>0</v>
      </c>
    </row>
    <row r="91" spans="1:89" s="76" customFormat="1" x14ac:dyDescent="0.25">
      <c r="A91" s="70" t="s">
        <v>590</v>
      </c>
      <c r="E91" s="76">
        <f>资产资本表!E57</f>
        <v>0</v>
      </c>
      <c r="F91" s="76">
        <f>资产资本表!F57</f>
        <v>0</v>
      </c>
      <c r="G91" s="76">
        <f>资产资本表!G57</f>
        <v>0</v>
      </c>
      <c r="H91" s="76">
        <f>资产资本表!H57</f>
        <v>0</v>
      </c>
      <c r="I91" s="76">
        <f>资产资本表!I57</f>
        <v>0</v>
      </c>
      <c r="J91" s="76">
        <f>资产资本表!J57</f>
        <v>0</v>
      </c>
      <c r="K91" s="76">
        <f>资产资本表!K57</f>
        <v>0</v>
      </c>
      <c r="L91" s="76">
        <f>资产资本表!L57</f>
        <v>0</v>
      </c>
      <c r="M91" s="76">
        <f>资产资本表!M57</f>
        <v>0</v>
      </c>
      <c r="N91" s="76">
        <f>资产资本表!N57</f>
        <v>0</v>
      </c>
      <c r="O91" s="76">
        <f>资产资本表!O57</f>
        <v>0</v>
      </c>
      <c r="P91" s="76">
        <f>资产资本表!P57</f>
        <v>0</v>
      </c>
      <c r="Q91" s="76">
        <f>资产资本表!Q57</f>
        <v>0</v>
      </c>
      <c r="R91" s="76">
        <f>资产资本表!R57</f>
        <v>0</v>
      </c>
      <c r="S91" s="76">
        <f>资产资本表!S57</f>
        <v>0</v>
      </c>
      <c r="T91" s="76">
        <f>资产资本表!T57</f>
        <v>0</v>
      </c>
      <c r="U91" s="76">
        <f>资产资本表!U57</f>
        <v>0</v>
      </c>
      <c r="V91" s="76">
        <f>资产资本表!V57</f>
        <v>0</v>
      </c>
      <c r="W91" s="76">
        <f>资产资本表!W57</f>
        <v>0</v>
      </c>
      <c r="X91" s="76">
        <f>资产资本表!X57</f>
        <v>0</v>
      </c>
      <c r="Y91" s="76">
        <f>资产资本表!Y57</f>
        <v>0</v>
      </c>
      <c r="Z91" s="76">
        <f>资产资本表!Z57</f>
        <v>0</v>
      </c>
      <c r="AA91" s="76">
        <f>资产资本表!AA57</f>
        <v>0</v>
      </c>
      <c r="AB91" s="76">
        <f>资产资本表!AB57</f>
        <v>0</v>
      </c>
      <c r="AC91" s="76">
        <f>资产资本表!AC57</f>
        <v>0</v>
      </c>
      <c r="AD91" s="76">
        <f>资产资本表!AD57</f>
        <v>0</v>
      </c>
      <c r="AE91" s="76">
        <f>资产资本表!AE57</f>
        <v>0</v>
      </c>
      <c r="AF91" s="76">
        <f>资产资本表!AF57</f>
        <v>0</v>
      </c>
      <c r="AG91" s="76">
        <f>资产资本表!AG57</f>
        <v>0</v>
      </c>
      <c r="AH91" s="76">
        <f>资产资本表!AH57</f>
        <v>0</v>
      </c>
      <c r="AI91" s="76">
        <f>资产资本表!AI57</f>
        <v>0</v>
      </c>
      <c r="AJ91" s="76">
        <f>资产资本表!AJ57</f>
        <v>0</v>
      </c>
      <c r="AK91" s="76">
        <f>资产资本表!AK57</f>
        <v>0</v>
      </c>
      <c r="AL91" s="76">
        <f>资产资本表!AL57</f>
        <v>0</v>
      </c>
      <c r="AM91" s="76">
        <f>资产资本表!AM57</f>
        <v>0</v>
      </c>
      <c r="AN91" s="76">
        <f>资产资本表!AN57</f>
        <v>0</v>
      </c>
      <c r="AO91" s="76">
        <f>资产资本表!AO57</f>
        <v>0</v>
      </c>
      <c r="AP91" s="76">
        <f>资产资本表!AP57</f>
        <v>0</v>
      </c>
      <c r="AQ91" s="76">
        <f>资产资本表!AQ57</f>
        <v>0</v>
      </c>
      <c r="AR91" s="76">
        <f>资产资本表!AR57</f>
        <v>0</v>
      </c>
      <c r="AS91" s="76">
        <f>资产资本表!AS57</f>
        <v>0</v>
      </c>
      <c r="AT91" s="76">
        <f>资产资本表!AT57</f>
        <v>0</v>
      </c>
      <c r="AU91" s="76">
        <f>资产资本表!AU57</f>
        <v>0</v>
      </c>
      <c r="AV91" s="76">
        <f>资产资本表!AV57</f>
        <v>0</v>
      </c>
      <c r="AW91" s="76">
        <f>资产资本表!AW57</f>
        <v>0</v>
      </c>
      <c r="AX91" s="76">
        <f>资产资本表!AX57</f>
        <v>0</v>
      </c>
      <c r="AY91" s="76">
        <f>资产资本表!AY57</f>
        <v>0</v>
      </c>
      <c r="AZ91" s="76">
        <f>资产资本表!AZ57</f>
        <v>0</v>
      </c>
      <c r="BA91" s="76">
        <f>资产资本表!BA57</f>
        <v>0</v>
      </c>
      <c r="BB91" s="76">
        <f>资产资本表!BB57</f>
        <v>0</v>
      </c>
      <c r="BC91" s="76">
        <f>资产资本表!BC57</f>
        <v>0</v>
      </c>
      <c r="BD91" s="76">
        <f>资产资本表!BD57</f>
        <v>0</v>
      </c>
      <c r="BE91" s="76">
        <f>资产资本表!BE57</f>
        <v>0</v>
      </c>
      <c r="BF91" s="76">
        <f>资产资本表!BF57</f>
        <v>0</v>
      </c>
      <c r="BG91" s="76">
        <f>资产资本表!BG57</f>
        <v>0</v>
      </c>
      <c r="BH91" s="76">
        <f>资产资本表!BH57</f>
        <v>0</v>
      </c>
      <c r="BI91" s="76">
        <f>资产资本表!BI57</f>
        <v>0</v>
      </c>
      <c r="BJ91" s="76">
        <f>资产资本表!BJ57</f>
        <v>0</v>
      </c>
      <c r="BK91" s="76">
        <f>资产资本表!BK57</f>
        <v>0</v>
      </c>
      <c r="BL91" s="76">
        <f>资产资本表!BL57</f>
        <v>0</v>
      </c>
      <c r="BM91" s="76">
        <f>资产资本表!BM57</f>
        <v>0</v>
      </c>
      <c r="BN91" s="76">
        <f>资产资本表!BN57</f>
        <v>0</v>
      </c>
      <c r="BO91" s="76">
        <f>资产资本表!BO57</f>
        <v>0</v>
      </c>
      <c r="BP91" s="76">
        <f>资产资本表!BP57</f>
        <v>0</v>
      </c>
      <c r="BQ91" s="76">
        <f>资产资本表!BQ57</f>
        <v>0</v>
      </c>
      <c r="BR91" s="76">
        <f>资产资本表!BR57</f>
        <v>0</v>
      </c>
      <c r="BS91" s="76">
        <f>资产资本表!BS57</f>
        <v>0</v>
      </c>
      <c r="BT91" s="76">
        <f>资产资本表!BT57</f>
        <v>0</v>
      </c>
      <c r="BU91" s="76">
        <f>资产资本表!BU57</f>
        <v>0</v>
      </c>
      <c r="BV91" s="76">
        <f>资产资本表!BV57</f>
        <v>0</v>
      </c>
      <c r="BW91" s="76">
        <f>资产资本表!BW57</f>
        <v>0</v>
      </c>
      <c r="BX91" s="76">
        <f>资产资本表!BX57</f>
        <v>0</v>
      </c>
      <c r="BY91" s="76">
        <f>资产资本表!BY57</f>
        <v>0</v>
      </c>
      <c r="BZ91" s="76">
        <f>资产资本表!BZ57</f>
        <v>0</v>
      </c>
      <c r="CA91" s="76">
        <f>资产资本表!CA57</f>
        <v>0</v>
      </c>
      <c r="CB91" s="76">
        <f>资产资本表!CB57</f>
        <v>0</v>
      </c>
      <c r="CC91" s="76">
        <f>资产资本表!CC57</f>
        <v>0</v>
      </c>
      <c r="CD91" s="76">
        <f>资产资本表!CD57</f>
        <v>0</v>
      </c>
      <c r="CE91" s="76">
        <f>资产资本表!CE57</f>
        <v>0</v>
      </c>
      <c r="CF91" s="76">
        <f>资产资本表!CF57</f>
        <v>0</v>
      </c>
      <c r="CG91" s="76">
        <f>资产资本表!CG57</f>
        <v>0</v>
      </c>
      <c r="CH91" s="76">
        <f>资产资本表!CH57</f>
        <v>0</v>
      </c>
      <c r="CI91" s="76">
        <f>资产资本表!CI57</f>
        <v>0</v>
      </c>
      <c r="CJ91" s="76">
        <f>资产资本表!CJ57</f>
        <v>0</v>
      </c>
      <c r="CK91" s="76">
        <f>资产资本表!CK57</f>
        <v>0</v>
      </c>
    </row>
    <row r="92" spans="1:89" s="76" customFormat="1" x14ac:dyDescent="0.25">
      <c r="A92" s="70" t="s">
        <v>591</v>
      </c>
      <c r="E92" s="76">
        <f>资产资本表!E58</f>
        <v>306530006.25</v>
      </c>
      <c r="F92" s="76">
        <f>资产资本表!F58</f>
        <v>323481827.06</v>
      </c>
      <c r="G92" s="76">
        <f>资产资本表!G58</f>
        <v>332029194.92000002</v>
      </c>
      <c r="H92" s="76">
        <f>资产资本表!H58</f>
        <v>331416349.85000002</v>
      </c>
      <c r="I92" s="76">
        <f>资产资本表!I58</f>
        <v>118170720.79000001</v>
      </c>
      <c r="J92" s="76">
        <f>资产资本表!J58</f>
        <v>111435999.70999999</v>
      </c>
      <c r="K92" s="76">
        <f>资产资本表!K58</f>
        <v>113087078.09</v>
      </c>
      <c r="L92" s="76">
        <f>资产资本表!L58</f>
        <v>114290815.06999999</v>
      </c>
      <c r="M92" s="76">
        <f>资产资本表!M58</f>
        <v>115277269.56999999</v>
      </c>
      <c r="N92" s="76">
        <f>资产资本表!N58</f>
        <v>101655338.19</v>
      </c>
      <c r="O92" s="76">
        <f>资产资本表!O58</f>
        <v>102732342.14</v>
      </c>
      <c r="P92" s="76">
        <f>资产资本表!P58</f>
        <v>103485214.91</v>
      </c>
      <c r="Q92" s="76">
        <f>资产资本表!Q58</f>
        <v>104149223.65000001</v>
      </c>
      <c r="R92" s="76">
        <f>资产资本表!R58</f>
        <v>104006611.81999999</v>
      </c>
      <c r="S92" s="76">
        <f>资产资本表!S58</f>
        <v>104953963.73999999</v>
      </c>
      <c r="T92" s="76">
        <f>资产资本表!T58</f>
        <v>105966556.81999999</v>
      </c>
      <c r="U92" s="76">
        <f>资产资本表!U58</f>
        <v>107131650.09</v>
      </c>
      <c r="V92" s="76">
        <f>资产资本表!V58</f>
        <v>105477980.48999999</v>
      </c>
      <c r="W92" s="76">
        <f>资产资本表!W58</f>
        <v>76697891.120000005</v>
      </c>
      <c r="X92" s="76">
        <f>资产资本表!X58</f>
        <v>77512018.849999994</v>
      </c>
      <c r="Y92" s="76">
        <f>资产资本表!Y58</f>
        <v>78511748.140000001</v>
      </c>
      <c r="Z92" s="76">
        <f>资产资本表!Z58</f>
        <v>75008661.75</v>
      </c>
      <c r="AA92" s="76">
        <f>资产资本表!AA58</f>
        <v>75533792.769999996</v>
      </c>
      <c r="AB92" s="76">
        <f>资产资本表!AB58</f>
        <v>76417045.849999994</v>
      </c>
      <c r="AC92" s="76">
        <f>资产资本表!AC58</f>
        <v>77223131.420000002</v>
      </c>
      <c r="AD92" s="76">
        <f>资产资本表!AD58</f>
        <v>49561700.560000002</v>
      </c>
      <c r="AE92" s="76">
        <f>资产资本表!AE58</f>
        <v>48784322.049999997</v>
      </c>
      <c r="AF92" s="76">
        <f>资产资本表!AF58</f>
        <v>37756780.240000002</v>
      </c>
      <c r="AG92" s="76">
        <f>资产资本表!AG58</f>
        <v>37874398.460000001</v>
      </c>
      <c r="AH92" s="76">
        <f>资产资本表!AH58</f>
        <v>35041483.909999996</v>
      </c>
      <c r="AI92" s="76">
        <f>资产资本表!AI58</f>
        <v>35254621.369999997</v>
      </c>
      <c r="AJ92" s="76">
        <f>资产资本表!AJ58</f>
        <v>35448231.049999997</v>
      </c>
      <c r="AK92" s="76">
        <f>资产资本表!AK58</f>
        <v>12441501.48</v>
      </c>
      <c r="AL92" s="76">
        <f>资产资本表!AL58</f>
        <v>12567010.58</v>
      </c>
      <c r="AM92" s="76">
        <f>资产资本表!AM58</f>
        <v>12702441.859999999</v>
      </c>
      <c r="AN92" s="76">
        <f>资产资本表!AN58</f>
        <v>12773722.76</v>
      </c>
      <c r="AO92" s="76">
        <f>资产资本表!AO58</f>
        <v>13253983.52</v>
      </c>
      <c r="AP92" s="76">
        <f>资产资本表!AP58</f>
        <v>13373966.359999999</v>
      </c>
      <c r="AQ92" s="76">
        <f>资产资本表!AQ58</f>
        <v>0</v>
      </c>
      <c r="AR92" s="76">
        <f>资产资本表!AR58</f>
        <v>0</v>
      </c>
      <c r="AS92" s="76">
        <f>资产资本表!AS58</f>
        <v>0</v>
      </c>
      <c r="AT92" s="76">
        <f>资产资本表!AT58</f>
        <v>0</v>
      </c>
      <c r="AU92" s="76">
        <f>资产资本表!AU58</f>
        <v>0</v>
      </c>
      <c r="AV92" s="76">
        <f>资产资本表!AV58</f>
        <v>0</v>
      </c>
      <c r="AW92" s="76">
        <f>资产资本表!AW58</f>
        <v>0</v>
      </c>
      <c r="AX92" s="76">
        <f>资产资本表!AX58</f>
        <v>0</v>
      </c>
      <c r="AY92" s="76">
        <f>资产资本表!AY58</f>
        <v>0</v>
      </c>
      <c r="AZ92" s="76">
        <f>资产资本表!AZ58</f>
        <v>0</v>
      </c>
      <c r="BA92" s="76">
        <f>资产资本表!BA58</f>
        <v>0</v>
      </c>
      <c r="BB92" s="76">
        <f>资产资本表!BB58</f>
        <v>0</v>
      </c>
      <c r="BC92" s="76">
        <f>资产资本表!BC58</f>
        <v>0</v>
      </c>
      <c r="BD92" s="76">
        <f>资产资本表!BD58</f>
        <v>0</v>
      </c>
      <c r="BE92" s="76">
        <f>资产资本表!BE58</f>
        <v>0</v>
      </c>
      <c r="BF92" s="76">
        <f>资产资本表!BF58</f>
        <v>0</v>
      </c>
      <c r="BG92" s="76">
        <f>资产资本表!BG58</f>
        <v>0</v>
      </c>
      <c r="BH92" s="76">
        <f>资产资本表!BH58</f>
        <v>0</v>
      </c>
      <c r="BI92" s="76">
        <f>资产资本表!BI58</f>
        <v>0</v>
      </c>
      <c r="BJ92" s="76">
        <f>资产资本表!BJ58</f>
        <v>0</v>
      </c>
      <c r="BK92" s="76">
        <f>资产资本表!BK58</f>
        <v>0</v>
      </c>
      <c r="BL92" s="76">
        <f>资产资本表!BL58</f>
        <v>0</v>
      </c>
      <c r="BM92" s="76">
        <f>资产资本表!BM58</f>
        <v>0</v>
      </c>
      <c r="BN92" s="76">
        <f>资产资本表!BN58</f>
        <v>0</v>
      </c>
      <c r="BO92" s="76">
        <f>资产资本表!BO58</f>
        <v>0</v>
      </c>
      <c r="BP92" s="76">
        <f>资产资本表!BP58</f>
        <v>0</v>
      </c>
      <c r="BQ92" s="76">
        <f>资产资本表!BQ58</f>
        <v>0</v>
      </c>
      <c r="BR92" s="76">
        <f>资产资本表!BR58</f>
        <v>0</v>
      </c>
      <c r="BS92" s="76">
        <f>资产资本表!BS58</f>
        <v>0</v>
      </c>
      <c r="BT92" s="76">
        <f>资产资本表!BT58</f>
        <v>0</v>
      </c>
      <c r="BU92" s="76">
        <f>资产资本表!BU58</f>
        <v>0</v>
      </c>
      <c r="BV92" s="76">
        <f>资产资本表!BV58</f>
        <v>0</v>
      </c>
      <c r="BW92" s="76">
        <f>资产资本表!BW58</f>
        <v>0</v>
      </c>
      <c r="BX92" s="76">
        <f>资产资本表!BX58</f>
        <v>0</v>
      </c>
      <c r="BY92" s="76">
        <f>资产资本表!BY58</f>
        <v>0</v>
      </c>
      <c r="BZ92" s="76">
        <f>资产资本表!BZ58</f>
        <v>0</v>
      </c>
      <c r="CA92" s="76">
        <f>资产资本表!CA58</f>
        <v>0</v>
      </c>
      <c r="CB92" s="76">
        <f>资产资本表!CB58</f>
        <v>0</v>
      </c>
      <c r="CC92" s="76">
        <f>资产资本表!CC58</f>
        <v>0</v>
      </c>
      <c r="CD92" s="76">
        <f>资产资本表!CD58</f>
        <v>0</v>
      </c>
      <c r="CE92" s="76">
        <f>资产资本表!CE58</f>
        <v>0</v>
      </c>
      <c r="CF92" s="76">
        <f>资产资本表!CF58</f>
        <v>0</v>
      </c>
      <c r="CG92" s="76">
        <f>资产资本表!CG58</f>
        <v>0</v>
      </c>
      <c r="CH92" s="76">
        <f>资产资本表!CH58</f>
        <v>0</v>
      </c>
      <c r="CI92" s="76">
        <f>资产资本表!CI58</f>
        <v>0</v>
      </c>
      <c r="CJ92" s="76">
        <f>资产资本表!CJ58</f>
        <v>0</v>
      </c>
      <c r="CK92" s="76">
        <f>资产资本表!CK58</f>
        <v>0</v>
      </c>
    </row>
    <row r="93" spans="1:89" s="155" customFormat="1" x14ac:dyDescent="0.25">
      <c r="A93" s="251" t="s">
        <v>690</v>
      </c>
      <c r="E93" s="155">
        <f>E81/E92</f>
        <v>15.208464980449202</v>
      </c>
      <c r="F93" s="155">
        <f t="shared" ref="F93:BQ93" si="52">F81/F92</f>
        <v>9.8387907544793016</v>
      </c>
      <c r="G93" s="155">
        <f t="shared" si="52"/>
        <v>5.9676556186494754</v>
      </c>
      <c r="H93" s="155">
        <f t="shared" si="52"/>
        <v>3.1916568416094995</v>
      </c>
      <c r="I93" s="155">
        <f t="shared" si="52"/>
        <v>26.675105483631366</v>
      </c>
      <c r="J93" s="155">
        <f t="shared" si="52"/>
        <v>19.340826089314401</v>
      </c>
      <c r="K93" s="155">
        <f t="shared" si="52"/>
        <v>11.8765409216879</v>
      </c>
      <c r="L93" s="155">
        <f t="shared" si="52"/>
        <v>6.6746070495059255</v>
      </c>
      <c r="M93" s="155">
        <f t="shared" si="52"/>
        <v>25.292357312553584</v>
      </c>
      <c r="N93" s="155">
        <f t="shared" si="52"/>
        <v>20.127763307380128</v>
      </c>
      <c r="O93" s="155">
        <f t="shared" si="52"/>
        <v>12.167308432884521</v>
      </c>
      <c r="P93" s="155">
        <f t="shared" si="52"/>
        <v>6.816383729535417</v>
      </c>
      <c r="Q93" s="155">
        <f t="shared" si="52"/>
        <v>26.513885334276324</v>
      </c>
      <c r="R93" s="155">
        <f t="shared" si="52"/>
        <v>18.075715380130148</v>
      </c>
      <c r="S93" s="155">
        <f t="shared" si="52"/>
        <v>10.597787914284256</v>
      </c>
      <c r="T93" s="155">
        <f t="shared" si="52"/>
        <v>6.2029813715334425</v>
      </c>
      <c r="U93" s="155">
        <f t="shared" si="52"/>
        <v>23.561752425911877</v>
      </c>
      <c r="V93" s="155">
        <f t="shared" si="52"/>
        <v>16.331815927432533</v>
      </c>
      <c r="W93" s="155">
        <f t="shared" si="52"/>
        <v>14.056101335345293</v>
      </c>
      <c r="X93" s="155">
        <f t="shared" si="52"/>
        <v>7.9387840323294583</v>
      </c>
      <c r="Y93" s="155">
        <f t="shared" si="52"/>
        <v>34.707593777569912</v>
      </c>
      <c r="Z93" s="155">
        <f t="shared" si="52"/>
        <v>24.633445585502663</v>
      </c>
      <c r="AA93" s="155">
        <f t="shared" si="52"/>
        <v>13.722203991743232</v>
      </c>
      <c r="AB93" s="155">
        <f t="shared" si="52"/>
        <v>8.0390480692731465</v>
      </c>
      <c r="AC93" s="155">
        <f t="shared" si="52"/>
        <v>30.851310283216172</v>
      </c>
      <c r="AD93" s="155">
        <f t="shared" si="52"/>
        <v>32.966923423500866</v>
      </c>
      <c r="AE93" s="155">
        <f t="shared" si="52"/>
        <v>20.564929588480364</v>
      </c>
      <c r="AF93" s="155">
        <f t="shared" si="52"/>
        <v>15.444904190538043</v>
      </c>
      <c r="AG93" s="155">
        <f t="shared" si="52"/>
        <v>48.022270823941689</v>
      </c>
      <c r="AH93" s="155">
        <f t="shared" si="52"/>
        <v>32.694655493543571</v>
      </c>
      <c r="AI93" s="155">
        <f t="shared" si="52"/>
        <v>18.772839150761243</v>
      </c>
      <c r="AJ93" s="155">
        <f t="shared" si="52"/>
        <v>10.136918726442346</v>
      </c>
      <c r="AK93" s="155">
        <f t="shared" si="52"/>
        <v>92.055348156418802</v>
      </c>
      <c r="AL93" s="155">
        <f t="shared" si="52"/>
        <v>57.604357049884811</v>
      </c>
      <c r="AM93" s="155">
        <f t="shared" si="52"/>
        <v>32.085999093878158</v>
      </c>
      <c r="AN93" s="155">
        <f t="shared" si="52"/>
        <v>19.977889541263224</v>
      </c>
      <c r="AO93" s="155">
        <f t="shared" si="52"/>
        <v>68.10667023373513</v>
      </c>
      <c r="AP93" s="155">
        <f t="shared" si="52"/>
        <v>47.321448142927743</v>
      </c>
      <c r="AQ93" s="155" t="e">
        <f t="shared" si="52"/>
        <v>#DIV/0!</v>
      </c>
      <c r="AR93" s="155" t="e">
        <f t="shared" si="52"/>
        <v>#DIV/0!</v>
      </c>
      <c r="AS93" s="155" t="e">
        <f t="shared" si="52"/>
        <v>#DIV/0!</v>
      </c>
      <c r="AT93" s="155" t="e">
        <f t="shared" si="52"/>
        <v>#DIV/0!</v>
      </c>
      <c r="AU93" s="155" t="e">
        <f t="shared" si="52"/>
        <v>#DIV/0!</v>
      </c>
      <c r="AV93" s="155" t="e">
        <f t="shared" si="52"/>
        <v>#DIV/0!</v>
      </c>
      <c r="AW93" s="155" t="e">
        <f t="shared" si="52"/>
        <v>#DIV/0!</v>
      </c>
      <c r="AX93" s="155" t="e">
        <f t="shared" si="52"/>
        <v>#DIV/0!</v>
      </c>
      <c r="AY93" s="155" t="e">
        <f t="shared" si="52"/>
        <v>#DIV/0!</v>
      </c>
      <c r="AZ93" s="155" t="e">
        <f t="shared" si="52"/>
        <v>#DIV/0!</v>
      </c>
      <c r="BA93" s="155" t="e">
        <f t="shared" si="52"/>
        <v>#DIV/0!</v>
      </c>
      <c r="BB93" s="155" t="e">
        <f t="shared" si="52"/>
        <v>#DIV/0!</v>
      </c>
      <c r="BC93" s="155" t="e">
        <f t="shared" si="52"/>
        <v>#DIV/0!</v>
      </c>
      <c r="BD93" s="155" t="e">
        <f t="shared" si="52"/>
        <v>#DIV/0!</v>
      </c>
      <c r="BE93" s="155" t="e">
        <f t="shared" si="52"/>
        <v>#DIV/0!</v>
      </c>
      <c r="BF93" s="155" t="e">
        <f t="shared" si="52"/>
        <v>#DIV/0!</v>
      </c>
      <c r="BG93" s="155" t="e">
        <f t="shared" si="52"/>
        <v>#DIV/0!</v>
      </c>
      <c r="BH93" s="155" t="e">
        <f t="shared" si="52"/>
        <v>#DIV/0!</v>
      </c>
      <c r="BI93" s="155" t="e">
        <f t="shared" si="52"/>
        <v>#DIV/0!</v>
      </c>
      <c r="BJ93" s="155" t="e">
        <f t="shared" si="52"/>
        <v>#DIV/0!</v>
      </c>
      <c r="BK93" s="155" t="e">
        <f t="shared" si="52"/>
        <v>#DIV/0!</v>
      </c>
      <c r="BL93" s="155" t="e">
        <f t="shared" si="52"/>
        <v>#DIV/0!</v>
      </c>
      <c r="BM93" s="155" t="e">
        <f t="shared" si="52"/>
        <v>#DIV/0!</v>
      </c>
      <c r="BN93" s="155" t="e">
        <f t="shared" si="52"/>
        <v>#DIV/0!</v>
      </c>
      <c r="BO93" s="155" t="e">
        <f t="shared" si="52"/>
        <v>#DIV/0!</v>
      </c>
      <c r="BP93" s="155" t="e">
        <f t="shared" si="52"/>
        <v>#DIV/0!</v>
      </c>
      <c r="BQ93" s="155" t="e">
        <f t="shared" si="52"/>
        <v>#DIV/0!</v>
      </c>
      <c r="BR93" s="155" t="e">
        <f t="shared" ref="BR93:CK93" si="53">BR81/BR92</f>
        <v>#DIV/0!</v>
      </c>
      <c r="BS93" s="155" t="e">
        <f t="shared" si="53"/>
        <v>#DIV/0!</v>
      </c>
      <c r="BT93" s="155" t="e">
        <f t="shared" si="53"/>
        <v>#DIV/0!</v>
      </c>
      <c r="BU93" s="155" t="e">
        <f t="shared" si="53"/>
        <v>#DIV/0!</v>
      </c>
      <c r="BV93" s="155" t="e">
        <f t="shared" si="53"/>
        <v>#DIV/0!</v>
      </c>
      <c r="BW93" s="155" t="e">
        <f t="shared" si="53"/>
        <v>#DIV/0!</v>
      </c>
      <c r="BX93" s="155" t="e">
        <f t="shared" si="53"/>
        <v>#DIV/0!</v>
      </c>
      <c r="BY93" s="155" t="e">
        <f t="shared" si="53"/>
        <v>#DIV/0!</v>
      </c>
      <c r="BZ93" s="155" t="e">
        <f t="shared" si="53"/>
        <v>#DIV/0!</v>
      </c>
      <c r="CA93" s="155" t="e">
        <f t="shared" si="53"/>
        <v>#DIV/0!</v>
      </c>
      <c r="CB93" s="155" t="e">
        <f t="shared" si="53"/>
        <v>#DIV/0!</v>
      </c>
      <c r="CC93" s="155" t="e">
        <f t="shared" si="53"/>
        <v>#DIV/0!</v>
      </c>
      <c r="CD93" s="155" t="e">
        <f t="shared" si="53"/>
        <v>#DIV/0!</v>
      </c>
      <c r="CE93" s="155" t="e">
        <f t="shared" si="53"/>
        <v>#DIV/0!</v>
      </c>
      <c r="CF93" s="155" t="e">
        <f t="shared" si="53"/>
        <v>#DIV/0!</v>
      </c>
      <c r="CG93" s="155" t="e">
        <f t="shared" si="53"/>
        <v>#DIV/0!</v>
      </c>
      <c r="CH93" s="155" t="e">
        <f t="shared" si="53"/>
        <v>#DIV/0!</v>
      </c>
      <c r="CI93" s="155" t="e">
        <f t="shared" si="53"/>
        <v>#DIV/0!</v>
      </c>
      <c r="CJ93" s="155" t="e">
        <f t="shared" si="53"/>
        <v>#DIV/0!</v>
      </c>
      <c r="CK93" s="155" t="e">
        <f t="shared" si="53"/>
        <v>#DIV/0!</v>
      </c>
    </row>
    <row r="94" spans="1:89" s="76" customFormat="1" x14ac:dyDescent="0.25">
      <c r="A94" s="70" t="s">
        <v>592</v>
      </c>
      <c r="E94" s="76">
        <f>资产资本表!E59</f>
        <v>0</v>
      </c>
      <c r="F94" s="76">
        <f>资产资本表!F59</f>
        <v>0</v>
      </c>
      <c r="G94" s="76">
        <f>资产资本表!G59</f>
        <v>0</v>
      </c>
      <c r="H94" s="76">
        <f>资产资本表!H59</f>
        <v>0</v>
      </c>
      <c r="I94" s="76">
        <f>资产资本表!I59</f>
        <v>0</v>
      </c>
      <c r="J94" s="76">
        <f>资产资本表!J59</f>
        <v>0</v>
      </c>
      <c r="K94" s="76">
        <f>资产资本表!K59</f>
        <v>0</v>
      </c>
      <c r="L94" s="76">
        <f>资产资本表!L59</f>
        <v>0</v>
      </c>
      <c r="M94" s="76">
        <f>资产资本表!M59</f>
        <v>0</v>
      </c>
      <c r="N94" s="76">
        <f>资产资本表!N59</f>
        <v>0</v>
      </c>
      <c r="O94" s="76">
        <f>资产资本表!O59</f>
        <v>0</v>
      </c>
      <c r="P94" s="76">
        <f>资产资本表!P59</f>
        <v>0</v>
      </c>
      <c r="Q94" s="76">
        <f>资产资本表!Q59</f>
        <v>0</v>
      </c>
      <c r="R94" s="76">
        <f>资产资本表!R59</f>
        <v>0</v>
      </c>
      <c r="S94" s="76">
        <f>资产资本表!S59</f>
        <v>0</v>
      </c>
      <c r="T94" s="76">
        <f>资产资本表!T59</f>
        <v>0</v>
      </c>
      <c r="U94" s="76">
        <f>资产资本表!U59</f>
        <v>0</v>
      </c>
      <c r="V94" s="76">
        <f>资产资本表!V59</f>
        <v>0</v>
      </c>
      <c r="W94" s="76">
        <f>资产资本表!W59</f>
        <v>0</v>
      </c>
      <c r="X94" s="76">
        <f>资产资本表!X59</f>
        <v>0</v>
      </c>
      <c r="Y94" s="76">
        <f>资产资本表!Y59</f>
        <v>0</v>
      </c>
      <c r="Z94" s="76">
        <f>资产资本表!Z59</f>
        <v>0</v>
      </c>
      <c r="AA94" s="76">
        <f>资产资本表!AA59</f>
        <v>0</v>
      </c>
      <c r="AB94" s="76">
        <f>资产资本表!AB59</f>
        <v>0</v>
      </c>
      <c r="AC94" s="76">
        <f>资产资本表!AC59</f>
        <v>0</v>
      </c>
      <c r="AD94" s="76">
        <f>资产资本表!AD59</f>
        <v>0</v>
      </c>
      <c r="AE94" s="76">
        <f>资产资本表!AE59</f>
        <v>0</v>
      </c>
      <c r="AF94" s="76">
        <f>资产资本表!AF59</f>
        <v>0</v>
      </c>
      <c r="AG94" s="76">
        <f>资产资本表!AG59</f>
        <v>0</v>
      </c>
      <c r="AH94" s="76">
        <f>资产资本表!AH59</f>
        <v>0</v>
      </c>
      <c r="AI94" s="76">
        <f>资产资本表!AI59</f>
        <v>0</v>
      </c>
      <c r="AJ94" s="76">
        <f>资产资本表!AJ59</f>
        <v>0</v>
      </c>
      <c r="AK94" s="76">
        <f>资产资本表!AK59</f>
        <v>0</v>
      </c>
      <c r="AL94" s="76">
        <f>资产资本表!AL59</f>
        <v>0</v>
      </c>
      <c r="AM94" s="76">
        <f>资产资本表!AM59</f>
        <v>0</v>
      </c>
      <c r="AN94" s="76">
        <f>资产资本表!AN59</f>
        <v>0</v>
      </c>
      <c r="AO94" s="76">
        <f>资产资本表!AO59</f>
        <v>0</v>
      </c>
      <c r="AP94" s="76">
        <f>资产资本表!AP59</f>
        <v>0</v>
      </c>
      <c r="AQ94" s="76">
        <f>资产资本表!AQ59</f>
        <v>0</v>
      </c>
      <c r="AR94" s="76">
        <f>资产资本表!AR59</f>
        <v>0</v>
      </c>
      <c r="AS94" s="76">
        <f>资产资本表!AS59</f>
        <v>0</v>
      </c>
      <c r="AT94" s="76">
        <f>资产资本表!AT59</f>
        <v>0</v>
      </c>
      <c r="AU94" s="76">
        <f>资产资本表!AU59</f>
        <v>0</v>
      </c>
      <c r="AV94" s="76">
        <f>资产资本表!AV59</f>
        <v>0</v>
      </c>
      <c r="AW94" s="76">
        <f>资产资本表!AW59</f>
        <v>0</v>
      </c>
      <c r="AX94" s="76">
        <f>资产资本表!AX59</f>
        <v>0</v>
      </c>
      <c r="AY94" s="76">
        <f>资产资本表!AY59</f>
        <v>0</v>
      </c>
      <c r="AZ94" s="76">
        <f>资产资本表!AZ59</f>
        <v>0</v>
      </c>
      <c r="BA94" s="76">
        <f>资产资本表!BA59</f>
        <v>0</v>
      </c>
      <c r="BB94" s="76">
        <f>资产资本表!BB59</f>
        <v>0</v>
      </c>
      <c r="BC94" s="76">
        <f>资产资本表!BC59</f>
        <v>0</v>
      </c>
      <c r="BD94" s="76">
        <f>资产资本表!BD59</f>
        <v>0</v>
      </c>
      <c r="BE94" s="76">
        <f>资产资本表!BE59</f>
        <v>0</v>
      </c>
      <c r="BF94" s="76">
        <f>资产资本表!BF59</f>
        <v>0</v>
      </c>
      <c r="BG94" s="76">
        <f>资产资本表!BG59</f>
        <v>0</v>
      </c>
      <c r="BH94" s="76">
        <f>资产资本表!BH59</f>
        <v>0</v>
      </c>
      <c r="BI94" s="76">
        <f>资产资本表!BI59</f>
        <v>0</v>
      </c>
      <c r="BJ94" s="76">
        <f>资产资本表!BJ59</f>
        <v>0</v>
      </c>
      <c r="BK94" s="76">
        <f>资产资本表!BK59</f>
        <v>0</v>
      </c>
      <c r="BL94" s="76">
        <f>资产资本表!BL59</f>
        <v>0</v>
      </c>
      <c r="BM94" s="76">
        <f>资产资本表!BM59</f>
        <v>0</v>
      </c>
      <c r="BN94" s="76">
        <f>资产资本表!BN59</f>
        <v>0</v>
      </c>
      <c r="BO94" s="76">
        <f>资产资本表!BO59</f>
        <v>0</v>
      </c>
      <c r="BP94" s="76">
        <f>资产资本表!BP59</f>
        <v>0</v>
      </c>
      <c r="BQ94" s="76">
        <f>资产资本表!BQ59</f>
        <v>0</v>
      </c>
      <c r="BR94" s="76">
        <f>资产资本表!BR59</f>
        <v>0</v>
      </c>
      <c r="BS94" s="76">
        <f>资产资本表!BS59</f>
        <v>0</v>
      </c>
      <c r="BT94" s="76">
        <f>资产资本表!BT59</f>
        <v>0</v>
      </c>
      <c r="BU94" s="76">
        <f>资产资本表!BU59</f>
        <v>0</v>
      </c>
      <c r="BV94" s="76">
        <f>资产资本表!BV59</f>
        <v>0</v>
      </c>
      <c r="BW94" s="76">
        <f>资产资本表!BW59</f>
        <v>0</v>
      </c>
      <c r="BX94" s="76">
        <f>资产资本表!BX59</f>
        <v>0</v>
      </c>
      <c r="BY94" s="76">
        <f>资产资本表!BY59</f>
        <v>0</v>
      </c>
      <c r="BZ94" s="76">
        <f>资产资本表!BZ59</f>
        <v>0</v>
      </c>
      <c r="CA94" s="76">
        <f>资产资本表!CA59</f>
        <v>0</v>
      </c>
      <c r="CB94" s="76">
        <f>资产资本表!CB59</f>
        <v>0</v>
      </c>
      <c r="CC94" s="76">
        <f>资产资本表!CC59</f>
        <v>0</v>
      </c>
      <c r="CD94" s="76">
        <f>资产资本表!CD59</f>
        <v>0</v>
      </c>
      <c r="CE94" s="76">
        <f>资产资本表!CE59</f>
        <v>0</v>
      </c>
      <c r="CF94" s="76">
        <f>资产资本表!CF59</f>
        <v>0</v>
      </c>
      <c r="CG94" s="76">
        <f>资产资本表!CG59</f>
        <v>0</v>
      </c>
      <c r="CH94" s="76">
        <f>资产资本表!CH59</f>
        <v>0</v>
      </c>
      <c r="CI94" s="76">
        <f>资产资本表!CI59</f>
        <v>0</v>
      </c>
      <c r="CJ94" s="76">
        <f>资产资本表!CJ59</f>
        <v>0</v>
      </c>
      <c r="CK94" s="76">
        <f>资产资本表!CK59</f>
        <v>0</v>
      </c>
    </row>
    <row r="95" spans="1:89" s="76" customFormat="1" x14ac:dyDescent="0.25">
      <c r="A95" s="70" t="s">
        <v>593</v>
      </c>
      <c r="E95" s="76">
        <f>资产资本表!E60</f>
        <v>242110082.27000001</v>
      </c>
      <c r="F95" s="76">
        <f>资产资本表!F60</f>
        <v>316329792.22000003</v>
      </c>
      <c r="G95" s="76">
        <f>资产资本表!G60</f>
        <v>319336551.69</v>
      </c>
      <c r="H95" s="76">
        <f>资产资本表!H60</f>
        <v>321700134.58999997</v>
      </c>
      <c r="I95" s="76">
        <f>资产资本表!I60</f>
        <v>171198432.88999999</v>
      </c>
      <c r="J95" s="76">
        <f>资产资本表!J60</f>
        <v>196618493.28999999</v>
      </c>
      <c r="K95" s="76">
        <f>资产资本表!K60</f>
        <v>196618493.28999999</v>
      </c>
      <c r="L95" s="76">
        <f>资产资本表!L60</f>
        <v>196618493.28999999</v>
      </c>
      <c r="M95" s="76">
        <f>资产资本表!M60</f>
        <v>196618493.28999999</v>
      </c>
      <c r="N95" s="76">
        <f>资产资本表!N60</f>
        <v>169278079.88999999</v>
      </c>
      <c r="O95" s="76">
        <f>资产资本表!O60</f>
        <v>167731606.88999999</v>
      </c>
      <c r="P95" s="76">
        <f>资产资本表!P60</f>
        <v>167731606.88999999</v>
      </c>
      <c r="Q95" s="76">
        <f>资产资本表!Q60</f>
        <v>167731606.88999999</v>
      </c>
      <c r="R95" s="76">
        <f>资产资本表!R60</f>
        <v>0</v>
      </c>
      <c r="S95" s="76">
        <f>资产资本表!S60</f>
        <v>0</v>
      </c>
      <c r="T95" s="76">
        <f>资产资本表!T60</f>
        <v>0</v>
      </c>
      <c r="U95" s="76">
        <f>资产资本表!U60</f>
        <v>0</v>
      </c>
      <c r="V95" s="76">
        <f>资产资本表!V60</f>
        <v>0</v>
      </c>
      <c r="W95" s="76">
        <f>资产资本表!W60</f>
        <v>0</v>
      </c>
      <c r="X95" s="76">
        <f>资产资本表!X60</f>
        <v>0</v>
      </c>
      <c r="Y95" s="76">
        <f>资产资本表!Y60</f>
        <v>0</v>
      </c>
      <c r="Z95" s="76">
        <f>资产资本表!Z60</f>
        <v>0</v>
      </c>
      <c r="AA95" s="76">
        <f>资产资本表!AA60</f>
        <v>0</v>
      </c>
      <c r="AB95" s="76">
        <f>资产资本表!AB60</f>
        <v>0</v>
      </c>
      <c r="AC95" s="76">
        <f>资产资本表!AC60</f>
        <v>0</v>
      </c>
      <c r="AD95" s="76">
        <f>资产资本表!AD60</f>
        <v>0</v>
      </c>
      <c r="AE95" s="76">
        <f>资产资本表!AE60</f>
        <v>0</v>
      </c>
      <c r="AF95" s="76">
        <f>资产资本表!AF60</f>
        <v>0</v>
      </c>
      <c r="AG95" s="76">
        <f>资产资本表!AG60</f>
        <v>0</v>
      </c>
      <c r="AH95" s="76">
        <f>资产资本表!AH60</f>
        <v>21180.67</v>
      </c>
      <c r="AI95" s="76">
        <f>资产资本表!AI60</f>
        <v>21180.67</v>
      </c>
      <c r="AJ95" s="76">
        <f>资产资本表!AJ60</f>
        <v>21180.67</v>
      </c>
      <c r="AK95" s="76">
        <f>资产资本表!AK60</f>
        <v>21180.67</v>
      </c>
      <c r="AL95" s="76">
        <f>资产资本表!AL60</f>
        <v>21180.67</v>
      </c>
      <c r="AM95" s="76">
        <f>资产资本表!AM60</f>
        <v>21180.67</v>
      </c>
      <c r="AN95" s="76">
        <f>资产资本表!AN60</f>
        <v>21180.67</v>
      </c>
      <c r="AO95" s="76">
        <f>资产资本表!AO60</f>
        <v>0</v>
      </c>
      <c r="AP95" s="76">
        <f>资产资本表!AP60</f>
        <v>0</v>
      </c>
      <c r="AQ95" s="76">
        <f>资产资本表!AQ60</f>
        <v>0</v>
      </c>
      <c r="AR95" s="76">
        <f>资产资本表!AR60</f>
        <v>0</v>
      </c>
      <c r="AS95" s="76">
        <f>资产资本表!AS60</f>
        <v>0</v>
      </c>
      <c r="AT95" s="76">
        <f>资产资本表!AT60</f>
        <v>0</v>
      </c>
      <c r="AU95" s="76">
        <f>资产资本表!AU60</f>
        <v>0</v>
      </c>
      <c r="AV95" s="76">
        <f>资产资本表!AV60</f>
        <v>0</v>
      </c>
      <c r="AW95" s="76">
        <f>资产资本表!AW60</f>
        <v>0</v>
      </c>
      <c r="AX95" s="76">
        <f>资产资本表!AX60</f>
        <v>0</v>
      </c>
      <c r="AY95" s="76">
        <f>资产资本表!AY60</f>
        <v>0</v>
      </c>
      <c r="AZ95" s="76">
        <f>资产资本表!AZ60</f>
        <v>0</v>
      </c>
      <c r="BA95" s="76">
        <f>资产资本表!BA60</f>
        <v>0</v>
      </c>
      <c r="BB95" s="76">
        <f>资产资本表!BB60</f>
        <v>0</v>
      </c>
      <c r="BC95" s="76">
        <f>资产资本表!BC60</f>
        <v>0</v>
      </c>
      <c r="BD95" s="76">
        <f>资产资本表!BD60</f>
        <v>0</v>
      </c>
      <c r="BE95" s="76">
        <f>资产资本表!BE60</f>
        <v>0</v>
      </c>
      <c r="BF95" s="76">
        <f>资产资本表!BF60</f>
        <v>0</v>
      </c>
      <c r="BG95" s="76">
        <f>资产资本表!BG60</f>
        <v>0</v>
      </c>
      <c r="BH95" s="76">
        <f>资产资本表!BH60</f>
        <v>0</v>
      </c>
      <c r="BI95" s="76">
        <f>资产资本表!BI60</f>
        <v>0</v>
      </c>
      <c r="BJ95" s="76">
        <f>资产资本表!BJ60</f>
        <v>0</v>
      </c>
      <c r="BK95" s="76">
        <f>资产资本表!BK60</f>
        <v>0</v>
      </c>
      <c r="BL95" s="76">
        <f>资产资本表!BL60</f>
        <v>0</v>
      </c>
      <c r="BM95" s="76">
        <f>资产资本表!BM60</f>
        <v>0</v>
      </c>
      <c r="BN95" s="76">
        <f>资产资本表!BN60</f>
        <v>0</v>
      </c>
      <c r="BO95" s="76">
        <f>资产资本表!BO60</f>
        <v>0</v>
      </c>
      <c r="BP95" s="76">
        <f>资产资本表!BP60</f>
        <v>0</v>
      </c>
      <c r="BQ95" s="76">
        <f>资产资本表!BQ60</f>
        <v>0</v>
      </c>
      <c r="BR95" s="76">
        <f>资产资本表!BR60</f>
        <v>0</v>
      </c>
      <c r="BS95" s="76">
        <f>资产资本表!BS60</f>
        <v>0</v>
      </c>
      <c r="BT95" s="76">
        <f>资产资本表!BT60</f>
        <v>0</v>
      </c>
      <c r="BU95" s="76">
        <f>资产资本表!BU60</f>
        <v>0</v>
      </c>
      <c r="BV95" s="76">
        <f>资产资本表!BV60</f>
        <v>0</v>
      </c>
      <c r="BW95" s="76">
        <f>资产资本表!BW60</f>
        <v>0</v>
      </c>
      <c r="BX95" s="76">
        <f>资产资本表!BX60</f>
        <v>0</v>
      </c>
      <c r="BY95" s="76">
        <f>资产资本表!BY60</f>
        <v>0</v>
      </c>
      <c r="BZ95" s="76">
        <f>资产资本表!BZ60</f>
        <v>0</v>
      </c>
      <c r="CA95" s="76">
        <f>资产资本表!CA60</f>
        <v>0</v>
      </c>
      <c r="CB95" s="76">
        <f>资产资本表!CB60</f>
        <v>0</v>
      </c>
      <c r="CC95" s="76">
        <f>资产资本表!CC60</f>
        <v>0</v>
      </c>
      <c r="CD95" s="76">
        <f>资产资本表!CD60</f>
        <v>0</v>
      </c>
      <c r="CE95" s="76">
        <f>资产资本表!CE60</f>
        <v>0</v>
      </c>
      <c r="CF95" s="76">
        <f>资产资本表!CF60</f>
        <v>0</v>
      </c>
      <c r="CG95" s="76">
        <f>资产资本表!CG60</f>
        <v>0</v>
      </c>
      <c r="CH95" s="76">
        <f>资产资本表!CH60</f>
        <v>0</v>
      </c>
      <c r="CI95" s="76">
        <f>资产资本表!CI60</f>
        <v>0</v>
      </c>
      <c r="CJ95" s="76">
        <f>资产资本表!CJ60</f>
        <v>0</v>
      </c>
      <c r="CK95" s="76">
        <f>资产资本表!CK60</f>
        <v>0</v>
      </c>
    </row>
    <row r="96" spans="1:89" s="76" customFormat="1" x14ac:dyDescent="0.25">
      <c r="A96" s="70" t="s">
        <v>594</v>
      </c>
      <c r="E96" s="76">
        <f>资产资本表!E61</f>
        <v>45947172.509999998</v>
      </c>
      <c r="F96" s="76">
        <f>资产资本表!F61</f>
        <v>29544182.129999999</v>
      </c>
      <c r="G96" s="76">
        <f>资产资本表!G61</f>
        <v>33023768.449999999</v>
      </c>
      <c r="H96" s="76">
        <f>资产资本表!H61</f>
        <v>41923633.200000003</v>
      </c>
      <c r="I96" s="76">
        <f>资产资本表!I61</f>
        <v>43253422.079999998</v>
      </c>
      <c r="J96" s="76">
        <f>资产资本表!J61</f>
        <v>48680532.130000003</v>
      </c>
      <c r="K96" s="76">
        <f>资产资本表!K61</f>
        <v>51199288.490000002</v>
      </c>
      <c r="L96" s="76">
        <f>资产资本表!L61</f>
        <v>50568500.950000003</v>
      </c>
      <c r="M96" s="76">
        <f>资产资本表!M61</f>
        <v>50655055.060000002</v>
      </c>
      <c r="N96" s="76">
        <f>资产资本表!N61</f>
        <v>53577405.07</v>
      </c>
      <c r="O96" s="76">
        <f>资产资本表!O61</f>
        <v>55914826.670000002</v>
      </c>
      <c r="P96" s="76">
        <f>资产资本表!P61</f>
        <v>59083791.030000001</v>
      </c>
      <c r="Q96" s="76">
        <f>资产资本表!Q61</f>
        <v>60762776.060000002</v>
      </c>
      <c r="R96" s="76">
        <f>资产资本表!R61</f>
        <v>63982086.710000001</v>
      </c>
      <c r="S96" s="76">
        <f>资产资本表!S61</f>
        <v>67359719.879999995</v>
      </c>
      <c r="T96" s="76">
        <f>资产资本表!T61</f>
        <v>69801468.840000004</v>
      </c>
      <c r="U96" s="76">
        <f>资产资本表!U61</f>
        <v>70760454.409999996</v>
      </c>
      <c r="V96" s="76">
        <f>资产资本表!V61</f>
        <v>56419955.990000002</v>
      </c>
      <c r="W96" s="76">
        <f>资产资本表!W61</f>
        <v>39435138.039999999</v>
      </c>
      <c r="X96" s="76">
        <f>资产资本表!X61</f>
        <v>29161215.899999999</v>
      </c>
      <c r="Y96" s="76">
        <f>资产资本表!Y61</f>
        <v>17715115.059999999</v>
      </c>
      <c r="Z96" s="76">
        <f>资产资本表!Z61</f>
        <v>17778744.809999999</v>
      </c>
      <c r="AA96" s="76">
        <f>资产资本表!AA61</f>
        <v>15884098.449999999</v>
      </c>
      <c r="AB96" s="76">
        <f>资产资本表!AB61</f>
        <v>14905670.91</v>
      </c>
      <c r="AC96" s="76">
        <f>资产资本表!AC61</f>
        <v>12321576.76</v>
      </c>
      <c r="AD96" s="76">
        <f>资产资本表!AD61</f>
        <v>10256905.619999999</v>
      </c>
      <c r="AE96" s="76">
        <f>资产资本表!AE61</f>
        <v>7566624.9100000001</v>
      </c>
      <c r="AF96" s="76">
        <f>资产资本表!AF61</f>
        <v>7658282.04</v>
      </c>
      <c r="AG96" s="76">
        <f>资产资本表!AG61</f>
        <v>6663584</v>
      </c>
      <c r="AH96" s="76">
        <f>资产资本表!AH61</f>
        <v>5604783.4100000001</v>
      </c>
      <c r="AI96" s="76">
        <f>资产资本表!AI61</f>
        <v>5014467.38</v>
      </c>
      <c r="AJ96" s="76">
        <f>资产资本表!AJ61</f>
        <v>5238906.71</v>
      </c>
      <c r="AK96" s="76">
        <f>资产资本表!AK61</f>
        <v>4722656.8099999996</v>
      </c>
      <c r="AL96" s="76">
        <f>资产资本表!AL61</f>
        <v>0</v>
      </c>
      <c r="AM96" s="76">
        <f>资产资本表!AM61</f>
        <v>0</v>
      </c>
      <c r="AN96" s="76">
        <f>资产资本表!AN61</f>
        <v>0</v>
      </c>
      <c r="AO96" s="76">
        <f>资产资本表!AO61</f>
        <v>0</v>
      </c>
      <c r="AP96" s="76">
        <f>资产资本表!AP61</f>
        <v>0</v>
      </c>
      <c r="AQ96" s="76">
        <f>资产资本表!AQ61</f>
        <v>0</v>
      </c>
      <c r="AR96" s="76">
        <f>资产资本表!AR61</f>
        <v>0</v>
      </c>
      <c r="AS96" s="76">
        <f>资产资本表!AS61</f>
        <v>0</v>
      </c>
      <c r="AT96" s="76">
        <f>资产资本表!AT61</f>
        <v>0</v>
      </c>
      <c r="AU96" s="76">
        <f>资产资本表!AU61</f>
        <v>0</v>
      </c>
      <c r="AV96" s="76">
        <f>资产资本表!AV61</f>
        <v>0</v>
      </c>
      <c r="AW96" s="76">
        <f>资产资本表!AW61</f>
        <v>0</v>
      </c>
      <c r="AX96" s="76">
        <f>资产资本表!AX61</f>
        <v>0</v>
      </c>
      <c r="AY96" s="76">
        <f>资产资本表!AY61</f>
        <v>0</v>
      </c>
      <c r="AZ96" s="76">
        <f>资产资本表!AZ61</f>
        <v>0</v>
      </c>
      <c r="BA96" s="76">
        <f>资产资本表!BA61</f>
        <v>0</v>
      </c>
      <c r="BB96" s="76">
        <f>资产资本表!BB61</f>
        <v>0</v>
      </c>
      <c r="BC96" s="76">
        <f>资产资本表!BC61</f>
        <v>0</v>
      </c>
      <c r="BD96" s="76">
        <f>资产资本表!BD61</f>
        <v>0</v>
      </c>
      <c r="BE96" s="76">
        <f>资产资本表!BE61</f>
        <v>0</v>
      </c>
      <c r="BF96" s="76">
        <f>资产资本表!BF61</f>
        <v>0</v>
      </c>
      <c r="BG96" s="76">
        <f>资产资本表!BG61</f>
        <v>0</v>
      </c>
      <c r="BH96" s="76">
        <f>资产资本表!BH61</f>
        <v>0</v>
      </c>
      <c r="BI96" s="76">
        <f>资产资本表!BI61</f>
        <v>0</v>
      </c>
      <c r="BJ96" s="76">
        <f>资产资本表!BJ61</f>
        <v>0</v>
      </c>
      <c r="BK96" s="76">
        <f>资产资本表!BK61</f>
        <v>0</v>
      </c>
      <c r="BL96" s="76">
        <f>资产资本表!BL61</f>
        <v>0</v>
      </c>
      <c r="BM96" s="76">
        <f>资产资本表!BM61</f>
        <v>0</v>
      </c>
      <c r="BN96" s="76">
        <f>资产资本表!BN61</f>
        <v>0</v>
      </c>
      <c r="BO96" s="76">
        <f>资产资本表!BO61</f>
        <v>0</v>
      </c>
      <c r="BP96" s="76">
        <f>资产资本表!BP61</f>
        <v>0</v>
      </c>
      <c r="BQ96" s="76">
        <f>资产资本表!BQ61</f>
        <v>0</v>
      </c>
      <c r="BR96" s="76">
        <f>资产资本表!BR61</f>
        <v>0</v>
      </c>
      <c r="BS96" s="76">
        <f>资产资本表!BS61</f>
        <v>0</v>
      </c>
      <c r="BT96" s="76">
        <f>资产资本表!BT61</f>
        <v>0</v>
      </c>
      <c r="BU96" s="76">
        <f>资产资本表!BU61</f>
        <v>0</v>
      </c>
      <c r="BV96" s="76">
        <f>资产资本表!BV61</f>
        <v>0</v>
      </c>
      <c r="BW96" s="76">
        <f>资产资本表!BW61</f>
        <v>0</v>
      </c>
      <c r="BX96" s="76">
        <f>资产资本表!BX61</f>
        <v>0</v>
      </c>
      <c r="BY96" s="76">
        <f>资产资本表!BY61</f>
        <v>0</v>
      </c>
      <c r="BZ96" s="76">
        <f>资产资本表!BZ61</f>
        <v>0</v>
      </c>
      <c r="CA96" s="76">
        <f>资产资本表!CA61</f>
        <v>0</v>
      </c>
      <c r="CB96" s="76">
        <f>资产资本表!CB61</f>
        <v>0</v>
      </c>
      <c r="CC96" s="76">
        <f>资产资本表!CC61</f>
        <v>0</v>
      </c>
      <c r="CD96" s="76">
        <f>资产资本表!CD61</f>
        <v>0</v>
      </c>
      <c r="CE96" s="76">
        <f>资产资本表!CE61</f>
        <v>0</v>
      </c>
      <c r="CF96" s="76">
        <f>资产资本表!CF61</f>
        <v>0</v>
      </c>
      <c r="CG96" s="76">
        <f>资产资本表!CG61</f>
        <v>0</v>
      </c>
      <c r="CH96" s="76">
        <f>资产资本表!CH61</f>
        <v>0</v>
      </c>
      <c r="CI96" s="76">
        <f>资产资本表!CI61</f>
        <v>0</v>
      </c>
      <c r="CJ96" s="76">
        <f>资产资本表!CJ61</f>
        <v>0</v>
      </c>
      <c r="CK96" s="76">
        <f>资产资本表!CK61</f>
        <v>0</v>
      </c>
    </row>
    <row r="97" spans="1:89" s="76" customFormat="1" x14ac:dyDescent="0.25">
      <c r="A97" s="70" t="s">
        <v>595</v>
      </c>
      <c r="E97" s="76">
        <f>资产资本表!E62</f>
        <v>131652044.88</v>
      </c>
      <c r="F97" s="76">
        <f>资产资本表!F62</f>
        <v>128957242.54000001</v>
      </c>
      <c r="G97" s="76">
        <f>资产资本表!G62</f>
        <v>132821350.84</v>
      </c>
      <c r="H97" s="76">
        <f>资产资本表!H62</f>
        <v>124728664.06999999</v>
      </c>
      <c r="I97" s="76">
        <f>资产资本表!I62</f>
        <v>96568754.730000004</v>
      </c>
      <c r="J97" s="76">
        <f>资产资本表!J62</f>
        <v>97988507.489999995</v>
      </c>
      <c r="K97" s="76">
        <f>资产资本表!K62</f>
        <v>98726880.129999995</v>
      </c>
      <c r="L97" s="76">
        <f>资产资本表!L62</f>
        <v>106206337.41</v>
      </c>
      <c r="M97" s="76">
        <f>资产资本表!M62</f>
        <v>105045408.40000001</v>
      </c>
      <c r="N97" s="76">
        <f>资产资本表!N62</f>
        <v>94036413.329999998</v>
      </c>
      <c r="O97" s="76">
        <f>资产资本表!O62</f>
        <v>87281212.469999999</v>
      </c>
      <c r="P97" s="76">
        <f>资产资本表!P62</f>
        <v>82842026.349999994</v>
      </c>
      <c r="Q97" s="76">
        <f>资产资本表!Q62</f>
        <v>85776389.219999999</v>
      </c>
      <c r="R97" s="76">
        <f>资产资本表!R62</f>
        <v>82492392.150000006</v>
      </c>
      <c r="S97" s="76">
        <f>资产资本表!S62</f>
        <v>66264750.82</v>
      </c>
      <c r="T97" s="76">
        <f>资产资本表!T62</f>
        <v>56403144.689999998</v>
      </c>
      <c r="U97" s="76">
        <f>资产资本表!U62</f>
        <v>58415483.549999997</v>
      </c>
      <c r="V97" s="76">
        <f>资产资本表!V62</f>
        <v>67799202.469999999</v>
      </c>
      <c r="W97" s="76">
        <f>资产资本表!W62</f>
        <v>62611670.850000001</v>
      </c>
      <c r="X97" s="76">
        <f>资产资本表!X62</f>
        <v>51492596.219999999</v>
      </c>
      <c r="Y97" s="76">
        <f>资产资本表!Y62</f>
        <v>54394134.75</v>
      </c>
      <c r="Z97" s="76">
        <f>资产资本表!Z62</f>
        <v>53462105.979999997</v>
      </c>
      <c r="AA97" s="76">
        <f>资产资本表!AA62</f>
        <v>48277776.359999999</v>
      </c>
      <c r="AB97" s="76">
        <f>资产资本表!AB62</f>
        <v>42246032.509999998</v>
      </c>
      <c r="AC97" s="76">
        <f>资产资本表!AC62</f>
        <v>43324488.460000001</v>
      </c>
      <c r="AD97" s="76">
        <f>资产资本表!AD62</f>
        <v>57206608.259999998</v>
      </c>
      <c r="AE97" s="76">
        <f>资产资本表!AE62</f>
        <v>48133149.729999997</v>
      </c>
      <c r="AF97" s="76">
        <f>资产资本表!AF62</f>
        <v>44207607.390000001</v>
      </c>
      <c r="AG97" s="76">
        <f>资产资本表!AG62</f>
        <v>39821139.329999998</v>
      </c>
      <c r="AH97" s="76">
        <f>资产资本表!AH62</f>
        <v>6938403.5800000001</v>
      </c>
      <c r="AI97" s="76">
        <f>资产资本表!AI62</f>
        <v>6785539.7000000002</v>
      </c>
      <c r="AJ97" s="76">
        <f>资产资本表!AJ62</f>
        <v>8018973.6100000003</v>
      </c>
      <c r="AK97" s="76">
        <f>资产资本表!AK62</f>
        <v>7742787.0199999996</v>
      </c>
      <c r="AL97" s="76">
        <f>资产资本表!AL62</f>
        <v>4851029.58</v>
      </c>
      <c r="AM97" s="76">
        <f>资产资本表!AM62</f>
        <v>4560809.71</v>
      </c>
      <c r="AN97" s="76">
        <f>资产资本表!AN62</f>
        <v>6155362.0300000003</v>
      </c>
      <c r="AO97" s="76">
        <f>资产资本表!AO62</f>
        <v>3866563.8</v>
      </c>
      <c r="AP97" s="76">
        <f>资产资本表!AP62</f>
        <v>2783130.85</v>
      </c>
      <c r="AQ97" s="76">
        <f>资产资本表!AQ62</f>
        <v>0</v>
      </c>
      <c r="AR97" s="76">
        <f>资产资本表!AR62</f>
        <v>0</v>
      </c>
      <c r="AS97" s="76">
        <f>资产资本表!AS62</f>
        <v>0</v>
      </c>
      <c r="AT97" s="76">
        <f>资产资本表!AT62</f>
        <v>0</v>
      </c>
      <c r="AU97" s="76">
        <f>资产资本表!AU62</f>
        <v>0</v>
      </c>
      <c r="AV97" s="76">
        <f>资产资本表!AV62</f>
        <v>0</v>
      </c>
      <c r="AW97" s="76">
        <f>资产资本表!AW62</f>
        <v>0</v>
      </c>
      <c r="AX97" s="76">
        <f>资产资本表!AX62</f>
        <v>0</v>
      </c>
      <c r="AY97" s="76">
        <f>资产资本表!AY62</f>
        <v>0</v>
      </c>
      <c r="AZ97" s="76">
        <f>资产资本表!AZ62</f>
        <v>0</v>
      </c>
      <c r="BA97" s="76">
        <f>资产资本表!BA62</f>
        <v>0</v>
      </c>
      <c r="BB97" s="76">
        <f>资产资本表!BB62</f>
        <v>0</v>
      </c>
      <c r="BC97" s="76">
        <f>资产资本表!BC62</f>
        <v>0</v>
      </c>
      <c r="BD97" s="76">
        <f>资产资本表!BD62</f>
        <v>0</v>
      </c>
      <c r="BE97" s="76">
        <f>资产资本表!BE62</f>
        <v>0</v>
      </c>
      <c r="BF97" s="76">
        <f>资产资本表!BF62</f>
        <v>0</v>
      </c>
      <c r="BG97" s="76">
        <f>资产资本表!BG62</f>
        <v>0</v>
      </c>
      <c r="BH97" s="76">
        <f>资产资本表!BH62</f>
        <v>0</v>
      </c>
      <c r="BI97" s="76">
        <f>资产资本表!BI62</f>
        <v>0</v>
      </c>
      <c r="BJ97" s="76">
        <f>资产资本表!BJ62</f>
        <v>0</v>
      </c>
      <c r="BK97" s="76">
        <f>资产资本表!BK62</f>
        <v>0</v>
      </c>
      <c r="BL97" s="76">
        <f>资产资本表!BL62</f>
        <v>0</v>
      </c>
      <c r="BM97" s="76">
        <f>资产资本表!BM62</f>
        <v>0</v>
      </c>
      <c r="BN97" s="76">
        <f>资产资本表!BN62</f>
        <v>0</v>
      </c>
      <c r="BO97" s="76">
        <f>资产资本表!BO62</f>
        <v>0</v>
      </c>
      <c r="BP97" s="76">
        <f>资产资本表!BP62</f>
        <v>0</v>
      </c>
      <c r="BQ97" s="76">
        <f>资产资本表!BQ62</f>
        <v>0</v>
      </c>
      <c r="BR97" s="76">
        <f>资产资本表!BR62</f>
        <v>0</v>
      </c>
      <c r="BS97" s="76">
        <f>资产资本表!BS62</f>
        <v>0</v>
      </c>
      <c r="BT97" s="76">
        <f>资产资本表!BT62</f>
        <v>0</v>
      </c>
      <c r="BU97" s="76">
        <f>资产资本表!BU62</f>
        <v>0</v>
      </c>
      <c r="BV97" s="76">
        <f>资产资本表!BV62</f>
        <v>0</v>
      </c>
      <c r="BW97" s="76">
        <f>资产资本表!BW62</f>
        <v>0</v>
      </c>
      <c r="BX97" s="76">
        <f>资产资本表!BX62</f>
        <v>0</v>
      </c>
      <c r="BY97" s="76">
        <f>资产资本表!BY62</f>
        <v>0</v>
      </c>
      <c r="BZ97" s="76">
        <f>资产资本表!BZ62</f>
        <v>0</v>
      </c>
      <c r="CA97" s="76">
        <f>资产资本表!CA62</f>
        <v>0</v>
      </c>
      <c r="CB97" s="76">
        <f>资产资本表!CB62</f>
        <v>0</v>
      </c>
      <c r="CC97" s="76">
        <f>资产资本表!CC62</f>
        <v>0</v>
      </c>
      <c r="CD97" s="76">
        <f>资产资本表!CD62</f>
        <v>0</v>
      </c>
      <c r="CE97" s="76">
        <f>资产资本表!CE62</f>
        <v>0</v>
      </c>
      <c r="CF97" s="76">
        <f>资产资本表!CF62</f>
        <v>0</v>
      </c>
      <c r="CG97" s="76">
        <f>资产资本表!CG62</f>
        <v>0</v>
      </c>
      <c r="CH97" s="76">
        <f>资产资本表!CH62</f>
        <v>0</v>
      </c>
      <c r="CI97" s="76">
        <f>资产资本表!CI62</f>
        <v>0</v>
      </c>
      <c r="CJ97" s="76">
        <f>资产资本表!CJ62</f>
        <v>0</v>
      </c>
      <c r="CK97" s="76">
        <f>资产资本表!CK62</f>
        <v>0</v>
      </c>
    </row>
    <row r="98" spans="1:89" s="76" customFormat="1" x14ac:dyDescent="0.25">
      <c r="A98" s="70" t="s">
        <v>596</v>
      </c>
      <c r="E98" s="76">
        <f>资产资本表!E63</f>
        <v>53232849.850000001</v>
      </c>
      <c r="F98" s="76">
        <f>资产资本表!F63</f>
        <v>81163867.950000003</v>
      </c>
      <c r="G98" s="76">
        <f>资产资本表!G63</f>
        <v>86052130.519999996</v>
      </c>
      <c r="H98" s="76">
        <f>资产资本表!H63</f>
        <v>88037017.060000002</v>
      </c>
      <c r="I98" s="76">
        <f>资产资本表!I63</f>
        <v>1125000</v>
      </c>
      <c r="J98" s="76">
        <f>资产资本表!J63</f>
        <v>1250000</v>
      </c>
      <c r="K98" s="76">
        <f>资产资本表!K63</f>
        <v>1250000</v>
      </c>
      <c r="L98" s="76">
        <f>资产资本表!L63</f>
        <v>1250000</v>
      </c>
      <c r="M98" s="76">
        <f>资产资本表!M63</f>
        <v>1250000</v>
      </c>
      <c r="N98" s="76">
        <f>资产资本表!N63</f>
        <v>0</v>
      </c>
      <c r="O98" s="76">
        <f>资产资本表!O63</f>
        <v>0</v>
      </c>
      <c r="P98" s="76">
        <f>资产资本表!P63</f>
        <v>0</v>
      </c>
      <c r="Q98" s="76">
        <f>资产资本表!Q63</f>
        <v>0</v>
      </c>
      <c r="R98" s="76">
        <f>资产资本表!R63</f>
        <v>0</v>
      </c>
      <c r="S98" s="76">
        <f>资产资本表!S63</f>
        <v>0</v>
      </c>
      <c r="T98" s="76">
        <f>资产资本表!T63</f>
        <v>0</v>
      </c>
      <c r="U98" s="76">
        <f>资产资本表!U63</f>
        <v>0</v>
      </c>
      <c r="V98" s="76">
        <f>资产资本表!V63</f>
        <v>0</v>
      </c>
      <c r="W98" s="76">
        <f>资产资本表!W63</f>
        <v>0</v>
      </c>
      <c r="X98" s="76">
        <f>资产资本表!X63</f>
        <v>0</v>
      </c>
      <c r="Y98" s="76">
        <f>资产资本表!Y63</f>
        <v>0</v>
      </c>
      <c r="Z98" s="76">
        <f>资产资本表!Z63</f>
        <v>0</v>
      </c>
      <c r="AA98" s="76">
        <f>资产资本表!AA63</f>
        <v>0</v>
      </c>
      <c r="AB98" s="76">
        <f>资产资本表!AB63</f>
        <v>0</v>
      </c>
      <c r="AC98" s="76">
        <f>资产资本表!AC63</f>
        <v>0</v>
      </c>
      <c r="AD98" s="76">
        <f>资产资本表!AD63</f>
        <v>0</v>
      </c>
      <c r="AE98" s="76">
        <f>资产资本表!AE63</f>
        <v>0</v>
      </c>
      <c r="AF98" s="76">
        <f>资产资本表!AF63</f>
        <v>0</v>
      </c>
      <c r="AG98" s="76">
        <f>资产资本表!AG63</f>
        <v>0</v>
      </c>
      <c r="AH98" s="76">
        <f>资产资本表!AH63</f>
        <v>0</v>
      </c>
      <c r="AI98" s="76">
        <f>资产资本表!AI63</f>
        <v>0</v>
      </c>
      <c r="AJ98" s="76">
        <f>资产资本表!AJ63</f>
        <v>0</v>
      </c>
      <c r="AK98" s="76">
        <f>资产资本表!AK63</f>
        <v>0</v>
      </c>
      <c r="AL98" s="76">
        <f>资产资本表!AL63</f>
        <v>0</v>
      </c>
      <c r="AM98" s="76">
        <f>资产资本表!AM63</f>
        <v>0</v>
      </c>
      <c r="AN98" s="76">
        <f>资产资本表!AN63</f>
        <v>0</v>
      </c>
      <c r="AO98" s="76">
        <f>资产资本表!AO63</f>
        <v>0</v>
      </c>
      <c r="AP98" s="76">
        <f>资产资本表!AP63</f>
        <v>0</v>
      </c>
      <c r="AQ98" s="76">
        <f>资产资本表!AQ63</f>
        <v>0</v>
      </c>
      <c r="AR98" s="76">
        <f>资产资本表!AR63</f>
        <v>0</v>
      </c>
      <c r="AS98" s="76">
        <f>资产资本表!AS63</f>
        <v>0</v>
      </c>
      <c r="AT98" s="76">
        <f>资产资本表!AT63</f>
        <v>0</v>
      </c>
      <c r="AU98" s="76">
        <f>资产资本表!AU63</f>
        <v>0</v>
      </c>
      <c r="AV98" s="76">
        <f>资产资本表!AV63</f>
        <v>0</v>
      </c>
      <c r="AW98" s="76">
        <f>资产资本表!AW63</f>
        <v>0</v>
      </c>
      <c r="AX98" s="76">
        <f>资产资本表!AX63</f>
        <v>0</v>
      </c>
      <c r="AY98" s="76">
        <f>资产资本表!AY63</f>
        <v>0</v>
      </c>
      <c r="AZ98" s="76">
        <f>资产资本表!AZ63</f>
        <v>0</v>
      </c>
      <c r="BA98" s="76">
        <f>资产资本表!BA63</f>
        <v>0</v>
      </c>
      <c r="BB98" s="76">
        <f>资产资本表!BB63</f>
        <v>0</v>
      </c>
      <c r="BC98" s="76">
        <f>资产资本表!BC63</f>
        <v>0</v>
      </c>
      <c r="BD98" s="76">
        <f>资产资本表!BD63</f>
        <v>0</v>
      </c>
      <c r="BE98" s="76">
        <f>资产资本表!BE63</f>
        <v>0</v>
      </c>
      <c r="BF98" s="76">
        <f>资产资本表!BF63</f>
        <v>0</v>
      </c>
      <c r="BG98" s="76">
        <f>资产资本表!BG63</f>
        <v>0</v>
      </c>
      <c r="BH98" s="76">
        <f>资产资本表!BH63</f>
        <v>0</v>
      </c>
      <c r="BI98" s="76">
        <f>资产资本表!BI63</f>
        <v>0</v>
      </c>
      <c r="BJ98" s="76">
        <f>资产资本表!BJ63</f>
        <v>0</v>
      </c>
      <c r="BK98" s="76">
        <f>资产资本表!BK63</f>
        <v>0</v>
      </c>
      <c r="BL98" s="76">
        <f>资产资本表!BL63</f>
        <v>0</v>
      </c>
      <c r="BM98" s="76">
        <f>资产资本表!BM63</f>
        <v>0</v>
      </c>
      <c r="BN98" s="76">
        <f>资产资本表!BN63</f>
        <v>0</v>
      </c>
      <c r="BO98" s="76">
        <f>资产资本表!BO63</f>
        <v>0</v>
      </c>
      <c r="BP98" s="76">
        <f>资产资本表!BP63</f>
        <v>0</v>
      </c>
      <c r="BQ98" s="76">
        <f>资产资本表!BQ63</f>
        <v>0</v>
      </c>
      <c r="BR98" s="76">
        <f>资产资本表!BR63</f>
        <v>0</v>
      </c>
      <c r="BS98" s="76">
        <f>资产资本表!BS63</f>
        <v>0</v>
      </c>
      <c r="BT98" s="76">
        <f>资产资本表!BT63</f>
        <v>0</v>
      </c>
      <c r="BU98" s="76">
        <f>资产资本表!BU63</f>
        <v>0</v>
      </c>
      <c r="BV98" s="76">
        <f>资产资本表!BV63</f>
        <v>0</v>
      </c>
      <c r="BW98" s="76">
        <f>资产资本表!BW63</f>
        <v>0</v>
      </c>
      <c r="BX98" s="76">
        <f>资产资本表!BX63</f>
        <v>0</v>
      </c>
      <c r="BY98" s="76">
        <f>资产资本表!BY63</f>
        <v>0</v>
      </c>
      <c r="BZ98" s="76">
        <f>资产资本表!BZ63</f>
        <v>0</v>
      </c>
      <c r="CA98" s="76">
        <f>资产资本表!CA63</f>
        <v>0</v>
      </c>
      <c r="CB98" s="76">
        <f>资产资本表!CB63</f>
        <v>0</v>
      </c>
      <c r="CC98" s="76">
        <f>资产资本表!CC63</f>
        <v>0</v>
      </c>
      <c r="CD98" s="76">
        <f>资产资本表!CD63</f>
        <v>0</v>
      </c>
      <c r="CE98" s="76">
        <f>资产资本表!CE63</f>
        <v>0</v>
      </c>
      <c r="CF98" s="76">
        <f>资产资本表!CF63</f>
        <v>0</v>
      </c>
      <c r="CG98" s="76">
        <f>资产资本表!CG63</f>
        <v>0</v>
      </c>
      <c r="CH98" s="76">
        <f>资产资本表!CH63</f>
        <v>0</v>
      </c>
      <c r="CI98" s="76">
        <f>资产资本表!CI63</f>
        <v>0</v>
      </c>
      <c r="CJ98" s="76">
        <f>资产资本表!CJ63</f>
        <v>0</v>
      </c>
      <c r="CK98" s="76">
        <f>资产资本表!CK63</f>
        <v>0</v>
      </c>
    </row>
    <row r="99" spans="1:89" s="93" customFormat="1" ht="15" thickBot="1" x14ac:dyDescent="0.3">
      <c r="A99" s="74" t="s">
        <v>597</v>
      </c>
      <c r="E99" s="93">
        <f>资产资本表!E64</f>
        <v>19932301.280000001</v>
      </c>
      <c r="F99" s="93">
        <f>资产资本表!F64</f>
        <v>11551859.84</v>
      </c>
      <c r="G99" s="93">
        <f>资产资本表!G64</f>
        <v>11592919.029999999</v>
      </c>
      <c r="H99" s="93">
        <f>资产资本表!H64</f>
        <v>15785000</v>
      </c>
      <c r="I99" s="93">
        <f>资产资本表!I64</f>
        <v>15785000</v>
      </c>
      <c r="J99" s="93">
        <f>资产资本表!J64</f>
        <v>0</v>
      </c>
      <c r="K99" s="93">
        <f>资产资本表!K64</f>
        <v>0</v>
      </c>
      <c r="L99" s="93">
        <f>资产资本表!L64</f>
        <v>0</v>
      </c>
      <c r="M99" s="93">
        <f>资产资本表!M64</f>
        <v>0</v>
      </c>
      <c r="N99" s="93">
        <f>资产资本表!N64</f>
        <v>0</v>
      </c>
      <c r="O99" s="93">
        <f>资产资本表!O64</f>
        <v>0</v>
      </c>
      <c r="P99" s="93">
        <f>资产资本表!P64</f>
        <v>0</v>
      </c>
      <c r="Q99" s="93">
        <f>资产资本表!Q64</f>
        <v>0</v>
      </c>
      <c r="R99" s="93">
        <f>资产资本表!R64</f>
        <v>0</v>
      </c>
      <c r="S99" s="93">
        <f>资产资本表!S64</f>
        <v>0</v>
      </c>
      <c r="T99" s="93">
        <f>资产资本表!T64</f>
        <v>0</v>
      </c>
      <c r="U99" s="93">
        <f>资产资本表!U64</f>
        <v>0</v>
      </c>
      <c r="V99" s="93">
        <f>资产资本表!V64</f>
        <v>0</v>
      </c>
      <c r="W99" s="93">
        <f>资产资本表!W64</f>
        <v>0</v>
      </c>
      <c r="X99" s="93">
        <f>资产资本表!X64</f>
        <v>0</v>
      </c>
      <c r="Y99" s="93">
        <f>资产资本表!Y64</f>
        <v>0</v>
      </c>
      <c r="Z99" s="93">
        <f>资产资本表!Z64</f>
        <v>0</v>
      </c>
      <c r="AA99" s="93">
        <f>资产资本表!AA64</f>
        <v>0</v>
      </c>
      <c r="AB99" s="93">
        <f>资产资本表!AB64</f>
        <v>0</v>
      </c>
      <c r="AC99" s="93">
        <f>资产资本表!AC64</f>
        <v>0</v>
      </c>
      <c r="AD99" s="93">
        <f>资产资本表!AD64</f>
        <v>0</v>
      </c>
      <c r="AE99" s="93">
        <f>资产资本表!AE64</f>
        <v>0</v>
      </c>
      <c r="AF99" s="93">
        <f>资产资本表!AF64</f>
        <v>0</v>
      </c>
      <c r="AG99" s="93">
        <f>资产资本表!AG64</f>
        <v>0</v>
      </c>
      <c r="AH99" s="93">
        <f>资产资本表!AH64</f>
        <v>0</v>
      </c>
      <c r="AI99" s="93">
        <f>资产资本表!AI64</f>
        <v>0</v>
      </c>
      <c r="AJ99" s="93">
        <f>资产资本表!AJ64</f>
        <v>0</v>
      </c>
      <c r="AK99" s="93">
        <f>资产资本表!AK64</f>
        <v>0</v>
      </c>
      <c r="AL99" s="93">
        <f>资产资本表!AL64</f>
        <v>0</v>
      </c>
      <c r="AM99" s="93">
        <f>资产资本表!AM64</f>
        <v>0</v>
      </c>
      <c r="AN99" s="93">
        <f>资产资本表!AN64</f>
        <v>0</v>
      </c>
      <c r="AO99" s="93">
        <f>资产资本表!AO64</f>
        <v>0</v>
      </c>
      <c r="AP99" s="93">
        <f>资产资本表!AP64</f>
        <v>0</v>
      </c>
      <c r="AQ99" s="93">
        <f>资产资本表!AQ64</f>
        <v>0</v>
      </c>
      <c r="AR99" s="93">
        <f>资产资本表!AR64</f>
        <v>0</v>
      </c>
      <c r="AS99" s="93">
        <f>资产资本表!AS64</f>
        <v>0</v>
      </c>
      <c r="AT99" s="93">
        <f>资产资本表!AT64</f>
        <v>0</v>
      </c>
      <c r="AU99" s="93">
        <f>资产资本表!AU64</f>
        <v>0</v>
      </c>
      <c r="AV99" s="93">
        <f>资产资本表!AV64</f>
        <v>0</v>
      </c>
      <c r="AW99" s="93">
        <f>资产资本表!AW64</f>
        <v>0</v>
      </c>
      <c r="AX99" s="93">
        <f>资产资本表!AX64</f>
        <v>0</v>
      </c>
      <c r="AY99" s="93">
        <f>资产资本表!AY64</f>
        <v>0</v>
      </c>
      <c r="AZ99" s="93">
        <f>资产资本表!AZ64</f>
        <v>0</v>
      </c>
      <c r="BA99" s="93">
        <f>资产资本表!BA64</f>
        <v>0</v>
      </c>
      <c r="BB99" s="93">
        <f>资产资本表!BB64</f>
        <v>0</v>
      </c>
      <c r="BC99" s="93">
        <f>资产资本表!BC64</f>
        <v>0</v>
      </c>
      <c r="BD99" s="93">
        <f>资产资本表!BD64</f>
        <v>0</v>
      </c>
      <c r="BE99" s="93">
        <f>资产资本表!BE64</f>
        <v>0</v>
      </c>
      <c r="BF99" s="93">
        <f>资产资本表!BF64</f>
        <v>0</v>
      </c>
      <c r="BG99" s="93">
        <f>资产资本表!BG64</f>
        <v>0</v>
      </c>
      <c r="BH99" s="93">
        <f>资产资本表!BH64</f>
        <v>0</v>
      </c>
      <c r="BI99" s="93">
        <f>资产资本表!BI64</f>
        <v>0</v>
      </c>
      <c r="BJ99" s="93">
        <f>资产资本表!BJ64</f>
        <v>0</v>
      </c>
      <c r="BK99" s="93">
        <f>资产资本表!BK64</f>
        <v>0</v>
      </c>
      <c r="BL99" s="93">
        <f>资产资本表!BL64</f>
        <v>0</v>
      </c>
      <c r="BM99" s="93">
        <f>资产资本表!BM64</f>
        <v>0</v>
      </c>
      <c r="BN99" s="93">
        <f>资产资本表!BN64</f>
        <v>0</v>
      </c>
      <c r="BO99" s="93">
        <f>资产资本表!BO64</f>
        <v>0</v>
      </c>
      <c r="BP99" s="93">
        <f>资产资本表!BP64</f>
        <v>0</v>
      </c>
      <c r="BQ99" s="93">
        <f>资产资本表!BQ64</f>
        <v>0</v>
      </c>
      <c r="BR99" s="93">
        <f>资产资本表!BR64</f>
        <v>0</v>
      </c>
      <c r="BS99" s="93">
        <f>资产资本表!BS64</f>
        <v>0</v>
      </c>
      <c r="BT99" s="93">
        <f>资产资本表!BT64</f>
        <v>0</v>
      </c>
      <c r="BU99" s="93">
        <f>资产资本表!BU64</f>
        <v>0</v>
      </c>
      <c r="BV99" s="93">
        <f>资产资本表!BV64</f>
        <v>0</v>
      </c>
      <c r="BW99" s="93">
        <f>资产资本表!BW64</f>
        <v>0</v>
      </c>
      <c r="BX99" s="93">
        <f>资产资本表!BX64</f>
        <v>0</v>
      </c>
      <c r="BY99" s="93">
        <f>资产资本表!BY64</f>
        <v>0</v>
      </c>
      <c r="BZ99" s="93">
        <f>资产资本表!BZ64</f>
        <v>0</v>
      </c>
      <c r="CA99" s="93">
        <f>资产资本表!CA64</f>
        <v>0</v>
      </c>
      <c r="CB99" s="93">
        <f>资产资本表!CB64</f>
        <v>0</v>
      </c>
      <c r="CC99" s="93">
        <f>资产资本表!CC64</f>
        <v>0</v>
      </c>
      <c r="CD99" s="93">
        <f>资产资本表!CD64</f>
        <v>0</v>
      </c>
      <c r="CE99" s="93">
        <f>资产资本表!CE64</f>
        <v>0</v>
      </c>
      <c r="CF99" s="93">
        <f>资产资本表!CF64</f>
        <v>0</v>
      </c>
      <c r="CG99" s="93">
        <f>资产资本表!CG64</f>
        <v>0</v>
      </c>
      <c r="CH99" s="93">
        <f>资产资本表!CH64</f>
        <v>0</v>
      </c>
      <c r="CI99" s="93">
        <f>资产资本表!CI64</f>
        <v>0</v>
      </c>
      <c r="CJ99" s="93">
        <f>资产资本表!CJ64</f>
        <v>0</v>
      </c>
      <c r="CK99" s="93">
        <f>资产资本表!CK64</f>
        <v>0</v>
      </c>
    </row>
    <row r="100" spans="1:89" s="197" customFormat="1" x14ac:dyDescent="0.25">
      <c r="A100" s="88" t="s">
        <v>687</v>
      </c>
      <c r="E100" s="197">
        <f>(E84+I84)/2</f>
        <v>383936276.625</v>
      </c>
      <c r="F100" s="197">
        <f t="shared" ref="F100:BQ100" si="54">(F84+J84)/2</f>
        <v>386775657.38</v>
      </c>
      <c r="G100" s="197">
        <f t="shared" si="54"/>
        <v>386162376.685</v>
      </c>
      <c r="H100" s="197">
        <f t="shared" si="54"/>
        <v>392950794.60000002</v>
      </c>
      <c r="I100" s="197">
        <f t="shared" si="54"/>
        <v>389956233.05999994</v>
      </c>
      <c r="J100" s="197">
        <f t="shared" si="54"/>
        <v>391207222.89999998</v>
      </c>
      <c r="K100" s="197">
        <f t="shared" si="54"/>
        <v>388533825.38999999</v>
      </c>
      <c r="L100" s="197">
        <f t="shared" si="54"/>
        <v>389847827.90499997</v>
      </c>
      <c r="M100" s="197">
        <f t="shared" si="54"/>
        <v>395315675.82999998</v>
      </c>
      <c r="N100" s="197">
        <f t="shared" si="54"/>
        <v>391422772.57999998</v>
      </c>
      <c r="O100" s="197">
        <f t="shared" si="54"/>
        <v>396607480.20500004</v>
      </c>
      <c r="P100" s="197">
        <f t="shared" si="54"/>
        <v>397167108.22500002</v>
      </c>
      <c r="Q100" s="197">
        <f t="shared" si="54"/>
        <v>402715964.81</v>
      </c>
      <c r="R100" s="197">
        <f t="shared" si="54"/>
        <v>359104417.88999999</v>
      </c>
      <c r="S100" s="197">
        <f t="shared" si="54"/>
        <v>362829965.25999999</v>
      </c>
      <c r="T100" s="197">
        <f t="shared" si="54"/>
        <v>366026458.64499998</v>
      </c>
      <c r="U100" s="197">
        <f t="shared" si="54"/>
        <v>371376720.15999997</v>
      </c>
      <c r="V100" s="197">
        <f t="shared" si="54"/>
        <v>329340979.04499996</v>
      </c>
      <c r="W100" s="197">
        <f t="shared" si="54"/>
        <v>288483529.125</v>
      </c>
      <c r="X100" s="197">
        <f t="shared" si="54"/>
        <v>288789520.30000001</v>
      </c>
      <c r="Y100" s="197">
        <f t="shared" si="54"/>
        <v>292395857.23000002</v>
      </c>
      <c r="Z100" s="197">
        <f t="shared" si="54"/>
        <v>229214138.15000001</v>
      </c>
      <c r="AA100" s="197">
        <f t="shared" si="54"/>
        <v>167524810.58500001</v>
      </c>
      <c r="AB100" s="197">
        <f t="shared" si="54"/>
        <v>166759664.72499999</v>
      </c>
      <c r="AC100" s="197">
        <f t="shared" si="54"/>
        <v>167101122.785</v>
      </c>
      <c r="AD100" s="197">
        <f t="shared" si="54"/>
        <v>101728464.24000001</v>
      </c>
      <c r="AE100" s="197">
        <f t="shared" si="54"/>
        <v>81862367.704999998</v>
      </c>
      <c r="AF100" s="197">
        <f t="shared" si="54"/>
        <v>81137053.795000002</v>
      </c>
      <c r="AG100" s="197">
        <f t="shared" si="54"/>
        <v>81592396.724999994</v>
      </c>
      <c r="AH100" s="197">
        <f t="shared" si="54"/>
        <v>78832985.659999996</v>
      </c>
      <c r="AI100" s="197">
        <f t="shared" si="54"/>
        <v>79236545.305000007</v>
      </c>
      <c r="AJ100" s="197">
        <f t="shared" si="54"/>
        <v>79945571.890000001</v>
      </c>
      <c r="AK100" s="197">
        <f t="shared" si="54"/>
        <v>69857702.63499999</v>
      </c>
      <c r="AL100" s="197">
        <f t="shared" si="54"/>
        <v>63658908.415000007</v>
      </c>
      <c r="AM100" s="197">
        <f t="shared" si="54"/>
        <v>40484448.015000001</v>
      </c>
      <c r="AN100" s="197">
        <f t="shared" si="54"/>
        <v>41111131.744999997</v>
      </c>
      <c r="AO100" s="197">
        <f t="shared" si="54"/>
        <v>30383007.225000001</v>
      </c>
      <c r="AP100" s="197">
        <f t="shared" si="54"/>
        <v>23798435.815000001</v>
      </c>
      <c r="AQ100" s="197">
        <f t="shared" si="54"/>
        <v>0</v>
      </c>
      <c r="AR100" s="197">
        <f t="shared" si="54"/>
        <v>0</v>
      </c>
      <c r="AS100" s="197">
        <f t="shared" si="54"/>
        <v>0</v>
      </c>
      <c r="AT100" s="197">
        <f t="shared" si="54"/>
        <v>0</v>
      </c>
      <c r="AU100" s="197">
        <f t="shared" si="54"/>
        <v>0</v>
      </c>
      <c r="AV100" s="197">
        <f t="shared" si="54"/>
        <v>0</v>
      </c>
      <c r="AW100" s="197">
        <f t="shared" si="54"/>
        <v>0</v>
      </c>
      <c r="AX100" s="197">
        <f t="shared" si="54"/>
        <v>0</v>
      </c>
      <c r="AY100" s="197">
        <f t="shared" si="54"/>
        <v>0</v>
      </c>
      <c r="AZ100" s="197">
        <f t="shared" si="54"/>
        <v>0</v>
      </c>
      <c r="BA100" s="197">
        <f t="shared" si="54"/>
        <v>0</v>
      </c>
      <c r="BB100" s="197">
        <f t="shared" si="54"/>
        <v>0</v>
      </c>
      <c r="BC100" s="197">
        <f t="shared" si="54"/>
        <v>0</v>
      </c>
      <c r="BD100" s="197">
        <f t="shared" si="54"/>
        <v>0</v>
      </c>
      <c r="BE100" s="197">
        <f t="shared" si="54"/>
        <v>0</v>
      </c>
      <c r="BF100" s="197">
        <f t="shared" si="54"/>
        <v>0</v>
      </c>
      <c r="BG100" s="197">
        <f t="shared" si="54"/>
        <v>0</v>
      </c>
      <c r="BH100" s="197">
        <f t="shared" si="54"/>
        <v>0</v>
      </c>
      <c r="BI100" s="197">
        <f t="shared" si="54"/>
        <v>0</v>
      </c>
      <c r="BJ100" s="197">
        <f t="shared" si="54"/>
        <v>0</v>
      </c>
      <c r="BK100" s="197">
        <f t="shared" si="54"/>
        <v>0</v>
      </c>
      <c r="BL100" s="197">
        <f t="shared" si="54"/>
        <v>0</v>
      </c>
      <c r="BM100" s="197">
        <f t="shared" si="54"/>
        <v>0</v>
      </c>
      <c r="BN100" s="197">
        <f t="shared" si="54"/>
        <v>0</v>
      </c>
      <c r="BO100" s="197">
        <f t="shared" si="54"/>
        <v>0</v>
      </c>
      <c r="BP100" s="197">
        <f t="shared" si="54"/>
        <v>0</v>
      </c>
      <c r="BQ100" s="197">
        <f t="shared" si="54"/>
        <v>0</v>
      </c>
      <c r="BR100" s="197">
        <f t="shared" ref="BR100:CK100" si="55">(BR84+BV84)/2</f>
        <v>0</v>
      </c>
      <c r="BS100" s="197">
        <f t="shared" si="55"/>
        <v>0</v>
      </c>
      <c r="BT100" s="197">
        <f t="shared" si="55"/>
        <v>0</v>
      </c>
      <c r="BU100" s="197">
        <f t="shared" si="55"/>
        <v>0</v>
      </c>
      <c r="BV100" s="197">
        <f t="shared" si="55"/>
        <v>0</v>
      </c>
      <c r="BW100" s="197">
        <f t="shared" si="55"/>
        <v>0</v>
      </c>
      <c r="BX100" s="197">
        <f t="shared" si="55"/>
        <v>0</v>
      </c>
      <c r="BY100" s="197">
        <f t="shared" si="55"/>
        <v>0</v>
      </c>
      <c r="BZ100" s="197">
        <f t="shared" si="55"/>
        <v>0</v>
      </c>
      <c r="CA100" s="197">
        <f t="shared" si="55"/>
        <v>0</v>
      </c>
      <c r="CB100" s="197">
        <f t="shared" si="55"/>
        <v>0</v>
      </c>
      <c r="CC100" s="197">
        <f t="shared" si="55"/>
        <v>0</v>
      </c>
      <c r="CD100" s="197">
        <f t="shared" si="55"/>
        <v>0</v>
      </c>
      <c r="CE100" s="197">
        <f t="shared" si="55"/>
        <v>0</v>
      </c>
      <c r="CF100" s="197">
        <f t="shared" si="55"/>
        <v>0</v>
      </c>
      <c r="CG100" s="197">
        <f t="shared" si="55"/>
        <v>0</v>
      </c>
      <c r="CH100" s="197">
        <f t="shared" si="55"/>
        <v>0</v>
      </c>
      <c r="CI100" s="197">
        <f t="shared" si="55"/>
        <v>0</v>
      </c>
      <c r="CJ100" s="197">
        <f t="shared" si="55"/>
        <v>0</v>
      </c>
      <c r="CK100" s="197">
        <f t="shared" si="55"/>
        <v>0</v>
      </c>
    </row>
    <row r="101" spans="1:89" s="252" customFormat="1" ht="15" thickBot="1" x14ac:dyDescent="0.3">
      <c r="A101" s="253" t="s">
        <v>688</v>
      </c>
      <c r="E101" s="252">
        <f>E100/E84</f>
        <v>1.0074738592457992</v>
      </c>
      <c r="F101" s="252">
        <f t="shared" ref="F101:BQ101" si="56">F100/F84</f>
        <v>1.0137246589729494</v>
      </c>
      <c r="G101" s="252">
        <f t="shared" si="56"/>
        <v>0.98775359418565223</v>
      </c>
      <c r="H101" s="252">
        <f t="shared" si="56"/>
        <v>0.9894212427709479</v>
      </c>
      <c r="I101" s="252">
        <f t="shared" si="56"/>
        <v>1.0082003233912216</v>
      </c>
      <c r="J101" s="252">
        <f t="shared" si="56"/>
        <v>0.99794667240456969</v>
      </c>
      <c r="K101" s="252">
        <f t="shared" si="56"/>
        <v>1.0187720461802581</v>
      </c>
      <c r="L101" s="252">
        <f t="shared" si="56"/>
        <v>1.002825495431185</v>
      </c>
      <c r="M101" s="252">
        <f t="shared" si="56"/>
        <v>1.0055648161437845</v>
      </c>
      <c r="N101" s="252">
        <f t="shared" si="56"/>
        <v>1.0026139166365364</v>
      </c>
      <c r="O101" s="252">
        <f t="shared" si="56"/>
        <v>1.0023110653637384</v>
      </c>
      <c r="P101" s="252">
        <f t="shared" si="56"/>
        <v>1.0159123429682571</v>
      </c>
      <c r="Q101" s="252">
        <f t="shared" si="56"/>
        <v>1.0131133582851906</v>
      </c>
      <c r="R101" s="252">
        <f t="shared" si="56"/>
        <v>0.91504801368980537</v>
      </c>
      <c r="S101" s="252">
        <f t="shared" si="56"/>
        <v>0.91272937979343349</v>
      </c>
      <c r="T101" s="252">
        <f t="shared" si="56"/>
        <v>0.90738068025121021</v>
      </c>
      <c r="U101" s="252">
        <f t="shared" si="56"/>
        <v>0.91039644821267529</v>
      </c>
      <c r="V101" s="252">
        <f t="shared" si="56"/>
        <v>1.0109753610232617</v>
      </c>
      <c r="W101" s="252">
        <f t="shared" si="56"/>
        <v>0.87915312626240338</v>
      </c>
      <c r="X101" s="252">
        <f t="shared" si="56"/>
        <v>0.87867456036517189</v>
      </c>
      <c r="Y101" s="252">
        <f t="shared" si="56"/>
        <v>0.87327998037485821</v>
      </c>
      <c r="Z101" s="252">
        <f t="shared" si="56"/>
        <v>0.68850364864093538</v>
      </c>
      <c r="AA101" s="252">
        <f t="shared" si="56"/>
        <v>0.67325254088506914</v>
      </c>
      <c r="AB101" s="252">
        <f t="shared" si="56"/>
        <v>0.66994864206009386</v>
      </c>
      <c r="AC101" s="252">
        <f t="shared" si="56"/>
        <v>0.66849315221022965</v>
      </c>
      <c r="AD101" s="252">
        <f t="shared" si="56"/>
        <v>0.81050850419123555</v>
      </c>
      <c r="AE101" s="252">
        <f t="shared" si="56"/>
        <v>0.94945319197668965</v>
      </c>
      <c r="AF101" s="252">
        <f t="shared" si="56"/>
        <v>0.95900757416911997</v>
      </c>
      <c r="AG101" s="252">
        <f t="shared" si="56"/>
        <v>0.9686235736699772</v>
      </c>
      <c r="AH101" s="252">
        <f t="shared" si="56"/>
        <v>1.0113921257609553</v>
      </c>
      <c r="AI101" s="252">
        <f t="shared" si="56"/>
        <v>1.0223517028257338</v>
      </c>
      <c r="AJ101" s="252">
        <f t="shared" si="56"/>
        <v>1.0293127902900014</v>
      </c>
      <c r="AK101" s="252">
        <f t="shared" si="56"/>
        <v>0.8848415663430701</v>
      </c>
      <c r="AL101" s="252">
        <f t="shared" si="56"/>
        <v>0.79852174676674559</v>
      </c>
      <c r="AM101" s="252">
        <f t="shared" si="56"/>
        <v>0.5</v>
      </c>
      <c r="AN101" s="252">
        <f t="shared" si="56"/>
        <v>0.5</v>
      </c>
      <c r="AO101" s="252">
        <f t="shared" si="56"/>
        <v>0.5</v>
      </c>
      <c r="AP101" s="252">
        <f t="shared" si="56"/>
        <v>0.5</v>
      </c>
      <c r="AQ101" s="252" t="e">
        <f t="shared" si="56"/>
        <v>#DIV/0!</v>
      </c>
      <c r="AR101" s="252" t="e">
        <f t="shared" si="56"/>
        <v>#DIV/0!</v>
      </c>
      <c r="AS101" s="252" t="e">
        <f t="shared" si="56"/>
        <v>#DIV/0!</v>
      </c>
      <c r="AT101" s="252" t="e">
        <f t="shared" si="56"/>
        <v>#DIV/0!</v>
      </c>
      <c r="AU101" s="252" t="e">
        <f t="shared" si="56"/>
        <v>#DIV/0!</v>
      </c>
      <c r="AV101" s="252" t="e">
        <f t="shared" si="56"/>
        <v>#DIV/0!</v>
      </c>
      <c r="AW101" s="252" t="e">
        <f t="shared" si="56"/>
        <v>#DIV/0!</v>
      </c>
      <c r="AX101" s="252" t="e">
        <f t="shared" si="56"/>
        <v>#DIV/0!</v>
      </c>
      <c r="AY101" s="252" t="e">
        <f t="shared" si="56"/>
        <v>#DIV/0!</v>
      </c>
      <c r="AZ101" s="252" t="e">
        <f t="shared" si="56"/>
        <v>#DIV/0!</v>
      </c>
      <c r="BA101" s="252" t="e">
        <f t="shared" si="56"/>
        <v>#DIV/0!</v>
      </c>
      <c r="BB101" s="252" t="e">
        <f t="shared" si="56"/>
        <v>#DIV/0!</v>
      </c>
      <c r="BC101" s="252" t="e">
        <f t="shared" si="56"/>
        <v>#DIV/0!</v>
      </c>
      <c r="BD101" s="252" t="e">
        <f t="shared" si="56"/>
        <v>#DIV/0!</v>
      </c>
      <c r="BE101" s="252" t="e">
        <f t="shared" si="56"/>
        <v>#DIV/0!</v>
      </c>
      <c r="BF101" s="252" t="e">
        <f t="shared" si="56"/>
        <v>#DIV/0!</v>
      </c>
      <c r="BG101" s="252" t="e">
        <f t="shared" si="56"/>
        <v>#DIV/0!</v>
      </c>
      <c r="BH101" s="252" t="e">
        <f t="shared" si="56"/>
        <v>#DIV/0!</v>
      </c>
      <c r="BI101" s="252" t="e">
        <f t="shared" si="56"/>
        <v>#DIV/0!</v>
      </c>
      <c r="BJ101" s="252" t="e">
        <f t="shared" si="56"/>
        <v>#DIV/0!</v>
      </c>
      <c r="BK101" s="252" t="e">
        <f t="shared" si="56"/>
        <v>#DIV/0!</v>
      </c>
      <c r="BL101" s="252" t="e">
        <f t="shared" si="56"/>
        <v>#DIV/0!</v>
      </c>
      <c r="BM101" s="252" t="e">
        <f t="shared" si="56"/>
        <v>#DIV/0!</v>
      </c>
      <c r="BN101" s="252" t="e">
        <f t="shared" si="56"/>
        <v>#DIV/0!</v>
      </c>
      <c r="BO101" s="252" t="e">
        <f t="shared" si="56"/>
        <v>#DIV/0!</v>
      </c>
      <c r="BP101" s="252" t="e">
        <f t="shared" si="56"/>
        <v>#DIV/0!</v>
      </c>
      <c r="BQ101" s="252" t="e">
        <f t="shared" si="56"/>
        <v>#DIV/0!</v>
      </c>
      <c r="BR101" s="252" t="e">
        <f t="shared" ref="BR101:CK101" si="57">BR100/BR84</f>
        <v>#DIV/0!</v>
      </c>
      <c r="BS101" s="252" t="e">
        <f t="shared" si="57"/>
        <v>#DIV/0!</v>
      </c>
      <c r="BT101" s="252" t="e">
        <f t="shared" si="57"/>
        <v>#DIV/0!</v>
      </c>
      <c r="BU101" s="252" t="e">
        <f t="shared" si="57"/>
        <v>#DIV/0!</v>
      </c>
      <c r="BV101" s="252" t="e">
        <f t="shared" si="57"/>
        <v>#DIV/0!</v>
      </c>
      <c r="BW101" s="252" t="e">
        <f t="shared" si="57"/>
        <v>#DIV/0!</v>
      </c>
      <c r="BX101" s="252" t="e">
        <f t="shared" si="57"/>
        <v>#DIV/0!</v>
      </c>
      <c r="BY101" s="252" t="e">
        <f t="shared" si="57"/>
        <v>#DIV/0!</v>
      </c>
      <c r="BZ101" s="252" t="e">
        <f t="shared" si="57"/>
        <v>#DIV/0!</v>
      </c>
      <c r="CA101" s="252" t="e">
        <f t="shared" si="57"/>
        <v>#DIV/0!</v>
      </c>
      <c r="CB101" s="252" t="e">
        <f t="shared" si="57"/>
        <v>#DIV/0!</v>
      </c>
      <c r="CC101" s="252" t="e">
        <f t="shared" si="57"/>
        <v>#DIV/0!</v>
      </c>
      <c r="CD101" s="252" t="e">
        <f t="shared" si="57"/>
        <v>#DIV/0!</v>
      </c>
      <c r="CE101" s="252" t="e">
        <f t="shared" si="57"/>
        <v>#DIV/0!</v>
      </c>
      <c r="CF101" s="252" t="e">
        <f t="shared" si="57"/>
        <v>#DIV/0!</v>
      </c>
      <c r="CG101" s="252" t="e">
        <f t="shared" si="57"/>
        <v>#DIV/0!</v>
      </c>
      <c r="CH101" s="252" t="e">
        <f t="shared" si="57"/>
        <v>#DIV/0!</v>
      </c>
      <c r="CI101" s="252" t="e">
        <f t="shared" si="57"/>
        <v>#DIV/0!</v>
      </c>
      <c r="CJ101" s="252" t="e">
        <f t="shared" si="57"/>
        <v>#DIV/0!</v>
      </c>
      <c r="CK101" s="252" t="e">
        <f t="shared" si="57"/>
        <v>#DIV/0!</v>
      </c>
    </row>
    <row r="102" spans="1:89" ht="204.75" customHeight="1" x14ac:dyDescent="0.25">
      <c r="A102" s="288" t="s">
        <v>689</v>
      </c>
      <c r="B102" s="289"/>
      <c r="C102" s="289"/>
      <c r="D102" s="289"/>
      <c r="E102" s="289"/>
      <c r="F102" s="289"/>
      <c r="G102" s="289"/>
      <c r="H102" s="289"/>
      <c r="I102" s="289"/>
      <c r="J102" s="289"/>
      <c r="K102" s="289"/>
      <c r="L102" s="289"/>
      <c r="M102" s="289"/>
      <c r="N102" s="289"/>
      <c r="O102" s="289"/>
      <c r="P102" s="289"/>
      <c r="Q102" s="289"/>
      <c r="R102" s="289"/>
      <c r="S102" s="289"/>
      <c r="T102" s="289"/>
      <c r="U102" s="289"/>
      <c r="V102" s="289"/>
      <c r="W102" s="289"/>
      <c r="X102" s="289"/>
      <c r="Y102" s="289"/>
      <c r="Z102" s="289"/>
      <c r="AA102" s="289"/>
      <c r="AB102" s="289"/>
      <c r="AC102" s="289"/>
      <c r="AD102" s="289"/>
      <c r="AE102" s="289"/>
      <c r="AF102" s="289"/>
      <c r="AG102" s="289"/>
      <c r="AH102" s="289"/>
      <c r="AI102" s="289"/>
      <c r="AJ102" s="289"/>
      <c r="AK102" s="289"/>
    </row>
  </sheetData>
  <mergeCells count="6">
    <mergeCell ref="A15:AG15"/>
    <mergeCell ref="A45:AG45"/>
    <mergeCell ref="A58:AG58"/>
    <mergeCell ref="A77:AG77"/>
    <mergeCell ref="A102:AK102"/>
    <mergeCell ref="A29:U29"/>
  </mergeCells>
  <phoneticPr fontId="1" type="noConversion"/>
  <pageMargins left="0.7" right="0.7" top="0.75" bottom="0.75" header="0.3" footer="0.3"/>
  <pageSetup paperSize="9" orientation="portrait" r:id="rId1"/>
  <drawing r:id="rId2"/>
  <extLst>
    <ext xmlns:x14="http://schemas.microsoft.com/office/spreadsheetml/2009/9/main" uri="{05C60535-1F16-4fd2-B633-F4F36F0B64E0}">
      <x14:sparklineGroups xmlns:xm="http://schemas.microsoft.com/office/excel/2006/main">
        <x14:sparklineGroup manualMax="0" manualMin="0" displayEmptyCellsAs="gap" xr2:uid="{00000000-0003-0000-0900-000000000000}">
          <x14:colorSeries theme="7" tint="-0.499984740745262"/>
          <x14:colorNegative theme="8"/>
          <x14:colorAxis rgb="FF000000"/>
          <x14:colorMarkers theme="7" tint="-0.499984740745262"/>
          <x14:colorFirst theme="7" tint="0.39997558519241921"/>
          <x14:colorLast theme="7" tint="0.39997558519241921"/>
          <x14:colorHigh theme="7"/>
          <x14:colorLow theme="7"/>
          <x14:sparklines>
            <x14:sparkline>
              <xm:f>股东权益回报率分析表!5:5</xm:f>
              <xm:sqref>A16</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自由现金流分析表"/>
  <dimension ref="A1:CL41"/>
  <sheetViews>
    <sheetView topLeftCell="A27" workbookViewId="0">
      <selection activeCell="E27" sqref="E27"/>
    </sheetView>
  </sheetViews>
  <sheetFormatPr defaultRowHeight="14.4" x14ac:dyDescent="0.25"/>
  <cols>
    <col min="1" max="1" width="63.21875" style="17" bestFit="1" customWidth="1"/>
    <col min="2" max="4" width="9.5546875" hidden="1" customWidth="1"/>
    <col min="5" max="5" width="19.33203125" bestFit="1" customWidth="1"/>
    <col min="6" max="6" width="19.33203125" hidden="1" customWidth="1"/>
    <col min="7" max="7" width="20.21875" hidden="1" customWidth="1"/>
    <col min="8" max="8" width="19.33203125" hidden="1" customWidth="1"/>
    <col min="9" max="9" width="19.33203125" bestFit="1" customWidth="1"/>
    <col min="10" max="11" width="19.33203125" hidden="1" customWidth="1"/>
    <col min="12" max="12" width="17.77734375" hidden="1" customWidth="1"/>
    <col min="13" max="13" width="19.33203125" bestFit="1" customWidth="1"/>
    <col min="14" max="15" width="19.33203125" hidden="1" customWidth="1"/>
    <col min="16" max="16" width="19" hidden="1" customWidth="1"/>
    <col min="17" max="17" width="19.33203125" bestFit="1" customWidth="1"/>
    <col min="18" max="19" width="19.33203125" hidden="1" customWidth="1"/>
    <col min="20" max="20" width="19" hidden="1" customWidth="1"/>
    <col min="21" max="21" width="19.33203125" bestFit="1" customWidth="1"/>
    <col min="22" max="23" width="19.33203125" hidden="1" customWidth="1"/>
    <col min="24" max="24" width="17.77734375" hidden="1" customWidth="1"/>
    <col min="25" max="25" width="19.33203125" bestFit="1" customWidth="1"/>
    <col min="26" max="26" width="19.33203125" hidden="1" customWidth="1"/>
    <col min="27" max="27" width="20.21875" hidden="1" customWidth="1"/>
    <col min="28" max="28" width="17.77734375" hidden="1" customWidth="1"/>
    <col min="29" max="29" width="19.33203125" bestFit="1" customWidth="1"/>
    <col min="30" max="31" width="19.33203125" hidden="1" customWidth="1"/>
    <col min="32" max="32" width="19" hidden="1" customWidth="1"/>
    <col min="33" max="33" width="19.33203125" bestFit="1" customWidth="1"/>
    <col min="34" max="34" width="19.33203125" hidden="1" customWidth="1"/>
    <col min="35" max="35" width="19" hidden="1" customWidth="1"/>
    <col min="36" max="36" width="17.77734375" hidden="1" customWidth="1"/>
    <col min="37" max="37" width="19.33203125" bestFit="1" customWidth="1"/>
    <col min="38" max="40" width="17.77734375" hidden="1" customWidth="1"/>
    <col min="41" max="41" width="19.33203125" bestFit="1" customWidth="1"/>
    <col min="42" max="42" width="17.77734375" hidden="1" customWidth="1"/>
    <col min="43" max="44" width="17.77734375" bestFit="1" customWidth="1"/>
    <col min="45" max="45" width="9.5546875" hidden="1" customWidth="1"/>
    <col min="46" max="48" width="18.33203125" hidden="1" customWidth="1"/>
    <col min="49" max="49" width="18.33203125" bestFit="1" customWidth="1"/>
    <col min="50" max="52" width="18.33203125" hidden="1" customWidth="1"/>
    <col min="53" max="53" width="18.33203125" bestFit="1" customWidth="1"/>
    <col min="54" max="56" width="18.33203125" hidden="1" customWidth="1"/>
    <col min="57" max="57" width="18.33203125" bestFit="1" customWidth="1"/>
    <col min="58" max="60" width="18.33203125" hidden="1" customWidth="1"/>
    <col min="61" max="61" width="18.33203125" bestFit="1" customWidth="1"/>
    <col min="62" max="64" width="18.33203125" hidden="1" customWidth="1"/>
    <col min="65" max="65" width="18.33203125" bestFit="1" customWidth="1"/>
    <col min="66" max="66" width="18.33203125" hidden="1" customWidth="1"/>
    <col min="67" max="67" width="18.33203125" bestFit="1" customWidth="1"/>
    <col min="68" max="68" width="18.33203125" hidden="1" customWidth="1"/>
    <col min="69" max="69" width="17.21875" bestFit="1" customWidth="1"/>
    <col min="70" max="70" width="18.33203125" hidden="1" customWidth="1"/>
    <col min="71" max="71" width="18.33203125" bestFit="1" customWidth="1"/>
    <col min="72" max="72" width="18.33203125" hidden="1" customWidth="1"/>
    <col min="73" max="73" width="18.33203125" bestFit="1" customWidth="1"/>
    <col min="74" max="74" width="18.33203125" hidden="1" customWidth="1"/>
    <col min="75" max="75" width="18.33203125" bestFit="1" customWidth="1"/>
    <col min="76" max="76" width="17.21875" bestFit="1" customWidth="1"/>
    <col min="77" max="77" width="18.33203125" bestFit="1" customWidth="1"/>
    <col min="78" max="78" width="17.21875" bestFit="1" customWidth="1"/>
    <col min="79" max="81" width="18.33203125" bestFit="1" customWidth="1"/>
    <col min="82" max="82" width="9.33203125" bestFit="1" customWidth="1"/>
    <col min="83" max="84" width="17.21875" bestFit="1" customWidth="1"/>
    <col min="85" max="86" width="16.109375" bestFit="1" customWidth="1"/>
    <col min="87" max="87" width="17.21875" bestFit="1" customWidth="1"/>
    <col min="88" max="88" width="16.109375" bestFit="1" customWidth="1"/>
    <col min="89" max="90" width="9.33203125" bestFit="1" customWidth="1"/>
  </cols>
  <sheetData>
    <row r="1" spans="1:90" x14ac:dyDescent="0.25">
      <c r="A1" s="17">
        <v>2293</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39447</v>
      </c>
      <c r="AR1" s="1">
        <v>39082</v>
      </c>
      <c r="AS1" s="1">
        <v>25569</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c r="BW1" s="40"/>
      <c r="BX1" s="40"/>
      <c r="BY1" s="40"/>
      <c r="BZ1" s="40"/>
      <c r="CA1" s="40"/>
      <c r="CB1" s="40"/>
      <c r="CC1" s="40"/>
      <c r="CD1" s="40"/>
      <c r="CE1" s="40"/>
      <c r="CF1" s="40"/>
      <c r="CG1" s="40"/>
      <c r="CH1" s="40"/>
      <c r="CI1" s="40"/>
      <c r="CJ1" s="40"/>
      <c r="CK1" s="40"/>
      <c r="CL1" s="40"/>
    </row>
    <row r="2" spans="1:90" s="26" customFormat="1" x14ac:dyDescent="0.25">
      <c r="A2" s="17" t="s">
        <v>485</v>
      </c>
      <c r="E2" s="26">
        <f>现金流量表!E4</f>
        <v>5703097066.9099998</v>
      </c>
      <c r="F2" s="26">
        <f>现金流量表!F4</f>
        <v>3517644500</v>
      </c>
      <c r="G2" s="26">
        <f>现金流量表!G4</f>
        <v>2192498921.1100001</v>
      </c>
      <c r="H2" s="26">
        <f>现金流量表!H4</f>
        <v>1220146194.1099999</v>
      </c>
      <c r="I2" s="26">
        <f>现金流量表!I4</f>
        <v>3686460242.5900002</v>
      </c>
      <c r="J2" s="26">
        <f>现金流量表!J4</f>
        <v>2564846453.2399998</v>
      </c>
      <c r="K2" s="26">
        <f>现金流量表!K4</f>
        <v>1590874669.1199999</v>
      </c>
      <c r="L2" s="26">
        <f>现金流量表!L4</f>
        <v>869902587.33000004</v>
      </c>
      <c r="M2" s="26">
        <f>现金流量表!M4</f>
        <v>3286935630.9499998</v>
      </c>
      <c r="N2" s="26">
        <f>现金流量表!N4</f>
        <v>2293032683.1900001</v>
      </c>
      <c r="O2" s="26">
        <f>现金流量表!O4</f>
        <v>1385251550.4400001</v>
      </c>
      <c r="P2" s="26">
        <f>现金流量表!P4</f>
        <v>814632103.25999999</v>
      </c>
      <c r="Q2" s="26">
        <f>现金流量表!Q4</f>
        <v>3314035032.6199999</v>
      </c>
      <c r="R2" s="26">
        <f>现金流量表!R4</f>
        <v>2243208554.8099999</v>
      </c>
      <c r="S2" s="26">
        <f>现金流量表!S4</f>
        <v>1323849741.5799999</v>
      </c>
      <c r="T2" s="26">
        <f>现金流量表!T4</f>
        <v>805221687.07000005</v>
      </c>
      <c r="U2" s="26">
        <f>现金流量表!U4</f>
        <v>2995795304.5700002</v>
      </c>
      <c r="V2" s="26">
        <f>现金流量表!V4</f>
        <v>2119069929.0899999</v>
      </c>
      <c r="W2" s="26">
        <f>现金流量表!W4</f>
        <v>1315577679.99</v>
      </c>
      <c r="X2" s="26">
        <f>现金流量表!X4</f>
        <v>702968081.51999998</v>
      </c>
      <c r="Y2" s="26">
        <f>现金流量表!Y4</f>
        <v>3148863796.1500001</v>
      </c>
      <c r="Z2" s="26">
        <f>现金流量表!Z4</f>
        <v>2120726664.9400001</v>
      </c>
      <c r="AA2" s="26">
        <f>现金流量表!AA4</f>
        <v>1218831206.3199999</v>
      </c>
      <c r="AB2" s="26">
        <f>现金流量表!AB4</f>
        <v>730659610.20000005</v>
      </c>
      <c r="AC2" s="26">
        <f>现金流量表!AC4</f>
        <v>2777690159.8099999</v>
      </c>
      <c r="AD2" s="26">
        <f>现金流量表!AD4</f>
        <v>1916727969.5599999</v>
      </c>
      <c r="AE2" s="26">
        <f>现金流量表!AE4</f>
        <v>1217349548.29</v>
      </c>
      <c r="AF2" s="26">
        <f>现金流量表!AF4</f>
        <v>741075333.60000002</v>
      </c>
      <c r="AG2" s="26">
        <f>现金流量表!AG4</f>
        <v>2088659586.1199999</v>
      </c>
      <c r="AH2" s="26">
        <f>现金流量表!AH4</f>
        <v>1343955053.95</v>
      </c>
      <c r="AI2" s="26">
        <f>现金流量表!AI4</f>
        <v>780113829.26999998</v>
      </c>
      <c r="AJ2" s="26">
        <f>现金流量表!AJ4</f>
        <v>453646157.58999997</v>
      </c>
      <c r="AK2" s="26">
        <f>现金流量表!AK4</f>
        <v>1317538187.6700001</v>
      </c>
      <c r="AL2" s="26">
        <f>现金流量表!AL4</f>
        <v>829205973.38999999</v>
      </c>
      <c r="AM2" s="26">
        <f>现金流量表!AM4</f>
        <v>470456644.57999998</v>
      </c>
      <c r="AN2" s="26">
        <f>现金流量表!AN4</f>
        <v>298846126.06</v>
      </c>
      <c r="AO2" s="26">
        <f>现金流量表!AO4</f>
        <v>1049900173.75</v>
      </c>
      <c r="AP2" s="26">
        <f>现金流量表!AP4</f>
        <v>729885010.66999996</v>
      </c>
      <c r="AQ2" s="26">
        <f>现金流量表!AQ4</f>
        <v>744580968.05999994</v>
      </c>
      <c r="AR2" s="26">
        <f>现金流量表!AR4</f>
        <v>745665504.97000003</v>
      </c>
      <c r="AS2" s="26">
        <f>现金流量表!AS4</f>
        <v>0</v>
      </c>
      <c r="AT2" s="26">
        <f>现金流量表!AT4</f>
        <v>0</v>
      </c>
      <c r="AU2" s="26">
        <f>现金流量表!AU4</f>
        <v>0</v>
      </c>
      <c r="AV2" s="26">
        <f>现金流量表!AV4</f>
        <v>0</v>
      </c>
      <c r="AW2" s="26">
        <f>现金流量表!AW4</f>
        <v>0</v>
      </c>
      <c r="AX2" s="26">
        <f>现金流量表!AX4</f>
        <v>0</v>
      </c>
      <c r="AY2" s="26">
        <f>现金流量表!AY4</f>
        <v>0</v>
      </c>
      <c r="AZ2" s="26">
        <f>现金流量表!AZ4</f>
        <v>0</v>
      </c>
      <c r="BA2" s="26">
        <f>现金流量表!BA4</f>
        <v>0</v>
      </c>
      <c r="BB2" s="26">
        <f>现金流量表!BB4</f>
        <v>0</v>
      </c>
      <c r="BC2" s="26">
        <f>现金流量表!BC4</f>
        <v>0</v>
      </c>
      <c r="BD2" s="26">
        <f>现金流量表!BD4</f>
        <v>0</v>
      </c>
      <c r="BE2" s="26">
        <f>现金流量表!BE4</f>
        <v>0</v>
      </c>
      <c r="BF2" s="26">
        <f>现金流量表!BF4</f>
        <v>0</v>
      </c>
      <c r="BG2" s="26">
        <f>现金流量表!BG4</f>
        <v>0</v>
      </c>
      <c r="BH2" s="26">
        <f>现金流量表!BH4</f>
        <v>0</v>
      </c>
      <c r="BI2" s="26">
        <f>现金流量表!BI4</f>
        <v>0</v>
      </c>
      <c r="BJ2" s="26">
        <f>现金流量表!BJ4</f>
        <v>0</v>
      </c>
      <c r="BK2" s="26">
        <f>现金流量表!BK4</f>
        <v>0</v>
      </c>
      <c r="BL2" s="26">
        <f>现金流量表!BL4</f>
        <v>0</v>
      </c>
      <c r="BM2" s="26">
        <f>现金流量表!BM4</f>
        <v>0</v>
      </c>
      <c r="BN2" s="26">
        <f>现金流量表!BN4</f>
        <v>0</v>
      </c>
      <c r="BO2" s="26">
        <f>现金流量表!BO4</f>
        <v>0</v>
      </c>
      <c r="BP2" s="26">
        <f>现金流量表!BP4</f>
        <v>0</v>
      </c>
      <c r="BQ2" s="26">
        <f>现金流量表!BQ4</f>
        <v>0</v>
      </c>
      <c r="BR2" s="26">
        <f>现金流量表!BR4</f>
        <v>0</v>
      </c>
      <c r="BS2" s="26">
        <f>现金流量表!BS4</f>
        <v>0</v>
      </c>
      <c r="BT2" s="26">
        <f>现金流量表!BT4</f>
        <v>0</v>
      </c>
      <c r="BU2" s="26">
        <f>现金流量表!BU4</f>
        <v>0</v>
      </c>
      <c r="BV2" s="26">
        <f>现金流量表!BV4</f>
        <v>0</v>
      </c>
      <c r="BW2" s="26">
        <f>现金流量表!BW4</f>
        <v>0</v>
      </c>
      <c r="BX2" s="26">
        <f>现金流量表!BX4</f>
        <v>0</v>
      </c>
      <c r="BY2" s="26">
        <f>现金流量表!BY4</f>
        <v>0</v>
      </c>
      <c r="BZ2" s="26">
        <f>现金流量表!BZ4</f>
        <v>0</v>
      </c>
      <c r="CA2" s="26">
        <f>现金流量表!CA4</f>
        <v>0</v>
      </c>
      <c r="CB2" s="26">
        <f>现金流量表!CB4</f>
        <v>0</v>
      </c>
      <c r="CC2" s="26">
        <f>现金流量表!CC4</f>
        <v>0</v>
      </c>
      <c r="CD2" s="26">
        <f>现金流量表!CD4</f>
        <v>0</v>
      </c>
      <c r="CE2" s="26">
        <f>现金流量表!CE4</f>
        <v>0</v>
      </c>
      <c r="CF2" s="26">
        <f>现金流量表!CF4</f>
        <v>0</v>
      </c>
      <c r="CG2" s="26">
        <f>现金流量表!CG4</f>
        <v>0</v>
      </c>
      <c r="CH2" s="26">
        <f>现金流量表!CH4</f>
        <v>0</v>
      </c>
      <c r="CI2" s="26">
        <f>现金流量表!CI4</f>
        <v>0</v>
      </c>
      <c r="CJ2" s="26">
        <f>现金流量表!CJ4</f>
        <v>0</v>
      </c>
      <c r="CK2" s="26">
        <f>现金流量表!CK4</f>
        <v>0</v>
      </c>
      <c r="CL2" s="26">
        <f>现金流量表!CL4</f>
        <v>0</v>
      </c>
    </row>
    <row r="3" spans="1:90" s="26" customFormat="1" x14ac:dyDescent="0.25">
      <c r="A3" s="17" t="s">
        <v>486</v>
      </c>
      <c r="E3" s="26">
        <f>利润表!E3</f>
        <v>4661850865.5100002</v>
      </c>
      <c r="F3" s="26">
        <f>利润表!F3</f>
        <v>3182670009.3200002</v>
      </c>
      <c r="G3" s="26">
        <f>利润表!G3</f>
        <v>1981435890.6199999</v>
      </c>
      <c r="H3" s="26">
        <f>利润表!H3</f>
        <v>1057767260.42</v>
      </c>
      <c r="I3" s="26">
        <f>利润表!I3</f>
        <v>3152216442.1500001</v>
      </c>
      <c r="J3" s="26">
        <f>利润表!J3</f>
        <v>2155264290.48</v>
      </c>
      <c r="K3" s="26">
        <f>利润表!K3</f>
        <v>1343083310.6500001</v>
      </c>
      <c r="L3" s="26">
        <f>利润表!L3</f>
        <v>762846279.96000004</v>
      </c>
      <c r="M3" s="26">
        <f>利润表!M3</f>
        <v>2915633891.98</v>
      </c>
      <c r="N3" s="26">
        <f>利润表!N3</f>
        <v>2046094586.02</v>
      </c>
      <c r="O3" s="26">
        <f>利润表!O3</f>
        <v>1249976092.8499999</v>
      </c>
      <c r="P3" s="26">
        <f>利润表!P3</f>
        <v>705394935.15999997</v>
      </c>
      <c r="Q3" s="26">
        <f>利润表!Q3</f>
        <v>2761400573.5100002</v>
      </c>
      <c r="R3" s="26">
        <f>利润表!R3</f>
        <v>1879993912.9100001</v>
      </c>
      <c r="S3" s="26">
        <f>利润表!S3</f>
        <v>1112279848.48</v>
      </c>
      <c r="T3" s="26">
        <f>利润表!T3</f>
        <v>657308577.96000004</v>
      </c>
      <c r="U3" s="26">
        <f>利润表!U3</f>
        <v>2524209416.4000001</v>
      </c>
      <c r="V3" s="26">
        <f>利润表!V3</f>
        <v>1722646961.76</v>
      </c>
      <c r="W3" s="26">
        <f>利润表!W3</f>
        <v>1078073329.79</v>
      </c>
      <c r="X3" s="26">
        <f>利润表!X3</f>
        <v>615351177.55999994</v>
      </c>
      <c r="Y3" s="26">
        <f>利润表!Y3</f>
        <v>2724953861.21</v>
      </c>
      <c r="Z3" s="26">
        <f>利润表!Z3</f>
        <v>1847721787.6600001</v>
      </c>
      <c r="AA3" s="26">
        <f>利润表!AA3</f>
        <v>1036490112.66</v>
      </c>
      <c r="AB3" s="26">
        <f>利润表!AB3</f>
        <v>614320304.89999998</v>
      </c>
      <c r="AC3" s="26">
        <f>利润表!AC3</f>
        <v>2382434788.48</v>
      </c>
      <c r="AD3" s="26">
        <f>利润表!AD3</f>
        <v>1633896787.0999999</v>
      </c>
      <c r="AE3" s="26">
        <f>利润表!AE3</f>
        <v>1003246147.98</v>
      </c>
      <c r="AF3" s="26">
        <f>利润表!AF3</f>
        <v>583149853.35000002</v>
      </c>
      <c r="AG3" s="26">
        <f>利润表!AG3</f>
        <v>1818814620.1400001</v>
      </c>
      <c r="AH3" s="26">
        <f>利润表!AH3</f>
        <v>1145669244.4200001</v>
      </c>
      <c r="AI3" s="26">
        <f>利润表!AI3</f>
        <v>661829336.29999995</v>
      </c>
      <c r="AJ3" s="26">
        <f>利润表!AJ3</f>
        <v>359335837.14999998</v>
      </c>
      <c r="AK3" s="26">
        <f>利润表!AK3</f>
        <v>1145306750.3299999</v>
      </c>
      <c r="AL3" s="26">
        <f>利润表!AL3</f>
        <v>723914564.5</v>
      </c>
      <c r="AM3" s="26">
        <f>利润表!AM3</f>
        <v>407570538.00999999</v>
      </c>
      <c r="AN3" s="26">
        <f>利润表!AN3</f>
        <v>255192022.33000001</v>
      </c>
      <c r="AO3" s="26">
        <f>利润表!AO3</f>
        <v>902684684.88</v>
      </c>
      <c r="AP3" s="26">
        <f>利润表!AP3</f>
        <v>632875455.57000005</v>
      </c>
      <c r="AQ3" s="26">
        <f>利润表!AQ3</f>
        <v>755362629.51999998</v>
      </c>
      <c r="AR3" s="26">
        <f>利润表!AR3</f>
        <v>552487592.55999994</v>
      </c>
      <c r="AS3" s="26">
        <f>利润表!AS3</f>
        <v>0</v>
      </c>
      <c r="AT3" s="26">
        <f>利润表!AT3</f>
        <v>0</v>
      </c>
      <c r="AU3" s="26">
        <f>利润表!AU3</f>
        <v>0</v>
      </c>
      <c r="AV3" s="26">
        <f>利润表!AV3</f>
        <v>0</v>
      </c>
      <c r="AW3" s="26">
        <f>利润表!AW3</f>
        <v>0</v>
      </c>
      <c r="AX3" s="26">
        <f>利润表!AX3</f>
        <v>0</v>
      </c>
      <c r="AY3" s="26">
        <f>利润表!AY3</f>
        <v>0</v>
      </c>
      <c r="AZ3" s="26">
        <f>利润表!AZ3</f>
        <v>0</v>
      </c>
      <c r="BA3" s="26">
        <f>利润表!BA3</f>
        <v>0</v>
      </c>
      <c r="BB3" s="26">
        <f>利润表!BB3</f>
        <v>0</v>
      </c>
      <c r="BC3" s="26">
        <f>利润表!BC3</f>
        <v>0</v>
      </c>
      <c r="BD3" s="26">
        <f>利润表!BD3</f>
        <v>0</v>
      </c>
      <c r="BE3" s="26">
        <f>利润表!BE3</f>
        <v>0</v>
      </c>
      <c r="BF3" s="26">
        <f>利润表!BF3</f>
        <v>0</v>
      </c>
      <c r="BG3" s="26">
        <f>利润表!BG3</f>
        <v>0</v>
      </c>
      <c r="BH3" s="26">
        <f>利润表!BH3</f>
        <v>0</v>
      </c>
      <c r="BI3" s="26">
        <f>利润表!BI3</f>
        <v>0</v>
      </c>
      <c r="BJ3" s="26">
        <f>利润表!BJ3</f>
        <v>0</v>
      </c>
      <c r="BK3" s="26">
        <f>利润表!BK3</f>
        <v>0</v>
      </c>
      <c r="BL3" s="26">
        <f>利润表!BL3</f>
        <v>0</v>
      </c>
      <c r="BM3" s="26">
        <f>利润表!BM3</f>
        <v>0</v>
      </c>
      <c r="BN3" s="26">
        <f>利润表!BN3</f>
        <v>0</v>
      </c>
      <c r="BO3" s="26">
        <f>利润表!BO3</f>
        <v>0</v>
      </c>
      <c r="BP3" s="26">
        <f>利润表!BP3</f>
        <v>0</v>
      </c>
      <c r="BQ3" s="26">
        <f>利润表!BQ3</f>
        <v>0</v>
      </c>
      <c r="BR3" s="26">
        <f>利润表!BR3</f>
        <v>0</v>
      </c>
      <c r="BS3" s="26">
        <f>利润表!BS3</f>
        <v>0</v>
      </c>
      <c r="BT3" s="26">
        <f>利润表!BT3</f>
        <v>0</v>
      </c>
      <c r="BU3" s="26">
        <f>利润表!BU3</f>
        <v>0</v>
      </c>
      <c r="BV3" s="26">
        <f>利润表!BV3</f>
        <v>0</v>
      </c>
      <c r="BW3" s="26">
        <f>利润表!BW3</f>
        <v>0</v>
      </c>
      <c r="BX3" s="26">
        <f>利润表!BX3</f>
        <v>0</v>
      </c>
      <c r="BY3" s="26">
        <f>利润表!BY3</f>
        <v>0</v>
      </c>
      <c r="BZ3" s="26">
        <f>利润表!BZ3</f>
        <v>0</v>
      </c>
      <c r="CA3" s="26">
        <f>利润表!CA3</f>
        <v>0</v>
      </c>
      <c r="CB3" s="26">
        <f>利润表!CB3</f>
        <v>0</v>
      </c>
      <c r="CC3" s="26">
        <f>利润表!CC3</f>
        <v>0</v>
      </c>
      <c r="CD3" s="26">
        <f>利润表!CD3</f>
        <v>0</v>
      </c>
      <c r="CE3" s="26">
        <f>利润表!CE3</f>
        <v>0</v>
      </c>
      <c r="CF3" s="26">
        <f>利润表!CF3</f>
        <v>0</v>
      </c>
      <c r="CG3" s="26">
        <f>利润表!CG3</f>
        <v>0</v>
      </c>
      <c r="CH3" s="26">
        <f>利润表!CH3</f>
        <v>0</v>
      </c>
      <c r="CI3" s="26">
        <f>利润表!CI3</f>
        <v>0</v>
      </c>
      <c r="CJ3" s="26">
        <f>利润表!CJ3</f>
        <v>0</v>
      </c>
      <c r="CK3" s="26">
        <f>利润表!CK3</f>
        <v>0</v>
      </c>
    </row>
    <row r="4" spans="1:90" s="63" customFormat="1" x14ac:dyDescent="0.25">
      <c r="A4" s="17" t="s">
        <v>511</v>
      </c>
      <c r="E4" s="63">
        <f>$E$32</f>
        <v>0.17</v>
      </c>
      <c r="F4" s="63">
        <f t="shared" ref="F4:BQ4" si="0">$E$32</f>
        <v>0.17</v>
      </c>
      <c r="G4" s="63">
        <f t="shared" si="0"/>
        <v>0.17</v>
      </c>
      <c r="H4" s="63">
        <f t="shared" si="0"/>
        <v>0.17</v>
      </c>
      <c r="I4" s="63">
        <f t="shared" si="0"/>
        <v>0.17</v>
      </c>
      <c r="J4" s="63">
        <f t="shared" si="0"/>
        <v>0.17</v>
      </c>
      <c r="K4" s="63">
        <f t="shared" si="0"/>
        <v>0.17</v>
      </c>
      <c r="L4" s="63">
        <f t="shared" si="0"/>
        <v>0.17</v>
      </c>
      <c r="M4" s="63">
        <f t="shared" si="0"/>
        <v>0.17</v>
      </c>
      <c r="N4" s="63">
        <f t="shared" si="0"/>
        <v>0.17</v>
      </c>
      <c r="O4" s="63">
        <f t="shared" si="0"/>
        <v>0.17</v>
      </c>
      <c r="P4" s="63">
        <f t="shared" si="0"/>
        <v>0.17</v>
      </c>
      <c r="Q4" s="63">
        <f t="shared" si="0"/>
        <v>0.17</v>
      </c>
      <c r="R4" s="63">
        <f t="shared" si="0"/>
        <v>0.17</v>
      </c>
      <c r="S4" s="63">
        <f t="shared" si="0"/>
        <v>0.17</v>
      </c>
      <c r="T4" s="63">
        <f t="shared" si="0"/>
        <v>0.17</v>
      </c>
      <c r="U4" s="63">
        <f t="shared" si="0"/>
        <v>0.17</v>
      </c>
      <c r="V4" s="63">
        <f t="shared" si="0"/>
        <v>0.17</v>
      </c>
      <c r="W4" s="63">
        <f t="shared" si="0"/>
        <v>0.17</v>
      </c>
      <c r="X4" s="63">
        <f t="shared" si="0"/>
        <v>0.17</v>
      </c>
      <c r="Y4" s="63">
        <f t="shared" si="0"/>
        <v>0.17</v>
      </c>
      <c r="Z4" s="63">
        <f t="shared" si="0"/>
        <v>0.17</v>
      </c>
      <c r="AA4" s="63">
        <f t="shared" si="0"/>
        <v>0.17</v>
      </c>
      <c r="AB4" s="63">
        <f t="shared" si="0"/>
        <v>0.17</v>
      </c>
      <c r="AC4" s="63">
        <f t="shared" si="0"/>
        <v>0.17</v>
      </c>
      <c r="AD4" s="63">
        <f t="shared" si="0"/>
        <v>0.17</v>
      </c>
      <c r="AE4" s="63">
        <f t="shared" si="0"/>
        <v>0.17</v>
      </c>
      <c r="AF4" s="63">
        <f t="shared" si="0"/>
        <v>0.17</v>
      </c>
      <c r="AG4" s="63">
        <f t="shared" si="0"/>
        <v>0.17</v>
      </c>
      <c r="AH4" s="63">
        <f t="shared" si="0"/>
        <v>0.17</v>
      </c>
      <c r="AI4" s="63">
        <f t="shared" si="0"/>
        <v>0.17</v>
      </c>
      <c r="AJ4" s="63">
        <f t="shared" si="0"/>
        <v>0.17</v>
      </c>
      <c r="AK4" s="63">
        <f t="shared" si="0"/>
        <v>0.17</v>
      </c>
      <c r="AL4" s="63">
        <f t="shared" si="0"/>
        <v>0.17</v>
      </c>
      <c r="AM4" s="63">
        <f t="shared" si="0"/>
        <v>0.17</v>
      </c>
      <c r="AN4" s="63">
        <f t="shared" si="0"/>
        <v>0.17</v>
      </c>
      <c r="AO4" s="63">
        <f t="shared" si="0"/>
        <v>0.17</v>
      </c>
      <c r="AP4" s="63">
        <f t="shared" si="0"/>
        <v>0.17</v>
      </c>
      <c r="AQ4" s="63">
        <f t="shared" si="0"/>
        <v>0.17</v>
      </c>
      <c r="AR4" s="63">
        <f t="shared" si="0"/>
        <v>0.17</v>
      </c>
      <c r="AS4" s="63">
        <f t="shared" si="0"/>
        <v>0.17</v>
      </c>
      <c r="AT4" s="63">
        <f t="shared" si="0"/>
        <v>0.17</v>
      </c>
      <c r="AU4" s="63">
        <f t="shared" si="0"/>
        <v>0.17</v>
      </c>
      <c r="AV4" s="63">
        <f t="shared" si="0"/>
        <v>0.17</v>
      </c>
      <c r="AW4" s="63">
        <f t="shared" si="0"/>
        <v>0.17</v>
      </c>
      <c r="AX4" s="63">
        <f t="shared" si="0"/>
        <v>0.17</v>
      </c>
      <c r="AY4" s="63">
        <f t="shared" si="0"/>
        <v>0.17</v>
      </c>
      <c r="AZ4" s="63">
        <f t="shared" si="0"/>
        <v>0.17</v>
      </c>
      <c r="BA4" s="63">
        <f t="shared" si="0"/>
        <v>0.17</v>
      </c>
      <c r="BB4" s="63">
        <f t="shared" si="0"/>
        <v>0.17</v>
      </c>
      <c r="BC4" s="63">
        <f t="shared" si="0"/>
        <v>0.17</v>
      </c>
      <c r="BD4" s="63">
        <f t="shared" si="0"/>
        <v>0.17</v>
      </c>
      <c r="BE4" s="63">
        <f t="shared" si="0"/>
        <v>0.17</v>
      </c>
      <c r="BF4" s="63">
        <f t="shared" si="0"/>
        <v>0.17</v>
      </c>
      <c r="BG4" s="63">
        <f t="shared" si="0"/>
        <v>0.17</v>
      </c>
      <c r="BH4" s="63">
        <f t="shared" si="0"/>
        <v>0.17</v>
      </c>
      <c r="BI4" s="63">
        <f t="shared" si="0"/>
        <v>0.17</v>
      </c>
      <c r="BJ4" s="63">
        <f t="shared" si="0"/>
        <v>0.17</v>
      </c>
      <c r="BK4" s="63">
        <f t="shared" si="0"/>
        <v>0.17</v>
      </c>
      <c r="BL4" s="63">
        <f t="shared" si="0"/>
        <v>0.17</v>
      </c>
      <c r="BM4" s="63">
        <f t="shared" si="0"/>
        <v>0.17</v>
      </c>
      <c r="BN4" s="63">
        <f t="shared" si="0"/>
        <v>0.17</v>
      </c>
      <c r="BO4" s="63">
        <f t="shared" si="0"/>
        <v>0.17</v>
      </c>
      <c r="BP4" s="63">
        <f t="shared" si="0"/>
        <v>0.17</v>
      </c>
      <c r="BQ4" s="63">
        <f t="shared" si="0"/>
        <v>0.17</v>
      </c>
      <c r="BR4" s="63">
        <f t="shared" ref="BR4:CK4" si="1">$E$32</f>
        <v>0.17</v>
      </c>
      <c r="BS4" s="63">
        <f t="shared" si="1"/>
        <v>0.17</v>
      </c>
      <c r="BT4" s="63">
        <f t="shared" si="1"/>
        <v>0.17</v>
      </c>
      <c r="BU4" s="63">
        <f t="shared" si="1"/>
        <v>0.17</v>
      </c>
      <c r="BV4" s="63">
        <f t="shared" si="1"/>
        <v>0.17</v>
      </c>
      <c r="BW4" s="63">
        <f t="shared" si="1"/>
        <v>0.17</v>
      </c>
      <c r="BX4" s="63">
        <f t="shared" si="1"/>
        <v>0.17</v>
      </c>
      <c r="BY4" s="63">
        <f t="shared" si="1"/>
        <v>0.17</v>
      </c>
      <c r="BZ4" s="63">
        <f t="shared" si="1"/>
        <v>0.17</v>
      </c>
      <c r="CA4" s="63">
        <f t="shared" si="1"/>
        <v>0.17</v>
      </c>
      <c r="CB4" s="63">
        <f t="shared" si="1"/>
        <v>0.17</v>
      </c>
      <c r="CC4" s="63">
        <f t="shared" si="1"/>
        <v>0.17</v>
      </c>
      <c r="CD4" s="63">
        <f t="shared" si="1"/>
        <v>0.17</v>
      </c>
      <c r="CE4" s="63">
        <f t="shared" si="1"/>
        <v>0.17</v>
      </c>
      <c r="CF4" s="63">
        <f t="shared" si="1"/>
        <v>0.17</v>
      </c>
      <c r="CG4" s="63">
        <f t="shared" si="1"/>
        <v>0.17</v>
      </c>
      <c r="CH4" s="63">
        <f t="shared" si="1"/>
        <v>0.17</v>
      </c>
      <c r="CI4" s="63">
        <f t="shared" si="1"/>
        <v>0.17</v>
      </c>
      <c r="CJ4" s="63">
        <f t="shared" si="1"/>
        <v>0.17</v>
      </c>
      <c r="CK4" s="63">
        <f t="shared" si="1"/>
        <v>0.17</v>
      </c>
    </row>
    <row r="5" spans="1:90" s="28" customFormat="1" x14ac:dyDescent="0.25">
      <c r="A5" s="20" t="s">
        <v>487</v>
      </c>
      <c r="E5" s="28">
        <f>(E2/(1+E4))/E3</f>
        <v>1.045602289338069</v>
      </c>
      <c r="F5" s="28">
        <f t="shared" ref="F5:BQ5" si="2">(F2/(1+F4))/F3</f>
        <v>0.94465770936966464</v>
      </c>
      <c r="G5" s="28">
        <f t="shared" si="2"/>
        <v>0.9457437965439589</v>
      </c>
      <c r="H5" s="28">
        <f t="shared" si="2"/>
        <v>0.98590685681813517</v>
      </c>
      <c r="I5" s="28">
        <f t="shared" si="2"/>
        <v>0.99955722520543211</v>
      </c>
      <c r="J5" s="28">
        <f t="shared" si="2"/>
        <v>1.0171265145735155</v>
      </c>
      <c r="K5" s="28">
        <f t="shared" si="2"/>
        <v>1.0123883817458434</v>
      </c>
      <c r="L5" s="28">
        <f t="shared" si="2"/>
        <v>0.97464784771110358</v>
      </c>
      <c r="M5" s="28">
        <f t="shared" si="2"/>
        <v>0.96354576644457834</v>
      </c>
      <c r="N5" s="28">
        <f t="shared" si="2"/>
        <v>0.95785258783746674</v>
      </c>
      <c r="O5" s="28">
        <f t="shared" si="2"/>
        <v>0.94719866316581802</v>
      </c>
      <c r="P5" s="28">
        <f t="shared" si="2"/>
        <v>0.98705947578876152</v>
      </c>
      <c r="Q5" s="28">
        <f t="shared" si="2"/>
        <v>1.0257507013147693</v>
      </c>
      <c r="R5" s="28">
        <f t="shared" si="2"/>
        <v>1.0198289770527362</v>
      </c>
      <c r="S5" s="28">
        <f t="shared" si="2"/>
        <v>1.017275919518088</v>
      </c>
      <c r="T5" s="28">
        <f t="shared" si="2"/>
        <v>1.0470328354733178</v>
      </c>
      <c r="U5" s="28">
        <f t="shared" si="2"/>
        <v>1.0143804989748262</v>
      </c>
      <c r="V5" s="28">
        <f t="shared" si="2"/>
        <v>1.0513883109941802</v>
      </c>
      <c r="W5" s="28">
        <f t="shared" si="2"/>
        <v>1.0429952549998149</v>
      </c>
      <c r="X5" s="28">
        <f t="shared" si="2"/>
        <v>0.97639761166131889</v>
      </c>
      <c r="Y5" s="28">
        <f t="shared" si="2"/>
        <v>0.98766317339072685</v>
      </c>
      <c r="Z5" s="28">
        <f t="shared" si="2"/>
        <v>0.98098474847050188</v>
      </c>
      <c r="AA5" s="28">
        <f t="shared" si="2"/>
        <v>1.0050612746361032</v>
      </c>
      <c r="AB5" s="28">
        <f t="shared" si="2"/>
        <v>1.0165631647727966</v>
      </c>
      <c r="AC5" s="28">
        <f t="shared" si="2"/>
        <v>0.99649911307685335</v>
      </c>
      <c r="AD5" s="28">
        <f t="shared" si="2"/>
        <v>1.0026514812601202</v>
      </c>
      <c r="AE5" s="28">
        <f t="shared" si="2"/>
        <v>1.0371031092300833</v>
      </c>
      <c r="AF5" s="28">
        <f t="shared" si="2"/>
        <v>1.0861663042303518</v>
      </c>
      <c r="AG5" s="28">
        <f t="shared" si="2"/>
        <v>0.98150691866468842</v>
      </c>
      <c r="AH5" s="28">
        <f t="shared" si="2"/>
        <v>1.0026275374723201</v>
      </c>
      <c r="AI5" s="28">
        <f t="shared" si="2"/>
        <v>1.0074560314425061</v>
      </c>
      <c r="AJ5" s="28">
        <f t="shared" si="2"/>
        <v>1.0790233495750055</v>
      </c>
      <c r="AK5" s="28">
        <f t="shared" si="2"/>
        <v>0.98323092462180828</v>
      </c>
      <c r="AL5" s="28">
        <f t="shared" si="2"/>
        <v>0.97901477458047081</v>
      </c>
      <c r="AM5" s="28">
        <f t="shared" si="2"/>
        <v>0.98657694490261816</v>
      </c>
      <c r="AN5" s="28">
        <f t="shared" si="2"/>
        <v>1.000909186092116</v>
      </c>
      <c r="AO5" s="28">
        <f t="shared" si="2"/>
        <v>0.99409083912173812</v>
      </c>
      <c r="AP5" s="28">
        <f t="shared" si="2"/>
        <v>0.98571265003654662</v>
      </c>
      <c r="AQ5" s="28">
        <f t="shared" si="2"/>
        <v>0.84250129000857832</v>
      </c>
      <c r="AR5" s="28">
        <f t="shared" si="2"/>
        <v>1.153547976463545</v>
      </c>
      <c r="AS5" s="28" t="e">
        <f t="shared" si="2"/>
        <v>#DIV/0!</v>
      </c>
      <c r="AT5" s="28" t="e">
        <f t="shared" si="2"/>
        <v>#DIV/0!</v>
      </c>
      <c r="AU5" s="28" t="e">
        <f t="shared" si="2"/>
        <v>#DIV/0!</v>
      </c>
      <c r="AV5" s="28" t="e">
        <f t="shared" si="2"/>
        <v>#DIV/0!</v>
      </c>
      <c r="AW5" s="28" t="e">
        <f t="shared" si="2"/>
        <v>#DIV/0!</v>
      </c>
      <c r="AX5" s="28" t="e">
        <f t="shared" si="2"/>
        <v>#DIV/0!</v>
      </c>
      <c r="AY5" s="28" t="e">
        <f t="shared" si="2"/>
        <v>#DIV/0!</v>
      </c>
      <c r="AZ5" s="28" t="e">
        <f t="shared" si="2"/>
        <v>#DIV/0!</v>
      </c>
      <c r="BA5" s="28" t="e">
        <f t="shared" si="2"/>
        <v>#DIV/0!</v>
      </c>
      <c r="BB5" s="28" t="e">
        <f t="shared" si="2"/>
        <v>#DIV/0!</v>
      </c>
      <c r="BC5" s="28" t="e">
        <f t="shared" si="2"/>
        <v>#DIV/0!</v>
      </c>
      <c r="BD5" s="28" t="e">
        <f t="shared" si="2"/>
        <v>#DIV/0!</v>
      </c>
      <c r="BE5" s="28" t="e">
        <f t="shared" si="2"/>
        <v>#DIV/0!</v>
      </c>
      <c r="BF5" s="28" t="e">
        <f t="shared" si="2"/>
        <v>#DIV/0!</v>
      </c>
      <c r="BG5" s="28" t="e">
        <f t="shared" si="2"/>
        <v>#DIV/0!</v>
      </c>
      <c r="BH5" s="28" t="e">
        <f t="shared" si="2"/>
        <v>#DIV/0!</v>
      </c>
      <c r="BI5" s="28" t="e">
        <f t="shared" si="2"/>
        <v>#DIV/0!</v>
      </c>
      <c r="BJ5" s="28" t="e">
        <f t="shared" si="2"/>
        <v>#DIV/0!</v>
      </c>
      <c r="BK5" s="28" t="e">
        <f t="shared" si="2"/>
        <v>#DIV/0!</v>
      </c>
      <c r="BL5" s="28" t="e">
        <f t="shared" si="2"/>
        <v>#DIV/0!</v>
      </c>
      <c r="BM5" s="28" t="e">
        <f t="shared" si="2"/>
        <v>#DIV/0!</v>
      </c>
      <c r="BN5" s="28" t="e">
        <f t="shared" si="2"/>
        <v>#DIV/0!</v>
      </c>
      <c r="BO5" s="28" t="e">
        <f t="shared" si="2"/>
        <v>#DIV/0!</v>
      </c>
      <c r="BP5" s="28" t="e">
        <f t="shared" si="2"/>
        <v>#DIV/0!</v>
      </c>
      <c r="BQ5" s="28" t="e">
        <f t="shared" si="2"/>
        <v>#DIV/0!</v>
      </c>
      <c r="BR5" s="28" t="e">
        <f t="shared" ref="BR5:CL5" si="3">(BR2/(1+BR4))/BR3</f>
        <v>#DIV/0!</v>
      </c>
      <c r="BS5" s="28" t="e">
        <f t="shared" si="3"/>
        <v>#DIV/0!</v>
      </c>
      <c r="BT5" s="28" t="e">
        <f t="shared" si="3"/>
        <v>#DIV/0!</v>
      </c>
      <c r="BU5" s="28" t="e">
        <f t="shared" si="3"/>
        <v>#DIV/0!</v>
      </c>
      <c r="BV5" s="28" t="e">
        <f t="shared" si="3"/>
        <v>#DIV/0!</v>
      </c>
      <c r="BW5" s="28" t="e">
        <f t="shared" si="3"/>
        <v>#DIV/0!</v>
      </c>
      <c r="BX5" s="28" t="e">
        <f t="shared" si="3"/>
        <v>#DIV/0!</v>
      </c>
      <c r="BY5" s="28" t="e">
        <f t="shared" si="3"/>
        <v>#DIV/0!</v>
      </c>
      <c r="BZ5" s="28" t="e">
        <f t="shared" si="3"/>
        <v>#DIV/0!</v>
      </c>
      <c r="CA5" s="28" t="e">
        <f t="shared" si="3"/>
        <v>#DIV/0!</v>
      </c>
      <c r="CB5" s="28" t="e">
        <f t="shared" si="3"/>
        <v>#DIV/0!</v>
      </c>
      <c r="CC5" s="28" t="e">
        <f t="shared" si="3"/>
        <v>#DIV/0!</v>
      </c>
      <c r="CD5" s="28" t="e">
        <f t="shared" si="3"/>
        <v>#DIV/0!</v>
      </c>
      <c r="CE5" s="28" t="e">
        <f t="shared" si="3"/>
        <v>#DIV/0!</v>
      </c>
      <c r="CF5" s="28" t="e">
        <f t="shared" si="3"/>
        <v>#DIV/0!</v>
      </c>
      <c r="CG5" s="28" t="e">
        <f t="shared" si="3"/>
        <v>#DIV/0!</v>
      </c>
      <c r="CH5" s="28" t="e">
        <f t="shared" si="3"/>
        <v>#DIV/0!</v>
      </c>
      <c r="CI5" s="28" t="e">
        <f t="shared" si="3"/>
        <v>#DIV/0!</v>
      </c>
      <c r="CJ5" s="28" t="e">
        <f t="shared" si="3"/>
        <v>#DIV/0!</v>
      </c>
      <c r="CK5" s="28" t="e">
        <f t="shared" si="3"/>
        <v>#DIV/0!</v>
      </c>
      <c r="CL5" s="28" t="e">
        <f t="shared" si="3"/>
        <v>#DIV/0!</v>
      </c>
    </row>
    <row r="6" spans="1:90" s="26" customFormat="1" x14ac:dyDescent="0.25">
      <c r="A6" s="17" t="s">
        <v>488</v>
      </c>
      <c r="E6" s="26">
        <f>现金流量表!E8</f>
        <v>3609821600.6999998</v>
      </c>
      <c r="F6" s="26">
        <f>现金流量表!F8</f>
        <v>2323071420.4400001</v>
      </c>
      <c r="G6" s="26">
        <f>现金流量表!G8</f>
        <v>1492025561.8399999</v>
      </c>
      <c r="H6" s="26">
        <f>现金流量表!H8</f>
        <v>688643736.25999999</v>
      </c>
      <c r="I6" s="26">
        <f>现金流量表!I8</f>
        <v>1803863738.21</v>
      </c>
      <c r="J6" s="26">
        <f>现金流量表!J8</f>
        <v>1264408788.6700001</v>
      </c>
      <c r="K6" s="26">
        <f>现金流量表!K8</f>
        <v>801825879.37</v>
      </c>
      <c r="L6" s="26">
        <f>现金流量表!L8</f>
        <v>379886905.56999999</v>
      </c>
      <c r="M6" s="26">
        <f>现金流量表!M8</f>
        <v>1741353288.3399999</v>
      </c>
      <c r="N6" s="26">
        <f>现金流量表!N8</f>
        <v>1103671201.21</v>
      </c>
      <c r="O6" s="26">
        <f>现金流量表!O8</f>
        <v>688480396.50999999</v>
      </c>
      <c r="P6" s="26">
        <f>现金流量表!P8</f>
        <v>392445189.70999998</v>
      </c>
      <c r="Q6" s="26">
        <f>现金流量表!Q8</f>
        <v>1720148709.0899999</v>
      </c>
      <c r="R6" s="26">
        <f>现金流量表!R8</f>
        <v>1158120394.3699999</v>
      </c>
      <c r="S6" s="26">
        <f>现金流量表!S8</f>
        <v>747790322.51999998</v>
      </c>
      <c r="T6" s="26">
        <f>现金流量表!T8</f>
        <v>427284503.94</v>
      </c>
      <c r="U6" s="26">
        <f>现金流量表!U8</f>
        <v>1614570293.9300001</v>
      </c>
      <c r="V6" s="26">
        <f>现金流量表!V8</f>
        <v>1282604995.45</v>
      </c>
      <c r="W6" s="26">
        <f>现金流量表!W8</f>
        <v>888757097.39999998</v>
      </c>
      <c r="X6" s="26">
        <f>现金流量表!X8</f>
        <v>443559084.66000003</v>
      </c>
      <c r="Y6" s="26">
        <f>现金流量表!Y8</f>
        <v>1951625661.6300001</v>
      </c>
      <c r="Z6" s="26">
        <f>现金流量表!Z8</f>
        <v>1482693822.45</v>
      </c>
      <c r="AA6" s="26">
        <f>现金流量表!AA8</f>
        <v>972415037.48000002</v>
      </c>
      <c r="AB6" s="26">
        <f>现金流量表!AB8</f>
        <v>499030388.23000002</v>
      </c>
      <c r="AC6" s="26">
        <f>现金流量表!AC8</f>
        <v>1661510580.8</v>
      </c>
      <c r="AD6" s="26">
        <f>现金流量表!AD8</f>
        <v>1230350167.1400001</v>
      </c>
      <c r="AE6" s="26">
        <f>现金流量表!AE8</f>
        <v>817875308.41999996</v>
      </c>
      <c r="AF6" s="26">
        <f>现金流量表!AF8</f>
        <v>459565632.83999997</v>
      </c>
      <c r="AG6" s="26">
        <f>现金流量表!AG8</f>
        <v>1375766897.97</v>
      </c>
      <c r="AH6" s="26">
        <f>现金流量表!AH8</f>
        <v>1015684690.5</v>
      </c>
      <c r="AI6" s="26">
        <f>现金流量表!AI8</f>
        <v>597309569.08000004</v>
      </c>
      <c r="AJ6" s="26">
        <f>现金流量表!AJ8</f>
        <v>292742398.63</v>
      </c>
      <c r="AK6" s="26">
        <f>现金流量表!AK8</f>
        <v>825941878.73000002</v>
      </c>
      <c r="AL6" s="26">
        <f>现金流量表!AL8</f>
        <v>497940815.36000001</v>
      </c>
      <c r="AM6" s="26">
        <f>现金流量表!AM8</f>
        <v>292176160.31999999</v>
      </c>
      <c r="AN6" s="26">
        <f>现金流量表!AN8</f>
        <v>170804972.46000001</v>
      </c>
      <c r="AO6" s="26">
        <f>现金流量表!AO8</f>
        <v>652826308.24000001</v>
      </c>
      <c r="AP6" s="26">
        <f>现金流量表!AP8</f>
        <v>484156990.38999999</v>
      </c>
      <c r="AQ6" s="26">
        <f>现金流量表!AQ8</f>
        <v>515703590.80000001</v>
      </c>
      <c r="AR6" s="26">
        <f>现金流量表!AR8</f>
        <v>611151271.71000004</v>
      </c>
      <c r="AS6" s="26">
        <f>现金流量表!AS8</f>
        <v>0</v>
      </c>
      <c r="AT6" s="26">
        <f>现金流量表!AT8</f>
        <v>0</v>
      </c>
      <c r="AU6" s="26">
        <f>现金流量表!AU8</f>
        <v>0</v>
      </c>
      <c r="AV6" s="26">
        <f>现金流量表!AV8</f>
        <v>0</v>
      </c>
      <c r="AW6" s="26">
        <f>现金流量表!AW8</f>
        <v>0</v>
      </c>
      <c r="AX6" s="26">
        <f>现金流量表!AX8</f>
        <v>0</v>
      </c>
      <c r="AY6" s="26">
        <f>现金流量表!AY8</f>
        <v>0</v>
      </c>
      <c r="AZ6" s="26">
        <f>现金流量表!AZ8</f>
        <v>0</v>
      </c>
      <c r="BA6" s="26">
        <f>现金流量表!BA8</f>
        <v>0</v>
      </c>
      <c r="BB6" s="26">
        <f>现金流量表!BB8</f>
        <v>0</v>
      </c>
      <c r="BC6" s="26">
        <f>现金流量表!BC8</f>
        <v>0</v>
      </c>
      <c r="BD6" s="26">
        <f>现金流量表!BD8</f>
        <v>0</v>
      </c>
      <c r="BE6" s="26">
        <f>现金流量表!BE8</f>
        <v>0</v>
      </c>
      <c r="BF6" s="26">
        <f>现金流量表!BF8</f>
        <v>0</v>
      </c>
      <c r="BG6" s="26">
        <f>现金流量表!BG8</f>
        <v>0</v>
      </c>
      <c r="BH6" s="26">
        <f>现金流量表!BH8</f>
        <v>0</v>
      </c>
      <c r="BI6" s="26">
        <f>现金流量表!BI8</f>
        <v>0</v>
      </c>
      <c r="BJ6" s="26">
        <f>现金流量表!BJ8</f>
        <v>0</v>
      </c>
      <c r="BK6" s="26">
        <f>现金流量表!BK8</f>
        <v>0</v>
      </c>
      <c r="BL6" s="26">
        <f>现金流量表!BL8</f>
        <v>0</v>
      </c>
      <c r="BM6" s="26">
        <f>现金流量表!BM8</f>
        <v>0</v>
      </c>
      <c r="BN6" s="26">
        <f>现金流量表!BN8</f>
        <v>0</v>
      </c>
      <c r="BO6" s="26">
        <f>现金流量表!BO8</f>
        <v>0</v>
      </c>
      <c r="BP6" s="26">
        <f>现金流量表!BP8</f>
        <v>0</v>
      </c>
      <c r="BQ6" s="26">
        <f>现金流量表!BQ8</f>
        <v>0</v>
      </c>
      <c r="BR6" s="26">
        <f>现金流量表!BR8</f>
        <v>0</v>
      </c>
      <c r="BS6" s="26">
        <f>现金流量表!BS8</f>
        <v>0</v>
      </c>
      <c r="BT6" s="26">
        <f>现金流量表!BT8</f>
        <v>0</v>
      </c>
      <c r="BU6" s="26">
        <f>现金流量表!BU8</f>
        <v>0</v>
      </c>
      <c r="BV6" s="26">
        <f>现金流量表!BV8</f>
        <v>0</v>
      </c>
      <c r="BW6" s="26">
        <f>现金流量表!BW8</f>
        <v>0</v>
      </c>
      <c r="BX6" s="26">
        <f>现金流量表!BX8</f>
        <v>0</v>
      </c>
      <c r="BY6" s="26">
        <f>现金流量表!BY8</f>
        <v>0</v>
      </c>
      <c r="BZ6" s="26">
        <f>现金流量表!BZ8</f>
        <v>0</v>
      </c>
      <c r="CA6" s="26">
        <f>现金流量表!CA8</f>
        <v>0</v>
      </c>
      <c r="CB6" s="26">
        <f>现金流量表!CB8</f>
        <v>0</v>
      </c>
      <c r="CC6" s="26">
        <f>现金流量表!CC8</f>
        <v>0</v>
      </c>
      <c r="CD6" s="26">
        <f>现金流量表!CD8</f>
        <v>0</v>
      </c>
      <c r="CE6" s="26">
        <f>现金流量表!CE8</f>
        <v>0</v>
      </c>
      <c r="CF6" s="26">
        <f>现金流量表!CF8</f>
        <v>0</v>
      </c>
      <c r="CG6" s="26">
        <f>现金流量表!CG8</f>
        <v>0</v>
      </c>
      <c r="CH6" s="26">
        <f>现金流量表!CH8</f>
        <v>0</v>
      </c>
      <c r="CI6" s="26">
        <f>现金流量表!CI8</f>
        <v>0</v>
      </c>
      <c r="CJ6" s="26">
        <f>现金流量表!CJ8</f>
        <v>0</v>
      </c>
      <c r="CK6" s="26">
        <f>现金流量表!CK8</f>
        <v>0</v>
      </c>
    </row>
    <row r="7" spans="1:90" s="26" customFormat="1" x14ac:dyDescent="0.25">
      <c r="A7" s="17" t="s">
        <v>489</v>
      </c>
      <c r="E7" s="26">
        <f>现金流量表!E9</f>
        <v>682014023.92999995</v>
      </c>
      <c r="F7" s="26">
        <f>现金流量表!F9</f>
        <v>528866846.76999998</v>
      </c>
      <c r="G7" s="26">
        <f>现金流量表!G9</f>
        <v>308145724.32999998</v>
      </c>
      <c r="H7" s="26">
        <f>现金流量表!H9</f>
        <v>192581262.03</v>
      </c>
      <c r="I7" s="26">
        <f>现金流量表!I9</f>
        <v>562633225.27999997</v>
      </c>
      <c r="J7" s="26">
        <f>现金流量表!J9</f>
        <v>409832250.43000001</v>
      </c>
      <c r="K7" s="26">
        <f>现金流量表!K9</f>
        <v>279583692.58999997</v>
      </c>
      <c r="L7" s="26">
        <f>现金流量表!L9</f>
        <v>122890858.8</v>
      </c>
      <c r="M7" s="26">
        <f>现金流量表!M9</f>
        <v>522729966.67000002</v>
      </c>
      <c r="N7" s="26">
        <f>现金流量表!N9</f>
        <v>363246433.61000001</v>
      </c>
      <c r="O7" s="26">
        <f>现金流量表!O9</f>
        <v>248495080.11000001</v>
      </c>
      <c r="P7" s="26">
        <f>现金流量表!P9</f>
        <v>127429186.08</v>
      </c>
      <c r="Q7" s="26">
        <f>现金流量表!Q9</f>
        <v>436243663.13999999</v>
      </c>
      <c r="R7" s="26">
        <f>现金流量表!R9</f>
        <v>307775670.87</v>
      </c>
      <c r="S7" s="26">
        <f>现金流量表!S9</f>
        <v>205648688.61000001</v>
      </c>
      <c r="T7" s="26">
        <f>现金流量表!T9</f>
        <v>109160160.56</v>
      </c>
      <c r="U7" s="26">
        <f>现金流量表!U9</f>
        <v>427048661.64999998</v>
      </c>
      <c r="V7" s="26">
        <f>现金流量表!V9</f>
        <v>295690120.94999999</v>
      </c>
      <c r="W7" s="26">
        <f>现金流量表!W9</f>
        <v>204246507.28999999</v>
      </c>
      <c r="X7" s="26">
        <f>现金流量表!X9</f>
        <v>109028812.94</v>
      </c>
      <c r="Y7" s="26">
        <f>现金流量表!Y9</f>
        <v>399667655.35000002</v>
      </c>
      <c r="Z7" s="26">
        <f>现金流量表!Z9</f>
        <v>277085536.07999998</v>
      </c>
      <c r="AA7" s="26">
        <f>现金流量表!AA9</f>
        <v>180220595.50999999</v>
      </c>
      <c r="AB7" s="26">
        <f>现金流量表!AB9</f>
        <v>80729054.810000002</v>
      </c>
      <c r="AC7" s="26">
        <f>现金流量表!AC9</f>
        <v>283502960.60000002</v>
      </c>
      <c r="AD7" s="26">
        <f>现金流量表!AD9</f>
        <v>175212650.94999999</v>
      </c>
      <c r="AE7" s="26">
        <f>现金流量表!AE9</f>
        <v>113024221.92</v>
      </c>
      <c r="AF7" s="26">
        <f>现金流量表!AF9</f>
        <v>54108054.009999998</v>
      </c>
      <c r="AG7" s="26">
        <f>现金流量表!AG9</f>
        <v>186294058.69999999</v>
      </c>
      <c r="AH7" s="26">
        <f>现金流量表!AH9</f>
        <v>125007384.48</v>
      </c>
      <c r="AI7" s="26">
        <f>现金流量表!AI9</f>
        <v>80022531</v>
      </c>
      <c r="AJ7" s="26">
        <f>现金流量表!AJ9</f>
        <v>38345491.600000001</v>
      </c>
      <c r="AK7" s="26">
        <f>现金流量表!AK9</f>
        <v>125658221.75</v>
      </c>
      <c r="AL7" s="26">
        <f>现金流量表!AL9</f>
        <v>82522858.150000006</v>
      </c>
      <c r="AM7" s="26">
        <f>现金流量表!AM9</f>
        <v>54585919.770000003</v>
      </c>
      <c r="AN7" s="26">
        <f>现金流量表!AN9</f>
        <v>27680341.079999998</v>
      </c>
      <c r="AO7" s="26">
        <f>现金流量表!AO9</f>
        <v>83679669.129999995</v>
      </c>
      <c r="AP7" s="26">
        <f>现金流量表!AP9</f>
        <v>60320684.439999998</v>
      </c>
      <c r="AQ7" s="26">
        <f>现金流量表!AQ9</f>
        <v>50772602.25</v>
      </c>
      <c r="AR7" s="26">
        <f>现金流量表!AR9</f>
        <v>31357816.780000001</v>
      </c>
      <c r="AS7" s="26">
        <f>现金流量表!AS9</f>
        <v>0</v>
      </c>
      <c r="AT7" s="26">
        <f>现金流量表!AT9</f>
        <v>0</v>
      </c>
      <c r="AU7" s="26">
        <f>现金流量表!AU9</f>
        <v>0</v>
      </c>
      <c r="AV7" s="26">
        <f>现金流量表!AV9</f>
        <v>0</v>
      </c>
      <c r="AW7" s="26">
        <f>现金流量表!AW9</f>
        <v>0</v>
      </c>
      <c r="AX7" s="26">
        <f>现金流量表!AX9</f>
        <v>0</v>
      </c>
      <c r="AY7" s="26">
        <f>现金流量表!AY9</f>
        <v>0</v>
      </c>
      <c r="AZ7" s="26">
        <f>现金流量表!AZ9</f>
        <v>0</v>
      </c>
      <c r="BA7" s="26">
        <f>现金流量表!BA9</f>
        <v>0</v>
      </c>
      <c r="BB7" s="26">
        <f>现金流量表!BB9</f>
        <v>0</v>
      </c>
      <c r="BC7" s="26">
        <f>现金流量表!BC9</f>
        <v>0</v>
      </c>
      <c r="BD7" s="26">
        <f>现金流量表!BD9</f>
        <v>0</v>
      </c>
      <c r="BE7" s="26">
        <f>现金流量表!BE9</f>
        <v>0</v>
      </c>
      <c r="BF7" s="26">
        <f>现金流量表!BF9</f>
        <v>0</v>
      </c>
      <c r="BG7" s="26">
        <f>现金流量表!BG9</f>
        <v>0</v>
      </c>
      <c r="BH7" s="26">
        <f>现金流量表!BH9</f>
        <v>0</v>
      </c>
      <c r="BI7" s="26">
        <f>现金流量表!BI9</f>
        <v>0</v>
      </c>
      <c r="BJ7" s="26">
        <f>现金流量表!BJ9</f>
        <v>0</v>
      </c>
      <c r="BK7" s="26">
        <f>现金流量表!BK9</f>
        <v>0</v>
      </c>
      <c r="BL7" s="26">
        <f>现金流量表!BL9</f>
        <v>0</v>
      </c>
      <c r="BM7" s="26">
        <f>现金流量表!BM9</f>
        <v>0</v>
      </c>
      <c r="BN7" s="26">
        <f>现金流量表!BN9</f>
        <v>0</v>
      </c>
      <c r="BO7" s="26">
        <f>现金流量表!BO9</f>
        <v>0</v>
      </c>
      <c r="BP7" s="26">
        <f>现金流量表!BP9</f>
        <v>0</v>
      </c>
      <c r="BQ7" s="26">
        <f>现金流量表!BQ9</f>
        <v>0</v>
      </c>
      <c r="BR7" s="26">
        <f>现金流量表!BR9</f>
        <v>0</v>
      </c>
      <c r="BS7" s="26">
        <f>现金流量表!BS9</f>
        <v>0</v>
      </c>
      <c r="BT7" s="26">
        <f>现金流量表!BT9</f>
        <v>0</v>
      </c>
      <c r="BU7" s="26">
        <f>现金流量表!BU9</f>
        <v>0</v>
      </c>
      <c r="BV7" s="26">
        <f>现金流量表!BV9</f>
        <v>0</v>
      </c>
      <c r="BW7" s="26">
        <f>现金流量表!BW9</f>
        <v>0</v>
      </c>
      <c r="BX7" s="26">
        <f>现金流量表!BX9</f>
        <v>0</v>
      </c>
      <c r="BY7" s="26">
        <f>现金流量表!BY9</f>
        <v>0</v>
      </c>
      <c r="BZ7" s="26">
        <f>现金流量表!BZ9</f>
        <v>0</v>
      </c>
      <c r="CA7" s="26">
        <f>现金流量表!CA9</f>
        <v>0</v>
      </c>
      <c r="CB7" s="26">
        <f>现金流量表!CB9</f>
        <v>0</v>
      </c>
      <c r="CC7" s="26">
        <f>现金流量表!CC9</f>
        <v>0</v>
      </c>
      <c r="CD7" s="26">
        <f>现金流量表!CD9</f>
        <v>0</v>
      </c>
      <c r="CE7" s="26">
        <f>现金流量表!CE9</f>
        <v>0</v>
      </c>
      <c r="CF7" s="26">
        <f>现金流量表!CF9</f>
        <v>0</v>
      </c>
      <c r="CG7" s="26">
        <f>现金流量表!CG9</f>
        <v>0</v>
      </c>
      <c r="CH7" s="26">
        <f>现金流量表!CH9</f>
        <v>0</v>
      </c>
      <c r="CI7" s="26">
        <f>现金流量表!CI9</f>
        <v>0</v>
      </c>
      <c r="CJ7" s="26">
        <f>现金流量表!CJ9</f>
        <v>0</v>
      </c>
      <c r="CK7" s="26">
        <f>现金流量表!CK9</f>
        <v>0</v>
      </c>
      <c r="CL7" s="26">
        <f>现金流量表!CL9</f>
        <v>0</v>
      </c>
    </row>
    <row r="8" spans="1:90" s="58" customFormat="1" x14ac:dyDescent="0.25">
      <c r="A8" s="146" t="s">
        <v>490</v>
      </c>
      <c r="E8" s="58">
        <f>利润表!E6</f>
        <v>2635590846.21</v>
      </c>
      <c r="F8" s="58">
        <f>利润表!F6</f>
        <v>1773993047.99</v>
      </c>
      <c r="G8" s="58">
        <f>利润表!G6</f>
        <v>1090223199.48</v>
      </c>
      <c r="H8" s="58">
        <f>利润表!H6</f>
        <v>586351416.38999999</v>
      </c>
      <c r="I8" s="58">
        <f>利润表!I6</f>
        <v>1624554797.76</v>
      </c>
      <c r="J8" s="58">
        <f>利润表!J6</f>
        <v>1105706598.52</v>
      </c>
      <c r="K8" s="58">
        <f>利润表!K6</f>
        <v>676890906.00999999</v>
      </c>
      <c r="L8" s="58">
        <f>利润表!L6</f>
        <v>382181848.41000003</v>
      </c>
      <c r="M8" s="58">
        <f>利润表!M6</f>
        <v>1488077938.76</v>
      </c>
      <c r="N8" s="58">
        <f>利润表!N6</f>
        <v>1070685858.4</v>
      </c>
      <c r="O8" s="58">
        <f>利润表!O6</f>
        <v>646044667.88</v>
      </c>
      <c r="P8" s="58">
        <f>利润表!P6</f>
        <v>368353515.80000001</v>
      </c>
      <c r="Q8" s="58">
        <f>利润表!Q6</f>
        <v>1522590313.74</v>
      </c>
      <c r="R8" s="58">
        <f>利润表!R6</f>
        <v>1049502064.09</v>
      </c>
      <c r="S8" s="58">
        <f>利润表!S6</f>
        <v>614113615.22000003</v>
      </c>
      <c r="T8" s="58">
        <f>利润表!T6</f>
        <v>364584481.94</v>
      </c>
      <c r="U8" s="58">
        <f>利润表!U6</f>
        <v>1414058164.54</v>
      </c>
      <c r="V8" s="58">
        <f>利润表!V6</f>
        <v>987390552.35000002</v>
      </c>
      <c r="W8" s="58">
        <f>利润表!W6</f>
        <v>613641321.99000001</v>
      </c>
      <c r="X8" s="58">
        <f>利润表!X6</f>
        <v>354907772.18000001</v>
      </c>
      <c r="Y8" s="58">
        <f>利润表!Y6</f>
        <v>1574584274.8199999</v>
      </c>
      <c r="Z8" s="58">
        <f>利润表!Z6</f>
        <v>1075633938.99</v>
      </c>
      <c r="AA8" s="58">
        <f>利润表!AA6</f>
        <v>583133528.04999995</v>
      </c>
      <c r="AB8" s="58">
        <f>利润表!AB6</f>
        <v>327439565.81</v>
      </c>
      <c r="AC8" s="58">
        <f>利润表!AC6</f>
        <v>1377436916.3499999</v>
      </c>
      <c r="AD8" s="58">
        <f>利润表!AD6</f>
        <v>987289834.52999997</v>
      </c>
      <c r="AE8" s="58">
        <f>利润表!AE6</f>
        <v>593673817.29999995</v>
      </c>
      <c r="AF8" s="58">
        <f>利润表!AF6</f>
        <v>349417553.02999997</v>
      </c>
      <c r="AG8" s="58">
        <f>利润表!AG6</f>
        <v>1131280282.5999999</v>
      </c>
      <c r="AH8" s="58">
        <f>利润表!AH6</f>
        <v>712739208.15999997</v>
      </c>
      <c r="AI8" s="58">
        <f>利润表!AI6</f>
        <v>401643789.75</v>
      </c>
      <c r="AJ8" s="58">
        <f>利润表!AJ6</f>
        <v>217129319.08000001</v>
      </c>
      <c r="AK8" s="58">
        <f>利润表!AK6</f>
        <v>697436260.83000004</v>
      </c>
      <c r="AL8" s="58">
        <f>利润表!AL6</f>
        <v>441509914.73000002</v>
      </c>
      <c r="AM8" s="58">
        <f>利润表!AM6</f>
        <v>245422172.28</v>
      </c>
      <c r="AN8" s="58">
        <f>利润表!AN6</f>
        <v>160507029.72999999</v>
      </c>
      <c r="AO8" s="58">
        <f>利润表!AO6</f>
        <v>568121133.83000004</v>
      </c>
      <c r="AP8" s="58">
        <f>利润表!AP6</f>
        <v>392963008.33999997</v>
      </c>
      <c r="AQ8" s="58">
        <f>利润表!AQ6</f>
        <v>492404923.29000002</v>
      </c>
      <c r="AR8" s="58">
        <f>利润表!AR6</f>
        <v>410889235.10000002</v>
      </c>
      <c r="AS8" s="58">
        <f>利润表!AS6</f>
        <v>0</v>
      </c>
      <c r="AT8" s="58">
        <f>利润表!AT6</f>
        <v>0</v>
      </c>
      <c r="AU8" s="58">
        <f>利润表!AU6</f>
        <v>0</v>
      </c>
      <c r="AV8" s="58">
        <f>利润表!AV6</f>
        <v>0</v>
      </c>
      <c r="AW8" s="58">
        <f>利润表!AW6</f>
        <v>0</v>
      </c>
      <c r="AX8" s="58">
        <f>利润表!AX6</f>
        <v>0</v>
      </c>
      <c r="AY8" s="58">
        <f>利润表!AY6</f>
        <v>0</v>
      </c>
      <c r="AZ8" s="58">
        <f>利润表!AZ6</f>
        <v>0</v>
      </c>
      <c r="BA8" s="58">
        <f>利润表!BA6</f>
        <v>0</v>
      </c>
      <c r="BB8" s="58">
        <f>利润表!BB6</f>
        <v>0</v>
      </c>
      <c r="BC8" s="58">
        <f>利润表!BC6</f>
        <v>0</v>
      </c>
      <c r="BD8" s="58">
        <f>利润表!BD6</f>
        <v>0</v>
      </c>
      <c r="BE8" s="58">
        <f>利润表!BE6</f>
        <v>0</v>
      </c>
      <c r="BF8" s="58">
        <f>利润表!BF6</f>
        <v>0</v>
      </c>
      <c r="BG8" s="58">
        <f>利润表!BG6</f>
        <v>0</v>
      </c>
      <c r="BH8" s="58">
        <f>利润表!BH6</f>
        <v>0</v>
      </c>
      <c r="BI8" s="58">
        <f>利润表!BI6</f>
        <v>0</v>
      </c>
      <c r="BJ8" s="58">
        <f>利润表!BJ6</f>
        <v>0</v>
      </c>
      <c r="BK8" s="58">
        <f>利润表!BK6</f>
        <v>0</v>
      </c>
      <c r="BL8" s="58">
        <f>利润表!BL6</f>
        <v>0</v>
      </c>
      <c r="BM8" s="58">
        <f>利润表!BM6</f>
        <v>0</v>
      </c>
      <c r="BN8" s="58">
        <f>利润表!BN6</f>
        <v>0</v>
      </c>
      <c r="BO8" s="58">
        <f>利润表!BO6</f>
        <v>0</v>
      </c>
      <c r="BP8" s="58">
        <f>利润表!BP6</f>
        <v>0</v>
      </c>
      <c r="BQ8" s="58">
        <f>利润表!BQ6</f>
        <v>0</v>
      </c>
      <c r="BR8" s="58">
        <f>利润表!BR6</f>
        <v>0</v>
      </c>
      <c r="BS8" s="58">
        <f>利润表!BS6</f>
        <v>0</v>
      </c>
      <c r="BT8" s="58">
        <f>利润表!BT6</f>
        <v>0</v>
      </c>
      <c r="BU8" s="58">
        <f>利润表!BU6</f>
        <v>0</v>
      </c>
      <c r="BV8" s="58">
        <f>利润表!BV6</f>
        <v>0</v>
      </c>
      <c r="BW8" s="58">
        <f>利润表!BW6</f>
        <v>0</v>
      </c>
      <c r="BX8" s="58">
        <f>利润表!BX6</f>
        <v>0</v>
      </c>
      <c r="BY8" s="58">
        <f>利润表!BY6</f>
        <v>0</v>
      </c>
      <c r="BZ8" s="58">
        <f>利润表!BZ6</f>
        <v>0</v>
      </c>
      <c r="CA8" s="58">
        <f>利润表!CA6</f>
        <v>0</v>
      </c>
      <c r="CB8" s="58">
        <f>利润表!CB6</f>
        <v>0</v>
      </c>
      <c r="CC8" s="58">
        <f>利润表!CC6</f>
        <v>0</v>
      </c>
      <c r="CD8" s="58">
        <f>利润表!CD6</f>
        <v>0</v>
      </c>
      <c r="CE8" s="58">
        <f>利润表!CE6</f>
        <v>0</v>
      </c>
      <c r="CF8" s="58">
        <f>利润表!CF6</f>
        <v>0</v>
      </c>
      <c r="CG8" s="58">
        <f>利润表!CG6</f>
        <v>0</v>
      </c>
      <c r="CH8" s="58">
        <f>利润表!CH6</f>
        <v>0</v>
      </c>
      <c r="CI8" s="58">
        <f>利润表!CI6</f>
        <v>0</v>
      </c>
      <c r="CJ8" s="58">
        <f>利润表!CJ6</f>
        <v>0</v>
      </c>
      <c r="CK8" s="58">
        <f>利润表!CK6</f>
        <v>0</v>
      </c>
      <c r="CL8" s="58">
        <f>利润表!CL6</f>
        <v>0</v>
      </c>
    </row>
    <row r="9" spans="1:90" s="58" customFormat="1" x14ac:dyDescent="0.25">
      <c r="A9" s="146" t="s">
        <v>491</v>
      </c>
      <c r="E9" s="58">
        <f>利润表!E7</f>
        <v>32932432.359999999</v>
      </c>
      <c r="F9" s="58">
        <f>利润表!F7</f>
        <v>24728521.48</v>
      </c>
      <c r="G9" s="58">
        <f>利润表!G7</f>
        <v>14894526.470000001</v>
      </c>
      <c r="H9" s="58">
        <f>利润表!H7</f>
        <v>9865506.8200000003</v>
      </c>
      <c r="I9" s="58">
        <f>利润表!I7</f>
        <v>32879503.960000001</v>
      </c>
      <c r="J9" s="58">
        <f>利润表!J7</f>
        <v>20342783.280000001</v>
      </c>
      <c r="K9" s="58">
        <f>利润表!K7</f>
        <v>13315984.83</v>
      </c>
      <c r="L9" s="58">
        <f>利润表!L7</f>
        <v>7704992.5800000001</v>
      </c>
      <c r="M9" s="58">
        <f>利润表!M7</f>
        <v>30934802.02</v>
      </c>
      <c r="N9" s="58">
        <f>利润表!N7</f>
        <v>20220350.57</v>
      </c>
      <c r="O9" s="58">
        <f>利润表!O7</f>
        <v>12017562.199999999</v>
      </c>
      <c r="P9" s="58">
        <f>利润表!P7</f>
        <v>7554547.1799999997</v>
      </c>
      <c r="Q9" s="58">
        <f>利润表!Q7</f>
        <v>27435568.34</v>
      </c>
      <c r="R9" s="58">
        <f>利润表!R7</f>
        <v>17807929.550000001</v>
      </c>
      <c r="S9" s="58">
        <f>利润表!S7</f>
        <v>11308254.77</v>
      </c>
      <c r="T9" s="58">
        <f>利润表!T7</f>
        <v>5527106.5300000003</v>
      </c>
      <c r="U9" s="58">
        <f>利润表!U7</f>
        <v>23672166.359999999</v>
      </c>
      <c r="V9" s="58">
        <f>利润表!V7</f>
        <v>12926448.15</v>
      </c>
      <c r="W9" s="58">
        <f>利润表!W7</f>
        <v>9723886.5899999999</v>
      </c>
      <c r="X9" s="58">
        <f>利润表!X7</f>
        <v>5275688.63</v>
      </c>
      <c r="Y9" s="58">
        <f>利润表!Y7</f>
        <v>22326739.899999999</v>
      </c>
      <c r="Z9" s="58">
        <f>利润表!Z7</f>
        <v>13533150.76</v>
      </c>
      <c r="AA9" s="58">
        <f>利润表!AA7</f>
        <v>7258365.5199999996</v>
      </c>
      <c r="AB9" s="58">
        <f>利润表!AB7</f>
        <v>5066982.6900000004</v>
      </c>
      <c r="AC9" s="58">
        <f>利润表!AC7</f>
        <v>19437504.949999999</v>
      </c>
      <c r="AD9" s="58">
        <f>利润表!AD7</f>
        <v>12671718.359999999</v>
      </c>
      <c r="AE9" s="58">
        <f>利润表!AE7</f>
        <v>7795564.7300000004</v>
      </c>
      <c r="AF9" s="58">
        <f>利润表!AF7</f>
        <v>5459671.6500000004</v>
      </c>
      <c r="AG9" s="58">
        <f>利润表!AG7</f>
        <v>3629038.82</v>
      </c>
      <c r="AH9" s="58">
        <f>利润表!AH7</f>
        <v>1551522</v>
      </c>
      <c r="AI9" s="58">
        <f>利润表!AI7</f>
        <v>1301715.54</v>
      </c>
      <c r="AJ9" s="58">
        <f>利润表!AJ7</f>
        <v>769782.76</v>
      </c>
      <c r="AK9" s="58">
        <f>利润表!AK7</f>
        <v>4176943.63</v>
      </c>
      <c r="AL9" s="58">
        <f>利润表!AL7</f>
        <v>2354174.79</v>
      </c>
      <c r="AM9" s="58">
        <f>利润表!AM7</f>
        <v>1255018.1100000001</v>
      </c>
      <c r="AN9" s="58">
        <f>利润表!AN7</f>
        <v>1133909.1599999999</v>
      </c>
      <c r="AO9" s="58">
        <f>利润表!AO7</f>
        <v>2255947.33</v>
      </c>
      <c r="AP9" s="58">
        <f>利润表!AP7</f>
        <v>1536038.19</v>
      </c>
      <c r="AQ9" s="58">
        <f>利润表!AQ7</f>
        <v>1488397.64</v>
      </c>
      <c r="AR9" s="58">
        <f>利润表!AR7</f>
        <v>355681.75</v>
      </c>
      <c r="AS9" s="58">
        <f>利润表!AS7</f>
        <v>0</v>
      </c>
      <c r="AT9" s="58">
        <f>利润表!AT7</f>
        <v>0</v>
      </c>
      <c r="AU9" s="58">
        <f>利润表!AU7</f>
        <v>0</v>
      </c>
      <c r="AV9" s="58">
        <f>利润表!AV7</f>
        <v>0</v>
      </c>
      <c r="AW9" s="58">
        <f>利润表!AW7</f>
        <v>0</v>
      </c>
      <c r="AX9" s="58">
        <f>利润表!AX7</f>
        <v>0</v>
      </c>
      <c r="AY9" s="58">
        <f>利润表!AY7</f>
        <v>0</v>
      </c>
      <c r="AZ9" s="58">
        <f>利润表!AZ7</f>
        <v>0</v>
      </c>
      <c r="BA9" s="58">
        <f>利润表!BA7</f>
        <v>0</v>
      </c>
      <c r="BB9" s="58">
        <f>利润表!BB7</f>
        <v>0</v>
      </c>
      <c r="BC9" s="58">
        <f>利润表!BC7</f>
        <v>0</v>
      </c>
      <c r="BD9" s="58">
        <f>利润表!BD7</f>
        <v>0</v>
      </c>
      <c r="BE9" s="58">
        <f>利润表!BE7</f>
        <v>0</v>
      </c>
      <c r="BF9" s="58">
        <f>利润表!BF7</f>
        <v>0</v>
      </c>
      <c r="BG9" s="58">
        <f>利润表!BG7</f>
        <v>0</v>
      </c>
      <c r="BH9" s="58">
        <f>利润表!BH7</f>
        <v>0</v>
      </c>
      <c r="BI9" s="58">
        <f>利润表!BI7</f>
        <v>0</v>
      </c>
      <c r="BJ9" s="58">
        <f>利润表!BJ7</f>
        <v>0</v>
      </c>
      <c r="BK9" s="58">
        <f>利润表!BK7</f>
        <v>0</v>
      </c>
      <c r="BL9" s="58">
        <f>利润表!BL7</f>
        <v>0</v>
      </c>
      <c r="BM9" s="58">
        <f>利润表!BM7</f>
        <v>0</v>
      </c>
      <c r="BN9" s="58">
        <f>利润表!BN7</f>
        <v>0</v>
      </c>
      <c r="BO9" s="58">
        <f>利润表!BO7</f>
        <v>0</v>
      </c>
      <c r="BP9" s="58">
        <f>利润表!BP7</f>
        <v>0</v>
      </c>
      <c r="BQ9" s="58">
        <f>利润表!BQ7</f>
        <v>0</v>
      </c>
      <c r="BR9" s="58">
        <f>利润表!BR7</f>
        <v>0</v>
      </c>
      <c r="BS9" s="58">
        <f>利润表!BS7</f>
        <v>0</v>
      </c>
      <c r="BT9" s="58">
        <f>利润表!BT7</f>
        <v>0</v>
      </c>
      <c r="BU9" s="58">
        <f>利润表!BU7</f>
        <v>0</v>
      </c>
      <c r="BV9" s="58">
        <f>利润表!BV7</f>
        <v>0</v>
      </c>
      <c r="BW9" s="58">
        <f>利润表!BW7</f>
        <v>0</v>
      </c>
      <c r="BX9" s="58">
        <f>利润表!BX7</f>
        <v>0</v>
      </c>
      <c r="BY9" s="58">
        <f>利润表!BY7</f>
        <v>0</v>
      </c>
      <c r="BZ9" s="58">
        <f>利润表!BZ7</f>
        <v>0</v>
      </c>
      <c r="CA9" s="58">
        <f>利润表!CA7</f>
        <v>0</v>
      </c>
      <c r="CB9" s="58">
        <f>利润表!CB7</f>
        <v>0</v>
      </c>
      <c r="CC9" s="58">
        <f>利润表!CC7</f>
        <v>0</v>
      </c>
      <c r="CD9" s="58">
        <f>利润表!CD7</f>
        <v>0</v>
      </c>
      <c r="CE9" s="58">
        <f>利润表!CE7</f>
        <v>0</v>
      </c>
      <c r="CF9" s="58">
        <f>利润表!CF7</f>
        <v>0</v>
      </c>
      <c r="CG9" s="58">
        <f>利润表!CG7</f>
        <v>0</v>
      </c>
      <c r="CH9" s="58">
        <f>利润表!CH7</f>
        <v>0</v>
      </c>
      <c r="CI9" s="58">
        <f>利润表!CI7</f>
        <v>0</v>
      </c>
      <c r="CJ9" s="58">
        <f>利润表!CJ7</f>
        <v>0</v>
      </c>
      <c r="CK9" s="58">
        <f>利润表!CK7</f>
        <v>0</v>
      </c>
    </row>
    <row r="10" spans="1:90" s="58" customFormat="1" x14ac:dyDescent="0.25">
      <c r="A10" s="146" t="s">
        <v>492</v>
      </c>
      <c r="E10" s="58">
        <f>利润表!E8</f>
        <v>1007425379.27</v>
      </c>
      <c r="F10" s="58">
        <f>利润表!F8</f>
        <v>642493739.66999996</v>
      </c>
      <c r="G10" s="58">
        <f>利润表!G8</f>
        <v>417544038.85000002</v>
      </c>
      <c r="H10" s="58">
        <f>利润表!H8</f>
        <v>189585387.75999999</v>
      </c>
      <c r="I10" s="58">
        <f>利润表!I8</f>
        <v>786045478.57000005</v>
      </c>
      <c r="J10" s="58">
        <f>利润表!J8</f>
        <v>518638726.98000002</v>
      </c>
      <c r="K10" s="58">
        <f>利润表!K8</f>
        <v>333015243.95999998</v>
      </c>
      <c r="L10" s="58">
        <f>利润表!L8</f>
        <v>166825730.5</v>
      </c>
      <c r="M10" s="58">
        <f>利润表!M8</f>
        <v>702088845.51999998</v>
      </c>
      <c r="N10" s="58">
        <f>利润表!N8</f>
        <v>462448442.44999999</v>
      </c>
      <c r="O10" s="58">
        <f>利润表!O8</f>
        <v>299124416.25999999</v>
      </c>
      <c r="P10" s="58">
        <f>利润表!P8</f>
        <v>151757162.58000001</v>
      </c>
      <c r="Q10" s="58">
        <f>利润表!Q8</f>
        <v>602729979.85000002</v>
      </c>
      <c r="R10" s="58">
        <f>利润表!R8</f>
        <v>405825925.36000001</v>
      </c>
      <c r="S10" s="58">
        <f>利润表!S8</f>
        <v>244311835.50999999</v>
      </c>
      <c r="T10" s="58">
        <f>利润表!T8</f>
        <v>144974860.56999999</v>
      </c>
      <c r="U10" s="58">
        <f>利润表!U8</f>
        <v>555013206.99000001</v>
      </c>
      <c r="V10" s="58">
        <f>利润表!V8</f>
        <v>365059735.88999999</v>
      </c>
      <c r="W10" s="58">
        <f>利润表!W8</f>
        <v>236966282.15000001</v>
      </c>
      <c r="X10" s="58">
        <f>利润表!X8</f>
        <v>117960513.40000001</v>
      </c>
      <c r="Y10" s="58">
        <f>利润表!Y8</f>
        <v>566653559.66999996</v>
      </c>
      <c r="Z10" s="58">
        <f>利润表!Z8</f>
        <v>392084110.52999997</v>
      </c>
      <c r="AA10" s="58">
        <f>利润表!AA8</f>
        <v>240286794.72</v>
      </c>
      <c r="AB10" s="58">
        <f>利润表!AB8</f>
        <v>122620158.45999999</v>
      </c>
      <c r="AC10" s="58">
        <f>利润表!AC8</f>
        <v>441418204.77999997</v>
      </c>
      <c r="AD10" s="58">
        <f>利润表!AD8</f>
        <v>252776641.69999999</v>
      </c>
      <c r="AE10" s="58">
        <f>利润表!AE8</f>
        <v>190131843.62</v>
      </c>
      <c r="AF10" s="58">
        <f>利润表!AF8</f>
        <v>100718712.59</v>
      </c>
      <c r="AG10" s="58">
        <f>利润表!AG8</f>
        <v>342283901.14999998</v>
      </c>
      <c r="AH10" s="58">
        <f>利润表!AH8</f>
        <v>186370356</v>
      </c>
      <c r="AI10" s="58">
        <f>利润表!AI8</f>
        <v>123963819.84999999</v>
      </c>
      <c r="AJ10" s="58">
        <f>利润表!AJ8</f>
        <v>59543448.259999998</v>
      </c>
      <c r="AK10" s="58">
        <f>利润表!AK8</f>
        <v>201046926.90000001</v>
      </c>
      <c r="AL10" s="58">
        <f>利润表!AL8</f>
        <v>114316617.67</v>
      </c>
      <c r="AM10" s="58">
        <f>利润表!AM8</f>
        <v>73363262.760000005</v>
      </c>
      <c r="AN10" s="58">
        <f>利润表!AN8</f>
        <v>37534225.119999997</v>
      </c>
      <c r="AO10" s="58">
        <f>利润表!AO8</f>
        <v>136129878.31</v>
      </c>
      <c r="AP10" s="58">
        <f>利润表!AP8</f>
        <v>92577271.849999994</v>
      </c>
      <c r="AQ10" s="58">
        <f>利润表!AQ8</f>
        <v>105794634.05</v>
      </c>
      <c r="AR10" s="58">
        <f>利润表!AR8</f>
        <v>63423441.579999998</v>
      </c>
      <c r="AS10" s="58">
        <f>利润表!AS8</f>
        <v>0</v>
      </c>
      <c r="AT10" s="58">
        <f>利润表!AT8</f>
        <v>0</v>
      </c>
      <c r="AU10" s="58">
        <f>利润表!AU8</f>
        <v>0</v>
      </c>
      <c r="AV10" s="58">
        <f>利润表!AV8</f>
        <v>0</v>
      </c>
      <c r="AW10" s="58">
        <f>利润表!AW8</f>
        <v>0</v>
      </c>
      <c r="AX10" s="58">
        <f>利润表!AX8</f>
        <v>0</v>
      </c>
      <c r="AY10" s="58">
        <f>利润表!AY8</f>
        <v>0</v>
      </c>
      <c r="AZ10" s="58">
        <f>利润表!AZ8</f>
        <v>0</v>
      </c>
      <c r="BA10" s="58">
        <f>利润表!BA8</f>
        <v>0</v>
      </c>
      <c r="BB10" s="58">
        <f>利润表!BB8</f>
        <v>0</v>
      </c>
      <c r="BC10" s="58">
        <f>利润表!BC8</f>
        <v>0</v>
      </c>
      <c r="BD10" s="58">
        <f>利润表!BD8</f>
        <v>0</v>
      </c>
      <c r="BE10" s="58">
        <f>利润表!BE8</f>
        <v>0</v>
      </c>
      <c r="BF10" s="58">
        <f>利润表!BF8</f>
        <v>0</v>
      </c>
      <c r="BG10" s="58">
        <f>利润表!BG8</f>
        <v>0</v>
      </c>
      <c r="BH10" s="58">
        <f>利润表!BH8</f>
        <v>0</v>
      </c>
      <c r="BI10" s="58">
        <f>利润表!BI8</f>
        <v>0</v>
      </c>
      <c r="BJ10" s="58">
        <f>利润表!BJ8</f>
        <v>0</v>
      </c>
      <c r="BK10" s="58">
        <f>利润表!BK8</f>
        <v>0</v>
      </c>
      <c r="BL10" s="58">
        <f>利润表!BL8</f>
        <v>0</v>
      </c>
      <c r="BM10" s="58">
        <f>利润表!BM8</f>
        <v>0</v>
      </c>
      <c r="BN10" s="58">
        <f>利润表!BN8</f>
        <v>0</v>
      </c>
      <c r="BO10" s="58">
        <f>利润表!BO8</f>
        <v>0</v>
      </c>
      <c r="BP10" s="58">
        <f>利润表!BP8</f>
        <v>0</v>
      </c>
      <c r="BQ10" s="58">
        <f>利润表!BQ8</f>
        <v>0</v>
      </c>
      <c r="BR10" s="58">
        <f>利润表!BR8</f>
        <v>0</v>
      </c>
      <c r="BS10" s="58">
        <f>利润表!BS8</f>
        <v>0</v>
      </c>
      <c r="BT10" s="58">
        <f>利润表!BT8</f>
        <v>0</v>
      </c>
      <c r="BU10" s="58">
        <f>利润表!BU8</f>
        <v>0</v>
      </c>
      <c r="BV10" s="58">
        <f>利润表!BV8</f>
        <v>0</v>
      </c>
      <c r="BW10" s="58">
        <f>利润表!BW8</f>
        <v>0</v>
      </c>
      <c r="BX10" s="58">
        <f>利润表!BX8</f>
        <v>0</v>
      </c>
      <c r="BY10" s="58">
        <f>利润表!BY8</f>
        <v>0</v>
      </c>
      <c r="BZ10" s="58">
        <f>利润表!BZ8</f>
        <v>0</v>
      </c>
      <c r="CA10" s="58">
        <f>利润表!CA8</f>
        <v>0</v>
      </c>
      <c r="CB10" s="58">
        <f>利润表!CB8</f>
        <v>0</v>
      </c>
      <c r="CC10" s="58">
        <f>利润表!CC8</f>
        <v>0</v>
      </c>
      <c r="CD10" s="58">
        <f>利润表!CD8</f>
        <v>0</v>
      </c>
      <c r="CE10" s="58">
        <f>利润表!CE8</f>
        <v>0</v>
      </c>
      <c r="CF10" s="58">
        <f>利润表!CF8</f>
        <v>0</v>
      </c>
      <c r="CG10" s="58">
        <f>利润表!CG8</f>
        <v>0</v>
      </c>
      <c r="CH10" s="58">
        <f>利润表!CH8</f>
        <v>0</v>
      </c>
      <c r="CI10" s="58">
        <f>利润表!CI8</f>
        <v>0</v>
      </c>
      <c r="CJ10" s="58">
        <f>利润表!CJ8</f>
        <v>0</v>
      </c>
      <c r="CK10" s="58">
        <f>利润表!CK8</f>
        <v>0</v>
      </c>
    </row>
    <row r="11" spans="1:90" s="58" customFormat="1" x14ac:dyDescent="0.25">
      <c r="A11" s="146" t="s">
        <v>493</v>
      </c>
      <c r="E11" s="58">
        <f>利润表!E9</f>
        <v>412185796.76999998</v>
      </c>
      <c r="F11" s="58">
        <f>利润表!F9</f>
        <v>305179569.81</v>
      </c>
      <c r="G11" s="58">
        <f>利润表!G9</f>
        <v>217049153.30000001</v>
      </c>
      <c r="H11" s="58">
        <f>利润表!H9</f>
        <v>126733545.47</v>
      </c>
      <c r="I11" s="58">
        <f>利润表!I9</f>
        <v>306957023.29000002</v>
      </c>
      <c r="J11" s="58">
        <f>利润表!J9</f>
        <v>200845799.02000001</v>
      </c>
      <c r="K11" s="58">
        <f>利润表!K9</f>
        <v>135839900.40000001</v>
      </c>
      <c r="L11" s="58">
        <f>利润表!L9</f>
        <v>80503404.650000006</v>
      </c>
      <c r="M11" s="58">
        <f>利润表!M9</f>
        <v>250439497.83000001</v>
      </c>
      <c r="N11" s="58">
        <f>利润表!N9</f>
        <v>167560243.09</v>
      </c>
      <c r="O11" s="58">
        <f>利润表!O9</f>
        <v>109574535.88</v>
      </c>
      <c r="P11" s="58">
        <f>利润表!P9</f>
        <v>44760306.32</v>
      </c>
      <c r="Q11" s="58">
        <f>利润表!Q9</f>
        <v>199260636.24000001</v>
      </c>
      <c r="R11" s="58">
        <f>利润表!R9</f>
        <v>126303234.48999999</v>
      </c>
      <c r="S11" s="58">
        <f>利润表!S9</f>
        <v>83119643.409999996</v>
      </c>
      <c r="T11" s="58">
        <f>利润表!T9</f>
        <v>43236491.380000003</v>
      </c>
      <c r="U11" s="58">
        <f>利润表!U9</f>
        <v>172813849.13999999</v>
      </c>
      <c r="V11" s="58">
        <f>利润表!V9</f>
        <v>114401332.89</v>
      </c>
      <c r="W11" s="58">
        <f>利润表!W9</f>
        <v>78974700.060000002</v>
      </c>
      <c r="X11" s="58">
        <f>利润表!X9</f>
        <v>42789633.460000001</v>
      </c>
      <c r="Y11" s="58">
        <f>利润表!Y9</f>
        <v>155585073.68000001</v>
      </c>
      <c r="Z11" s="58">
        <f>利润表!Z9</f>
        <v>107818106.62</v>
      </c>
      <c r="AA11" s="58">
        <f>利润表!AA9</f>
        <v>70303997.909999996</v>
      </c>
      <c r="AB11" s="58">
        <f>利润表!AB9</f>
        <v>36267100.840000004</v>
      </c>
      <c r="AC11" s="58">
        <f>利润表!AC9</f>
        <v>145851485.24000001</v>
      </c>
      <c r="AD11" s="58">
        <f>利润表!AD9</f>
        <v>95195047.700000003</v>
      </c>
      <c r="AE11" s="58">
        <f>利润表!AE9</f>
        <v>52930645.890000001</v>
      </c>
      <c r="AF11" s="58">
        <f>利润表!AF9</f>
        <v>22465149.68</v>
      </c>
      <c r="AG11" s="58">
        <f>利润表!AG9</f>
        <v>76624889.430000007</v>
      </c>
      <c r="AH11" s="58">
        <f>利润表!AH9</f>
        <v>49568897</v>
      </c>
      <c r="AI11" s="58">
        <f>利润表!AI9</f>
        <v>31523521.989999998</v>
      </c>
      <c r="AJ11" s="58">
        <f>利润表!AJ9</f>
        <v>14004284.33</v>
      </c>
      <c r="AK11" s="58">
        <f>利润表!AK9</f>
        <v>54529063.93</v>
      </c>
      <c r="AL11" s="58">
        <f>利润表!AL9</f>
        <v>36218004.359999999</v>
      </c>
      <c r="AM11" s="58">
        <f>利润表!AM9</f>
        <v>24891093.989999998</v>
      </c>
      <c r="AN11" s="58">
        <f>利润表!AN9</f>
        <v>13710230.73</v>
      </c>
      <c r="AO11" s="58">
        <f>利润表!AO9</f>
        <v>50602456.740000002</v>
      </c>
      <c r="AP11" s="58">
        <f>利润表!AP9</f>
        <v>36383370.460000001</v>
      </c>
      <c r="AQ11" s="58">
        <f>利润表!AQ9</f>
        <v>39988361.549999997</v>
      </c>
      <c r="AR11" s="58">
        <f>利润表!AR9</f>
        <v>26062197.600000001</v>
      </c>
      <c r="AS11" s="58">
        <f>利润表!AS9</f>
        <v>0</v>
      </c>
      <c r="AT11" s="58">
        <f>利润表!AT9</f>
        <v>0</v>
      </c>
      <c r="AU11" s="58">
        <f>利润表!AU9</f>
        <v>0</v>
      </c>
      <c r="AV11" s="58">
        <f>利润表!AV9</f>
        <v>0</v>
      </c>
      <c r="AW11" s="58">
        <f>利润表!AW9</f>
        <v>0</v>
      </c>
      <c r="AX11" s="58">
        <f>利润表!AX9</f>
        <v>0</v>
      </c>
      <c r="AY11" s="58">
        <f>利润表!AY9</f>
        <v>0</v>
      </c>
      <c r="AZ11" s="58">
        <f>利润表!AZ9</f>
        <v>0</v>
      </c>
      <c r="BA11" s="58">
        <f>利润表!BA9</f>
        <v>0</v>
      </c>
      <c r="BB11" s="58">
        <f>利润表!BB9</f>
        <v>0</v>
      </c>
      <c r="BC11" s="58">
        <f>利润表!BC9</f>
        <v>0</v>
      </c>
      <c r="BD11" s="58">
        <f>利润表!BD9</f>
        <v>0</v>
      </c>
      <c r="BE11" s="58">
        <f>利润表!BE9</f>
        <v>0</v>
      </c>
      <c r="BF11" s="58">
        <f>利润表!BF9</f>
        <v>0</v>
      </c>
      <c r="BG11" s="58">
        <f>利润表!BG9</f>
        <v>0</v>
      </c>
      <c r="BH11" s="58">
        <f>利润表!BH9</f>
        <v>0</v>
      </c>
      <c r="BI11" s="58">
        <f>利润表!BI9</f>
        <v>0</v>
      </c>
      <c r="BJ11" s="58">
        <f>利润表!BJ9</f>
        <v>0</v>
      </c>
      <c r="BK11" s="58">
        <f>利润表!BK9</f>
        <v>0</v>
      </c>
      <c r="BL11" s="58">
        <f>利润表!BL9</f>
        <v>0</v>
      </c>
      <c r="BM11" s="58">
        <f>利润表!BM9</f>
        <v>0</v>
      </c>
      <c r="BN11" s="58">
        <f>利润表!BN9</f>
        <v>0</v>
      </c>
      <c r="BO11" s="58">
        <f>利润表!BO9</f>
        <v>0</v>
      </c>
      <c r="BP11" s="58">
        <f>利润表!BP9</f>
        <v>0</v>
      </c>
      <c r="BQ11" s="58">
        <f>利润表!BQ9</f>
        <v>0</v>
      </c>
      <c r="BR11" s="58">
        <f>利润表!BR9</f>
        <v>0</v>
      </c>
      <c r="BS11" s="58">
        <f>利润表!BS9</f>
        <v>0</v>
      </c>
      <c r="BT11" s="58">
        <f>利润表!BT9</f>
        <v>0</v>
      </c>
      <c r="BU11" s="58">
        <f>利润表!BU9</f>
        <v>0</v>
      </c>
      <c r="BV11" s="58">
        <f>利润表!BV9</f>
        <v>0</v>
      </c>
      <c r="BW11" s="58">
        <f>利润表!BW9</f>
        <v>0</v>
      </c>
      <c r="BX11" s="58">
        <f>利润表!BX9</f>
        <v>0</v>
      </c>
      <c r="BY11" s="58">
        <f>利润表!BY9</f>
        <v>0</v>
      </c>
      <c r="BZ11" s="58">
        <f>利润表!BZ9</f>
        <v>0</v>
      </c>
      <c r="CA11" s="58">
        <f>利润表!CA9</f>
        <v>0</v>
      </c>
      <c r="CB11" s="58">
        <f>利润表!CB9</f>
        <v>0</v>
      </c>
      <c r="CC11" s="58">
        <f>利润表!CC9</f>
        <v>0</v>
      </c>
      <c r="CD11" s="58">
        <f>利润表!CD9</f>
        <v>0</v>
      </c>
      <c r="CE11" s="58">
        <f>利润表!CE9</f>
        <v>0</v>
      </c>
      <c r="CF11" s="58">
        <f>利润表!CF9</f>
        <v>0</v>
      </c>
      <c r="CG11" s="58">
        <f>利润表!CG9</f>
        <v>0</v>
      </c>
      <c r="CH11" s="58">
        <f>利润表!CH9</f>
        <v>0</v>
      </c>
      <c r="CI11" s="58">
        <f>利润表!CI9</f>
        <v>0</v>
      </c>
      <c r="CJ11" s="58">
        <f>利润表!CJ9</f>
        <v>0</v>
      </c>
      <c r="CK11" s="58">
        <f>利润表!CK9</f>
        <v>0</v>
      </c>
    </row>
    <row r="12" spans="1:90" s="58" customFormat="1" x14ac:dyDescent="0.25">
      <c r="A12" s="146" t="s">
        <v>494</v>
      </c>
      <c r="E12" s="58">
        <f>SUM(E8:E11)</f>
        <v>4088134454.6100001</v>
      </c>
      <c r="F12" s="58">
        <f t="shared" ref="F12:BQ12" si="4">SUM(F8:F11)</f>
        <v>2746394878.9499998</v>
      </c>
      <c r="G12" s="58">
        <f t="shared" si="4"/>
        <v>1739710918.1000001</v>
      </c>
      <c r="H12" s="58">
        <f t="shared" si="4"/>
        <v>912535856.44000006</v>
      </c>
      <c r="I12" s="58">
        <f t="shared" si="4"/>
        <v>2750436803.5799999</v>
      </c>
      <c r="J12" s="58">
        <f t="shared" si="4"/>
        <v>1845533907.8</v>
      </c>
      <c r="K12" s="58">
        <f t="shared" si="4"/>
        <v>1159062035.2</v>
      </c>
      <c r="L12" s="58">
        <f t="shared" si="4"/>
        <v>637215976.13999999</v>
      </c>
      <c r="M12" s="58">
        <f t="shared" si="4"/>
        <v>2471541084.1300001</v>
      </c>
      <c r="N12" s="58">
        <f t="shared" si="4"/>
        <v>1720914894.51</v>
      </c>
      <c r="O12" s="58">
        <f t="shared" si="4"/>
        <v>1066761182.22</v>
      </c>
      <c r="P12" s="58">
        <f t="shared" si="4"/>
        <v>572425531.88000011</v>
      </c>
      <c r="Q12" s="58">
        <f t="shared" si="4"/>
        <v>2352016498.1700001</v>
      </c>
      <c r="R12" s="58">
        <f t="shared" si="4"/>
        <v>1599439153.49</v>
      </c>
      <c r="S12" s="58">
        <f t="shared" si="4"/>
        <v>952853348.90999997</v>
      </c>
      <c r="T12" s="58">
        <f t="shared" si="4"/>
        <v>558322940.41999996</v>
      </c>
      <c r="U12" s="58">
        <f t="shared" si="4"/>
        <v>2165557387.0299997</v>
      </c>
      <c r="V12" s="58">
        <f t="shared" si="4"/>
        <v>1479778069.28</v>
      </c>
      <c r="W12" s="58">
        <f t="shared" si="4"/>
        <v>939306190.78999996</v>
      </c>
      <c r="X12" s="58">
        <f t="shared" si="4"/>
        <v>520933607.67000002</v>
      </c>
      <c r="Y12" s="58">
        <f t="shared" si="4"/>
        <v>2319149648.0699997</v>
      </c>
      <c r="Z12" s="58">
        <f t="shared" si="4"/>
        <v>1589069306.9000001</v>
      </c>
      <c r="AA12" s="58">
        <f t="shared" si="4"/>
        <v>900982686.19999993</v>
      </c>
      <c r="AB12" s="58">
        <f t="shared" si="4"/>
        <v>491393807.79999995</v>
      </c>
      <c r="AC12" s="58">
        <f t="shared" si="4"/>
        <v>1984144111.3199999</v>
      </c>
      <c r="AD12" s="58">
        <f t="shared" si="4"/>
        <v>1347933242.29</v>
      </c>
      <c r="AE12" s="58">
        <f t="shared" si="4"/>
        <v>844531871.53999996</v>
      </c>
      <c r="AF12" s="58">
        <f t="shared" si="4"/>
        <v>478061086.94999999</v>
      </c>
      <c r="AG12" s="58">
        <f t="shared" si="4"/>
        <v>1553818111.9999998</v>
      </c>
      <c r="AH12" s="58">
        <f t="shared" si="4"/>
        <v>950229983.15999997</v>
      </c>
      <c r="AI12" s="58">
        <f t="shared" si="4"/>
        <v>558432847.13</v>
      </c>
      <c r="AJ12" s="58">
        <f t="shared" si="4"/>
        <v>291446834.43000001</v>
      </c>
      <c r="AK12" s="58">
        <f t="shared" si="4"/>
        <v>957189195.28999996</v>
      </c>
      <c r="AL12" s="58">
        <f t="shared" si="4"/>
        <v>594398711.55000007</v>
      </c>
      <c r="AM12" s="58">
        <f t="shared" si="4"/>
        <v>344931547.14000005</v>
      </c>
      <c r="AN12" s="58">
        <f t="shared" si="4"/>
        <v>212885394.73999998</v>
      </c>
      <c r="AO12" s="58">
        <f t="shared" si="4"/>
        <v>757109416.21000004</v>
      </c>
      <c r="AP12" s="58">
        <f t="shared" si="4"/>
        <v>523459688.83999997</v>
      </c>
      <c r="AQ12" s="58">
        <f t="shared" si="4"/>
        <v>639676316.52999997</v>
      </c>
      <c r="AR12" s="58">
        <f t="shared" si="4"/>
        <v>500730556.03000003</v>
      </c>
      <c r="AS12" s="58">
        <f t="shared" si="4"/>
        <v>0</v>
      </c>
      <c r="AT12" s="58">
        <f t="shared" si="4"/>
        <v>0</v>
      </c>
      <c r="AU12" s="58">
        <f t="shared" si="4"/>
        <v>0</v>
      </c>
      <c r="AV12" s="58">
        <f t="shared" si="4"/>
        <v>0</v>
      </c>
      <c r="AW12" s="58">
        <f t="shared" si="4"/>
        <v>0</v>
      </c>
      <c r="AX12" s="58">
        <f t="shared" si="4"/>
        <v>0</v>
      </c>
      <c r="AY12" s="58">
        <f t="shared" si="4"/>
        <v>0</v>
      </c>
      <c r="AZ12" s="58">
        <f t="shared" si="4"/>
        <v>0</v>
      </c>
      <c r="BA12" s="58">
        <f t="shared" si="4"/>
        <v>0</v>
      </c>
      <c r="BB12" s="58">
        <f t="shared" si="4"/>
        <v>0</v>
      </c>
      <c r="BC12" s="58">
        <f t="shared" si="4"/>
        <v>0</v>
      </c>
      <c r="BD12" s="58">
        <f t="shared" si="4"/>
        <v>0</v>
      </c>
      <c r="BE12" s="58">
        <f t="shared" si="4"/>
        <v>0</v>
      </c>
      <c r="BF12" s="58">
        <f t="shared" si="4"/>
        <v>0</v>
      </c>
      <c r="BG12" s="58">
        <f t="shared" si="4"/>
        <v>0</v>
      </c>
      <c r="BH12" s="58">
        <f t="shared" si="4"/>
        <v>0</v>
      </c>
      <c r="BI12" s="58">
        <f t="shared" si="4"/>
        <v>0</v>
      </c>
      <c r="BJ12" s="58">
        <f t="shared" si="4"/>
        <v>0</v>
      </c>
      <c r="BK12" s="58">
        <f t="shared" si="4"/>
        <v>0</v>
      </c>
      <c r="BL12" s="58">
        <f t="shared" si="4"/>
        <v>0</v>
      </c>
      <c r="BM12" s="58">
        <f t="shared" si="4"/>
        <v>0</v>
      </c>
      <c r="BN12" s="58">
        <f t="shared" si="4"/>
        <v>0</v>
      </c>
      <c r="BO12" s="58">
        <f t="shared" si="4"/>
        <v>0</v>
      </c>
      <c r="BP12" s="58">
        <f t="shared" si="4"/>
        <v>0</v>
      </c>
      <c r="BQ12" s="58">
        <f t="shared" si="4"/>
        <v>0</v>
      </c>
      <c r="BR12" s="58">
        <f t="shared" ref="BR12:CL12" si="5">SUM(BR8:BR11)</f>
        <v>0</v>
      </c>
      <c r="BS12" s="58">
        <f t="shared" si="5"/>
        <v>0</v>
      </c>
      <c r="BT12" s="58">
        <f t="shared" si="5"/>
        <v>0</v>
      </c>
      <c r="BU12" s="58">
        <f t="shared" si="5"/>
        <v>0</v>
      </c>
      <c r="BV12" s="58">
        <f t="shared" si="5"/>
        <v>0</v>
      </c>
      <c r="BW12" s="58">
        <f t="shared" si="5"/>
        <v>0</v>
      </c>
      <c r="BX12" s="58">
        <f t="shared" si="5"/>
        <v>0</v>
      </c>
      <c r="BY12" s="58">
        <f t="shared" si="5"/>
        <v>0</v>
      </c>
      <c r="BZ12" s="58">
        <f t="shared" si="5"/>
        <v>0</v>
      </c>
      <c r="CA12" s="58">
        <f t="shared" si="5"/>
        <v>0</v>
      </c>
      <c r="CB12" s="58">
        <f t="shared" si="5"/>
        <v>0</v>
      </c>
      <c r="CC12" s="58">
        <f t="shared" si="5"/>
        <v>0</v>
      </c>
      <c r="CD12" s="58">
        <f t="shared" si="5"/>
        <v>0</v>
      </c>
      <c r="CE12" s="58">
        <f t="shared" si="5"/>
        <v>0</v>
      </c>
      <c r="CF12" s="58">
        <f t="shared" si="5"/>
        <v>0</v>
      </c>
      <c r="CG12" s="58">
        <f t="shared" si="5"/>
        <v>0</v>
      </c>
      <c r="CH12" s="58">
        <f t="shared" si="5"/>
        <v>0</v>
      </c>
      <c r="CI12" s="58">
        <f t="shared" si="5"/>
        <v>0</v>
      </c>
      <c r="CJ12" s="58">
        <f t="shared" si="5"/>
        <v>0</v>
      </c>
      <c r="CK12" s="58">
        <f t="shared" si="5"/>
        <v>0</v>
      </c>
      <c r="CL12" s="58">
        <f t="shared" si="5"/>
        <v>0</v>
      </c>
    </row>
    <row r="13" spans="1:90" s="28" customFormat="1" x14ac:dyDescent="0.25">
      <c r="A13" s="20" t="s">
        <v>495</v>
      </c>
      <c r="E13" s="28">
        <f>(E6/(1+E4)+E7)/E12</f>
        <v>0.92152830910873085</v>
      </c>
      <c r="F13" s="28">
        <f t="shared" ref="F13:BQ13" si="6">(F6/(1+F4)+F7)/F12</f>
        <v>0.91552674912957166</v>
      </c>
      <c r="G13" s="28">
        <f t="shared" si="6"/>
        <v>0.91014043241128684</v>
      </c>
      <c r="H13" s="28">
        <f t="shared" si="6"/>
        <v>0.85603830959948057</v>
      </c>
      <c r="I13" s="28">
        <f t="shared" si="6"/>
        <v>0.76511378169200561</v>
      </c>
      <c r="J13" s="28">
        <f t="shared" si="6"/>
        <v>0.80763811301322852</v>
      </c>
      <c r="K13" s="28">
        <f t="shared" si="6"/>
        <v>0.83248775967569832</v>
      </c>
      <c r="L13" s="28">
        <f t="shared" si="6"/>
        <v>0.70240003144868723</v>
      </c>
      <c r="M13" s="28">
        <f t="shared" si="6"/>
        <v>0.81368912839992358</v>
      </c>
      <c r="N13" s="28">
        <f t="shared" si="6"/>
        <v>0.759221247233684</v>
      </c>
      <c r="O13" s="28">
        <f t="shared" si="6"/>
        <v>0.78456160329170732</v>
      </c>
      <c r="P13" s="28">
        <f t="shared" si="6"/>
        <v>0.80858102822255962</v>
      </c>
      <c r="Q13" s="28">
        <f t="shared" si="6"/>
        <v>0.81056244141787448</v>
      </c>
      <c r="R13" s="28">
        <f t="shared" si="6"/>
        <v>0.8112982347300296</v>
      </c>
      <c r="S13" s="28">
        <f t="shared" si="6"/>
        <v>0.88658524144481388</v>
      </c>
      <c r="T13" s="28">
        <f t="shared" si="6"/>
        <v>0.84961687392087037</v>
      </c>
      <c r="U13" s="28">
        <f t="shared" si="6"/>
        <v>0.83443795240395935</v>
      </c>
      <c r="V13" s="28">
        <f t="shared" si="6"/>
        <v>0.9406367993289424</v>
      </c>
      <c r="W13" s="28">
        <f t="shared" si="6"/>
        <v>1.0261488399736547</v>
      </c>
      <c r="X13" s="28">
        <f t="shared" si="6"/>
        <v>0.93704674553932077</v>
      </c>
      <c r="Y13" s="28">
        <f t="shared" si="6"/>
        <v>0.89158704274303535</v>
      </c>
      <c r="Z13" s="28">
        <f t="shared" si="6"/>
        <v>0.97185516495843938</v>
      </c>
      <c r="AA13" s="28">
        <f t="shared" si="6"/>
        <v>1.1224905590956291</v>
      </c>
      <c r="AB13" s="28">
        <f t="shared" si="6"/>
        <v>1.0322693247252606</v>
      </c>
      <c r="AC13" s="28">
        <f t="shared" si="6"/>
        <v>0.85860571537362496</v>
      </c>
      <c r="AD13" s="28">
        <f t="shared" si="6"/>
        <v>0.91012963542741987</v>
      </c>
      <c r="AE13" s="28">
        <f t="shared" si="6"/>
        <v>0.96155393825990976</v>
      </c>
      <c r="AF13" s="28">
        <f t="shared" si="6"/>
        <v>0.9348160839458326</v>
      </c>
      <c r="AG13" s="28">
        <f t="shared" si="6"/>
        <v>0.87665550539296511</v>
      </c>
      <c r="AH13" s="28">
        <f t="shared" si="6"/>
        <v>1.0451301002461657</v>
      </c>
      <c r="AI13" s="28">
        <f t="shared" si="6"/>
        <v>1.0575014225053279</v>
      </c>
      <c r="AJ13" s="28">
        <f t="shared" si="6"/>
        <v>0.99006966564100451</v>
      </c>
      <c r="AK13" s="28">
        <f t="shared" si="6"/>
        <v>0.86878482908680676</v>
      </c>
      <c r="AL13" s="28">
        <f t="shared" si="6"/>
        <v>0.8548358008778939</v>
      </c>
      <c r="AM13" s="28">
        <f t="shared" si="6"/>
        <v>0.88223050701478933</v>
      </c>
      <c r="AN13" s="28">
        <f t="shared" si="6"/>
        <v>0.81577929402259164</v>
      </c>
      <c r="AO13" s="28">
        <f t="shared" si="6"/>
        <v>0.84750084864346265</v>
      </c>
      <c r="AP13" s="28">
        <f t="shared" si="6"/>
        <v>0.90576235007973749</v>
      </c>
      <c r="AQ13" s="28">
        <f t="shared" si="6"/>
        <v>0.76842754589618611</v>
      </c>
      <c r="AR13" s="28">
        <f t="shared" si="6"/>
        <v>1.1058029600831414</v>
      </c>
      <c r="AS13" s="28" t="e">
        <f t="shared" si="6"/>
        <v>#DIV/0!</v>
      </c>
      <c r="AT13" s="28" t="e">
        <f t="shared" si="6"/>
        <v>#DIV/0!</v>
      </c>
      <c r="AU13" s="28" t="e">
        <f t="shared" si="6"/>
        <v>#DIV/0!</v>
      </c>
      <c r="AV13" s="28" t="e">
        <f t="shared" si="6"/>
        <v>#DIV/0!</v>
      </c>
      <c r="AW13" s="28" t="e">
        <f t="shared" si="6"/>
        <v>#DIV/0!</v>
      </c>
      <c r="AX13" s="28" t="e">
        <f t="shared" si="6"/>
        <v>#DIV/0!</v>
      </c>
      <c r="AY13" s="28" t="e">
        <f t="shared" si="6"/>
        <v>#DIV/0!</v>
      </c>
      <c r="AZ13" s="28" t="e">
        <f t="shared" si="6"/>
        <v>#DIV/0!</v>
      </c>
      <c r="BA13" s="28" t="e">
        <f t="shared" si="6"/>
        <v>#DIV/0!</v>
      </c>
      <c r="BB13" s="28" t="e">
        <f t="shared" si="6"/>
        <v>#DIV/0!</v>
      </c>
      <c r="BC13" s="28" t="e">
        <f t="shared" si="6"/>
        <v>#DIV/0!</v>
      </c>
      <c r="BD13" s="28" t="e">
        <f t="shared" si="6"/>
        <v>#DIV/0!</v>
      </c>
      <c r="BE13" s="28" t="e">
        <f t="shared" si="6"/>
        <v>#DIV/0!</v>
      </c>
      <c r="BF13" s="28" t="e">
        <f t="shared" si="6"/>
        <v>#DIV/0!</v>
      </c>
      <c r="BG13" s="28" t="e">
        <f t="shared" si="6"/>
        <v>#DIV/0!</v>
      </c>
      <c r="BH13" s="28" t="e">
        <f t="shared" si="6"/>
        <v>#DIV/0!</v>
      </c>
      <c r="BI13" s="28" t="e">
        <f t="shared" si="6"/>
        <v>#DIV/0!</v>
      </c>
      <c r="BJ13" s="28" t="e">
        <f t="shared" si="6"/>
        <v>#DIV/0!</v>
      </c>
      <c r="BK13" s="28" t="e">
        <f t="shared" si="6"/>
        <v>#DIV/0!</v>
      </c>
      <c r="BL13" s="28" t="e">
        <f t="shared" si="6"/>
        <v>#DIV/0!</v>
      </c>
      <c r="BM13" s="28" t="e">
        <f t="shared" si="6"/>
        <v>#DIV/0!</v>
      </c>
      <c r="BN13" s="28" t="e">
        <f t="shared" si="6"/>
        <v>#DIV/0!</v>
      </c>
      <c r="BO13" s="28" t="e">
        <f t="shared" si="6"/>
        <v>#DIV/0!</v>
      </c>
      <c r="BP13" s="28" t="e">
        <f t="shared" si="6"/>
        <v>#DIV/0!</v>
      </c>
      <c r="BQ13" s="28" t="e">
        <f t="shared" si="6"/>
        <v>#DIV/0!</v>
      </c>
      <c r="BR13" s="28" t="e">
        <f t="shared" ref="BR13:CK13" si="7">(BR6/(1+BR4)+BR7)/BR12</f>
        <v>#DIV/0!</v>
      </c>
      <c r="BS13" s="28" t="e">
        <f t="shared" si="7"/>
        <v>#DIV/0!</v>
      </c>
      <c r="BT13" s="28" t="e">
        <f t="shared" si="7"/>
        <v>#DIV/0!</v>
      </c>
      <c r="BU13" s="28" t="e">
        <f t="shared" si="7"/>
        <v>#DIV/0!</v>
      </c>
      <c r="BV13" s="28" t="e">
        <f t="shared" si="7"/>
        <v>#DIV/0!</v>
      </c>
      <c r="BW13" s="28" t="e">
        <f t="shared" si="7"/>
        <v>#DIV/0!</v>
      </c>
      <c r="BX13" s="28" t="e">
        <f t="shared" si="7"/>
        <v>#DIV/0!</v>
      </c>
      <c r="BY13" s="28" t="e">
        <f t="shared" si="7"/>
        <v>#DIV/0!</v>
      </c>
      <c r="BZ13" s="28" t="e">
        <f t="shared" si="7"/>
        <v>#DIV/0!</v>
      </c>
      <c r="CA13" s="28" t="e">
        <f t="shared" si="7"/>
        <v>#DIV/0!</v>
      </c>
      <c r="CB13" s="28" t="e">
        <f t="shared" si="7"/>
        <v>#DIV/0!</v>
      </c>
      <c r="CC13" s="28" t="e">
        <f t="shared" si="7"/>
        <v>#DIV/0!</v>
      </c>
      <c r="CD13" s="28" t="e">
        <f t="shared" si="7"/>
        <v>#DIV/0!</v>
      </c>
      <c r="CE13" s="28" t="e">
        <f t="shared" si="7"/>
        <v>#DIV/0!</v>
      </c>
      <c r="CF13" s="28" t="e">
        <f t="shared" si="7"/>
        <v>#DIV/0!</v>
      </c>
      <c r="CG13" s="28" t="e">
        <f t="shared" si="7"/>
        <v>#DIV/0!</v>
      </c>
      <c r="CH13" s="28" t="e">
        <f t="shared" si="7"/>
        <v>#DIV/0!</v>
      </c>
      <c r="CI13" s="28" t="e">
        <f t="shared" si="7"/>
        <v>#DIV/0!</v>
      </c>
      <c r="CJ13" s="28" t="e">
        <f t="shared" si="7"/>
        <v>#DIV/0!</v>
      </c>
      <c r="CK13" s="28" t="e">
        <f t="shared" si="7"/>
        <v>#DIV/0!</v>
      </c>
    </row>
    <row r="14" spans="1:90" s="26" customFormat="1" x14ac:dyDescent="0.25">
      <c r="A14" s="20" t="s">
        <v>496</v>
      </c>
      <c r="E14" s="26">
        <f>现金流量表!E13</f>
        <v>398329906.70999998</v>
      </c>
      <c r="F14" s="26">
        <f>现金流量表!F13</f>
        <v>22057931.399999999</v>
      </c>
      <c r="G14" s="26">
        <f>现金流量表!G13</f>
        <v>-108047538.38</v>
      </c>
      <c r="H14" s="26">
        <f>现金流量表!H13</f>
        <v>91197203.870000005</v>
      </c>
      <c r="I14" s="26">
        <f>现金流量表!I13</f>
        <v>505346104.88999999</v>
      </c>
      <c r="J14" s="26">
        <f>现金流量表!J13</f>
        <v>222610853.25999999</v>
      </c>
      <c r="K14" s="26">
        <f>现金流量表!K13</f>
        <v>52297990.909999996</v>
      </c>
      <c r="L14" s="26">
        <f>现金流量表!L13</f>
        <v>80416090.650000006</v>
      </c>
      <c r="M14" s="26">
        <f>现金流量表!M13</f>
        <v>339503977.39999998</v>
      </c>
      <c r="N14" s="26">
        <f>现金流量表!N13</f>
        <v>190646009.99000001</v>
      </c>
      <c r="O14" s="26">
        <f>现金流量表!O13</f>
        <v>70588324.090000004</v>
      </c>
      <c r="P14" s="26">
        <f>现金流量表!P13</f>
        <v>142675186.96000001</v>
      </c>
      <c r="Q14" s="26">
        <f>现金流量表!Q13</f>
        <v>508017310.10000002</v>
      </c>
      <c r="R14" s="26">
        <f>现金流量表!R13</f>
        <v>321017919.66000003</v>
      </c>
      <c r="S14" s="26">
        <f>现金流量表!S13</f>
        <v>84241772.310000002</v>
      </c>
      <c r="T14" s="26">
        <f>现金流量表!T13</f>
        <v>165971258.36000001</v>
      </c>
      <c r="U14" s="26">
        <f>现金流量表!U13</f>
        <v>413669738.88</v>
      </c>
      <c r="V14" s="26">
        <f>现金流量表!V13</f>
        <v>176625941.65000001</v>
      </c>
      <c r="W14" s="26">
        <f>现金流量表!W13</f>
        <v>-63675890.590000004</v>
      </c>
      <c r="X14" s="26">
        <f>现金流量表!X13</f>
        <v>37386371.759999998</v>
      </c>
      <c r="Y14" s="26">
        <f>现金流量表!Y13</f>
        <v>246398895.37</v>
      </c>
      <c r="Z14" s="26">
        <f>现金流量表!Z13</f>
        <v>20417199.34</v>
      </c>
      <c r="AA14" s="26">
        <f>现金流量表!AA13</f>
        <v>-157738332.30000001</v>
      </c>
      <c r="AB14" s="26">
        <f>现金流量表!AB13</f>
        <v>42416729.969999999</v>
      </c>
      <c r="AC14" s="26">
        <f>现金流量表!AC13</f>
        <v>306295910.07999998</v>
      </c>
      <c r="AD14" s="26">
        <f>现金流量表!AD13</f>
        <v>209983030.33000001</v>
      </c>
      <c r="AE14" s="26">
        <f>现金流量表!AE13</f>
        <v>52398903.630000003</v>
      </c>
      <c r="AF14" s="26">
        <f>现金流量表!AF13</f>
        <v>124686672.64</v>
      </c>
      <c r="AG14" s="26">
        <f>现金流量表!AG13</f>
        <v>132187072.02</v>
      </c>
      <c r="AH14" s="26">
        <f>现金流量表!AH13</f>
        <v>679972.5</v>
      </c>
      <c r="AI14" s="26">
        <f>现金流量表!AI13</f>
        <v>-34746417.619999997</v>
      </c>
      <c r="AJ14" s="26">
        <f>现金流量表!AJ13</f>
        <v>61533081.909999996</v>
      </c>
      <c r="AK14" s="26">
        <f>现金流量表!AK13</f>
        <v>134205495.3</v>
      </c>
      <c r="AL14" s="26">
        <f>现金流量表!AL13</f>
        <v>89952114.109999999</v>
      </c>
      <c r="AM14" s="26">
        <f>现金流量表!AM13</f>
        <v>23159448.66</v>
      </c>
      <c r="AN14" s="26">
        <f>现金流量表!AN13</f>
        <v>52529154.340000004</v>
      </c>
      <c r="AO14" s="26">
        <f>现金流量表!AO13</f>
        <v>108319136.56999999</v>
      </c>
      <c r="AP14" s="26">
        <f>现金流量表!AP13</f>
        <v>34728334.869999997</v>
      </c>
      <c r="AQ14" s="26">
        <f>现金流量表!AQ13</f>
        <v>44102238.759999998</v>
      </c>
      <c r="AR14" s="26">
        <f>现金流量表!AR13</f>
        <v>17055404.859999999</v>
      </c>
      <c r="AS14" s="26">
        <f>现金流量表!AS13</f>
        <v>0</v>
      </c>
      <c r="AT14" s="26">
        <f>现金流量表!AT13</f>
        <v>0</v>
      </c>
      <c r="AU14" s="26">
        <f>现金流量表!AU13</f>
        <v>0</v>
      </c>
      <c r="AV14" s="26">
        <f>现金流量表!AV13</f>
        <v>0</v>
      </c>
      <c r="AW14" s="26">
        <f>现金流量表!AW13</f>
        <v>0</v>
      </c>
      <c r="AX14" s="26">
        <f>现金流量表!AX13</f>
        <v>0</v>
      </c>
      <c r="AY14" s="26">
        <f>现金流量表!AY13</f>
        <v>0</v>
      </c>
      <c r="AZ14" s="26">
        <f>现金流量表!AZ13</f>
        <v>0</v>
      </c>
      <c r="BA14" s="26">
        <f>现金流量表!BA13</f>
        <v>0</v>
      </c>
      <c r="BB14" s="26">
        <f>现金流量表!BB13</f>
        <v>0</v>
      </c>
      <c r="BC14" s="26">
        <f>现金流量表!BC13</f>
        <v>0</v>
      </c>
      <c r="BD14" s="26">
        <f>现金流量表!BD13</f>
        <v>0</v>
      </c>
      <c r="BE14" s="26">
        <f>现金流量表!BE13</f>
        <v>0</v>
      </c>
      <c r="BF14" s="26">
        <f>现金流量表!BF13</f>
        <v>0</v>
      </c>
      <c r="BG14" s="26">
        <f>现金流量表!BG13</f>
        <v>0</v>
      </c>
      <c r="BH14" s="26">
        <f>现金流量表!BH13</f>
        <v>0</v>
      </c>
      <c r="BI14" s="26">
        <f>现金流量表!BI13</f>
        <v>0</v>
      </c>
      <c r="BJ14" s="26">
        <f>现金流量表!BJ13</f>
        <v>0</v>
      </c>
      <c r="BK14" s="26">
        <f>现金流量表!BK13</f>
        <v>0</v>
      </c>
      <c r="BL14" s="26">
        <f>现金流量表!BL13</f>
        <v>0</v>
      </c>
      <c r="BM14" s="26">
        <f>现金流量表!BM13</f>
        <v>0</v>
      </c>
      <c r="BN14" s="26">
        <f>现金流量表!BN13</f>
        <v>0</v>
      </c>
      <c r="BO14" s="26">
        <f>现金流量表!BO13</f>
        <v>0</v>
      </c>
      <c r="BP14" s="26">
        <f>现金流量表!BP13</f>
        <v>0</v>
      </c>
      <c r="BQ14" s="26">
        <f>现金流量表!BQ13</f>
        <v>0</v>
      </c>
      <c r="BR14" s="26">
        <f>现金流量表!BR13</f>
        <v>0</v>
      </c>
      <c r="BS14" s="26">
        <f>现金流量表!BS13</f>
        <v>0</v>
      </c>
      <c r="BT14" s="26">
        <f>现金流量表!BT13</f>
        <v>0</v>
      </c>
      <c r="BU14" s="26">
        <f>现金流量表!BU13</f>
        <v>0</v>
      </c>
      <c r="BV14" s="26">
        <f>现金流量表!BV13</f>
        <v>0</v>
      </c>
      <c r="BW14" s="26">
        <f>现金流量表!BW13</f>
        <v>0</v>
      </c>
      <c r="BX14" s="26">
        <f>现金流量表!BX13</f>
        <v>0</v>
      </c>
      <c r="BY14" s="26">
        <f>现金流量表!BY13</f>
        <v>0</v>
      </c>
      <c r="BZ14" s="26">
        <f>现金流量表!BZ13</f>
        <v>0</v>
      </c>
      <c r="CA14" s="26">
        <f>现金流量表!CA13</f>
        <v>0</v>
      </c>
      <c r="CB14" s="26">
        <f>现金流量表!CB13</f>
        <v>0</v>
      </c>
      <c r="CC14" s="26">
        <f>现金流量表!CC13</f>
        <v>0</v>
      </c>
      <c r="CD14" s="26">
        <f>现金流量表!CD13</f>
        <v>0</v>
      </c>
      <c r="CE14" s="26">
        <f>现金流量表!CE13</f>
        <v>0</v>
      </c>
      <c r="CF14" s="26">
        <f>现金流量表!CF13</f>
        <v>0</v>
      </c>
      <c r="CG14" s="26">
        <f>现金流量表!CG13</f>
        <v>0</v>
      </c>
      <c r="CH14" s="26">
        <f>现金流量表!CH13</f>
        <v>0</v>
      </c>
      <c r="CI14" s="26">
        <f>现金流量表!CI13</f>
        <v>0</v>
      </c>
      <c r="CJ14" s="26">
        <f>现金流量表!CJ13</f>
        <v>0</v>
      </c>
      <c r="CK14" s="26">
        <f>现金流量表!CK13</f>
        <v>0</v>
      </c>
    </row>
    <row r="15" spans="1:90" s="26" customFormat="1" x14ac:dyDescent="0.25">
      <c r="A15" s="17" t="s">
        <v>497</v>
      </c>
      <c r="E15" s="26">
        <f>股权价值增加表!E17</f>
        <v>428144030.063025</v>
      </c>
      <c r="F15" s="26">
        <f>股权价值增加表!F17</f>
        <v>324591800.59195822</v>
      </c>
      <c r="G15" s="26">
        <f>股权价值增加表!G17</f>
        <v>169231697.49786973</v>
      </c>
      <c r="H15" s="26">
        <f>股权价值增加表!H17</f>
        <v>123606189.79480192</v>
      </c>
      <c r="I15" s="26">
        <f>股权价值增加表!I17</f>
        <v>308520479.7763046</v>
      </c>
      <c r="J15" s="26">
        <f>股权价值增加表!J17</f>
        <v>252146262.21428594</v>
      </c>
      <c r="K15" s="26">
        <f>股权价值增加表!K17</f>
        <v>145532799.57464889</v>
      </c>
      <c r="L15" s="26">
        <f>股权价值增加表!L17</f>
        <v>104622458.65169166</v>
      </c>
      <c r="M15" s="26">
        <f>股权价值增加表!M17</f>
        <v>365311550.00787956</v>
      </c>
      <c r="N15" s="26">
        <f>股权价值增加表!N17</f>
        <v>293409183.21914089</v>
      </c>
      <c r="O15" s="26">
        <f>股权价值增加表!O17</f>
        <v>164979107.10671088</v>
      </c>
      <c r="P15" s="26">
        <f>股权价值增加表!P17</f>
        <v>113834650.5501582</v>
      </c>
      <c r="Q15" s="26">
        <f>股权价值增加表!Q17</f>
        <v>362984361.74733239</v>
      </c>
      <c r="R15" s="26">
        <f>股权价值增加表!R17</f>
        <v>250115802.33708391</v>
      </c>
      <c r="S15" s="26">
        <f>股权价值增加表!S17</f>
        <v>139150733.29980132</v>
      </c>
      <c r="T15" s="26">
        <f>股权价值增加表!T17</f>
        <v>90529610.928688839</v>
      </c>
      <c r="U15" s="26">
        <f>股权价值增加表!U17</f>
        <v>309180519.11409795</v>
      </c>
      <c r="V15" s="26">
        <f>股权价值增加表!V17</f>
        <v>219176919.57929215</v>
      </c>
      <c r="W15" s="26">
        <f>股权价值增加表!W17</f>
        <v>124376194.05783701</v>
      </c>
      <c r="X15" s="26">
        <f>股权价值增加表!X17</f>
        <v>79521329.740607604</v>
      </c>
      <c r="Y15" s="26">
        <f>股权价值增加表!Y17</f>
        <v>362461551.15202373</v>
      </c>
      <c r="Z15" s="26">
        <f>股权价值增加表!Z17</f>
        <v>239216405.10780725</v>
      </c>
      <c r="AA15" s="26">
        <f>股权价值增加表!AA17</f>
        <v>123232480.25873438</v>
      </c>
      <c r="AB15" s="26">
        <f>股权价值增加表!AB17</f>
        <v>102703921.19152451</v>
      </c>
      <c r="AC15" s="26">
        <f>股权价值增加表!AC17</f>
        <v>351540275.08176368</v>
      </c>
      <c r="AD15" s="26">
        <f>股权价值增加表!AD17</f>
        <v>265208318.95739347</v>
      </c>
      <c r="AE15" s="26">
        <f>股权价值增加表!AE17</f>
        <v>156047768.02113977</v>
      </c>
      <c r="AF15" s="26">
        <f>股权价值增加表!AF17</f>
        <v>84547194.378944635</v>
      </c>
      <c r="AG15" s="26">
        <f>股权价值增加表!AG17</f>
        <v>196811587.3324005</v>
      </c>
      <c r="AH15" s="26">
        <f>股权价值增加表!AH17</f>
        <v>135705521.34270978</v>
      </c>
      <c r="AI15" s="26">
        <f>股权价值增加表!AI17</f>
        <v>75088134.739324301</v>
      </c>
      <c r="AJ15" s="26">
        <f>股权价值增加表!AJ17</f>
        <v>48389010.878503993</v>
      </c>
      <c r="AK15" s="26">
        <f>股权价值增加表!AK17</f>
        <v>144699302.76251644</v>
      </c>
      <c r="AL15" s="26">
        <f>股权价值增加表!AL17</f>
        <v>101049269.93433616</v>
      </c>
      <c r="AM15" s="26">
        <f>股权价值增加表!AM17</f>
        <v>50905125.005242623</v>
      </c>
      <c r="AN15" s="26">
        <f>股权价值增加表!AN17</f>
        <v>33775054.624605685</v>
      </c>
      <c r="AO15" s="26">
        <f>股权价值增加表!AO17</f>
        <v>111533133.40988022</v>
      </c>
      <c r="AP15" s="26">
        <f>股权价值增加表!AP17</f>
        <v>84794520.52972129</v>
      </c>
      <c r="AQ15" s="26">
        <f>股权价值增加表!AQ17</f>
        <v>87008309.938071549</v>
      </c>
      <c r="AR15" s="26">
        <f>股权价值增加表!AR17</f>
        <v>50857099.536314316</v>
      </c>
      <c r="AS15" s="26" t="e">
        <f>股权价值增加表!AS17</f>
        <v>#DIV/0!</v>
      </c>
      <c r="AT15" s="26">
        <f>股权价值增加表!AT17</f>
        <v>0</v>
      </c>
      <c r="AU15" s="26">
        <f>股权价值增加表!AU17</f>
        <v>0</v>
      </c>
      <c r="AV15" s="26">
        <f>股权价值增加表!AV17</f>
        <v>0</v>
      </c>
      <c r="AW15" s="26">
        <f>股权价值增加表!AW17</f>
        <v>0</v>
      </c>
      <c r="AX15" s="26">
        <f>股权价值增加表!AX17</f>
        <v>0</v>
      </c>
      <c r="AY15" s="26">
        <f>股权价值增加表!AY17</f>
        <v>0</v>
      </c>
      <c r="AZ15" s="26">
        <f>股权价值增加表!AZ17</f>
        <v>0</v>
      </c>
      <c r="BA15" s="26">
        <f>股权价值增加表!BA17</f>
        <v>0</v>
      </c>
      <c r="BB15" s="26">
        <f>股权价值增加表!BB17</f>
        <v>0</v>
      </c>
      <c r="BC15" s="26">
        <f>股权价值增加表!BC17</f>
        <v>0</v>
      </c>
      <c r="BD15" s="26">
        <f>股权价值增加表!BD17</f>
        <v>0</v>
      </c>
      <c r="BE15" s="26">
        <f>股权价值增加表!BE17</f>
        <v>0</v>
      </c>
      <c r="BF15" s="26">
        <f>股权价值增加表!BF17</f>
        <v>0</v>
      </c>
      <c r="BG15" s="26">
        <f>股权价值增加表!BG17</f>
        <v>0</v>
      </c>
      <c r="BH15" s="26">
        <f>股权价值增加表!BH17</f>
        <v>0</v>
      </c>
      <c r="BI15" s="26">
        <f>股权价值增加表!BI17</f>
        <v>0</v>
      </c>
      <c r="BJ15" s="26">
        <f>股权价值增加表!BJ17</f>
        <v>0</v>
      </c>
      <c r="BK15" s="26">
        <f>股权价值增加表!BK17</f>
        <v>0</v>
      </c>
      <c r="BL15" s="26">
        <f>股权价值增加表!BL17</f>
        <v>0</v>
      </c>
      <c r="BM15" s="26">
        <f>股权价值增加表!BM17</f>
        <v>0</v>
      </c>
      <c r="BN15" s="26">
        <f>股权价值增加表!BN17</f>
        <v>0</v>
      </c>
      <c r="BO15" s="26">
        <f>股权价值增加表!BO17</f>
        <v>0</v>
      </c>
      <c r="BP15" s="26">
        <f>股权价值增加表!BP17</f>
        <v>0</v>
      </c>
      <c r="BQ15" s="26">
        <f>股权价值增加表!BQ17</f>
        <v>0</v>
      </c>
      <c r="BR15" s="26">
        <f>股权价值增加表!BR17</f>
        <v>0</v>
      </c>
      <c r="BS15" s="26">
        <f>股权价值增加表!BS17</f>
        <v>0</v>
      </c>
      <c r="BT15" s="26">
        <f>股权价值增加表!BT17</f>
        <v>0</v>
      </c>
      <c r="BU15" s="26">
        <f>股权价值增加表!BU17</f>
        <v>0</v>
      </c>
      <c r="BV15" s="26">
        <f>股权价值增加表!BV17</f>
        <v>0</v>
      </c>
      <c r="BW15" s="26">
        <f>股权价值增加表!BW17</f>
        <v>0</v>
      </c>
      <c r="BX15" s="26">
        <f>股权价值增加表!BX17</f>
        <v>0</v>
      </c>
      <c r="BY15" s="26">
        <f>股权价值增加表!BY17</f>
        <v>0</v>
      </c>
      <c r="BZ15" s="26">
        <f>股权价值增加表!BZ17</f>
        <v>0</v>
      </c>
      <c r="CA15" s="26">
        <f>股权价值增加表!CA17</f>
        <v>0</v>
      </c>
      <c r="CB15" s="26">
        <f>股权价值增加表!CB17</f>
        <v>0</v>
      </c>
      <c r="CC15" s="26">
        <f>股权价值增加表!CC17</f>
        <v>0</v>
      </c>
      <c r="CD15" s="26" t="e">
        <f>股权价值增加表!CD17</f>
        <v>#DIV/0!</v>
      </c>
      <c r="CE15" s="26">
        <f>股权价值增加表!CE17</f>
        <v>0</v>
      </c>
      <c r="CF15" s="26">
        <f>股权价值增加表!CF17</f>
        <v>0</v>
      </c>
      <c r="CG15" s="26" t="e">
        <f>股权价值增加表!CG17</f>
        <v>#DIV/0!</v>
      </c>
      <c r="CH15" s="26" t="e">
        <f>股权价值增加表!CH17</f>
        <v>#DIV/0!</v>
      </c>
      <c r="CI15" s="26" t="e">
        <f>股权价值增加表!CI17</f>
        <v>#DIV/0!</v>
      </c>
      <c r="CJ15" s="26" t="e">
        <f>股权价值增加表!CJ17</f>
        <v>#DIV/0!</v>
      </c>
      <c r="CK15" s="26">
        <f>股权价值增加表!CK17</f>
        <v>0</v>
      </c>
    </row>
    <row r="16" spans="1:90" s="28" customFormat="1" x14ac:dyDescent="0.25">
      <c r="A16" s="20" t="s">
        <v>498</v>
      </c>
      <c r="E16" s="28">
        <f>E14/E15</f>
        <v>0.93036426702332808</v>
      </c>
      <c r="F16" s="28">
        <f t="shared" ref="F16:BQ16" si="8">F14/F15</f>
        <v>6.7955910653851814E-2</v>
      </c>
      <c r="G16" s="28">
        <f t="shared" si="8"/>
        <v>-0.63845922470499405</v>
      </c>
      <c r="H16" s="28">
        <f t="shared" si="8"/>
        <v>0.73780450656553742</v>
      </c>
      <c r="I16" s="28">
        <f t="shared" si="8"/>
        <v>1.6379661578913836</v>
      </c>
      <c r="J16" s="28">
        <f t="shared" si="8"/>
        <v>0.8828639826150374</v>
      </c>
      <c r="K16" s="28">
        <f t="shared" si="8"/>
        <v>0.35935535537591662</v>
      </c>
      <c r="L16" s="28">
        <f t="shared" si="8"/>
        <v>0.76863124501519009</v>
      </c>
      <c r="M16" s="28">
        <f t="shared" si="8"/>
        <v>0.92935462180891093</v>
      </c>
      <c r="N16" s="28">
        <f t="shared" si="8"/>
        <v>0.64976156471425328</v>
      </c>
      <c r="O16" s="28">
        <f t="shared" si="8"/>
        <v>0.42786220223838678</v>
      </c>
      <c r="P16" s="28">
        <f t="shared" si="8"/>
        <v>1.2533546356092515</v>
      </c>
      <c r="Q16" s="28">
        <f t="shared" si="8"/>
        <v>1.3995570157747532</v>
      </c>
      <c r="R16" s="28">
        <f t="shared" si="8"/>
        <v>1.283477160021103</v>
      </c>
      <c r="S16" s="28">
        <f t="shared" si="8"/>
        <v>0.60539941337211967</v>
      </c>
      <c r="T16" s="28">
        <f t="shared" si="8"/>
        <v>1.833336702294428</v>
      </c>
      <c r="U16" s="28">
        <f t="shared" si="8"/>
        <v>1.3379553798062613</v>
      </c>
      <c r="V16" s="28">
        <f t="shared" si="8"/>
        <v>0.80586013339831442</v>
      </c>
      <c r="W16" s="28">
        <f t="shared" si="8"/>
        <v>-0.51196204444388815</v>
      </c>
      <c r="X16" s="28">
        <f t="shared" si="8"/>
        <v>0.47014268853339647</v>
      </c>
      <c r="Y16" s="28">
        <f t="shared" si="8"/>
        <v>0.67979319347627942</v>
      </c>
      <c r="Z16" s="28">
        <f t="shared" si="8"/>
        <v>8.5350330930684351E-2</v>
      </c>
      <c r="AA16" s="28">
        <f t="shared" si="8"/>
        <v>-1.2800061474768536</v>
      </c>
      <c r="AB16" s="28">
        <f t="shared" si="8"/>
        <v>0.41300010240992024</v>
      </c>
      <c r="AC16" s="28">
        <f t="shared" si="8"/>
        <v>0.87129678102675301</v>
      </c>
      <c r="AD16" s="28">
        <f t="shared" si="8"/>
        <v>0.79176637880553979</v>
      </c>
      <c r="AE16" s="28">
        <f t="shared" si="8"/>
        <v>0.33578758795769209</v>
      </c>
      <c r="AF16" s="28">
        <f t="shared" si="8"/>
        <v>1.4747582525464804</v>
      </c>
      <c r="AG16" s="28">
        <f t="shared" si="8"/>
        <v>0.67164273105904893</v>
      </c>
      <c r="AH16" s="28">
        <f t="shared" si="8"/>
        <v>5.0106472697068983E-3</v>
      </c>
      <c r="AI16" s="28">
        <f t="shared" si="8"/>
        <v>-0.46274178657687443</v>
      </c>
      <c r="AJ16" s="28">
        <f t="shared" si="8"/>
        <v>1.2716333893349954</v>
      </c>
      <c r="AK16" s="28">
        <f t="shared" si="8"/>
        <v>0.92747852089004812</v>
      </c>
      <c r="AL16" s="28">
        <f t="shared" si="8"/>
        <v>0.89018074221073229</v>
      </c>
      <c r="AM16" s="28">
        <f t="shared" si="8"/>
        <v>0.45495318315424726</v>
      </c>
      <c r="AN16" s="28">
        <f t="shared" si="8"/>
        <v>1.5552648226283443</v>
      </c>
      <c r="AO16" s="28">
        <f t="shared" si="8"/>
        <v>0.97118347936958871</v>
      </c>
      <c r="AP16" s="28">
        <f t="shared" si="8"/>
        <v>0.40955871503309443</v>
      </c>
      <c r="AQ16" s="28">
        <f t="shared" si="8"/>
        <v>0.50687386976473758</v>
      </c>
      <c r="AR16" s="28">
        <f t="shared" si="8"/>
        <v>0.33535936998966392</v>
      </c>
      <c r="AS16" s="28" t="e">
        <f t="shared" si="8"/>
        <v>#DIV/0!</v>
      </c>
      <c r="AT16" s="28" t="e">
        <f t="shared" si="8"/>
        <v>#DIV/0!</v>
      </c>
      <c r="AU16" s="28" t="e">
        <f t="shared" si="8"/>
        <v>#DIV/0!</v>
      </c>
      <c r="AV16" s="28" t="e">
        <f t="shared" si="8"/>
        <v>#DIV/0!</v>
      </c>
      <c r="AW16" s="28" t="e">
        <f t="shared" si="8"/>
        <v>#DIV/0!</v>
      </c>
      <c r="AX16" s="28" t="e">
        <f t="shared" si="8"/>
        <v>#DIV/0!</v>
      </c>
      <c r="AY16" s="28" t="e">
        <f t="shared" si="8"/>
        <v>#DIV/0!</v>
      </c>
      <c r="AZ16" s="28" t="e">
        <f t="shared" si="8"/>
        <v>#DIV/0!</v>
      </c>
      <c r="BA16" s="28" t="e">
        <f t="shared" si="8"/>
        <v>#DIV/0!</v>
      </c>
      <c r="BB16" s="28" t="e">
        <f t="shared" si="8"/>
        <v>#DIV/0!</v>
      </c>
      <c r="BC16" s="28" t="e">
        <f t="shared" si="8"/>
        <v>#DIV/0!</v>
      </c>
      <c r="BD16" s="28" t="e">
        <f t="shared" si="8"/>
        <v>#DIV/0!</v>
      </c>
      <c r="BE16" s="28" t="e">
        <f t="shared" si="8"/>
        <v>#DIV/0!</v>
      </c>
      <c r="BF16" s="28" t="e">
        <f t="shared" si="8"/>
        <v>#DIV/0!</v>
      </c>
      <c r="BG16" s="28" t="e">
        <f t="shared" si="8"/>
        <v>#DIV/0!</v>
      </c>
      <c r="BH16" s="28" t="e">
        <f t="shared" si="8"/>
        <v>#DIV/0!</v>
      </c>
      <c r="BI16" s="28" t="e">
        <f t="shared" si="8"/>
        <v>#DIV/0!</v>
      </c>
      <c r="BJ16" s="28" t="e">
        <f t="shared" si="8"/>
        <v>#DIV/0!</v>
      </c>
      <c r="BK16" s="28" t="e">
        <f t="shared" si="8"/>
        <v>#DIV/0!</v>
      </c>
      <c r="BL16" s="28" t="e">
        <f t="shared" si="8"/>
        <v>#DIV/0!</v>
      </c>
      <c r="BM16" s="28" t="e">
        <f t="shared" si="8"/>
        <v>#DIV/0!</v>
      </c>
      <c r="BN16" s="28" t="e">
        <f t="shared" si="8"/>
        <v>#DIV/0!</v>
      </c>
      <c r="BO16" s="28" t="e">
        <f t="shared" si="8"/>
        <v>#DIV/0!</v>
      </c>
      <c r="BP16" s="28" t="e">
        <f t="shared" si="8"/>
        <v>#DIV/0!</v>
      </c>
      <c r="BQ16" s="28" t="e">
        <f t="shared" si="8"/>
        <v>#DIV/0!</v>
      </c>
      <c r="BR16" s="28" t="e">
        <f t="shared" ref="BR16:CL16" si="9">BR14/BR15</f>
        <v>#DIV/0!</v>
      </c>
      <c r="BS16" s="28" t="e">
        <f t="shared" si="9"/>
        <v>#DIV/0!</v>
      </c>
      <c r="BT16" s="28" t="e">
        <f t="shared" si="9"/>
        <v>#DIV/0!</v>
      </c>
      <c r="BU16" s="28" t="e">
        <f t="shared" si="9"/>
        <v>#DIV/0!</v>
      </c>
      <c r="BV16" s="28" t="e">
        <f t="shared" si="9"/>
        <v>#DIV/0!</v>
      </c>
      <c r="BW16" s="28" t="e">
        <f t="shared" si="9"/>
        <v>#DIV/0!</v>
      </c>
      <c r="BX16" s="28" t="e">
        <f t="shared" si="9"/>
        <v>#DIV/0!</v>
      </c>
      <c r="BY16" s="28" t="e">
        <f t="shared" si="9"/>
        <v>#DIV/0!</v>
      </c>
      <c r="BZ16" s="28" t="e">
        <f t="shared" si="9"/>
        <v>#DIV/0!</v>
      </c>
      <c r="CA16" s="28" t="e">
        <f t="shared" si="9"/>
        <v>#DIV/0!</v>
      </c>
      <c r="CB16" s="28" t="e">
        <f t="shared" si="9"/>
        <v>#DIV/0!</v>
      </c>
      <c r="CC16" s="28" t="e">
        <f t="shared" si="9"/>
        <v>#DIV/0!</v>
      </c>
      <c r="CD16" s="28" t="e">
        <f t="shared" si="9"/>
        <v>#DIV/0!</v>
      </c>
      <c r="CE16" s="28" t="e">
        <f t="shared" si="9"/>
        <v>#DIV/0!</v>
      </c>
      <c r="CF16" s="28" t="e">
        <f t="shared" si="9"/>
        <v>#DIV/0!</v>
      </c>
      <c r="CG16" s="28" t="e">
        <f t="shared" si="9"/>
        <v>#DIV/0!</v>
      </c>
      <c r="CH16" s="28" t="e">
        <f t="shared" si="9"/>
        <v>#DIV/0!</v>
      </c>
      <c r="CI16" s="28" t="e">
        <f t="shared" si="9"/>
        <v>#DIV/0!</v>
      </c>
      <c r="CJ16" s="28" t="e">
        <f t="shared" si="9"/>
        <v>#DIV/0!</v>
      </c>
      <c r="CK16" s="28" t="e">
        <f t="shared" si="9"/>
        <v>#DIV/0!</v>
      </c>
      <c r="CL16" s="28" t="e">
        <f t="shared" si="9"/>
        <v>#DIV/0!</v>
      </c>
    </row>
    <row r="17" spans="1:90" s="26" customFormat="1" x14ac:dyDescent="0.25">
      <c r="A17" s="17" t="s">
        <v>499</v>
      </c>
      <c r="E17" s="26">
        <f>股权价值增加表!E42</f>
        <v>409116925.75999999</v>
      </c>
      <c r="F17" s="26">
        <f>股权价值增加表!F42</f>
        <v>310919933.17000008</v>
      </c>
      <c r="G17" s="26">
        <f>股权价值增加表!G42</f>
        <v>165566023.43999976</v>
      </c>
      <c r="H17" s="26">
        <f>股权价值增加表!H42</f>
        <v>125379847.31999998</v>
      </c>
      <c r="I17" s="26">
        <f>股权价值增加表!I42</f>
        <v>347033272.61999971</v>
      </c>
      <c r="J17" s="26">
        <f>股权价值增加表!J42</f>
        <v>271441166.31000006</v>
      </c>
      <c r="K17" s="26">
        <f>股权价值增加表!K42</f>
        <v>159643588.96000019</v>
      </c>
      <c r="L17" s="26">
        <f>股权价值增加表!L42</f>
        <v>113830763.40000001</v>
      </c>
      <c r="M17" s="26">
        <f>股权价值增加表!M42</f>
        <v>424447290.04999995</v>
      </c>
      <c r="N17" s="26">
        <f>股权价值增加表!N42</f>
        <v>332138634.56999999</v>
      </c>
      <c r="O17" s="26">
        <f>股权价值增加表!O42</f>
        <v>187205834.47999993</v>
      </c>
      <c r="P17" s="26">
        <f>股权价值增加表!P42</f>
        <v>118405557.65999994</v>
      </c>
      <c r="Q17" s="26">
        <f>股权价值增加表!Q42</f>
        <v>396850889.44000012</v>
      </c>
      <c r="R17" s="26">
        <f>股权价值增加表!R42</f>
        <v>276893539.67000008</v>
      </c>
      <c r="S17" s="26">
        <f>股权价值增加表!S42</f>
        <v>157607109.34999999</v>
      </c>
      <c r="T17" s="26">
        <f>股权价值增加表!T42</f>
        <v>98967715.520000026</v>
      </c>
      <c r="U17" s="26">
        <f>股权价值增加表!U42</f>
        <v>330567230.81</v>
      </c>
      <c r="V17" s="26">
        <f>股权价值增加表!V42</f>
        <v>236719062.20000002</v>
      </c>
      <c r="W17" s="26">
        <f>股权价值增加表!W42</f>
        <v>136742523.95999995</v>
      </c>
      <c r="X17" s="26">
        <f>股权价值增加表!X42</f>
        <v>85675411.339999914</v>
      </c>
      <c r="Y17" s="26">
        <f>股权价值增加表!Y42</f>
        <v>381078698.31000006</v>
      </c>
      <c r="Z17" s="26">
        <f>股权价值增加表!Z42</f>
        <v>253289668.10000014</v>
      </c>
      <c r="AA17" s="26">
        <f>股权价值增加表!AA42</f>
        <v>133778390.80000001</v>
      </c>
      <c r="AB17" s="26">
        <f>股权价值增加表!AB42</f>
        <v>106341388.36999996</v>
      </c>
      <c r="AC17" s="26">
        <f>股权价值增加表!AC42</f>
        <v>372076760.74000007</v>
      </c>
      <c r="AD17" s="26">
        <f>股权价值增加表!AD42</f>
        <v>279561185.24999988</v>
      </c>
      <c r="AE17" s="26">
        <f>股权价值增加表!AE42</f>
        <v>162127978.39000005</v>
      </c>
      <c r="AF17" s="26">
        <f>股权价值增加表!AF42</f>
        <v>88671221.550000027</v>
      </c>
      <c r="AG17" s="26">
        <f>股权价值增加表!AG42</f>
        <v>210741023.48000026</v>
      </c>
      <c r="AH17" s="26">
        <f>股权价值增加表!AH42</f>
        <v>144248245.18000013</v>
      </c>
      <c r="AI17" s="26">
        <f>股权价值增加表!AI42</f>
        <v>77337776.939999968</v>
      </c>
      <c r="AJ17" s="26">
        <f>股权价值增加表!AJ42</f>
        <v>50165119.959999979</v>
      </c>
      <c r="AK17" s="26">
        <f>股权价值增加表!AK42</f>
        <v>145440527.06999987</v>
      </c>
      <c r="AL17" s="26">
        <f>股权价值增加表!AL42</f>
        <v>101662169.32999998</v>
      </c>
      <c r="AM17" s="26">
        <f>股权价值增加表!AM42</f>
        <v>51051582.179999992</v>
      </c>
      <c r="AN17" s="26">
        <f>股权价值增加表!AN42</f>
        <v>33777696.210000038</v>
      </c>
      <c r="AO17" s="26">
        <f>股权价值增加表!AO42</f>
        <v>110229793.30999994</v>
      </c>
      <c r="AP17" s="26">
        <f>股权价值增加表!AP42</f>
        <v>84100158.340000093</v>
      </c>
      <c r="AQ17" s="26">
        <f>股权价值增加表!AQ42</f>
        <v>85138294.759999961</v>
      </c>
      <c r="AR17" s="26">
        <f>股权价值增加表!AR42</f>
        <v>49517218.419999912</v>
      </c>
      <c r="AS17" s="26">
        <f>股权价值增加表!AS42</f>
        <v>0</v>
      </c>
      <c r="AT17" s="26">
        <f>股权价值增加表!AT42</f>
        <v>-606675948.97000003</v>
      </c>
      <c r="AU17" s="26">
        <f>股权价值增加表!AU42</f>
        <v>-525244177.46999997</v>
      </c>
      <c r="AV17" s="26">
        <f>股权价值增加表!AV42</f>
        <v>-370504198.70999998</v>
      </c>
      <c r="AW17" s="26">
        <f>股权价值增加表!AW42</f>
        <v>-550836582.15999997</v>
      </c>
      <c r="AX17" s="26">
        <f>股权价值增加表!AX42</f>
        <v>-497364124.85000002</v>
      </c>
      <c r="AY17" s="26">
        <f>股权价值增加表!AY42</f>
        <v>-393993423.18000001</v>
      </c>
      <c r="AZ17" s="26">
        <f>股权价值增加表!AZ42</f>
        <v>-277925918.08999997</v>
      </c>
      <c r="BA17" s="26">
        <f>股权价值增加表!BA42</f>
        <v>-375599127.04999995</v>
      </c>
      <c r="BB17" s="26">
        <f>股权价值增加表!BB42</f>
        <v>-376909155.56</v>
      </c>
      <c r="BC17" s="26">
        <f>股权价值增加表!BC42</f>
        <v>-331126120.21999997</v>
      </c>
      <c r="BD17" s="26">
        <f>股权价值增加表!BD42</f>
        <v>-232460368.78999999</v>
      </c>
      <c r="BE17" s="26">
        <f>股权价值增加表!BE42</f>
        <v>-415071515.56999999</v>
      </c>
      <c r="BF17" s="26">
        <f>股权价值增加表!BF42</f>
        <v>-341885591.56999999</v>
      </c>
      <c r="BG17" s="26">
        <f>股权价值增加表!BG42</f>
        <v>-266868592.27000001</v>
      </c>
      <c r="BH17" s="26">
        <f>股权价值增加表!BH42</f>
        <v>-190592880.15000001</v>
      </c>
      <c r="BI17" s="26">
        <f>股权价值增加表!BI42</f>
        <v>-355643656.85000002</v>
      </c>
      <c r="BJ17" s="26">
        <f>股权价值增加表!BJ42</f>
        <v>-291496615.11000001</v>
      </c>
      <c r="BK17" s="26">
        <f>股权价值增加表!BK42</f>
        <v>-237870081.79999998</v>
      </c>
      <c r="BL17" s="26">
        <f>股权价值增加表!BL42</f>
        <v>-204685096.5</v>
      </c>
      <c r="BM17" s="26">
        <f>股权价值增加表!BM42</f>
        <v>-223212941.22</v>
      </c>
      <c r="BN17" s="26">
        <f>股权价值增加表!BN42</f>
        <v>-167173236.28999999</v>
      </c>
      <c r="BO17" s="26">
        <f>股权价值增加表!BO42</f>
        <v>-113551397.55</v>
      </c>
      <c r="BP17" s="26">
        <f>股权价值增加表!BP42</f>
        <v>-114049159.08</v>
      </c>
      <c r="BQ17" s="26">
        <f>股权价值增加表!BQ42</f>
        <v>-79004755.060000002</v>
      </c>
      <c r="BR17" s="26">
        <f>股权价值增加表!BR42</f>
        <v>-147870000</v>
      </c>
      <c r="BS17" s="26">
        <f>股权价值增加表!BS42</f>
        <v>-152979249.54999998</v>
      </c>
      <c r="BT17" s="26">
        <f>股权价值增加表!BT42</f>
        <v>-128012163.46000001</v>
      </c>
      <c r="BU17" s="26">
        <f>股权价值增加表!BU42</f>
        <v>-222157134.44</v>
      </c>
      <c r="BV17" s="26">
        <f>股权价值增加表!BV42</f>
        <v>-287911344.69999999</v>
      </c>
      <c r="BW17" s="26">
        <f>股权价值增加表!BW42</f>
        <v>-288342438.87</v>
      </c>
      <c r="BX17" s="26">
        <f>股权价值增加表!BX42</f>
        <v>-57060547.329999998</v>
      </c>
      <c r="BY17" s="26">
        <f>股权价值增加表!BY42</f>
        <v>-217786839.49000001</v>
      </c>
      <c r="BZ17" s="26">
        <f>股权价值增加表!BZ42</f>
        <v>-40798540.960000001</v>
      </c>
      <c r="CA17" s="26">
        <f>股权价值增加表!CA42</f>
        <v>-179937260.47</v>
      </c>
      <c r="CB17" s="26">
        <f>股权价值增加表!CB42</f>
        <v>-144282576.27000001</v>
      </c>
      <c r="CC17" s="26">
        <f>股权价值增加表!CC42</f>
        <v>-119252620.25</v>
      </c>
      <c r="CD17" s="26">
        <f>股权价值增加表!CD42</f>
        <v>0</v>
      </c>
      <c r="CE17" s="26">
        <f>股权价值增加表!CE42</f>
        <v>-20081000</v>
      </c>
      <c r="CF17" s="26">
        <f>股权价值增加表!CF42</f>
        <v>-14354563.84</v>
      </c>
      <c r="CG17" s="26">
        <f>股权价值增加表!CG42</f>
        <v>-4330000</v>
      </c>
      <c r="CH17" s="26">
        <f>股权价值增加表!CH42</f>
        <v>-4220000</v>
      </c>
      <c r="CI17" s="26">
        <f>股权价值增加表!CI42</f>
        <v>-12510000</v>
      </c>
      <c r="CJ17" s="26">
        <f>股权价值增加表!CJ42</f>
        <v>-3630000</v>
      </c>
      <c r="CK17" s="26">
        <f>股权价值增加表!CK42</f>
        <v>0</v>
      </c>
      <c r="CL17" s="26">
        <f>股权价值增加表!CL42</f>
        <v>0</v>
      </c>
    </row>
    <row r="18" spans="1:90" s="28" customFormat="1" x14ac:dyDescent="0.25">
      <c r="A18" s="20" t="s">
        <v>500</v>
      </c>
      <c r="E18" s="28">
        <f>E14/E17</f>
        <v>0.97363340802886267</v>
      </c>
      <c r="F18" s="28">
        <f t="shared" ref="F18:BQ18" si="10">F14/F17</f>
        <v>7.0944088965629287E-2</v>
      </c>
      <c r="G18" s="28">
        <f t="shared" si="10"/>
        <v>-0.65259487505391378</v>
      </c>
      <c r="H18" s="28">
        <f t="shared" si="10"/>
        <v>0.72736732273443017</v>
      </c>
      <c r="I18" s="28">
        <f t="shared" si="10"/>
        <v>1.456189203631066</v>
      </c>
      <c r="J18" s="28">
        <f t="shared" si="10"/>
        <v>0.82010719407890664</v>
      </c>
      <c r="K18" s="28">
        <f t="shared" si="10"/>
        <v>0.32759217736644358</v>
      </c>
      <c r="L18" s="28">
        <f t="shared" si="10"/>
        <v>0.70645305581777373</v>
      </c>
      <c r="M18" s="28">
        <f t="shared" si="10"/>
        <v>0.79987311819096862</v>
      </c>
      <c r="N18" s="28">
        <f t="shared" si="10"/>
        <v>0.57399528433907721</v>
      </c>
      <c r="O18" s="28">
        <f t="shared" si="10"/>
        <v>0.3770626288762452</v>
      </c>
      <c r="P18" s="28">
        <f t="shared" si="10"/>
        <v>1.2049703559497604</v>
      </c>
      <c r="Q18" s="28">
        <f t="shared" si="10"/>
        <v>1.2801213846764155</v>
      </c>
      <c r="R18" s="28">
        <f t="shared" si="10"/>
        <v>1.1593550360278795</v>
      </c>
      <c r="S18" s="28">
        <f t="shared" si="10"/>
        <v>0.53450490055574396</v>
      </c>
      <c r="T18" s="28">
        <f t="shared" si="10"/>
        <v>1.6770242446028725</v>
      </c>
      <c r="U18" s="28">
        <f t="shared" si="10"/>
        <v>1.2513936661730538</v>
      </c>
      <c r="V18" s="28">
        <f t="shared" si="10"/>
        <v>0.74614160772896132</v>
      </c>
      <c r="W18" s="28">
        <f t="shared" si="10"/>
        <v>-0.46566268301897468</v>
      </c>
      <c r="X18" s="28">
        <f t="shared" si="10"/>
        <v>0.43637224701067934</v>
      </c>
      <c r="Y18" s="28">
        <f t="shared" si="10"/>
        <v>0.64658270447213329</v>
      </c>
      <c r="Z18" s="28">
        <f t="shared" si="10"/>
        <v>8.0608101756204198E-2</v>
      </c>
      <c r="AA18" s="28">
        <f t="shared" si="10"/>
        <v>-1.1791017320265149</v>
      </c>
      <c r="AB18" s="28">
        <f t="shared" si="10"/>
        <v>0.39887320092546591</v>
      </c>
      <c r="AC18" s="28">
        <f t="shared" si="10"/>
        <v>0.82320623698945161</v>
      </c>
      <c r="AD18" s="28">
        <f t="shared" si="10"/>
        <v>0.75111654052482635</v>
      </c>
      <c r="AE18" s="28">
        <f t="shared" si="10"/>
        <v>0.32319470180497811</v>
      </c>
      <c r="AF18" s="28">
        <f t="shared" si="10"/>
        <v>1.4061684327839279</v>
      </c>
      <c r="AG18" s="28">
        <f t="shared" si="10"/>
        <v>0.62724888508736321</v>
      </c>
      <c r="AH18" s="28">
        <f t="shared" si="10"/>
        <v>4.7139048322667396E-3</v>
      </c>
      <c r="AI18" s="28">
        <f t="shared" si="10"/>
        <v>-0.44928130849890979</v>
      </c>
      <c r="AJ18" s="28">
        <f t="shared" si="10"/>
        <v>1.2266108794131152</v>
      </c>
      <c r="AK18" s="28">
        <f t="shared" si="10"/>
        <v>0.92275171166979819</v>
      </c>
      <c r="AL18" s="28">
        <f t="shared" si="10"/>
        <v>0.88481403360586752</v>
      </c>
      <c r="AM18" s="28">
        <f t="shared" si="10"/>
        <v>0.45364800993519383</v>
      </c>
      <c r="AN18" s="28">
        <f t="shared" si="10"/>
        <v>1.555143193112398</v>
      </c>
      <c r="AO18" s="28">
        <f t="shared" si="10"/>
        <v>0.98266660326009503</v>
      </c>
      <c r="AP18" s="28">
        <f t="shared" si="10"/>
        <v>0.41294018412664929</v>
      </c>
      <c r="AQ18" s="28">
        <f t="shared" si="10"/>
        <v>0.51800707172162319</v>
      </c>
      <c r="AR18" s="28">
        <f t="shared" si="10"/>
        <v>0.34443382330844646</v>
      </c>
      <c r="AS18" s="28" t="e">
        <f t="shared" si="10"/>
        <v>#DIV/0!</v>
      </c>
      <c r="AT18" s="28">
        <f t="shared" si="10"/>
        <v>0</v>
      </c>
      <c r="AU18" s="28">
        <f t="shared" si="10"/>
        <v>0</v>
      </c>
      <c r="AV18" s="28">
        <f t="shared" si="10"/>
        <v>0</v>
      </c>
      <c r="AW18" s="28">
        <f t="shared" si="10"/>
        <v>0</v>
      </c>
      <c r="AX18" s="28">
        <f t="shared" si="10"/>
        <v>0</v>
      </c>
      <c r="AY18" s="28">
        <f t="shared" si="10"/>
        <v>0</v>
      </c>
      <c r="AZ18" s="28">
        <f t="shared" si="10"/>
        <v>0</v>
      </c>
      <c r="BA18" s="28">
        <f t="shared" si="10"/>
        <v>0</v>
      </c>
      <c r="BB18" s="28">
        <f t="shared" si="10"/>
        <v>0</v>
      </c>
      <c r="BC18" s="28">
        <f t="shared" si="10"/>
        <v>0</v>
      </c>
      <c r="BD18" s="28">
        <f t="shared" si="10"/>
        <v>0</v>
      </c>
      <c r="BE18" s="28">
        <f t="shared" si="10"/>
        <v>0</v>
      </c>
      <c r="BF18" s="28">
        <f t="shared" si="10"/>
        <v>0</v>
      </c>
      <c r="BG18" s="28">
        <f t="shared" si="10"/>
        <v>0</v>
      </c>
      <c r="BH18" s="28">
        <f t="shared" si="10"/>
        <v>0</v>
      </c>
      <c r="BI18" s="28">
        <f t="shared" si="10"/>
        <v>0</v>
      </c>
      <c r="BJ18" s="28">
        <f t="shared" si="10"/>
        <v>0</v>
      </c>
      <c r="BK18" s="28">
        <f t="shared" si="10"/>
        <v>0</v>
      </c>
      <c r="BL18" s="28">
        <f t="shared" si="10"/>
        <v>0</v>
      </c>
      <c r="BM18" s="28">
        <f t="shared" si="10"/>
        <v>0</v>
      </c>
      <c r="BN18" s="28">
        <f t="shared" si="10"/>
        <v>0</v>
      </c>
      <c r="BO18" s="28">
        <f t="shared" si="10"/>
        <v>0</v>
      </c>
      <c r="BP18" s="28">
        <f t="shared" si="10"/>
        <v>0</v>
      </c>
      <c r="BQ18" s="28">
        <f t="shared" si="10"/>
        <v>0</v>
      </c>
      <c r="BR18" s="28">
        <f t="shared" ref="BR18:CK18" si="11">BR14/BR17</f>
        <v>0</v>
      </c>
      <c r="BS18" s="28">
        <f t="shared" si="11"/>
        <v>0</v>
      </c>
      <c r="BT18" s="28">
        <f t="shared" si="11"/>
        <v>0</v>
      </c>
      <c r="BU18" s="28">
        <f t="shared" si="11"/>
        <v>0</v>
      </c>
      <c r="BV18" s="28">
        <f t="shared" si="11"/>
        <v>0</v>
      </c>
      <c r="BW18" s="28">
        <f t="shared" si="11"/>
        <v>0</v>
      </c>
      <c r="BX18" s="28">
        <f t="shared" si="11"/>
        <v>0</v>
      </c>
      <c r="BY18" s="28">
        <f t="shared" si="11"/>
        <v>0</v>
      </c>
      <c r="BZ18" s="28">
        <f t="shared" si="11"/>
        <v>0</v>
      </c>
      <c r="CA18" s="28">
        <f t="shared" si="11"/>
        <v>0</v>
      </c>
      <c r="CB18" s="28">
        <f t="shared" si="11"/>
        <v>0</v>
      </c>
      <c r="CC18" s="28">
        <f t="shared" si="11"/>
        <v>0</v>
      </c>
      <c r="CD18" s="28" t="e">
        <f t="shared" si="11"/>
        <v>#DIV/0!</v>
      </c>
      <c r="CE18" s="28">
        <f t="shared" si="11"/>
        <v>0</v>
      </c>
      <c r="CF18" s="28">
        <f t="shared" si="11"/>
        <v>0</v>
      </c>
      <c r="CG18" s="28">
        <f t="shared" si="11"/>
        <v>0</v>
      </c>
      <c r="CH18" s="28">
        <f t="shared" si="11"/>
        <v>0</v>
      </c>
      <c r="CI18" s="28">
        <f t="shared" si="11"/>
        <v>0</v>
      </c>
      <c r="CJ18" s="28">
        <f t="shared" si="11"/>
        <v>0</v>
      </c>
      <c r="CK18" s="28" t="e">
        <f t="shared" si="11"/>
        <v>#DIV/0!</v>
      </c>
    </row>
    <row r="19" spans="1:90" s="26" customFormat="1" x14ac:dyDescent="0.25">
      <c r="A19" s="17" t="s">
        <v>501</v>
      </c>
      <c r="E19" s="26">
        <f>现金流量表!E48</f>
        <v>65575512.200000003</v>
      </c>
      <c r="F19" s="26">
        <f>现金流量表!F48</f>
        <v>0</v>
      </c>
      <c r="G19" s="26">
        <f>现金流量表!G48</f>
        <v>26957049.120000001</v>
      </c>
      <c r="H19" s="26">
        <f>现金流量表!H48</f>
        <v>0</v>
      </c>
      <c r="I19" s="26">
        <f>现金流量表!I48</f>
        <v>48551810.390000001</v>
      </c>
      <c r="J19" s="26">
        <f>现金流量表!J48</f>
        <v>0</v>
      </c>
      <c r="K19" s="26">
        <f>现金流量表!K48</f>
        <v>6649353.46</v>
      </c>
      <c r="L19" s="26">
        <f>现金流量表!L48</f>
        <v>0</v>
      </c>
      <c r="M19" s="26">
        <f>现金流量表!M48</f>
        <v>31301733.23</v>
      </c>
      <c r="N19" s="26">
        <f>现金流量表!N48</f>
        <v>0</v>
      </c>
      <c r="O19" s="26">
        <f>现金流量表!O48</f>
        <v>3336644.17</v>
      </c>
      <c r="P19" s="26">
        <f>现金流量表!P48</f>
        <v>0</v>
      </c>
      <c r="Q19" s="26">
        <f>现金流量表!Q48</f>
        <v>16020971.09</v>
      </c>
      <c r="R19" s="26">
        <f>现金流量表!R48</f>
        <v>0</v>
      </c>
      <c r="S19" s="26">
        <f>现金流量表!S48</f>
        <v>2690680.83</v>
      </c>
      <c r="T19" s="26">
        <f>现金流量表!T48</f>
        <v>0</v>
      </c>
      <c r="U19" s="26">
        <f>现金流量表!U48</f>
        <v>11326349.439999999</v>
      </c>
      <c r="V19" s="26">
        <f>现金流量表!V48</f>
        <v>0</v>
      </c>
      <c r="W19" s="26">
        <f>现金流量表!W48</f>
        <v>2314149.34</v>
      </c>
      <c r="X19" s="26">
        <f>现金流量表!X48</f>
        <v>0</v>
      </c>
      <c r="Y19" s="26">
        <f>现金流量表!Y48</f>
        <v>7773704.8799999999</v>
      </c>
      <c r="Z19" s="26">
        <f>现金流量表!Z48</f>
        <v>0</v>
      </c>
      <c r="AA19" s="26">
        <f>现金流量表!AA48</f>
        <v>1176562.18</v>
      </c>
      <c r="AB19" s="26">
        <f>现金流量表!AB48</f>
        <v>0</v>
      </c>
      <c r="AC19" s="26">
        <f>现金流量表!AC48</f>
        <v>6385375.54</v>
      </c>
      <c r="AD19" s="26">
        <f>现金流量表!AD48</f>
        <v>0</v>
      </c>
      <c r="AE19" s="26">
        <f>现金流量表!AE48</f>
        <v>1288432.1299999999</v>
      </c>
      <c r="AF19" s="26">
        <f>现金流量表!AF48</f>
        <v>0</v>
      </c>
      <c r="AG19" s="26">
        <f>现金流量表!AG48</f>
        <v>10400653.18</v>
      </c>
      <c r="AH19" s="26">
        <f>现金流量表!AH48</f>
        <v>0</v>
      </c>
      <c r="AI19" s="26">
        <f>现金流量表!AI48</f>
        <v>2759387.69</v>
      </c>
      <c r="AJ19" s="26">
        <f>现金流量表!AJ48</f>
        <v>0</v>
      </c>
      <c r="AK19" s="26">
        <f>现金流量表!AK48</f>
        <v>-348833.67</v>
      </c>
      <c r="AL19" s="26">
        <f>现金流量表!AL48</f>
        <v>0</v>
      </c>
      <c r="AM19" s="26">
        <f>现金流量表!AM48</f>
        <v>527836.24</v>
      </c>
      <c r="AN19" s="26">
        <f>现金流量表!AN48</f>
        <v>0</v>
      </c>
      <c r="AO19" s="26">
        <f>现金流量表!AO48</f>
        <v>6621635.0700000003</v>
      </c>
      <c r="AP19" s="26">
        <f>现金流量表!AP48</f>
        <v>0</v>
      </c>
      <c r="AQ19" s="26">
        <f>现金流量表!AQ48</f>
        <v>1747683.12</v>
      </c>
      <c r="AR19" s="26">
        <f>现金流量表!AR48</f>
        <v>-2139051.2400000002</v>
      </c>
      <c r="AS19" s="26">
        <f>现金流量表!AS48</f>
        <v>0</v>
      </c>
      <c r="AT19" s="26">
        <f>现金流量表!AT48</f>
        <v>0</v>
      </c>
      <c r="AU19" s="26">
        <f>现金流量表!AU48</f>
        <v>0</v>
      </c>
      <c r="AV19" s="26">
        <f>现金流量表!AV48</f>
        <v>0</v>
      </c>
      <c r="AW19" s="26">
        <f>现金流量表!AW48</f>
        <v>0</v>
      </c>
      <c r="AX19" s="26">
        <f>现金流量表!AX48</f>
        <v>0</v>
      </c>
      <c r="AY19" s="26">
        <f>现金流量表!AY48</f>
        <v>0</v>
      </c>
      <c r="AZ19" s="26">
        <f>现金流量表!AZ48</f>
        <v>0</v>
      </c>
      <c r="BA19" s="26">
        <f>现金流量表!BA48</f>
        <v>0</v>
      </c>
      <c r="BB19" s="26">
        <f>现金流量表!BB48</f>
        <v>0</v>
      </c>
      <c r="BC19" s="26">
        <f>现金流量表!BC48</f>
        <v>0</v>
      </c>
      <c r="BD19" s="26">
        <f>现金流量表!BD48</f>
        <v>0</v>
      </c>
      <c r="BE19" s="26">
        <f>现金流量表!BE48</f>
        <v>0</v>
      </c>
      <c r="BF19" s="26">
        <f>现金流量表!BF48</f>
        <v>0</v>
      </c>
      <c r="BG19" s="26">
        <f>现金流量表!BG48</f>
        <v>0</v>
      </c>
      <c r="BH19" s="26">
        <f>现金流量表!BH48</f>
        <v>0</v>
      </c>
      <c r="BI19" s="26">
        <f>现金流量表!BI48</f>
        <v>0</v>
      </c>
      <c r="BJ19" s="26">
        <f>现金流量表!BJ48</f>
        <v>0</v>
      </c>
      <c r="BK19" s="26">
        <f>现金流量表!BK48</f>
        <v>0</v>
      </c>
      <c r="BL19" s="26">
        <f>现金流量表!BL48</f>
        <v>0</v>
      </c>
      <c r="BM19" s="26">
        <f>现金流量表!BM48</f>
        <v>0</v>
      </c>
      <c r="BN19" s="26">
        <f>现金流量表!BN48</f>
        <v>0</v>
      </c>
      <c r="BO19" s="26">
        <f>现金流量表!BO48</f>
        <v>0</v>
      </c>
      <c r="BP19" s="26">
        <f>现金流量表!BP48</f>
        <v>0</v>
      </c>
      <c r="BQ19" s="26">
        <f>现金流量表!BQ48</f>
        <v>0</v>
      </c>
      <c r="BR19" s="26">
        <f>现金流量表!BR48</f>
        <v>0</v>
      </c>
      <c r="BS19" s="26">
        <f>现金流量表!BS48</f>
        <v>0</v>
      </c>
      <c r="BT19" s="26">
        <f>现金流量表!BT48</f>
        <v>0</v>
      </c>
      <c r="BU19" s="26">
        <f>现金流量表!BU48</f>
        <v>0</v>
      </c>
      <c r="BV19" s="26">
        <f>现金流量表!BV48</f>
        <v>0</v>
      </c>
      <c r="BW19" s="26">
        <f>现金流量表!BW48</f>
        <v>0</v>
      </c>
      <c r="BX19" s="26">
        <f>现金流量表!BX48</f>
        <v>0</v>
      </c>
      <c r="BY19" s="26">
        <f>现金流量表!BY48</f>
        <v>0</v>
      </c>
      <c r="BZ19" s="26">
        <f>现金流量表!BZ48</f>
        <v>0</v>
      </c>
      <c r="CA19" s="26">
        <f>现金流量表!CA48</f>
        <v>0</v>
      </c>
      <c r="CB19" s="26">
        <f>现金流量表!CB48</f>
        <v>0</v>
      </c>
      <c r="CC19" s="26">
        <f>现金流量表!CC48</f>
        <v>0</v>
      </c>
      <c r="CD19" s="26">
        <f>现金流量表!CD48</f>
        <v>0</v>
      </c>
      <c r="CE19" s="26">
        <f>现金流量表!CE48</f>
        <v>0</v>
      </c>
      <c r="CF19" s="26">
        <f>现金流量表!CF48</f>
        <v>0</v>
      </c>
      <c r="CG19" s="26">
        <f>现金流量表!CG48</f>
        <v>0</v>
      </c>
      <c r="CH19" s="26">
        <f>现金流量表!CH48</f>
        <v>0</v>
      </c>
      <c r="CI19" s="26">
        <f>现金流量表!CI48</f>
        <v>0</v>
      </c>
      <c r="CJ19" s="26">
        <f>现金流量表!CJ48</f>
        <v>0</v>
      </c>
      <c r="CK19" s="26">
        <f>现金流量表!CK48</f>
        <v>0</v>
      </c>
    </row>
    <row r="20" spans="1:90" s="26" customFormat="1" x14ac:dyDescent="0.25">
      <c r="A20" s="17" t="s">
        <v>502</v>
      </c>
      <c r="E20" s="26">
        <f>现金流量表!E49</f>
        <v>37807652.420000002</v>
      </c>
      <c r="F20" s="26">
        <f>现金流量表!F49</f>
        <v>0</v>
      </c>
      <c r="G20" s="26">
        <f>现金流量表!G49</f>
        <v>24188662.149999999</v>
      </c>
      <c r="H20" s="26">
        <f>现金流量表!H49</f>
        <v>0</v>
      </c>
      <c r="I20" s="26">
        <f>现金流量表!I49</f>
        <v>35440637.75</v>
      </c>
      <c r="J20" s="26">
        <f>现金流量表!J49</f>
        <v>0</v>
      </c>
      <c r="K20" s="26">
        <f>现金流量表!K49</f>
        <v>24114191.109999999</v>
      </c>
      <c r="L20" s="26">
        <f>现金流量表!L49</f>
        <v>0</v>
      </c>
      <c r="M20" s="26">
        <f>现金流量表!M49</f>
        <v>34959961.5</v>
      </c>
      <c r="N20" s="26">
        <f>现金流量表!N49</f>
        <v>0</v>
      </c>
      <c r="O20" s="26">
        <f>现金流量表!O49</f>
        <v>17224346.050000001</v>
      </c>
      <c r="P20" s="26">
        <f>现金流量表!P49</f>
        <v>0</v>
      </c>
      <c r="Q20" s="26">
        <f>现金流量表!Q49</f>
        <v>32829402.239999998</v>
      </c>
      <c r="R20" s="26">
        <f>现金流量表!R49</f>
        <v>0</v>
      </c>
      <c r="S20" s="26">
        <f>现金流量表!S49</f>
        <v>16304147.16</v>
      </c>
      <c r="T20" s="26">
        <f>现金流量表!T49</f>
        <v>0</v>
      </c>
      <c r="U20" s="26">
        <f>现金流量表!U49</f>
        <v>27484041.66</v>
      </c>
      <c r="V20" s="26">
        <f>现金流量表!V49</f>
        <v>0</v>
      </c>
      <c r="W20" s="26">
        <f>现金流量表!W49</f>
        <v>13633692.060000001</v>
      </c>
      <c r="X20" s="26">
        <f>现金流量表!X49</f>
        <v>0</v>
      </c>
      <c r="Y20" s="26">
        <f>现金流量表!Y49</f>
        <v>22381991.079999998</v>
      </c>
      <c r="Z20" s="26">
        <f>现金流量表!Z49</f>
        <v>0</v>
      </c>
      <c r="AA20" s="26">
        <f>现金流量表!AA49</f>
        <v>10454383.35</v>
      </c>
      <c r="AB20" s="26">
        <f>现金流量表!AB49</f>
        <v>0</v>
      </c>
      <c r="AC20" s="26">
        <f>现金流量表!AC49</f>
        <v>11203316.279999999</v>
      </c>
      <c r="AD20" s="26">
        <f>现金流量表!AD49</f>
        <v>0</v>
      </c>
      <c r="AE20" s="26">
        <f>现金流量表!AE49</f>
        <v>4861813.6900000004</v>
      </c>
      <c r="AF20" s="26">
        <f>现金流量表!AF49</f>
        <v>0</v>
      </c>
      <c r="AG20" s="26">
        <f>现金流量表!AG49</f>
        <v>7957339.1600000001</v>
      </c>
      <c r="AH20" s="26">
        <f>现金流量表!AH49</f>
        <v>0</v>
      </c>
      <c r="AI20" s="26">
        <f>现金流量表!AI49</f>
        <v>3978568.6</v>
      </c>
      <c r="AJ20" s="26">
        <f>现金流量表!AJ49</f>
        <v>0</v>
      </c>
      <c r="AK20" s="26">
        <f>现金流量表!AK49</f>
        <v>7885187.7300000004</v>
      </c>
      <c r="AL20" s="26">
        <f>现金流量表!AL49</f>
        <v>0</v>
      </c>
      <c r="AM20" s="26">
        <f>现金流量表!AM49</f>
        <v>3958009.57</v>
      </c>
      <c r="AN20" s="26">
        <f>现金流量表!AN49</f>
        <v>0</v>
      </c>
      <c r="AO20" s="26">
        <f>现金流量表!AO49</f>
        <v>6177331.71</v>
      </c>
      <c r="AP20" s="26">
        <f>现金流量表!AP49</f>
        <v>0</v>
      </c>
      <c r="AQ20" s="26">
        <f>现金流量表!AQ49</f>
        <v>5055507.91</v>
      </c>
      <c r="AR20" s="26">
        <f>现金流量表!AR49</f>
        <v>5767930.5800000001</v>
      </c>
      <c r="AS20" s="26">
        <f>现金流量表!AS49</f>
        <v>0</v>
      </c>
      <c r="AT20" s="26">
        <f>现金流量表!AT49</f>
        <v>0</v>
      </c>
      <c r="AU20" s="26">
        <f>现金流量表!AU49</f>
        <v>0</v>
      </c>
      <c r="AV20" s="26">
        <f>现金流量表!AV49</f>
        <v>0</v>
      </c>
      <c r="AW20" s="26">
        <f>现金流量表!AW49</f>
        <v>0</v>
      </c>
      <c r="AX20" s="26">
        <f>现金流量表!AX49</f>
        <v>0</v>
      </c>
      <c r="AY20" s="26">
        <f>现金流量表!AY49</f>
        <v>0</v>
      </c>
      <c r="AZ20" s="26">
        <f>现金流量表!AZ49</f>
        <v>0</v>
      </c>
      <c r="BA20" s="26">
        <f>现金流量表!BA49</f>
        <v>0</v>
      </c>
      <c r="BB20" s="26">
        <f>现金流量表!BB49</f>
        <v>0</v>
      </c>
      <c r="BC20" s="26">
        <f>现金流量表!BC49</f>
        <v>0</v>
      </c>
      <c r="BD20" s="26">
        <f>现金流量表!BD49</f>
        <v>0</v>
      </c>
      <c r="BE20" s="26">
        <f>现金流量表!BE49</f>
        <v>0</v>
      </c>
      <c r="BF20" s="26">
        <f>现金流量表!BF49</f>
        <v>0</v>
      </c>
      <c r="BG20" s="26">
        <f>现金流量表!BG49</f>
        <v>0</v>
      </c>
      <c r="BH20" s="26">
        <f>现金流量表!BH49</f>
        <v>0</v>
      </c>
      <c r="BI20" s="26">
        <f>现金流量表!BI49</f>
        <v>0</v>
      </c>
      <c r="BJ20" s="26">
        <f>现金流量表!BJ49</f>
        <v>0</v>
      </c>
      <c r="BK20" s="26">
        <f>现金流量表!BK49</f>
        <v>0</v>
      </c>
      <c r="BL20" s="26">
        <f>现金流量表!BL49</f>
        <v>0</v>
      </c>
      <c r="BM20" s="26">
        <f>现金流量表!BM49</f>
        <v>0</v>
      </c>
      <c r="BN20" s="26">
        <f>现金流量表!BN49</f>
        <v>0</v>
      </c>
      <c r="BO20" s="26">
        <f>现金流量表!BO49</f>
        <v>0</v>
      </c>
      <c r="BP20" s="26">
        <f>现金流量表!BP49</f>
        <v>0</v>
      </c>
      <c r="BQ20" s="26">
        <f>现金流量表!BQ49</f>
        <v>0</v>
      </c>
      <c r="BR20" s="26">
        <f>现金流量表!BR49</f>
        <v>0</v>
      </c>
      <c r="BS20" s="26">
        <f>现金流量表!BS49</f>
        <v>0</v>
      </c>
      <c r="BT20" s="26">
        <f>现金流量表!BT49</f>
        <v>0</v>
      </c>
      <c r="BU20" s="26">
        <f>现金流量表!BU49</f>
        <v>0</v>
      </c>
      <c r="BV20" s="26">
        <f>现金流量表!BV49</f>
        <v>0</v>
      </c>
      <c r="BW20" s="26">
        <f>现金流量表!BW49</f>
        <v>0</v>
      </c>
      <c r="BX20" s="26">
        <f>现金流量表!BX49</f>
        <v>0</v>
      </c>
      <c r="BY20" s="26">
        <f>现金流量表!BY49</f>
        <v>0</v>
      </c>
      <c r="BZ20" s="26">
        <f>现金流量表!BZ49</f>
        <v>0</v>
      </c>
      <c r="CA20" s="26">
        <f>现金流量表!CA49</f>
        <v>0</v>
      </c>
      <c r="CB20" s="26">
        <f>现金流量表!CB49</f>
        <v>0</v>
      </c>
      <c r="CC20" s="26">
        <f>现金流量表!CC49</f>
        <v>0</v>
      </c>
      <c r="CD20" s="26">
        <f>现金流量表!CD49</f>
        <v>0</v>
      </c>
      <c r="CE20" s="26">
        <f>现金流量表!CE49</f>
        <v>0</v>
      </c>
      <c r="CF20" s="26">
        <f>现金流量表!CF49</f>
        <v>0</v>
      </c>
      <c r="CG20" s="26">
        <f>现金流量表!CG49</f>
        <v>0</v>
      </c>
      <c r="CH20" s="26">
        <f>现金流量表!CH49</f>
        <v>0</v>
      </c>
      <c r="CI20" s="26">
        <f>现金流量表!CI49</f>
        <v>0</v>
      </c>
      <c r="CJ20" s="26">
        <f>现金流量表!CJ49</f>
        <v>0</v>
      </c>
      <c r="CK20" s="26">
        <f>现金流量表!CK49</f>
        <v>0</v>
      </c>
      <c r="CL20" s="26">
        <f>现金流量表!CL49</f>
        <v>0</v>
      </c>
    </row>
    <row r="21" spans="1:90" s="26" customFormat="1" x14ac:dyDescent="0.25">
      <c r="A21" s="17" t="s">
        <v>503</v>
      </c>
      <c r="E21" s="26">
        <f>现金流量表!E50</f>
        <v>25971884.399999999</v>
      </c>
      <c r="F21" s="26">
        <f>现金流量表!F50</f>
        <v>0</v>
      </c>
      <c r="G21" s="26">
        <f>现金流量表!G50</f>
        <v>8416974.0999999996</v>
      </c>
      <c r="H21" s="26">
        <f>现金流量表!H50</f>
        <v>0</v>
      </c>
      <c r="I21" s="26">
        <f>现金流量表!I50</f>
        <v>7090984.5700000003</v>
      </c>
      <c r="J21" s="26">
        <f>现金流量表!J50</f>
        <v>0</v>
      </c>
      <c r="K21" s="26">
        <f>现金流量表!K50</f>
        <v>3264639.28</v>
      </c>
      <c r="L21" s="26">
        <f>现金流量表!L50</f>
        <v>0</v>
      </c>
      <c r="M21" s="26">
        <f>现金流量表!M50</f>
        <v>5117837.59</v>
      </c>
      <c r="N21" s="26">
        <f>现金流量表!N50</f>
        <v>0</v>
      </c>
      <c r="O21" s="26">
        <f>现金流量表!O50</f>
        <v>2391488.0299999998</v>
      </c>
      <c r="P21" s="26">
        <f>现金流量表!P50</f>
        <v>0</v>
      </c>
      <c r="Q21" s="26">
        <f>现金流量表!Q50</f>
        <v>5055901.84</v>
      </c>
      <c r="R21" s="26">
        <f>现金流量表!R50</f>
        <v>0</v>
      </c>
      <c r="S21" s="26">
        <f>现金流量表!S50</f>
        <v>2494246.64</v>
      </c>
      <c r="T21" s="26">
        <f>现金流量表!T50</f>
        <v>0</v>
      </c>
      <c r="U21" s="26">
        <f>现金流量表!U50</f>
        <v>4350113.88</v>
      </c>
      <c r="V21" s="26">
        <f>现金流量表!V50</f>
        <v>0</v>
      </c>
      <c r="W21" s="26">
        <f>现金流量表!W50</f>
        <v>2003224.18</v>
      </c>
      <c r="X21" s="26">
        <f>现金流量表!X50</f>
        <v>0</v>
      </c>
      <c r="Y21" s="26">
        <f>现金流量表!Y50</f>
        <v>3599842.27</v>
      </c>
      <c r="Z21" s="26">
        <f>现金流量表!Z50</f>
        <v>0</v>
      </c>
      <c r="AA21" s="26">
        <f>现金流量表!AA50</f>
        <v>1780235.23</v>
      </c>
      <c r="AB21" s="26">
        <f>现金流量表!AB50</f>
        <v>0</v>
      </c>
      <c r="AC21" s="26">
        <f>现金流量表!AC50</f>
        <v>2025721.79</v>
      </c>
      <c r="AD21" s="26">
        <f>现金流量表!AD50</f>
        <v>0</v>
      </c>
      <c r="AE21" s="26">
        <f>现金流量表!AE50</f>
        <v>690884.18</v>
      </c>
      <c r="AF21" s="26">
        <f>现金流量表!AF50</f>
        <v>0</v>
      </c>
      <c r="AG21" s="26">
        <f>现金流量表!AG50</f>
        <v>822758.43</v>
      </c>
      <c r="AH21" s="26">
        <f>现金流量表!AH50</f>
        <v>0</v>
      </c>
      <c r="AI21" s="26">
        <f>现金流量表!AI50</f>
        <v>344885.94</v>
      </c>
      <c r="AJ21" s="26">
        <f>现金流量表!AJ50</f>
        <v>0</v>
      </c>
      <c r="AK21" s="26">
        <f>现金流量表!AK50</f>
        <v>516614.44</v>
      </c>
      <c r="AL21" s="26">
        <f>现金流量表!AL50</f>
        <v>0</v>
      </c>
      <c r="AM21" s="26">
        <f>现金流量表!AM50</f>
        <v>255674.06</v>
      </c>
      <c r="AN21" s="26">
        <f>现金流量表!AN50</f>
        <v>0</v>
      </c>
      <c r="AO21" s="26">
        <f>现金流量表!AO50</f>
        <v>480260.76</v>
      </c>
      <c r="AP21" s="26">
        <f>现金流量表!AP50</f>
        <v>0</v>
      </c>
      <c r="AQ21" s="26">
        <f>现金流量表!AQ50</f>
        <v>480260.76</v>
      </c>
      <c r="AR21" s="26">
        <f>现金流量表!AR50</f>
        <v>216882.08</v>
      </c>
      <c r="AS21" s="26">
        <f>现金流量表!AS50</f>
        <v>0</v>
      </c>
      <c r="AT21" s="26">
        <f>现金流量表!AT50</f>
        <v>0</v>
      </c>
      <c r="AU21" s="26">
        <f>现金流量表!AU50</f>
        <v>0</v>
      </c>
      <c r="AV21" s="26">
        <f>现金流量表!AV50</f>
        <v>0</v>
      </c>
      <c r="AW21" s="26">
        <f>现金流量表!AW50</f>
        <v>0</v>
      </c>
      <c r="AX21" s="26">
        <f>现金流量表!AX50</f>
        <v>0</v>
      </c>
      <c r="AY21" s="26">
        <f>现金流量表!AY50</f>
        <v>0</v>
      </c>
      <c r="AZ21" s="26">
        <f>现金流量表!AZ50</f>
        <v>0</v>
      </c>
      <c r="BA21" s="26">
        <f>现金流量表!BA50</f>
        <v>0</v>
      </c>
      <c r="BB21" s="26">
        <f>现金流量表!BB50</f>
        <v>0</v>
      </c>
      <c r="BC21" s="26">
        <f>现金流量表!BC50</f>
        <v>0</v>
      </c>
      <c r="BD21" s="26">
        <f>现金流量表!BD50</f>
        <v>0</v>
      </c>
      <c r="BE21" s="26">
        <f>现金流量表!BE50</f>
        <v>0</v>
      </c>
      <c r="BF21" s="26">
        <f>现金流量表!BF50</f>
        <v>0</v>
      </c>
      <c r="BG21" s="26">
        <f>现金流量表!BG50</f>
        <v>0</v>
      </c>
      <c r="BH21" s="26">
        <f>现金流量表!BH50</f>
        <v>0</v>
      </c>
      <c r="BI21" s="26">
        <f>现金流量表!BI50</f>
        <v>0</v>
      </c>
      <c r="BJ21" s="26">
        <f>现金流量表!BJ50</f>
        <v>0</v>
      </c>
      <c r="BK21" s="26">
        <f>现金流量表!BK50</f>
        <v>0</v>
      </c>
      <c r="BL21" s="26">
        <f>现金流量表!BL50</f>
        <v>0</v>
      </c>
      <c r="BM21" s="26">
        <f>现金流量表!BM50</f>
        <v>0</v>
      </c>
      <c r="BN21" s="26">
        <f>现金流量表!BN50</f>
        <v>0</v>
      </c>
      <c r="BO21" s="26">
        <f>现金流量表!BO50</f>
        <v>0</v>
      </c>
      <c r="BP21" s="26">
        <f>现金流量表!BP50</f>
        <v>0</v>
      </c>
      <c r="BQ21" s="26">
        <f>现金流量表!BQ50</f>
        <v>0</v>
      </c>
      <c r="BR21" s="26">
        <f>现金流量表!BR50</f>
        <v>0</v>
      </c>
      <c r="BS21" s="26">
        <f>现金流量表!BS50</f>
        <v>0</v>
      </c>
      <c r="BT21" s="26">
        <f>现金流量表!BT50</f>
        <v>0</v>
      </c>
      <c r="BU21" s="26">
        <f>现金流量表!BU50</f>
        <v>0</v>
      </c>
      <c r="BV21" s="26">
        <f>现金流量表!BV50</f>
        <v>0</v>
      </c>
      <c r="BW21" s="26">
        <f>现金流量表!BW50</f>
        <v>0</v>
      </c>
      <c r="BX21" s="26">
        <f>现金流量表!BX50</f>
        <v>0</v>
      </c>
      <c r="BY21" s="26">
        <f>现金流量表!BY50</f>
        <v>0</v>
      </c>
      <c r="BZ21" s="26">
        <f>现金流量表!BZ50</f>
        <v>0</v>
      </c>
      <c r="CA21" s="26">
        <f>现金流量表!CA50</f>
        <v>0</v>
      </c>
      <c r="CB21" s="26">
        <f>现金流量表!CB50</f>
        <v>0</v>
      </c>
      <c r="CC21" s="26">
        <f>现金流量表!CC50</f>
        <v>0</v>
      </c>
      <c r="CD21" s="26">
        <f>现金流量表!CD50</f>
        <v>0</v>
      </c>
      <c r="CE21" s="26">
        <f>现金流量表!CE50</f>
        <v>0</v>
      </c>
      <c r="CF21" s="26">
        <f>现金流量表!CF50</f>
        <v>0</v>
      </c>
      <c r="CG21" s="26">
        <f>现金流量表!CG50</f>
        <v>0</v>
      </c>
      <c r="CH21" s="26">
        <f>现金流量表!CH50</f>
        <v>0</v>
      </c>
      <c r="CI21" s="26">
        <f>现金流量表!CI50</f>
        <v>0</v>
      </c>
      <c r="CJ21" s="26">
        <f>现金流量表!CJ50</f>
        <v>0</v>
      </c>
      <c r="CK21" s="26">
        <f>现金流量表!CK50</f>
        <v>0</v>
      </c>
      <c r="CL21" s="26">
        <f>现金流量表!CL50</f>
        <v>0</v>
      </c>
    </row>
    <row r="22" spans="1:90" s="26" customFormat="1" x14ac:dyDescent="0.25">
      <c r="A22" s="17" t="s">
        <v>504</v>
      </c>
      <c r="E22" s="26">
        <f>现金流量表!E51</f>
        <v>44118084.619999997</v>
      </c>
      <c r="F22" s="26">
        <f>现金流量表!F51</f>
        <v>0</v>
      </c>
      <c r="G22" s="26">
        <f>现金流量表!G51</f>
        <v>18143207.620000001</v>
      </c>
      <c r="H22" s="26">
        <f>现金流量表!H51</f>
        <v>0</v>
      </c>
      <c r="I22" s="26">
        <f>现金流量表!I51</f>
        <v>31691698.710000001</v>
      </c>
      <c r="J22" s="26">
        <f>现金流量表!J51</f>
        <v>0</v>
      </c>
      <c r="K22" s="26">
        <f>现金流量表!K51</f>
        <v>16703937.890000001</v>
      </c>
      <c r="L22" s="26">
        <f>现金流量表!L51</f>
        <v>0</v>
      </c>
      <c r="M22" s="26">
        <f>现金流量表!M51</f>
        <v>27324656.59</v>
      </c>
      <c r="N22" s="26">
        <f>现金流量表!N51</f>
        <v>0</v>
      </c>
      <c r="O22" s="26">
        <f>现金流量表!O51</f>
        <v>11520338.15</v>
      </c>
      <c r="P22" s="26">
        <f>现金流量表!P51</f>
        <v>0</v>
      </c>
      <c r="Q22" s="26">
        <f>现金流量表!Q51</f>
        <v>23465747.539999999</v>
      </c>
      <c r="R22" s="26">
        <f>现金流量表!R51</f>
        <v>0</v>
      </c>
      <c r="S22" s="26">
        <f>现金流量表!S51</f>
        <v>11528436.73</v>
      </c>
      <c r="T22" s="26">
        <f>现金流量表!T51</f>
        <v>0</v>
      </c>
      <c r="U22" s="26">
        <f>现金流量表!U51</f>
        <v>16426474.23</v>
      </c>
      <c r="V22" s="26">
        <f>现金流量表!V51</f>
        <v>0</v>
      </c>
      <c r="W22" s="26">
        <f>现金流量表!W51</f>
        <v>7062238.1299999999</v>
      </c>
      <c r="X22" s="26">
        <f>现金流量表!X51</f>
        <v>0</v>
      </c>
      <c r="Y22" s="26">
        <f>现金流量表!Y51</f>
        <v>14567104.789999999</v>
      </c>
      <c r="Z22" s="26">
        <f>现金流量表!Z51</f>
        <v>0</v>
      </c>
      <c r="AA22" s="26">
        <f>现金流量表!AA51</f>
        <v>5027600.82</v>
      </c>
      <c r="AB22" s="26">
        <f>现金流量表!AB51</f>
        <v>0</v>
      </c>
      <c r="AC22" s="26">
        <f>现金流量表!AC51</f>
        <v>4795014.71</v>
      </c>
      <c r="AD22" s="26">
        <f>现金流量表!AD51</f>
        <v>0</v>
      </c>
      <c r="AE22" s="26">
        <f>现金流量表!AE51</f>
        <v>391855.77</v>
      </c>
      <c r="AF22" s="26">
        <f>现金流量表!AF51</f>
        <v>0</v>
      </c>
      <c r="AG22" s="26">
        <f>现金流量表!AG51</f>
        <v>3267896.07</v>
      </c>
      <c r="AH22" s="26">
        <f>现金流量表!AH51</f>
        <v>0</v>
      </c>
      <c r="AI22" s="26">
        <f>现金流量表!AI51</f>
        <v>-291810.57</v>
      </c>
      <c r="AJ22" s="26">
        <f>现金流量表!AJ51</f>
        <v>0</v>
      </c>
      <c r="AK22" s="26">
        <f>现金流量表!AK51</f>
        <v>-4663144.5199999996</v>
      </c>
      <c r="AL22" s="26">
        <f>现金流量表!AL51</f>
        <v>0</v>
      </c>
      <c r="AM22" s="26">
        <f>现金流量表!AM51</f>
        <v>0</v>
      </c>
      <c r="AN22" s="26">
        <f>现金流量表!AN51</f>
        <v>0</v>
      </c>
      <c r="AO22" s="26">
        <f>现金流量表!AO51</f>
        <v>0</v>
      </c>
      <c r="AP22" s="26">
        <f>现金流量表!AP51</f>
        <v>0</v>
      </c>
      <c r="AQ22" s="26">
        <f>现金流量表!AQ51</f>
        <v>0</v>
      </c>
      <c r="AR22" s="26">
        <f>现金流量表!AR51</f>
        <v>0</v>
      </c>
      <c r="AS22" s="26">
        <f>现金流量表!AS51</f>
        <v>0</v>
      </c>
      <c r="AT22" s="26">
        <f>现金流量表!AT51</f>
        <v>0</v>
      </c>
      <c r="AU22" s="26">
        <f>现金流量表!AU51</f>
        <v>0</v>
      </c>
      <c r="AV22" s="26">
        <f>现金流量表!AV51</f>
        <v>0</v>
      </c>
      <c r="AW22" s="26">
        <f>现金流量表!AW51</f>
        <v>0</v>
      </c>
      <c r="AX22" s="26">
        <f>现金流量表!AX51</f>
        <v>0</v>
      </c>
      <c r="AY22" s="26">
        <f>现金流量表!AY51</f>
        <v>0</v>
      </c>
      <c r="AZ22" s="26">
        <f>现金流量表!AZ51</f>
        <v>0</v>
      </c>
      <c r="BA22" s="26">
        <f>现金流量表!BA51</f>
        <v>0</v>
      </c>
      <c r="BB22" s="26">
        <f>现金流量表!BB51</f>
        <v>0</v>
      </c>
      <c r="BC22" s="26">
        <f>现金流量表!BC51</f>
        <v>0</v>
      </c>
      <c r="BD22" s="26">
        <f>现金流量表!BD51</f>
        <v>0</v>
      </c>
      <c r="BE22" s="26">
        <f>现金流量表!BE51</f>
        <v>0</v>
      </c>
      <c r="BF22" s="26">
        <f>现金流量表!BF51</f>
        <v>0</v>
      </c>
      <c r="BG22" s="26">
        <f>现金流量表!BG51</f>
        <v>0</v>
      </c>
      <c r="BH22" s="26">
        <f>现金流量表!BH51</f>
        <v>0</v>
      </c>
      <c r="BI22" s="26">
        <f>现金流量表!BI51</f>
        <v>0</v>
      </c>
      <c r="BJ22" s="26">
        <f>现金流量表!BJ51</f>
        <v>0</v>
      </c>
      <c r="BK22" s="26">
        <f>现金流量表!BK51</f>
        <v>0</v>
      </c>
      <c r="BL22" s="26">
        <f>现金流量表!BL51</f>
        <v>0</v>
      </c>
      <c r="BM22" s="26">
        <f>现金流量表!BM51</f>
        <v>0</v>
      </c>
      <c r="BN22" s="26">
        <f>现金流量表!BN51</f>
        <v>0</v>
      </c>
      <c r="BO22" s="26">
        <f>现金流量表!BO51</f>
        <v>0</v>
      </c>
      <c r="BP22" s="26">
        <f>现金流量表!BP51</f>
        <v>0</v>
      </c>
      <c r="BQ22" s="26">
        <f>现金流量表!BQ51</f>
        <v>0</v>
      </c>
      <c r="BR22" s="26">
        <f>现金流量表!BR51</f>
        <v>0</v>
      </c>
      <c r="BS22" s="26">
        <f>现金流量表!BS51</f>
        <v>0</v>
      </c>
      <c r="BT22" s="26">
        <f>现金流量表!BT51</f>
        <v>0</v>
      </c>
      <c r="BU22" s="26">
        <f>现金流量表!BU51</f>
        <v>0</v>
      </c>
      <c r="BV22" s="26">
        <f>现金流量表!BV51</f>
        <v>0</v>
      </c>
      <c r="BW22" s="26">
        <f>现金流量表!BW51</f>
        <v>0</v>
      </c>
      <c r="BX22" s="26">
        <f>现金流量表!BX51</f>
        <v>0</v>
      </c>
      <c r="BY22" s="26">
        <f>现金流量表!BY51</f>
        <v>0</v>
      </c>
      <c r="BZ22" s="26">
        <f>现金流量表!BZ51</f>
        <v>0</v>
      </c>
      <c r="CA22" s="26">
        <f>现金流量表!CA51</f>
        <v>0</v>
      </c>
      <c r="CB22" s="26">
        <f>现金流量表!CB51</f>
        <v>0</v>
      </c>
      <c r="CC22" s="26">
        <f>现金流量表!CC51</f>
        <v>0</v>
      </c>
      <c r="CD22" s="26">
        <f>现金流量表!CD51</f>
        <v>0</v>
      </c>
      <c r="CE22" s="26">
        <f>现金流量表!CE51</f>
        <v>0</v>
      </c>
      <c r="CF22" s="26">
        <f>现金流量表!CF51</f>
        <v>0</v>
      </c>
      <c r="CG22" s="26">
        <f>现金流量表!CG51</f>
        <v>0</v>
      </c>
      <c r="CH22" s="26">
        <f>现金流量表!CH51</f>
        <v>0</v>
      </c>
      <c r="CI22" s="26">
        <f>现金流量表!CI51</f>
        <v>0</v>
      </c>
      <c r="CJ22" s="26">
        <f>现金流量表!CJ51</f>
        <v>0</v>
      </c>
      <c r="CK22" s="26">
        <f>现金流量表!CK51</f>
        <v>0</v>
      </c>
    </row>
    <row r="23" spans="1:90" s="26" customFormat="1" x14ac:dyDescent="0.25">
      <c r="A23" s="17" t="s">
        <v>505</v>
      </c>
      <c r="E23" s="26">
        <f>现金流量表!E54</f>
        <v>400460.26</v>
      </c>
      <c r="F23" s="26">
        <f>现金流量表!F54</f>
        <v>0</v>
      </c>
      <c r="G23" s="26">
        <f>现金流量表!G54</f>
        <v>567133.53</v>
      </c>
      <c r="H23" s="26">
        <f>现金流量表!H54</f>
        <v>0</v>
      </c>
      <c r="I23" s="26">
        <f>现金流量表!I54</f>
        <v>315541.44</v>
      </c>
      <c r="J23" s="26">
        <f>现金流量表!J54</f>
        <v>0</v>
      </c>
      <c r="K23" s="26">
        <f>现金流量表!K54</f>
        <v>271326.99</v>
      </c>
      <c r="L23" s="26">
        <f>现金流量表!L54</f>
        <v>0</v>
      </c>
      <c r="M23" s="26">
        <f>现金流量表!M54</f>
        <v>262905.48</v>
      </c>
      <c r="N23" s="26">
        <f>现金流量表!N54</f>
        <v>0</v>
      </c>
      <c r="O23" s="26">
        <f>现金流量表!O54</f>
        <v>211459.86</v>
      </c>
      <c r="P23" s="26">
        <f>现金流量表!P54</f>
        <v>0</v>
      </c>
      <c r="Q23" s="26">
        <f>现金流量表!Q54</f>
        <v>708521.66</v>
      </c>
      <c r="R23" s="26">
        <f>现金流量表!R54</f>
        <v>0</v>
      </c>
      <c r="S23" s="26">
        <f>现金流量表!S54</f>
        <v>-156539.56</v>
      </c>
      <c r="T23" s="26">
        <f>现金流量表!T54</f>
        <v>0</v>
      </c>
      <c r="U23" s="26">
        <f>现金流量表!U54</f>
        <v>94529.15</v>
      </c>
      <c r="V23" s="26">
        <f>现金流量表!V54</f>
        <v>0</v>
      </c>
      <c r="W23" s="26">
        <f>现金流量表!W54</f>
        <v>-49124.82</v>
      </c>
      <c r="X23" s="26">
        <f>现金流量表!X54</f>
        <v>0</v>
      </c>
      <c r="Y23" s="26">
        <f>现金流量表!Y54</f>
        <v>442631.58</v>
      </c>
      <c r="Z23" s="26">
        <f>现金流量表!Z54</f>
        <v>0</v>
      </c>
      <c r="AA23" s="26">
        <f>现金流量表!AA54</f>
        <v>355433.64</v>
      </c>
      <c r="AB23" s="26">
        <f>现金流量表!AB54</f>
        <v>0</v>
      </c>
      <c r="AC23" s="26">
        <f>现金流量表!AC54</f>
        <v>122008.88</v>
      </c>
      <c r="AD23" s="26">
        <f>现金流量表!AD54</f>
        <v>0</v>
      </c>
      <c r="AE23" s="26">
        <f>现金流量表!AE54</f>
        <v>-166311.64000000001</v>
      </c>
      <c r="AF23" s="26">
        <f>现金流量表!AF54</f>
        <v>0</v>
      </c>
      <c r="AG23" s="26">
        <f>现金流量表!AG54</f>
        <v>92121.38</v>
      </c>
      <c r="AH23" s="26">
        <f>现金流量表!AH54</f>
        <v>0</v>
      </c>
      <c r="AI23" s="26">
        <f>现金流量表!AI54</f>
        <v>10876.46</v>
      </c>
      <c r="AJ23" s="26">
        <f>现金流量表!AJ54</f>
        <v>0</v>
      </c>
      <c r="AK23" s="26">
        <f>现金流量表!AK54</f>
        <v>196954.43</v>
      </c>
      <c r="AL23" s="26">
        <f>现金流量表!AL54</f>
        <v>0</v>
      </c>
      <c r="AM23" s="26">
        <f>现金流量表!AM54</f>
        <v>14468.98</v>
      </c>
      <c r="AN23" s="26">
        <f>现金流量表!AN54</f>
        <v>0</v>
      </c>
      <c r="AO23" s="26">
        <f>现金流量表!AO54</f>
        <v>90111.08</v>
      </c>
      <c r="AP23" s="26">
        <f>现金流量表!AP54</f>
        <v>0</v>
      </c>
      <c r="AQ23" s="26">
        <f>现金流量表!AQ54</f>
        <v>0</v>
      </c>
      <c r="AR23" s="26">
        <f>现金流量表!AR54</f>
        <v>189932.79999999999</v>
      </c>
      <c r="AS23" s="26">
        <f>现金流量表!AS54</f>
        <v>0</v>
      </c>
      <c r="AT23" s="26">
        <f>现金流量表!AT54</f>
        <v>0</v>
      </c>
      <c r="AU23" s="26">
        <f>现金流量表!AU54</f>
        <v>0</v>
      </c>
      <c r="AV23" s="26">
        <f>现金流量表!AV54</f>
        <v>0</v>
      </c>
      <c r="AW23" s="26">
        <f>现金流量表!AW54</f>
        <v>0</v>
      </c>
      <c r="AX23" s="26">
        <f>现金流量表!AX54</f>
        <v>0</v>
      </c>
      <c r="AY23" s="26">
        <f>现金流量表!AY54</f>
        <v>0</v>
      </c>
      <c r="AZ23" s="26">
        <f>现金流量表!AZ54</f>
        <v>0</v>
      </c>
      <c r="BA23" s="26">
        <f>现金流量表!BA54</f>
        <v>0</v>
      </c>
      <c r="BB23" s="26">
        <f>现金流量表!BB54</f>
        <v>0</v>
      </c>
      <c r="BC23" s="26">
        <f>现金流量表!BC54</f>
        <v>0</v>
      </c>
      <c r="BD23" s="26">
        <f>现金流量表!BD54</f>
        <v>0</v>
      </c>
      <c r="BE23" s="26">
        <f>现金流量表!BE54</f>
        <v>0</v>
      </c>
      <c r="BF23" s="26">
        <f>现金流量表!BF54</f>
        <v>0</v>
      </c>
      <c r="BG23" s="26">
        <f>现金流量表!BG54</f>
        <v>0</v>
      </c>
      <c r="BH23" s="26">
        <f>现金流量表!BH54</f>
        <v>0</v>
      </c>
      <c r="BI23" s="26">
        <f>现金流量表!BI54</f>
        <v>0</v>
      </c>
      <c r="BJ23" s="26">
        <f>现金流量表!BJ54</f>
        <v>0</v>
      </c>
      <c r="BK23" s="26">
        <f>现金流量表!BK54</f>
        <v>0</v>
      </c>
      <c r="BL23" s="26">
        <f>现金流量表!BL54</f>
        <v>0</v>
      </c>
      <c r="BM23" s="26">
        <f>现金流量表!BM54</f>
        <v>0</v>
      </c>
      <c r="BN23" s="26">
        <f>现金流量表!BN54</f>
        <v>0</v>
      </c>
      <c r="BO23" s="26">
        <f>现金流量表!BO54</f>
        <v>0</v>
      </c>
      <c r="BP23" s="26">
        <f>现金流量表!BP54</f>
        <v>0</v>
      </c>
      <c r="BQ23" s="26">
        <f>现金流量表!BQ54</f>
        <v>0</v>
      </c>
      <c r="BR23" s="26">
        <f>现金流量表!BR54</f>
        <v>0</v>
      </c>
      <c r="BS23" s="26">
        <f>现金流量表!BS54</f>
        <v>0</v>
      </c>
      <c r="BT23" s="26">
        <f>现金流量表!BT54</f>
        <v>0</v>
      </c>
      <c r="BU23" s="26">
        <f>现金流量表!BU54</f>
        <v>0</v>
      </c>
      <c r="BV23" s="26">
        <f>现金流量表!BV54</f>
        <v>0</v>
      </c>
      <c r="BW23" s="26">
        <f>现金流量表!BW54</f>
        <v>0</v>
      </c>
      <c r="BX23" s="26">
        <f>现金流量表!BX54</f>
        <v>0</v>
      </c>
      <c r="BY23" s="26">
        <f>现金流量表!BY54</f>
        <v>0</v>
      </c>
      <c r="BZ23" s="26">
        <f>现金流量表!BZ54</f>
        <v>0</v>
      </c>
      <c r="CA23" s="26">
        <f>现金流量表!CA54</f>
        <v>0</v>
      </c>
      <c r="CB23" s="26">
        <f>现金流量表!CB54</f>
        <v>0</v>
      </c>
      <c r="CC23" s="26">
        <f>现金流量表!CC54</f>
        <v>0</v>
      </c>
      <c r="CD23" s="26">
        <f>现金流量表!CD54</f>
        <v>0</v>
      </c>
      <c r="CE23" s="26">
        <f>现金流量表!CE54</f>
        <v>0</v>
      </c>
      <c r="CF23" s="26">
        <f>现金流量表!CF54</f>
        <v>0</v>
      </c>
      <c r="CG23" s="26">
        <f>现金流量表!CG54</f>
        <v>0</v>
      </c>
      <c r="CH23" s="26">
        <f>现金流量表!CH54</f>
        <v>0</v>
      </c>
      <c r="CI23" s="26">
        <f>现金流量表!CI54</f>
        <v>0</v>
      </c>
      <c r="CJ23" s="26">
        <f>现金流量表!CJ54</f>
        <v>0</v>
      </c>
      <c r="CK23" s="26">
        <f>现金流量表!CK54</f>
        <v>0</v>
      </c>
    </row>
    <row r="24" spans="1:90" s="26" customFormat="1" x14ac:dyDescent="0.25">
      <c r="A24" s="17" t="s">
        <v>506</v>
      </c>
      <c r="E24" s="26">
        <f>现金流量表!E55</f>
        <v>0</v>
      </c>
      <c r="F24" s="26">
        <f>现金流量表!F55</f>
        <v>0</v>
      </c>
      <c r="G24" s="26">
        <f>现金流量表!G55</f>
        <v>0</v>
      </c>
      <c r="H24" s="26">
        <f>现金流量表!H55</f>
        <v>0</v>
      </c>
      <c r="I24" s="26">
        <f>现金流量表!I55</f>
        <v>0</v>
      </c>
      <c r="J24" s="26">
        <f>现金流量表!J55</f>
        <v>0</v>
      </c>
      <c r="K24" s="26">
        <f>现金流量表!K55</f>
        <v>0</v>
      </c>
      <c r="L24" s="26">
        <f>现金流量表!L55</f>
        <v>0</v>
      </c>
      <c r="M24" s="26">
        <f>现金流量表!M55</f>
        <v>0</v>
      </c>
      <c r="N24" s="26">
        <f>现金流量表!N55</f>
        <v>0</v>
      </c>
      <c r="O24" s="26">
        <f>现金流量表!O55</f>
        <v>0</v>
      </c>
      <c r="P24" s="26">
        <f>现金流量表!P55</f>
        <v>0</v>
      </c>
      <c r="Q24" s="26">
        <f>现金流量表!Q55</f>
        <v>0</v>
      </c>
      <c r="R24" s="26">
        <f>现金流量表!R55</f>
        <v>0</v>
      </c>
      <c r="S24" s="26">
        <f>现金流量表!S55</f>
        <v>0</v>
      </c>
      <c r="T24" s="26">
        <f>现金流量表!T55</f>
        <v>0</v>
      </c>
      <c r="U24" s="26">
        <f>现金流量表!U55</f>
        <v>0</v>
      </c>
      <c r="V24" s="26">
        <f>现金流量表!V55</f>
        <v>0</v>
      </c>
      <c r="W24" s="26">
        <f>现金流量表!W55</f>
        <v>0</v>
      </c>
      <c r="X24" s="26">
        <f>现金流量表!X55</f>
        <v>0</v>
      </c>
      <c r="Y24" s="26">
        <f>现金流量表!Y55</f>
        <v>0</v>
      </c>
      <c r="Z24" s="26">
        <f>现金流量表!Z55</f>
        <v>0</v>
      </c>
      <c r="AA24" s="26">
        <f>现金流量表!AA55</f>
        <v>0</v>
      </c>
      <c r="AB24" s="26">
        <f>现金流量表!AB55</f>
        <v>0</v>
      </c>
      <c r="AC24" s="26">
        <f>现金流量表!AC55</f>
        <v>0</v>
      </c>
      <c r="AD24" s="26">
        <f>现金流量表!AD55</f>
        <v>0</v>
      </c>
      <c r="AE24" s="26">
        <f>现金流量表!AE55</f>
        <v>2060.88</v>
      </c>
      <c r="AF24" s="26">
        <f>现金流量表!AF55</f>
        <v>0</v>
      </c>
      <c r="AG24" s="26">
        <f>现金流量表!AG55</f>
        <v>0</v>
      </c>
      <c r="AH24" s="26">
        <f>现金流量表!AH55</f>
        <v>0</v>
      </c>
      <c r="AI24" s="26">
        <f>现金流量表!AI55</f>
        <v>0</v>
      </c>
      <c r="AJ24" s="26">
        <f>现金流量表!AJ55</f>
        <v>0</v>
      </c>
      <c r="AK24" s="26">
        <f>现金流量表!AK55</f>
        <v>0</v>
      </c>
      <c r="AL24" s="26">
        <f>现金流量表!AL55</f>
        <v>0</v>
      </c>
      <c r="AM24" s="26">
        <f>现金流量表!AM55</f>
        <v>0</v>
      </c>
      <c r="AN24" s="26">
        <f>现金流量表!AN55</f>
        <v>0</v>
      </c>
      <c r="AO24" s="26">
        <f>现金流量表!AO55</f>
        <v>0</v>
      </c>
      <c r="AP24" s="26">
        <f>现金流量表!AP55</f>
        <v>0</v>
      </c>
      <c r="AQ24" s="26">
        <f>现金流量表!AQ55</f>
        <v>1516529.05</v>
      </c>
      <c r="AR24" s="26">
        <f>现金流量表!AR55</f>
        <v>15552.35</v>
      </c>
      <c r="AS24" s="26">
        <f>现金流量表!AS55</f>
        <v>0</v>
      </c>
      <c r="AT24" s="26">
        <f>现金流量表!AT55</f>
        <v>0</v>
      </c>
      <c r="AU24" s="26">
        <f>现金流量表!AU55</f>
        <v>0</v>
      </c>
      <c r="AV24" s="26">
        <f>现金流量表!AV55</f>
        <v>0</v>
      </c>
      <c r="AW24" s="26">
        <f>现金流量表!AW55</f>
        <v>0</v>
      </c>
      <c r="AX24" s="26">
        <f>现金流量表!AX55</f>
        <v>0</v>
      </c>
      <c r="AY24" s="26">
        <f>现金流量表!AY55</f>
        <v>0</v>
      </c>
      <c r="AZ24" s="26">
        <f>现金流量表!AZ55</f>
        <v>0</v>
      </c>
      <c r="BA24" s="26">
        <f>现金流量表!BA55</f>
        <v>0</v>
      </c>
      <c r="BB24" s="26">
        <f>现金流量表!BB55</f>
        <v>0</v>
      </c>
      <c r="BC24" s="26">
        <f>现金流量表!BC55</f>
        <v>0</v>
      </c>
      <c r="BD24" s="26">
        <f>现金流量表!BD55</f>
        <v>0</v>
      </c>
      <c r="BE24" s="26">
        <f>现金流量表!BE55</f>
        <v>0</v>
      </c>
      <c r="BF24" s="26">
        <f>现金流量表!BF55</f>
        <v>0</v>
      </c>
      <c r="BG24" s="26">
        <f>现金流量表!BG55</f>
        <v>0</v>
      </c>
      <c r="BH24" s="26">
        <f>现金流量表!BH55</f>
        <v>0</v>
      </c>
      <c r="BI24" s="26">
        <f>现金流量表!BI55</f>
        <v>0</v>
      </c>
      <c r="BJ24" s="26">
        <f>现金流量表!BJ55</f>
        <v>0</v>
      </c>
      <c r="BK24" s="26">
        <f>现金流量表!BK55</f>
        <v>0</v>
      </c>
      <c r="BL24" s="26">
        <f>现金流量表!BL55</f>
        <v>0</v>
      </c>
      <c r="BM24" s="26">
        <f>现金流量表!BM55</f>
        <v>0</v>
      </c>
      <c r="BN24" s="26">
        <f>现金流量表!BN55</f>
        <v>0</v>
      </c>
      <c r="BO24" s="26">
        <f>现金流量表!BO55</f>
        <v>0</v>
      </c>
      <c r="BP24" s="26">
        <f>现金流量表!BP55</f>
        <v>0</v>
      </c>
      <c r="BQ24" s="26">
        <f>现金流量表!BQ55</f>
        <v>0</v>
      </c>
      <c r="BR24" s="26">
        <f>现金流量表!BR55</f>
        <v>0</v>
      </c>
      <c r="BS24" s="26">
        <f>现金流量表!BS55</f>
        <v>0</v>
      </c>
      <c r="BT24" s="26">
        <f>现金流量表!BT55</f>
        <v>0</v>
      </c>
      <c r="BU24" s="26">
        <f>现金流量表!BU55</f>
        <v>0</v>
      </c>
      <c r="BV24" s="26">
        <f>现金流量表!BV55</f>
        <v>0</v>
      </c>
      <c r="BW24" s="26">
        <f>现金流量表!BW55</f>
        <v>0</v>
      </c>
      <c r="BX24" s="26">
        <f>现金流量表!BX55</f>
        <v>0</v>
      </c>
      <c r="BY24" s="26">
        <f>现金流量表!BY55</f>
        <v>0</v>
      </c>
      <c r="BZ24" s="26">
        <f>现金流量表!BZ55</f>
        <v>0</v>
      </c>
      <c r="CA24" s="26">
        <f>现金流量表!CA55</f>
        <v>0</v>
      </c>
      <c r="CB24" s="26">
        <f>现金流量表!CB55</f>
        <v>0</v>
      </c>
      <c r="CC24" s="26">
        <f>现金流量表!CC55</f>
        <v>0</v>
      </c>
      <c r="CD24" s="26">
        <f>现金流量表!CD55</f>
        <v>0</v>
      </c>
      <c r="CE24" s="26">
        <f>现金流量表!CE55</f>
        <v>0</v>
      </c>
      <c r="CF24" s="26">
        <f>现金流量表!CF55</f>
        <v>0</v>
      </c>
      <c r="CG24" s="26">
        <f>现金流量表!CG55</f>
        <v>0</v>
      </c>
      <c r="CH24" s="26">
        <f>现金流量表!CH55</f>
        <v>0</v>
      </c>
      <c r="CI24" s="26">
        <f>现金流量表!CI55</f>
        <v>0</v>
      </c>
      <c r="CJ24" s="26">
        <f>现金流量表!CJ55</f>
        <v>0</v>
      </c>
      <c r="CK24" s="26">
        <f>现金流量表!CK55</f>
        <v>0</v>
      </c>
    </row>
    <row r="25" spans="1:90" s="28" customFormat="1" x14ac:dyDescent="0.25">
      <c r="A25" s="20" t="s">
        <v>507</v>
      </c>
      <c r="E25" s="28">
        <f>SUM(E19:E24)</f>
        <v>173873593.90000001</v>
      </c>
      <c r="F25" s="28">
        <f t="shared" ref="F25:BQ25" si="12">SUM(F19:F24)</f>
        <v>0</v>
      </c>
      <c r="G25" s="28">
        <f t="shared" si="12"/>
        <v>78273026.519999996</v>
      </c>
      <c r="H25" s="28">
        <f t="shared" si="12"/>
        <v>0</v>
      </c>
      <c r="I25" s="28">
        <f t="shared" si="12"/>
        <v>123090672.86000001</v>
      </c>
      <c r="J25" s="28">
        <f t="shared" si="12"/>
        <v>0</v>
      </c>
      <c r="K25" s="28">
        <f t="shared" si="12"/>
        <v>51003448.730000004</v>
      </c>
      <c r="L25" s="28">
        <f t="shared" si="12"/>
        <v>0</v>
      </c>
      <c r="M25" s="28">
        <f t="shared" si="12"/>
        <v>98967094.390000015</v>
      </c>
      <c r="N25" s="28">
        <f t="shared" si="12"/>
        <v>0</v>
      </c>
      <c r="O25" s="28">
        <f t="shared" si="12"/>
        <v>34684276.259999998</v>
      </c>
      <c r="P25" s="28">
        <f t="shared" si="12"/>
        <v>0</v>
      </c>
      <c r="Q25" s="28">
        <f t="shared" si="12"/>
        <v>78080544.370000005</v>
      </c>
      <c r="R25" s="28">
        <f t="shared" si="12"/>
        <v>0</v>
      </c>
      <c r="S25" s="28">
        <f t="shared" si="12"/>
        <v>32860971.800000004</v>
      </c>
      <c r="T25" s="28">
        <f t="shared" si="12"/>
        <v>0</v>
      </c>
      <c r="U25" s="28">
        <f t="shared" si="12"/>
        <v>59681508.360000007</v>
      </c>
      <c r="V25" s="28">
        <f t="shared" si="12"/>
        <v>0</v>
      </c>
      <c r="W25" s="28">
        <f t="shared" si="12"/>
        <v>24964178.890000001</v>
      </c>
      <c r="X25" s="28">
        <f t="shared" si="12"/>
        <v>0</v>
      </c>
      <c r="Y25" s="28">
        <f t="shared" si="12"/>
        <v>48765274.599999994</v>
      </c>
      <c r="Z25" s="28">
        <f t="shared" si="12"/>
        <v>0</v>
      </c>
      <c r="AA25" s="28">
        <f t="shared" si="12"/>
        <v>18794215.219999999</v>
      </c>
      <c r="AB25" s="28">
        <f t="shared" si="12"/>
        <v>0</v>
      </c>
      <c r="AC25" s="28">
        <f t="shared" si="12"/>
        <v>24531437.199999999</v>
      </c>
      <c r="AD25" s="28">
        <f t="shared" si="12"/>
        <v>0</v>
      </c>
      <c r="AE25" s="28">
        <f t="shared" si="12"/>
        <v>7068735.0099999998</v>
      </c>
      <c r="AF25" s="28">
        <f t="shared" si="12"/>
        <v>0</v>
      </c>
      <c r="AG25" s="28">
        <f t="shared" si="12"/>
        <v>22540768.219999999</v>
      </c>
      <c r="AH25" s="28">
        <f t="shared" si="12"/>
        <v>0</v>
      </c>
      <c r="AI25" s="28">
        <f t="shared" si="12"/>
        <v>6801908.1200000001</v>
      </c>
      <c r="AJ25" s="28">
        <f t="shared" si="12"/>
        <v>0</v>
      </c>
      <c r="AK25" s="28">
        <f t="shared" si="12"/>
        <v>3586778.4100000015</v>
      </c>
      <c r="AL25" s="28">
        <f t="shared" si="12"/>
        <v>0</v>
      </c>
      <c r="AM25" s="28">
        <f t="shared" si="12"/>
        <v>4755988.8499999996</v>
      </c>
      <c r="AN25" s="28">
        <f t="shared" si="12"/>
        <v>0</v>
      </c>
      <c r="AO25" s="28">
        <f t="shared" si="12"/>
        <v>13369338.620000001</v>
      </c>
      <c r="AP25" s="28">
        <f t="shared" si="12"/>
        <v>0</v>
      </c>
      <c r="AQ25" s="28">
        <f t="shared" si="12"/>
        <v>8799980.8399999999</v>
      </c>
      <c r="AR25" s="28">
        <f t="shared" si="12"/>
        <v>4051246.57</v>
      </c>
      <c r="AS25" s="28">
        <f t="shared" si="12"/>
        <v>0</v>
      </c>
      <c r="AT25" s="28">
        <f t="shared" si="12"/>
        <v>0</v>
      </c>
      <c r="AU25" s="28">
        <f t="shared" si="12"/>
        <v>0</v>
      </c>
      <c r="AV25" s="28">
        <f t="shared" si="12"/>
        <v>0</v>
      </c>
      <c r="AW25" s="28">
        <f t="shared" si="12"/>
        <v>0</v>
      </c>
      <c r="AX25" s="28">
        <f t="shared" si="12"/>
        <v>0</v>
      </c>
      <c r="AY25" s="28">
        <f t="shared" si="12"/>
        <v>0</v>
      </c>
      <c r="AZ25" s="28">
        <f t="shared" si="12"/>
        <v>0</v>
      </c>
      <c r="BA25" s="28">
        <f t="shared" si="12"/>
        <v>0</v>
      </c>
      <c r="BB25" s="28">
        <f t="shared" si="12"/>
        <v>0</v>
      </c>
      <c r="BC25" s="28">
        <f t="shared" si="12"/>
        <v>0</v>
      </c>
      <c r="BD25" s="28">
        <f t="shared" si="12"/>
        <v>0</v>
      </c>
      <c r="BE25" s="28">
        <f t="shared" si="12"/>
        <v>0</v>
      </c>
      <c r="BF25" s="28">
        <f t="shared" si="12"/>
        <v>0</v>
      </c>
      <c r="BG25" s="28">
        <f t="shared" si="12"/>
        <v>0</v>
      </c>
      <c r="BH25" s="28">
        <f t="shared" si="12"/>
        <v>0</v>
      </c>
      <c r="BI25" s="28">
        <f t="shared" si="12"/>
        <v>0</v>
      </c>
      <c r="BJ25" s="28">
        <f t="shared" si="12"/>
        <v>0</v>
      </c>
      <c r="BK25" s="28">
        <f t="shared" si="12"/>
        <v>0</v>
      </c>
      <c r="BL25" s="28">
        <f t="shared" si="12"/>
        <v>0</v>
      </c>
      <c r="BM25" s="28">
        <f t="shared" si="12"/>
        <v>0</v>
      </c>
      <c r="BN25" s="28">
        <f t="shared" si="12"/>
        <v>0</v>
      </c>
      <c r="BO25" s="28">
        <f t="shared" si="12"/>
        <v>0</v>
      </c>
      <c r="BP25" s="28">
        <f t="shared" si="12"/>
        <v>0</v>
      </c>
      <c r="BQ25" s="28">
        <f t="shared" si="12"/>
        <v>0</v>
      </c>
      <c r="BR25" s="28">
        <f t="shared" ref="BR25:CK25" si="13">SUM(BR19:BR24)</f>
        <v>0</v>
      </c>
      <c r="BS25" s="28">
        <f t="shared" si="13"/>
        <v>0</v>
      </c>
      <c r="BT25" s="28">
        <f t="shared" si="13"/>
        <v>0</v>
      </c>
      <c r="BU25" s="28">
        <f t="shared" si="13"/>
        <v>0</v>
      </c>
      <c r="BV25" s="28">
        <f t="shared" si="13"/>
        <v>0</v>
      </c>
      <c r="BW25" s="28">
        <f t="shared" si="13"/>
        <v>0</v>
      </c>
      <c r="BX25" s="28">
        <f t="shared" si="13"/>
        <v>0</v>
      </c>
      <c r="BY25" s="28">
        <f t="shared" si="13"/>
        <v>0</v>
      </c>
      <c r="BZ25" s="28">
        <f t="shared" si="13"/>
        <v>0</v>
      </c>
      <c r="CA25" s="28">
        <f t="shared" si="13"/>
        <v>0</v>
      </c>
      <c r="CB25" s="28">
        <f t="shared" si="13"/>
        <v>0</v>
      </c>
      <c r="CC25" s="28">
        <f t="shared" si="13"/>
        <v>0</v>
      </c>
      <c r="CD25" s="28">
        <f t="shared" si="13"/>
        <v>0</v>
      </c>
      <c r="CE25" s="28">
        <f t="shared" si="13"/>
        <v>0</v>
      </c>
      <c r="CF25" s="28">
        <f t="shared" si="13"/>
        <v>0</v>
      </c>
      <c r="CG25" s="28">
        <f t="shared" si="13"/>
        <v>0</v>
      </c>
      <c r="CH25" s="28">
        <f t="shared" si="13"/>
        <v>0</v>
      </c>
      <c r="CI25" s="28">
        <f t="shared" si="13"/>
        <v>0</v>
      </c>
      <c r="CJ25" s="28">
        <f t="shared" si="13"/>
        <v>0</v>
      </c>
      <c r="CK25" s="28">
        <f t="shared" si="13"/>
        <v>0</v>
      </c>
    </row>
    <row r="26" spans="1:90" s="28" customFormat="1" x14ac:dyDescent="0.25">
      <c r="A26" s="20" t="s">
        <v>508</v>
      </c>
      <c r="E26" s="28">
        <f>E14-E25</f>
        <v>224456312.80999997</v>
      </c>
      <c r="F26" s="28">
        <f t="shared" ref="F26:BQ26" si="14">F14-F25</f>
        <v>22057931.399999999</v>
      </c>
      <c r="G26" s="28">
        <f t="shared" si="14"/>
        <v>-186320564.89999998</v>
      </c>
      <c r="H26" s="28">
        <f t="shared" si="14"/>
        <v>91197203.870000005</v>
      </c>
      <c r="I26" s="28">
        <f t="shared" si="14"/>
        <v>382255432.02999997</v>
      </c>
      <c r="J26" s="28">
        <f t="shared" si="14"/>
        <v>222610853.25999999</v>
      </c>
      <c r="K26" s="28">
        <f t="shared" si="14"/>
        <v>1294542.1799999923</v>
      </c>
      <c r="L26" s="28">
        <f t="shared" si="14"/>
        <v>80416090.650000006</v>
      </c>
      <c r="M26" s="28">
        <f t="shared" si="14"/>
        <v>240536883.00999996</v>
      </c>
      <c r="N26" s="28">
        <f t="shared" si="14"/>
        <v>190646009.99000001</v>
      </c>
      <c r="O26" s="28">
        <f t="shared" si="14"/>
        <v>35904047.830000006</v>
      </c>
      <c r="P26" s="28">
        <f t="shared" si="14"/>
        <v>142675186.96000001</v>
      </c>
      <c r="Q26" s="28">
        <f t="shared" si="14"/>
        <v>429936765.73000002</v>
      </c>
      <c r="R26" s="28">
        <f t="shared" si="14"/>
        <v>321017919.66000003</v>
      </c>
      <c r="S26" s="28">
        <f t="shared" si="14"/>
        <v>51380800.509999998</v>
      </c>
      <c r="T26" s="28">
        <f t="shared" si="14"/>
        <v>165971258.36000001</v>
      </c>
      <c r="U26" s="28">
        <f t="shared" si="14"/>
        <v>353988230.51999998</v>
      </c>
      <c r="V26" s="28">
        <f t="shared" si="14"/>
        <v>176625941.65000001</v>
      </c>
      <c r="W26" s="28">
        <f t="shared" si="14"/>
        <v>-88640069.480000004</v>
      </c>
      <c r="X26" s="28">
        <f t="shared" si="14"/>
        <v>37386371.759999998</v>
      </c>
      <c r="Y26" s="28">
        <f t="shared" si="14"/>
        <v>197633620.77000001</v>
      </c>
      <c r="Z26" s="28">
        <f t="shared" si="14"/>
        <v>20417199.34</v>
      </c>
      <c r="AA26" s="28">
        <f t="shared" si="14"/>
        <v>-176532547.52000001</v>
      </c>
      <c r="AB26" s="28">
        <f t="shared" si="14"/>
        <v>42416729.969999999</v>
      </c>
      <c r="AC26" s="28">
        <f t="shared" si="14"/>
        <v>281764472.88</v>
      </c>
      <c r="AD26" s="28">
        <f t="shared" si="14"/>
        <v>209983030.33000001</v>
      </c>
      <c r="AE26" s="28">
        <f t="shared" si="14"/>
        <v>45330168.620000005</v>
      </c>
      <c r="AF26" s="28">
        <f t="shared" si="14"/>
        <v>124686672.64</v>
      </c>
      <c r="AG26" s="28">
        <f t="shared" si="14"/>
        <v>109646303.8</v>
      </c>
      <c r="AH26" s="28">
        <f t="shared" si="14"/>
        <v>679972.5</v>
      </c>
      <c r="AI26" s="28">
        <f t="shared" si="14"/>
        <v>-41548325.739999995</v>
      </c>
      <c r="AJ26" s="28">
        <f t="shared" si="14"/>
        <v>61533081.909999996</v>
      </c>
      <c r="AK26" s="28">
        <f t="shared" si="14"/>
        <v>130618716.89</v>
      </c>
      <c r="AL26" s="28">
        <f t="shared" si="14"/>
        <v>89952114.109999999</v>
      </c>
      <c r="AM26" s="28">
        <f t="shared" si="14"/>
        <v>18403459.810000002</v>
      </c>
      <c r="AN26" s="28">
        <f t="shared" si="14"/>
        <v>52529154.340000004</v>
      </c>
      <c r="AO26" s="28">
        <f t="shared" si="14"/>
        <v>94949797.949999988</v>
      </c>
      <c r="AP26" s="28">
        <f t="shared" si="14"/>
        <v>34728334.869999997</v>
      </c>
      <c r="AQ26" s="28">
        <f t="shared" si="14"/>
        <v>35302257.920000002</v>
      </c>
      <c r="AR26" s="28">
        <f t="shared" si="14"/>
        <v>13004158.289999999</v>
      </c>
      <c r="AS26" s="28">
        <f t="shared" si="14"/>
        <v>0</v>
      </c>
      <c r="AT26" s="28">
        <f t="shared" si="14"/>
        <v>0</v>
      </c>
      <c r="AU26" s="28">
        <f t="shared" si="14"/>
        <v>0</v>
      </c>
      <c r="AV26" s="28">
        <f t="shared" si="14"/>
        <v>0</v>
      </c>
      <c r="AW26" s="28">
        <f t="shared" si="14"/>
        <v>0</v>
      </c>
      <c r="AX26" s="28">
        <f t="shared" si="14"/>
        <v>0</v>
      </c>
      <c r="AY26" s="28">
        <f t="shared" si="14"/>
        <v>0</v>
      </c>
      <c r="AZ26" s="28">
        <f t="shared" si="14"/>
        <v>0</v>
      </c>
      <c r="BA26" s="28">
        <f t="shared" si="14"/>
        <v>0</v>
      </c>
      <c r="BB26" s="28">
        <f t="shared" si="14"/>
        <v>0</v>
      </c>
      <c r="BC26" s="28">
        <f t="shared" si="14"/>
        <v>0</v>
      </c>
      <c r="BD26" s="28">
        <f t="shared" si="14"/>
        <v>0</v>
      </c>
      <c r="BE26" s="28">
        <f t="shared" si="14"/>
        <v>0</v>
      </c>
      <c r="BF26" s="28">
        <f t="shared" si="14"/>
        <v>0</v>
      </c>
      <c r="BG26" s="28">
        <f t="shared" si="14"/>
        <v>0</v>
      </c>
      <c r="BH26" s="28">
        <f t="shared" si="14"/>
        <v>0</v>
      </c>
      <c r="BI26" s="28">
        <f t="shared" si="14"/>
        <v>0</v>
      </c>
      <c r="BJ26" s="28">
        <f t="shared" si="14"/>
        <v>0</v>
      </c>
      <c r="BK26" s="28">
        <f t="shared" si="14"/>
        <v>0</v>
      </c>
      <c r="BL26" s="28">
        <f t="shared" si="14"/>
        <v>0</v>
      </c>
      <c r="BM26" s="28">
        <f t="shared" si="14"/>
        <v>0</v>
      </c>
      <c r="BN26" s="28">
        <f t="shared" si="14"/>
        <v>0</v>
      </c>
      <c r="BO26" s="28">
        <f t="shared" si="14"/>
        <v>0</v>
      </c>
      <c r="BP26" s="28">
        <f t="shared" si="14"/>
        <v>0</v>
      </c>
      <c r="BQ26" s="28">
        <f t="shared" si="14"/>
        <v>0</v>
      </c>
      <c r="BR26" s="28">
        <f t="shared" ref="BR26:CK26" si="15">BR14-BR25</f>
        <v>0</v>
      </c>
      <c r="BS26" s="28">
        <f t="shared" si="15"/>
        <v>0</v>
      </c>
      <c r="BT26" s="28">
        <f t="shared" si="15"/>
        <v>0</v>
      </c>
      <c r="BU26" s="28">
        <f t="shared" si="15"/>
        <v>0</v>
      </c>
      <c r="BV26" s="28">
        <f t="shared" si="15"/>
        <v>0</v>
      </c>
      <c r="BW26" s="28">
        <f t="shared" si="15"/>
        <v>0</v>
      </c>
      <c r="BX26" s="28">
        <f t="shared" si="15"/>
        <v>0</v>
      </c>
      <c r="BY26" s="28">
        <f t="shared" si="15"/>
        <v>0</v>
      </c>
      <c r="BZ26" s="28">
        <f t="shared" si="15"/>
        <v>0</v>
      </c>
      <c r="CA26" s="28">
        <f t="shared" si="15"/>
        <v>0</v>
      </c>
      <c r="CB26" s="28">
        <f t="shared" si="15"/>
        <v>0</v>
      </c>
      <c r="CC26" s="28">
        <f t="shared" si="15"/>
        <v>0</v>
      </c>
      <c r="CD26" s="28">
        <f t="shared" si="15"/>
        <v>0</v>
      </c>
      <c r="CE26" s="28">
        <f t="shared" si="15"/>
        <v>0</v>
      </c>
      <c r="CF26" s="28">
        <f t="shared" si="15"/>
        <v>0</v>
      </c>
      <c r="CG26" s="28">
        <f t="shared" si="15"/>
        <v>0</v>
      </c>
      <c r="CH26" s="28">
        <f t="shared" si="15"/>
        <v>0</v>
      </c>
      <c r="CI26" s="28">
        <f t="shared" si="15"/>
        <v>0</v>
      </c>
      <c r="CJ26" s="28">
        <f t="shared" si="15"/>
        <v>0</v>
      </c>
      <c r="CK26" s="28">
        <f t="shared" si="15"/>
        <v>0</v>
      </c>
    </row>
    <row r="27" spans="1:90" s="26" customFormat="1" x14ac:dyDescent="0.25">
      <c r="A27" s="17" t="s">
        <v>509</v>
      </c>
      <c r="E27" s="26">
        <f>E26-E24</f>
        <v>224456312.80999997</v>
      </c>
      <c r="F27" s="26">
        <f t="shared" ref="F27:BQ27" si="16">F26-F24</f>
        <v>22057931.399999999</v>
      </c>
      <c r="G27" s="26">
        <f t="shared" si="16"/>
        <v>-186320564.89999998</v>
      </c>
      <c r="H27" s="26">
        <f t="shared" si="16"/>
        <v>91197203.870000005</v>
      </c>
      <c r="I27" s="26">
        <f t="shared" si="16"/>
        <v>382255432.02999997</v>
      </c>
      <c r="J27" s="26">
        <f t="shared" si="16"/>
        <v>222610853.25999999</v>
      </c>
      <c r="K27" s="26">
        <f t="shared" si="16"/>
        <v>1294542.1799999923</v>
      </c>
      <c r="L27" s="26">
        <f t="shared" si="16"/>
        <v>80416090.650000006</v>
      </c>
      <c r="M27" s="26">
        <f t="shared" si="16"/>
        <v>240536883.00999996</v>
      </c>
      <c r="N27" s="26">
        <f t="shared" si="16"/>
        <v>190646009.99000001</v>
      </c>
      <c r="O27" s="26">
        <f t="shared" si="16"/>
        <v>35904047.830000006</v>
      </c>
      <c r="P27" s="26">
        <f t="shared" si="16"/>
        <v>142675186.96000001</v>
      </c>
      <c r="Q27" s="26">
        <f t="shared" si="16"/>
        <v>429936765.73000002</v>
      </c>
      <c r="R27" s="26">
        <f t="shared" si="16"/>
        <v>321017919.66000003</v>
      </c>
      <c r="S27" s="26">
        <f t="shared" si="16"/>
        <v>51380800.509999998</v>
      </c>
      <c r="T27" s="26">
        <f t="shared" si="16"/>
        <v>165971258.36000001</v>
      </c>
      <c r="U27" s="26">
        <f t="shared" si="16"/>
        <v>353988230.51999998</v>
      </c>
      <c r="V27" s="26">
        <f t="shared" si="16"/>
        <v>176625941.65000001</v>
      </c>
      <c r="W27" s="26">
        <f t="shared" si="16"/>
        <v>-88640069.480000004</v>
      </c>
      <c r="X27" s="26">
        <f t="shared" si="16"/>
        <v>37386371.759999998</v>
      </c>
      <c r="Y27" s="26">
        <f t="shared" si="16"/>
        <v>197633620.77000001</v>
      </c>
      <c r="Z27" s="26">
        <f t="shared" si="16"/>
        <v>20417199.34</v>
      </c>
      <c r="AA27" s="26">
        <f t="shared" si="16"/>
        <v>-176532547.52000001</v>
      </c>
      <c r="AB27" s="26">
        <f t="shared" si="16"/>
        <v>42416729.969999999</v>
      </c>
      <c r="AC27" s="26">
        <f t="shared" si="16"/>
        <v>281764472.88</v>
      </c>
      <c r="AD27" s="26">
        <f t="shared" si="16"/>
        <v>209983030.33000001</v>
      </c>
      <c r="AE27" s="26">
        <f t="shared" si="16"/>
        <v>45328107.740000002</v>
      </c>
      <c r="AF27" s="26">
        <f t="shared" si="16"/>
        <v>124686672.64</v>
      </c>
      <c r="AG27" s="26">
        <f t="shared" si="16"/>
        <v>109646303.8</v>
      </c>
      <c r="AH27" s="26">
        <f t="shared" si="16"/>
        <v>679972.5</v>
      </c>
      <c r="AI27" s="26">
        <f t="shared" si="16"/>
        <v>-41548325.739999995</v>
      </c>
      <c r="AJ27" s="26">
        <f t="shared" si="16"/>
        <v>61533081.909999996</v>
      </c>
      <c r="AK27" s="26">
        <f t="shared" si="16"/>
        <v>130618716.89</v>
      </c>
      <c r="AL27" s="26">
        <f t="shared" si="16"/>
        <v>89952114.109999999</v>
      </c>
      <c r="AM27" s="26">
        <f t="shared" si="16"/>
        <v>18403459.810000002</v>
      </c>
      <c r="AN27" s="26">
        <f t="shared" si="16"/>
        <v>52529154.340000004</v>
      </c>
      <c r="AO27" s="26">
        <f t="shared" si="16"/>
        <v>94949797.949999988</v>
      </c>
      <c r="AP27" s="26">
        <f t="shared" si="16"/>
        <v>34728334.869999997</v>
      </c>
      <c r="AQ27" s="26">
        <f t="shared" si="16"/>
        <v>33785728.870000005</v>
      </c>
      <c r="AR27" s="26">
        <f t="shared" si="16"/>
        <v>12988605.939999999</v>
      </c>
      <c r="AS27" s="26">
        <f t="shared" si="16"/>
        <v>0</v>
      </c>
      <c r="AT27" s="26">
        <f t="shared" si="16"/>
        <v>0</v>
      </c>
      <c r="AU27" s="26">
        <f t="shared" si="16"/>
        <v>0</v>
      </c>
      <c r="AV27" s="26">
        <f t="shared" si="16"/>
        <v>0</v>
      </c>
      <c r="AW27" s="26">
        <f t="shared" si="16"/>
        <v>0</v>
      </c>
      <c r="AX27" s="26">
        <f t="shared" si="16"/>
        <v>0</v>
      </c>
      <c r="AY27" s="26">
        <f t="shared" si="16"/>
        <v>0</v>
      </c>
      <c r="AZ27" s="26">
        <f t="shared" si="16"/>
        <v>0</v>
      </c>
      <c r="BA27" s="26">
        <f t="shared" si="16"/>
        <v>0</v>
      </c>
      <c r="BB27" s="26">
        <f t="shared" si="16"/>
        <v>0</v>
      </c>
      <c r="BC27" s="26">
        <f t="shared" si="16"/>
        <v>0</v>
      </c>
      <c r="BD27" s="26">
        <f t="shared" si="16"/>
        <v>0</v>
      </c>
      <c r="BE27" s="26">
        <f t="shared" si="16"/>
        <v>0</v>
      </c>
      <c r="BF27" s="26">
        <f t="shared" si="16"/>
        <v>0</v>
      </c>
      <c r="BG27" s="26">
        <f t="shared" si="16"/>
        <v>0</v>
      </c>
      <c r="BH27" s="26">
        <f t="shared" si="16"/>
        <v>0</v>
      </c>
      <c r="BI27" s="26">
        <f t="shared" si="16"/>
        <v>0</v>
      </c>
      <c r="BJ27" s="26">
        <f t="shared" si="16"/>
        <v>0</v>
      </c>
      <c r="BK27" s="26">
        <f t="shared" si="16"/>
        <v>0</v>
      </c>
      <c r="BL27" s="26">
        <f t="shared" si="16"/>
        <v>0</v>
      </c>
      <c r="BM27" s="26">
        <f t="shared" si="16"/>
        <v>0</v>
      </c>
      <c r="BN27" s="26">
        <f t="shared" si="16"/>
        <v>0</v>
      </c>
      <c r="BO27" s="26">
        <f t="shared" si="16"/>
        <v>0</v>
      </c>
      <c r="BP27" s="26">
        <f t="shared" si="16"/>
        <v>0</v>
      </c>
      <c r="BQ27" s="26">
        <f t="shared" si="16"/>
        <v>0</v>
      </c>
      <c r="BR27" s="26">
        <f t="shared" ref="BR27:CL27" si="17">BR26-BR24</f>
        <v>0</v>
      </c>
      <c r="BS27" s="26">
        <f t="shared" si="17"/>
        <v>0</v>
      </c>
      <c r="BT27" s="26">
        <f t="shared" si="17"/>
        <v>0</v>
      </c>
      <c r="BU27" s="26">
        <f t="shared" si="17"/>
        <v>0</v>
      </c>
      <c r="BV27" s="26">
        <f t="shared" si="17"/>
        <v>0</v>
      </c>
      <c r="BW27" s="26">
        <f t="shared" si="17"/>
        <v>0</v>
      </c>
      <c r="BX27" s="26">
        <f t="shared" si="17"/>
        <v>0</v>
      </c>
      <c r="BY27" s="26">
        <f t="shared" si="17"/>
        <v>0</v>
      </c>
      <c r="BZ27" s="26">
        <f t="shared" si="17"/>
        <v>0</v>
      </c>
      <c r="CA27" s="26">
        <f t="shared" si="17"/>
        <v>0</v>
      </c>
      <c r="CB27" s="26">
        <f t="shared" si="17"/>
        <v>0</v>
      </c>
      <c r="CC27" s="26">
        <f t="shared" si="17"/>
        <v>0</v>
      </c>
      <c r="CD27" s="26">
        <f t="shared" si="17"/>
        <v>0</v>
      </c>
      <c r="CE27" s="26">
        <f t="shared" si="17"/>
        <v>0</v>
      </c>
      <c r="CF27" s="26">
        <f t="shared" si="17"/>
        <v>0</v>
      </c>
      <c r="CG27" s="26">
        <f t="shared" si="17"/>
        <v>0</v>
      </c>
      <c r="CH27" s="26">
        <f t="shared" si="17"/>
        <v>0</v>
      </c>
      <c r="CI27" s="26">
        <f t="shared" si="17"/>
        <v>0</v>
      </c>
      <c r="CJ27" s="26">
        <f t="shared" si="17"/>
        <v>0</v>
      </c>
      <c r="CK27" s="26">
        <f t="shared" si="17"/>
        <v>0</v>
      </c>
      <c r="CL27" s="26">
        <f t="shared" si="17"/>
        <v>0</v>
      </c>
    </row>
    <row r="28" spans="1:90" s="63" customFormat="1" x14ac:dyDescent="0.25">
      <c r="A28" s="17" t="s">
        <v>510</v>
      </c>
      <c r="E28" s="63">
        <f>(E27-I27)/I27</f>
        <v>-0.41281066532395461</v>
      </c>
      <c r="F28" s="63">
        <f t="shared" ref="F28:BQ28" si="18">(F27-J27)/J27</f>
        <v>-0.9009125966817203</v>
      </c>
      <c r="G28" s="63">
        <f t="shared" si="18"/>
        <v>-144.92776672599507</v>
      </c>
      <c r="H28" s="63">
        <f t="shared" si="18"/>
        <v>0.13406661692774041</v>
      </c>
      <c r="I28" s="63">
        <f t="shared" si="18"/>
        <v>0.58917596023769991</v>
      </c>
      <c r="J28" s="63">
        <f t="shared" si="18"/>
        <v>0.16766594418459971</v>
      </c>
      <c r="K28" s="63">
        <f t="shared" si="18"/>
        <v>-0.96394439462287251</v>
      </c>
      <c r="L28" s="63">
        <f t="shared" si="18"/>
        <v>-0.43636947416410099</v>
      </c>
      <c r="M28" s="63">
        <f t="shared" si="18"/>
        <v>-0.4405296262542549</v>
      </c>
      <c r="N28" s="63">
        <f t="shared" si="18"/>
        <v>-0.40612034931906893</v>
      </c>
      <c r="O28" s="63">
        <f t="shared" si="18"/>
        <v>-0.30121665148030979</v>
      </c>
      <c r="P28" s="63">
        <f t="shared" si="18"/>
        <v>-0.14036208214719717</v>
      </c>
      <c r="Q28" s="63">
        <f t="shared" si="18"/>
        <v>0.21455101797716131</v>
      </c>
      <c r="R28" s="63">
        <f t="shared" si="18"/>
        <v>0.81750153268043468</v>
      </c>
      <c r="S28" s="63">
        <f t="shared" si="18"/>
        <v>-1.5796565911040168</v>
      </c>
      <c r="T28" s="63">
        <f t="shared" si="18"/>
        <v>3.4393518425763396</v>
      </c>
      <c r="U28" s="63">
        <f t="shared" si="18"/>
        <v>0.79113366005655839</v>
      </c>
      <c r="V28" s="63">
        <f t="shared" si="18"/>
        <v>7.6508408282994216</v>
      </c>
      <c r="W28" s="63">
        <f t="shared" si="18"/>
        <v>-0.49788256768935119</v>
      </c>
      <c r="X28" s="63">
        <f t="shared" si="18"/>
        <v>-0.11859372972781761</v>
      </c>
      <c r="Y28" s="63">
        <f t="shared" si="18"/>
        <v>-0.29858573456785759</v>
      </c>
      <c r="Z28" s="63">
        <f t="shared" si="18"/>
        <v>-0.90276738406949719</v>
      </c>
      <c r="AA28" s="63">
        <f t="shared" si="18"/>
        <v>-4.8945492393501802</v>
      </c>
      <c r="AB28" s="63">
        <f t="shared" si="18"/>
        <v>-0.65981344219147497</v>
      </c>
      <c r="AC28" s="63">
        <f t="shared" si="18"/>
        <v>1.5697580594595473</v>
      </c>
      <c r="AD28" s="63">
        <f t="shared" si="18"/>
        <v>307.81106269738854</v>
      </c>
      <c r="AE28" s="63">
        <f t="shared" si="18"/>
        <v>-2.0909731483201757</v>
      </c>
      <c r="AF28" s="63">
        <f t="shared" si="18"/>
        <v>1.0263355705532546</v>
      </c>
      <c r="AG28" s="63">
        <f t="shared" si="18"/>
        <v>-0.16056208167824701</v>
      </c>
      <c r="AH28" s="63">
        <f t="shared" si="18"/>
        <v>-0.9924407279725691</v>
      </c>
      <c r="AI28" s="63">
        <f t="shared" si="18"/>
        <v>-3.2576366709820306</v>
      </c>
      <c r="AJ28" s="63">
        <f t="shared" si="18"/>
        <v>0.17140819575585028</v>
      </c>
      <c r="AK28" s="63">
        <f t="shared" si="18"/>
        <v>0.37566081982378791</v>
      </c>
      <c r="AL28" s="63">
        <f t="shared" si="18"/>
        <v>1.5901649027147844</v>
      </c>
      <c r="AM28" s="63">
        <f t="shared" si="18"/>
        <v>-0.45528895111860879</v>
      </c>
      <c r="AN28" s="63">
        <f t="shared" si="18"/>
        <v>3.0442488272147865</v>
      </c>
      <c r="AO28" s="63" t="e">
        <f t="shared" si="18"/>
        <v>#DIV/0!</v>
      </c>
      <c r="AP28" s="63" t="e">
        <f t="shared" si="18"/>
        <v>#DIV/0!</v>
      </c>
      <c r="AQ28" s="63" t="e">
        <f t="shared" si="18"/>
        <v>#DIV/0!</v>
      </c>
      <c r="AR28" s="63" t="e">
        <f t="shared" si="18"/>
        <v>#DIV/0!</v>
      </c>
      <c r="AS28" s="63" t="e">
        <f t="shared" si="18"/>
        <v>#DIV/0!</v>
      </c>
      <c r="AT28" s="63" t="e">
        <f t="shared" si="18"/>
        <v>#DIV/0!</v>
      </c>
      <c r="AU28" s="63" t="e">
        <f t="shared" si="18"/>
        <v>#DIV/0!</v>
      </c>
      <c r="AV28" s="63" t="e">
        <f t="shared" si="18"/>
        <v>#DIV/0!</v>
      </c>
      <c r="AW28" s="63" t="e">
        <f t="shared" si="18"/>
        <v>#DIV/0!</v>
      </c>
      <c r="AX28" s="63" t="e">
        <f t="shared" si="18"/>
        <v>#DIV/0!</v>
      </c>
      <c r="AY28" s="63" t="e">
        <f t="shared" si="18"/>
        <v>#DIV/0!</v>
      </c>
      <c r="AZ28" s="63" t="e">
        <f t="shared" si="18"/>
        <v>#DIV/0!</v>
      </c>
      <c r="BA28" s="63" t="e">
        <f t="shared" si="18"/>
        <v>#DIV/0!</v>
      </c>
      <c r="BB28" s="63" t="e">
        <f t="shared" si="18"/>
        <v>#DIV/0!</v>
      </c>
      <c r="BC28" s="63" t="e">
        <f t="shared" si="18"/>
        <v>#DIV/0!</v>
      </c>
      <c r="BD28" s="63" t="e">
        <f t="shared" si="18"/>
        <v>#DIV/0!</v>
      </c>
      <c r="BE28" s="63" t="e">
        <f t="shared" si="18"/>
        <v>#DIV/0!</v>
      </c>
      <c r="BF28" s="63" t="e">
        <f t="shared" si="18"/>
        <v>#DIV/0!</v>
      </c>
      <c r="BG28" s="63" t="e">
        <f t="shared" si="18"/>
        <v>#DIV/0!</v>
      </c>
      <c r="BH28" s="63" t="e">
        <f t="shared" si="18"/>
        <v>#DIV/0!</v>
      </c>
      <c r="BI28" s="63" t="e">
        <f t="shared" si="18"/>
        <v>#DIV/0!</v>
      </c>
      <c r="BJ28" s="63" t="e">
        <f t="shared" si="18"/>
        <v>#DIV/0!</v>
      </c>
      <c r="BK28" s="63" t="e">
        <f t="shared" si="18"/>
        <v>#DIV/0!</v>
      </c>
      <c r="BL28" s="63" t="e">
        <f t="shared" si="18"/>
        <v>#DIV/0!</v>
      </c>
      <c r="BM28" s="63" t="e">
        <f t="shared" si="18"/>
        <v>#DIV/0!</v>
      </c>
      <c r="BN28" s="63" t="e">
        <f t="shared" si="18"/>
        <v>#DIV/0!</v>
      </c>
      <c r="BO28" s="63" t="e">
        <f t="shared" si="18"/>
        <v>#DIV/0!</v>
      </c>
      <c r="BP28" s="63" t="e">
        <f t="shared" si="18"/>
        <v>#DIV/0!</v>
      </c>
      <c r="BQ28" s="63" t="e">
        <f t="shared" si="18"/>
        <v>#DIV/0!</v>
      </c>
      <c r="BR28" s="63" t="e">
        <f t="shared" ref="BR28:CK28" si="19">(BR27-BV27)/BV27</f>
        <v>#DIV/0!</v>
      </c>
      <c r="BS28" s="63" t="e">
        <f t="shared" si="19"/>
        <v>#DIV/0!</v>
      </c>
      <c r="BT28" s="63" t="e">
        <f t="shared" si="19"/>
        <v>#DIV/0!</v>
      </c>
      <c r="BU28" s="63" t="e">
        <f t="shared" si="19"/>
        <v>#DIV/0!</v>
      </c>
      <c r="BV28" s="63" t="e">
        <f t="shared" si="19"/>
        <v>#DIV/0!</v>
      </c>
      <c r="BW28" s="63" t="e">
        <f t="shared" si="19"/>
        <v>#DIV/0!</v>
      </c>
      <c r="BX28" s="63" t="e">
        <f t="shared" si="19"/>
        <v>#DIV/0!</v>
      </c>
      <c r="BY28" s="63" t="e">
        <f t="shared" si="19"/>
        <v>#DIV/0!</v>
      </c>
      <c r="BZ28" s="63" t="e">
        <f t="shared" si="19"/>
        <v>#DIV/0!</v>
      </c>
      <c r="CA28" s="63" t="e">
        <f t="shared" si="19"/>
        <v>#DIV/0!</v>
      </c>
      <c r="CB28" s="63" t="e">
        <f t="shared" si="19"/>
        <v>#DIV/0!</v>
      </c>
      <c r="CC28" s="63" t="e">
        <f t="shared" si="19"/>
        <v>#DIV/0!</v>
      </c>
      <c r="CD28" s="63" t="e">
        <f t="shared" si="19"/>
        <v>#DIV/0!</v>
      </c>
      <c r="CE28" s="63" t="e">
        <f t="shared" si="19"/>
        <v>#DIV/0!</v>
      </c>
      <c r="CF28" s="63" t="e">
        <f t="shared" si="19"/>
        <v>#DIV/0!</v>
      </c>
      <c r="CG28" s="63" t="e">
        <f t="shared" si="19"/>
        <v>#DIV/0!</v>
      </c>
      <c r="CH28" s="63" t="e">
        <f t="shared" si="19"/>
        <v>#DIV/0!</v>
      </c>
      <c r="CI28" s="63" t="e">
        <f t="shared" si="19"/>
        <v>#DIV/0!</v>
      </c>
      <c r="CJ28" s="63" t="e">
        <f t="shared" si="19"/>
        <v>#DIV/0!</v>
      </c>
      <c r="CK28" s="63" t="e">
        <f t="shared" si="19"/>
        <v>#DIV/0!</v>
      </c>
    </row>
    <row r="29" spans="1:90" s="16" customFormat="1" ht="367.2" customHeight="1" x14ac:dyDescent="0.25">
      <c r="A29" s="279" t="s">
        <v>737</v>
      </c>
      <c r="B29" s="278"/>
      <c r="C29" s="278"/>
      <c r="D29" s="278"/>
      <c r="E29" s="278"/>
      <c r="F29" s="278"/>
      <c r="G29" s="278"/>
      <c r="H29" s="278"/>
      <c r="I29" s="278"/>
      <c r="J29" s="278"/>
      <c r="K29" s="278"/>
      <c r="L29" s="278"/>
      <c r="M29" s="278"/>
      <c r="N29" s="278"/>
      <c r="O29" s="278"/>
      <c r="P29" s="278"/>
      <c r="Q29" s="278"/>
      <c r="R29" s="278"/>
      <c r="S29" s="278"/>
      <c r="T29" s="278"/>
      <c r="U29" s="278"/>
      <c r="V29" s="278"/>
      <c r="W29" s="278"/>
      <c r="X29" s="278"/>
      <c r="Y29" s="278"/>
      <c r="Z29" s="278"/>
      <c r="AA29" s="278"/>
      <c r="AB29" s="278"/>
      <c r="AC29" s="278"/>
    </row>
    <row r="30" spans="1:90" x14ac:dyDescent="0.25">
      <c r="A30" s="111" t="s">
        <v>568</v>
      </c>
      <c r="B30" s="96"/>
      <c r="C30" s="96"/>
      <c r="D30" s="96"/>
      <c r="E30" s="96" t="s">
        <v>567</v>
      </c>
      <c r="F30" s="96"/>
      <c r="G30" s="96"/>
      <c r="H30" s="96"/>
      <c r="I30" s="96" t="s">
        <v>601</v>
      </c>
      <c r="M30" s="96" t="s">
        <v>569</v>
      </c>
      <c r="Q30" s="114" t="s">
        <v>607</v>
      </c>
      <c r="R30" s="114"/>
      <c r="S30" s="114"/>
      <c r="T30" s="114"/>
      <c r="U30" s="114" t="s">
        <v>604</v>
      </c>
      <c r="V30" s="114"/>
      <c r="W30" s="114"/>
      <c r="X30" s="114"/>
      <c r="Y30" s="114" t="s">
        <v>605</v>
      </c>
      <c r="Z30" s="114"/>
      <c r="AA30" s="114"/>
      <c r="AB30" s="114"/>
      <c r="AC30" s="114" t="s">
        <v>606</v>
      </c>
    </row>
    <row r="31" spans="1:90" s="63" customFormat="1" x14ac:dyDescent="0.25">
      <c r="A31" s="111" t="s">
        <v>570</v>
      </c>
      <c r="B31" s="112"/>
      <c r="C31" s="112"/>
      <c r="D31" s="112"/>
      <c r="E31" s="112">
        <f>POWER(E27/U27,1/5)-1</f>
        <v>-8.7088663152070978E-2</v>
      </c>
      <c r="F31" s="112"/>
      <c r="G31" s="112"/>
      <c r="H31" s="112"/>
      <c r="I31" s="112">
        <f>POWER(E27/Y27,1/6)-1</f>
        <v>2.1437581860179966E-2</v>
      </c>
      <c r="M31" s="112">
        <f>POWER(E27/AC27,1/7)-1</f>
        <v>-3.1962397579693103E-2</v>
      </c>
      <c r="Q31" s="115" t="s">
        <v>603</v>
      </c>
      <c r="R31" s="115"/>
      <c r="S31" s="115"/>
      <c r="T31" s="115"/>
      <c r="U31" s="115">
        <f>POWER(E14/U14,1/5)-1</f>
        <v>-7.5289841360781651E-3</v>
      </c>
      <c r="V31" s="115"/>
      <c r="W31" s="115"/>
      <c r="X31" s="115"/>
      <c r="Y31" s="115">
        <f>POWER(E14/Y14,1/6)-1</f>
        <v>8.334643789008811E-2</v>
      </c>
      <c r="Z31" s="115"/>
      <c r="AA31" s="115"/>
      <c r="AB31" s="115"/>
      <c r="AC31" s="115">
        <f>POWER(E14/AC14,1/7)-1</f>
        <v>3.8245948974280353E-2</v>
      </c>
    </row>
    <row r="32" spans="1:90" s="66" customFormat="1" x14ac:dyDescent="0.25">
      <c r="A32" s="46" t="s">
        <v>512</v>
      </c>
      <c r="E32" s="66">
        <v>0.17</v>
      </c>
    </row>
    <row r="39" spans="1:13" ht="43.2" x14ac:dyDescent="0.25">
      <c r="A39" s="67" t="s">
        <v>513</v>
      </c>
    </row>
    <row r="41" spans="1:13" ht="111" customHeight="1" x14ac:dyDescent="0.25">
      <c r="A41" s="279" t="s">
        <v>736</v>
      </c>
      <c r="B41" s="278"/>
      <c r="C41" s="278"/>
      <c r="D41" s="278"/>
      <c r="E41" s="278"/>
      <c r="F41" s="278"/>
      <c r="G41" s="278"/>
      <c r="H41" s="278"/>
      <c r="I41" s="278"/>
      <c r="J41" s="278"/>
      <c r="K41" s="278"/>
      <c r="L41" s="278"/>
      <c r="M41" s="278"/>
    </row>
  </sheetData>
  <mergeCells count="2">
    <mergeCell ref="A29:AC29"/>
    <mergeCell ref="A41:M41"/>
  </mergeCells>
  <phoneticPr fontId="1" type="noConversion"/>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根据DCF测算价值表"/>
  <dimension ref="A1:BV71"/>
  <sheetViews>
    <sheetView tabSelected="1" workbookViewId="0">
      <selection activeCell="C2" sqref="C2"/>
    </sheetView>
  </sheetViews>
  <sheetFormatPr defaultRowHeight="14.4" x14ac:dyDescent="0.25"/>
  <cols>
    <col min="1" max="1" width="43.5546875" style="17" bestFit="1" customWidth="1"/>
    <col min="2" max="2" width="21.44140625" style="26" bestFit="1" customWidth="1"/>
    <col min="3" max="3" width="38" bestFit="1" customWidth="1"/>
    <col min="4" max="4" width="21.44140625" bestFit="1" customWidth="1"/>
    <col min="5" max="5" width="18.33203125" bestFit="1" customWidth="1"/>
    <col min="6" max="8" width="17.21875" bestFit="1" customWidth="1"/>
    <col min="9" max="9" width="19.33203125" bestFit="1" customWidth="1"/>
    <col min="10" max="11" width="17.21875" bestFit="1" customWidth="1"/>
    <col min="12" max="12" width="40.21875" bestFit="1" customWidth="1"/>
    <col min="13" max="14" width="17.21875" bestFit="1" customWidth="1"/>
    <col min="15" max="19" width="19.33203125" bestFit="1" customWidth="1"/>
    <col min="20" max="74" width="9.44140625" bestFit="1" customWidth="1"/>
  </cols>
  <sheetData>
    <row r="1" spans="1:10" ht="16.2" customHeight="1" x14ac:dyDescent="0.25">
      <c r="A1" s="68" t="s">
        <v>514</v>
      </c>
      <c r="B1" s="69">
        <f>自由现金流分析表!E1</f>
        <v>43100</v>
      </c>
      <c r="C1" s="191" t="s">
        <v>751</v>
      </c>
      <c r="D1" s="274">
        <v>0.08</v>
      </c>
      <c r="E1" s="262" t="s">
        <v>750</v>
      </c>
      <c r="F1" s="63">
        <f>平均资本成本表!E13</f>
        <v>7.7241970481989927E-2</v>
      </c>
    </row>
    <row r="2" spans="1:10" x14ac:dyDescent="0.25">
      <c r="A2" s="70" t="s">
        <v>515</v>
      </c>
      <c r="B2" s="71">
        <f>(自由现金流分析表!E27+自由现金流分析表!I27+自由现金流分析表!M27)/3</f>
        <v>282416209.2833333</v>
      </c>
      <c r="C2" t="s">
        <v>548</v>
      </c>
      <c r="D2" s="63"/>
      <c r="E2" s="63"/>
      <c r="F2" s="56"/>
    </row>
    <row r="3" spans="1:10" s="63" customFormat="1" x14ac:dyDescent="0.25">
      <c r="A3" s="72" t="s">
        <v>516</v>
      </c>
      <c r="B3" s="98">
        <v>0</v>
      </c>
      <c r="D3" s="190"/>
      <c r="E3" s="190"/>
      <c r="F3" s="260"/>
    </row>
    <row r="4" spans="1:10" s="63" customFormat="1" x14ac:dyDescent="0.25">
      <c r="A4" s="72" t="s">
        <v>517</v>
      </c>
      <c r="B4" s="98">
        <f>F1</f>
        <v>7.7241970481989927E-2</v>
      </c>
      <c r="D4" s="190"/>
      <c r="E4" s="190"/>
      <c r="F4" s="261"/>
    </row>
    <row r="5" spans="1:10" x14ac:dyDescent="0.25">
      <c r="A5" s="70" t="s">
        <v>518</v>
      </c>
      <c r="B5" s="71">
        <f>B2*(1+B3)/(B4-B3)</f>
        <v>3656253297.5409098</v>
      </c>
      <c r="D5" s="63"/>
      <c r="E5" s="63"/>
    </row>
    <row r="6" spans="1:10" x14ac:dyDescent="0.25">
      <c r="A6" s="70" t="s">
        <v>519</v>
      </c>
      <c r="B6" s="71">
        <f>资产资本表!E17</f>
        <v>733176594.04999995</v>
      </c>
      <c r="D6" s="190"/>
      <c r="E6" s="190"/>
      <c r="F6" s="190"/>
      <c r="G6" s="190"/>
    </row>
    <row r="7" spans="1:10" x14ac:dyDescent="0.25">
      <c r="A7" s="70" t="s">
        <v>520</v>
      </c>
      <c r="B7" s="71">
        <f>资产资本表!E19</f>
        <v>2681764.62</v>
      </c>
      <c r="D7" s="190"/>
      <c r="E7" s="190"/>
      <c r="F7" s="190"/>
      <c r="G7" s="190"/>
    </row>
    <row r="8" spans="1:10" x14ac:dyDescent="0.25">
      <c r="A8" s="70" t="s">
        <v>521</v>
      </c>
      <c r="B8" s="197">
        <f>资产资本表!E89</f>
        <v>253403062.44</v>
      </c>
      <c r="C8" s="272" t="s">
        <v>748</v>
      </c>
      <c r="D8" s="273">
        <f>B2/B4</f>
        <v>3656253297.5409098</v>
      </c>
      <c r="E8" s="63"/>
      <c r="F8" s="190"/>
      <c r="G8" s="190"/>
    </row>
    <row r="9" spans="1:10" x14ac:dyDescent="0.25">
      <c r="A9" s="70" t="s">
        <v>522</v>
      </c>
      <c r="B9" s="197">
        <f>B5+B6+B7-B8</f>
        <v>4138708593.7709098</v>
      </c>
      <c r="C9" s="272" t="s">
        <v>749</v>
      </c>
      <c r="D9" s="273">
        <f>(D8+资产资本结构分析表!$E$2+资产资本结构分析表!$E$3)/B55</f>
        <v>5.8975960238748515</v>
      </c>
      <c r="E9" s="190"/>
      <c r="F9" s="190"/>
      <c r="G9" s="190"/>
    </row>
    <row r="10" spans="1:10" x14ac:dyDescent="0.25">
      <c r="A10" s="70" t="s">
        <v>523</v>
      </c>
      <c r="B10" s="73">
        <f>资产资本表!E103/资产资本表!E107</f>
        <v>4.6852833219748313E-2</v>
      </c>
      <c r="D10" s="190"/>
      <c r="E10" s="190"/>
      <c r="F10" s="190"/>
      <c r="G10" s="190"/>
    </row>
    <row r="11" spans="1:10" x14ac:dyDescent="0.25">
      <c r="A11" s="70" t="s">
        <v>549</v>
      </c>
      <c r="B11" s="197">
        <f>B9*(1-B10)</f>
        <v>3944798370.2818222</v>
      </c>
      <c r="C11" s="269" t="s">
        <v>745</v>
      </c>
      <c r="D11" s="270">
        <f>资产资本结构分析表!E2</f>
        <v>733176594.04999995</v>
      </c>
      <c r="E11" s="63"/>
      <c r="F11" s="190"/>
      <c r="G11" s="190"/>
    </row>
    <row r="12" spans="1:10" x14ac:dyDescent="0.25">
      <c r="A12" s="70" t="s">
        <v>524</v>
      </c>
      <c r="B12" s="268">
        <f>B55</f>
        <v>744729147</v>
      </c>
      <c r="C12" s="269" t="s">
        <v>746</v>
      </c>
      <c r="D12" s="271">
        <f>D11/B55</f>
        <v>0.98448757780390717</v>
      </c>
      <c r="E12" s="190"/>
      <c r="F12" s="190"/>
      <c r="G12" s="190"/>
    </row>
    <row r="13" spans="1:10" ht="15" thickBot="1" x14ac:dyDescent="0.3">
      <c r="A13" s="74" t="s">
        <v>525</v>
      </c>
      <c r="B13" s="75">
        <f>B11/B12</f>
        <v>5.2969571369305122</v>
      </c>
      <c r="D13" s="190"/>
      <c r="E13" s="190"/>
    </row>
    <row r="14" spans="1:10" s="16" customFormat="1" ht="53.25" customHeight="1" x14ac:dyDescent="0.25">
      <c r="A14" s="279" t="s">
        <v>738</v>
      </c>
      <c r="B14" s="278"/>
      <c r="C14" s="278"/>
      <c r="D14" s="278"/>
      <c r="E14" s="278"/>
      <c r="F14" s="278"/>
      <c r="G14" s="278"/>
      <c r="H14" s="278"/>
      <c r="I14" s="278"/>
    </row>
    <row r="16" spans="1:10" x14ac:dyDescent="0.25">
      <c r="A16" s="88"/>
      <c r="B16" s="76"/>
      <c r="C16" s="77"/>
      <c r="D16" s="77"/>
      <c r="E16" s="77"/>
      <c r="F16" s="77"/>
      <c r="G16" s="77"/>
      <c r="H16" s="77"/>
      <c r="I16" s="78"/>
      <c r="J16" s="77"/>
    </row>
    <row r="17" spans="1:10" s="63" customFormat="1" x14ac:dyDescent="0.25">
      <c r="A17" s="90"/>
      <c r="B17" s="90"/>
      <c r="C17" s="90" t="s">
        <v>541</v>
      </c>
      <c r="D17" s="90">
        <v>0.1</v>
      </c>
      <c r="E17" s="90"/>
      <c r="F17" s="90"/>
      <c r="G17" s="90"/>
      <c r="H17" s="90" t="s">
        <v>542</v>
      </c>
      <c r="I17" s="90">
        <v>0.04</v>
      </c>
      <c r="J17" s="78"/>
    </row>
    <row r="18" spans="1:10" s="2" customFormat="1" x14ac:dyDescent="0.25">
      <c r="A18" s="300" t="s">
        <v>526</v>
      </c>
      <c r="B18" s="300"/>
      <c r="C18" s="65" t="s">
        <v>540</v>
      </c>
      <c r="D18" s="97">
        <v>1</v>
      </c>
      <c r="E18" s="97">
        <v>2</v>
      </c>
      <c r="F18" s="97">
        <v>3</v>
      </c>
      <c r="G18" s="97">
        <v>4</v>
      </c>
      <c r="H18" s="97">
        <v>5</v>
      </c>
      <c r="I18" s="96">
        <v>6</v>
      </c>
      <c r="J18" s="80"/>
    </row>
    <row r="19" spans="1:10" s="26" customFormat="1" x14ac:dyDescent="0.25">
      <c r="A19" s="99" t="s">
        <v>527</v>
      </c>
      <c r="B19" s="94"/>
      <c r="C19" s="89">
        <f>B2</f>
        <v>282416209.2833333</v>
      </c>
      <c r="D19" s="89">
        <f>C19*(1+$D$17)</f>
        <v>310657830.21166664</v>
      </c>
      <c r="E19" s="89">
        <f>D19*(1+$D$17)</f>
        <v>341723613.23283333</v>
      </c>
      <c r="F19" s="89">
        <f>E19*(1+$D$17)</f>
        <v>375895974.5561167</v>
      </c>
      <c r="G19" s="89">
        <f>F19*(1+$D$17)</f>
        <v>413485572.01172841</v>
      </c>
      <c r="H19" s="89">
        <f>G19*(1+$D$17)</f>
        <v>454834129.21290129</v>
      </c>
      <c r="I19" s="89">
        <f>H19*(1+I17)</f>
        <v>473027494.38141733</v>
      </c>
      <c r="J19" s="76"/>
    </row>
    <row r="20" spans="1:10" s="26" customFormat="1" x14ac:dyDescent="0.25">
      <c r="A20" s="99" t="s">
        <v>528</v>
      </c>
      <c r="B20" s="95">
        <f>B4</f>
        <v>7.7241970481989927E-2</v>
      </c>
      <c r="C20" s="89"/>
      <c r="D20" s="89">
        <f t="shared" ref="D20:I20" si="0">(1+$B$20)^D18</f>
        <v>1.07724197048199</v>
      </c>
      <c r="E20" s="89">
        <f t="shared" si="0"/>
        <v>1.1604502629679205</v>
      </c>
      <c r="F20" s="89">
        <f t="shared" si="0"/>
        <v>1.2500857279259061</v>
      </c>
      <c r="G20" s="89">
        <f t="shared" si="0"/>
        <v>1.3466448128223159</v>
      </c>
      <c r="H20" s="89">
        <f t="shared" si="0"/>
        <v>1.450662311704062</v>
      </c>
      <c r="I20" s="89">
        <f t="shared" si="0"/>
        <v>1.5627143271640425</v>
      </c>
      <c r="J20" s="76"/>
    </row>
    <row r="21" spans="1:10" s="26" customFormat="1" x14ac:dyDescent="0.25">
      <c r="A21" s="301" t="s">
        <v>529</v>
      </c>
      <c r="B21" s="301"/>
      <c r="C21" s="89"/>
      <c r="D21" s="89">
        <f>D19/D20</f>
        <v>288382590.65664619</v>
      </c>
      <c r="E21" s="89">
        <f>E19/E20</f>
        <v>294475018.99724239</v>
      </c>
      <c r="F21" s="89">
        <f>F19/F20</f>
        <v>300696157.19858569</v>
      </c>
      <c r="G21" s="89">
        <f>G19/G20</f>
        <v>307048724.41096026</v>
      </c>
      <c r="H21" s="89">
        <f>H19/H20</f>
        <v>313535497.22996342</v>
      </c>
      <c r="I21" s="89">
        <f>I19/((B20-I17)*I20)</f>
        <v>8127821161.2336254</v>
      </c>
      <c r="J21" s="76"/>
    </row>
    <row r="22" spans="1:10" s="26" customFormat="1" x14ac:dyDescent="0.25">
      <c r="A22" s="301" t="s">
        <v>547</v>
      </c>
      <c r="B22" s="301"/>
      <c r="C22" s="89"/>
      <c r="D22" s="297">
        <f>SUM(D21:H21)</f>
        <v>1504137988.4933977</v>
      </c>
      <c r="E22" s="298"/>
      <c r="F22" s="298"/>
      <c r="G22" s="298"/>
      <c r="H22" s="299"/>
      <c r="I22" s="89">
        <f>I21</f>
        <v>8127821161.2336254</v>
      </c>
      <c r="J22" s="76"/>
    </row>
    <row r="23" spans="1:10" x14ac:dyDescent="0.25">
      <c r="A23" s="92" t="s">
        <v>530</v>
      </c>
      <c r="B23" s="76">
        <f>D22+I22</f>
        <v>9631959149.7270241</v>
      </c>
      <c r="C23" s="77"/>
      <c r="D23" s="77"/>
      <c r="E23" s="77"/>
      <c r="F23" s="77"/>
      <c r="G23" s="77"/>
      <c r="H23" s="77"/>
      <c r="I23" s="79"/>
      <c r="J23" s="77"/>
    </row>
    <row r="24" spans="1:10" x14ac:dyDescent="0.25">
      <c r="A24" s="92" t="s">
        <v>531</v>
      </c>
      <c r="B24" s="76">
        <f>B23</f>
        <v>9631959149.7270241</v>
      </c>
      <c r="C24" s="77"/>
      <c r="D24" s="77"/>
      <c r="E24" s="77"/>
      <c r="F24" s="77"/>
      <c r="G24" s="77"/>
      <c r="H24" s="77"/>
      <c r="I24" s="79"/>
      <c r="J24" s="77"/>
    </row>
    <row r="25" spans="1:10" x14ac:dyDescent="0.25">
      <c r="A25" s="70" t="s">
        <v>532</v>
      </c>
      <c r="B25" s="71">
        <f>资产资本表!E17</f>
        <v>733176594.04999995</v>
      </c>
      <c r="C25" s="77"/>
      <c r="D25" s="77"/>
      <c r="E25" s="77"/>
      <c r="F25" s="77"/>
      <c r="G25" s="77"/>
      <c r="H25" s="77"/>
      <c r="I25" s="79"/>
      <c r="J25" s="77"/>
    </row>
    <row r="26" spans="1:10" x14ac:dyDescent="0.25">
      <c r="A26" s="70" t="s">
        <v>533</v>
      </c>
      <c r="B26" s="71">
        <f>资产资本表!E19</f>
        <v>2681764.62</v>
      </c>
      <c r="C26" s="77"/>
      <c r="D26" s="77"/>
      <c r="E26" s="77"/>
      <c r="F26" s="77"/>
      <c r="G26" s="77"/>
      <c r="H26" s="77"/>
      <c r="I26" s="79"/>
      <c r="J26" s="77"/>
    </row>
    <row r="27" spans="1:10" x14ac:dyDescent="0.25">
      <c r="A27" s="70" t="s">
        <v>534</v>
      </c>
      <c r="B27" s="71">
        <f>资产资本表!E89</f>
        <v>253403062.44</v>
      </c>
      <c r="C27" s="77"/>
      <c r="D27" s="77"/>
      <c r="E27" s="77"/>
      <c r="F27" s="77"/>
      <c r="G27" s="77"/>
      <c r="H27" s="77"/>
      <c r="I27" s="79"/>
      <c r="J27" s="77"/>
    </row>
    <row r="28" spans="1:10" s="2" customFormat="1" x14ac:dyDescent="0.25">
      <c r="A28" s="82" t="s">
        <v>535</v>
      </c>
      <c r="B28" s="83">
        <f>B24+B25+B26-B27</f>
        <v>10114414445.957024</v>
      </c>
      <c r="C28" s="80"/>
      <c r="D28" s="80"/>
      <c r="E28" s="80"/>
      <c r="F28" s="80"/>
      <c r="G28" s="80"/>
      <c r="H28" s="80"/>
      <c r="I28" s="81"/>
      <c r="J28" s="80"/>
    </row>
    <row r="29" spans="1:10" x14ac:dyDescent="0.25">
      <c r="A29" s="70" t="s">
        <v>536</v>
      </c>
      <c r="B29" s="78">
        <f>资产资本表!E103/资产资本表!E107</f>
        <v>4.6852833219748313E-2</v>
      </c>
      <c r="C29" s="302" t="s">
        <v>543</v>
      </c>
      <c r="D29" s="302"/>
      <c r="E29" s="302"/>
      <c r="F29" s="77"/>
      <c r="G29" s="77"/>
      <c r="H29" s="77"/>
      <c r="I29" s="79"/>
      <c r="J29" s="77"/>
    </row>
    <row r="30" spans="1:10" s="2" customFormat="1" x14ac:dyDescent="0.25">
      <c r="A30" s="82" t="s">
        <v>537</v>
      </c>
      <c r="B30" s="83">
        <f>B28*(1-B29)</f>
        <v>9640525472.8051853</v>
      </c>
      <c r="C30" s="91">
        <v>0.4</v>
      </c>
      <c r="D30" s="91">
        <v>0.3</v>
      </c>
      <c r="E30" s="91">
        <v>0.2</v>
      </c>
      <c r="F30" s="80"/>
      <c r="G30" s="80"/>
      <c r="H30" s="80"/>
      <c r="I30" s="81"/>
      <c r="J30" s="80"/>
    </row>
    <row r="31" spans="1:10" x14ac:dyDescent="0.25">
      <c r="A31" s="70" t="s">
        <v>747</v>
      </c>
      <c r="B31" s="101">
        <f>B55</f>
        <v>744729147</v>
      </c>
      <c r="C31" s="215">
        <f>$B$32*(1-C30)</f>
        <v>7.7670053696489889</v>
      </c>
      <c r="D31" s="215">
        <f>$B$32*(1-D30)</f>
        <v>9.061506264590486</v>
      </c>
      <c r="E31" s="215">
        <f>$B$32*(1-E30)</f>
        <v>10.356007159531986</v>
      </c>
      <c r="F31" s="77"/>
      <c r="G31" s="77"/>
      <c r="H31" s="77"/>
      <c r="I31" s="79"/>
      <c r="J31" s="77"/>
    </row>
    <row r="32" spans="1:10" s="2" customFormat="1" ht="15" thickBot="1" x14ac:dyDescent="0.3">
      <c r="A32" s="84" t="s">
        <v>538</v>
      </c>
      <c r="B32" s="85">
        <f>B30/B31</f>
        <v>12.945008949414982</v>
      </c>
      <c r="C32" s="86"/>
      <c r="D32" s="86"/>
      <c r="E32" s="86"/>
      <c r="F32" s="86"/>
      <c r="G32" s="86"/>
      <c r="H32" s="86"/>
      <c r="I32" s="87"/>
      <c r="J32" s="80"/>
    </row>
    <row r="33" spans="1:19" ht="63" customHeight="1" x14ac:dyDescent="0.25">
      <c r="A33" s="303" t="s">
        <v>739</v>
      </c>
      <c r="B33" s="304"/>
      <c r="C33" s="304"/>
      <c r="D33" s="304"/>
      <c r="E33" s="304"/>
      <c r="F33" s="304"/>
      <c r="G33" s="304"/>
      <c r="H33" s="304"/>
      <c r="I33" s="304"/>
    </row>
    <row r="37" spans="1:19" s="63" customFormat="1" x14ac:dyDescent="0.25">
      <c r="A37" s="204"/>
      <c r="B37" s="204"/>
      <c r="C37" s="214" t="s">
        <v>541</v>
      </c>
      <c r="D37" s="214">
        <v>0.15</v>
      </c>
      <c r="E37" s="214"/>
      <c r="F37" s="214"/>
      <c r="G37" s="214"/>
      <c r="H37" s="214" t="s">
        <v>636</v>
      </c>
      <c r="I37" s="214">
        <v>0.09</v>
      </c>
      <c r="J37" s="214"/>
      <c r="K37" s="214"/>
      <c r="L37" s="214"/>
      <c r="M37" s="214"/>
      <c r="N37" s="214"/>
      <c r="O37" s="214"/>
      <c r="P37" s="214"/>
      <c r="Q37" s="214"/>
      <c r="R37" s="214" t="s">
        <v>546</v>
      </c>
      <c r="S37" s="214">
        <v>0.02</v>
      </c>
    </row>
    <row r="38" spans="1:19" s="24" customFormat="1" x14ac:dyDescent="0.25">
      <c r="A38" s="311" t="s">
        <v>544</v>
      </c>
      <c r="B38" s="312"/>
      <c r="C38" s="216" t="s">
        <v>540</v>
      </c>
      <c r="D38" s="217">
        <v>1</v>
      </c>
      <c r="E38" s="217">
        <v>2</v>
      </c>
      <c r="F38" s="217">
        <v>3</v>
      </c>
      <c r="G38" s="217">
        <v>4</v>
      </c>
      <c r="H38" s="217">
        <v>5</v>
      </c>
      <c r="I38" s="218">
        <v>6</v>
      </c>
      <c r="J38" s="218">
        <v>7</v>
      </c>
      <c r="K38" s="218">
        <v>8</v>
      </c>
      <c r="L38" s="218">
        <v>9</v>
      </c>
      <c r="M38" s="218">
        <v>10</v>
      </c>
      <c r="N38" s="218">
        <v>11</v>
      </c>
      <c r="O38" s="218">
        <v>12</v>
      </c>
      <c r="P38" s="218">
        <v>13</v>
      </c>
      <c r="Q38" s="218">
        <v>14</v>
      </c>
      <c r="R38" s="218">
        <v>15</v>
      </c>
      <c r="S38" s="219">
        <v>16</v>
      </c>
    </row>
    <row r="39" spans="1:19" s="193" customFormat="1" x14ac:dyDescent="0.25">
      <c r="A39" s="99" t="s">
        <v>527</v>
      </c>
      <c r="B39" s="94"/>
      <c r="C39" s="89">
        <f>B2</f>
        <v>282416209.2833333</v>
      </c>
      <c r="D39" s="89">
        <f>$C$39*(1+$D$37)^D38</f>
        <v>324778640.67583328</v>
      </c>
      <c r="E39" s="89">
        <f>$C$39*(1+$D$37)^E38</f>
        <v>373495436.77720821</v>
      </c>
      <c r="F39" s="89">
        <f>$C$39*(1+$D$37)^F38</f>
        <v>429519752.29378939</v>
      </c>
      <c r="G39" s="89">
        <f>$C$39*(1+$D$37)^G38</f>
        <v>493947715.13785779</v>
      </c>
      <c r="H39" s="89">
        <f>$C$39*(1+$D$37)^H38</f>
        <v>568039872.40853643</v>
      </c>
      <c r="I39" s="89">
        <f>H39*(1+$I$37)</f>
        <v>619163460.92530477</v>
      </c>
      <c r="J39" s="89">
        <f t="shared" ref="J39:N39" si="1">I39*(1+$I$37)</f>
        <v>674888172.40858221</v>
      </c>
      <c r="K39" s="89">
        <f t="shared" si="1"/>
        <v>735628107.92535472</v>
      </c>
      <c r="L39" s="89">
        <f t="shared" si="1"/>
        <v>801834637.63863671</v>
      </c>
      <c r="M39" s="89">
        <f t="shared" si="1"/>
        <v>873999755.02611411</v>
      </c>
      <c r="N39" s="89">
        <f t="shared" si="1"/>
        <v>952659732.97846448</v>
      </c>
      <c r="O39" s="89">
        <f t="shared" ref="O39" si="2">N39*(1+$I$37)</f>
        <v>1038399108.9465264</v>
      </c>
      <c r="P39" s="89">
        <f t="shared" ref="P39" si="3">O39*(1+$I$37)</f>
        <v>1131855028.7517138</v>
      </c>
      <c r="Q39" s="89">
        <f t="shared" ref="Q39" si="4">P39*(1+$I$37)</f>
        <v>1233721981.3393681</v>
      </c>
      <c r="R39" s="89">
        <f t="shared" ref="R39" si="5">Q39*(1+$I$37)</f>
        <v>1344756959.6599114</v>
      </c>
      <c r="S39" s="89">
        <f>R39*(1+S37)</f>
        <v>1371652098.8531096</v>
      </c>
    </row>
    <row r="40" spans="1:19" s="23" customFormat="1" x14ac:dyDescent="0.25">
      <c r="A40" s="210" t="s">
        <v>528</v>
      </c>
      <c r="B40" s="209">
        <f>B4</f>
        <v>7.7241970481989927E-2</v>
      </c>
      <c r="C40" s="215"/>
      <c r="D40" s="215">
        <f>(1+$B$40)^D38</f>
        <v>1.07724197048199</v>
      </c>
      <c r="E40" s="215">
        <f t="shared" ref="E40:R40" si="6">(1+$B$40)^E38</f>
        <v>1.1604502629679205</v>
      </c>
      <c r="F40" s="215">
        <f t="shared" si="6"/>
        <v>1.2500857279259061</v>
      </c>
      <c r="G40" s="215">
        <f t="shared" si="6"/>
        <v>1.3466448128223159</v>
      </c>
      <c r="H40" s="215">
        <f t="shared" si="6"/>
        <v>1.450662311704062</v>
      </c>
      <c r="I40" s="215">
        <f t="shared" si="6"/>
        <v>1.5627143271640425</v>
      </c>
      <c r="J40" s="215">
        <f t="shared" si="6"/>
        <v>1.6834214610946303</v>
      </c>
      <c r="K40" s="215">
        <f t="shared" si="6"/>
        <v>1.8134522519012501</v>
      </c>
      <c r="L40" s="215">
        <f t="shared" si="6"/>
        <v>1.9535268772131047</v>
      </c>
      <c r="M40" s="215">
        <f t="shared" si="6"/>
        <v>2.1044211425985733</v>
      </c>
      <c r="N40" s="215">
        <f t="shared" si="6"/>
        <v>2.266970778376848</v>
      </c>
      <c r="O40" s="215">
        <f t="shared" si="6"/>
        <v>2.4420760683237663</v>
      </c>
      <c r="P40" s="215">
        <f t="shared" si="6"/>
        <v>2.6307068359080046</v>
      </c>
      <c r="Q40" s="215">
        <f t="shared" si="6"/>
        <v>2.8339078156739799</v>
      </c>
      <c r="R40" s="215">
        <f t="shared" si="6"/>
        <v>3.0528044395209499</v>
      </c>
      <c r="S40" s="183">
        <f>(1+$B$40)^S38</f>
        <v>3.2886090699257151</v>
      </c>
    </row>
    <row r="41" spans="1:19" s="193" customFormat="1" x14ac:dyDescent="0.25">
      <c r="A41" s="313" t="s">
        <v>529</v>
      </c>
      <c r="B41" s="314"/>
      <c r="C41" s="89"/>
      <c r="D41" s="89">
        <f t="shared" ref="D41:R41" si="7">D39/D40</f>
        <v>301490890.23194826</v>
      </c>
      <c r="E41" s="89">
        <f t="shared" si="7"/>
        <v>321853894.73045695</v>
      </c>
      <c r="F41" s="89">
        <f t="shared" si="7"/>
        <v>343592237.47513056</v>
      </c>
      <c r="G41" s="89">
        <f t="shared" si="7"/>
        <v>366798810.22423106</v>
      </c>
      <c r="H41" s="89">
        <f t="shared" si="7"/>
        <v>391572778.74081677</v>
      </c>
      <c r="I41" s="89">
        <f t="shared" si="7"/>
        <v>396210267.07353497</v>
      </c>
      <c r="J41" s="89">
        <f t="shared" si="7"/>
        <v>400902678.26913768</v>
      </c>
      <c r="K41" s="89">
        <f t="shared" si="7"/>
        <v>405650662.79198217</v>
      </c>
      <c r="L41" s="89">
        <f t="shared" si="7"/>
        <v>410454878.81002766</v>
      </c>
      <c r="M41" s="89">
        <f t="shared" si="7"/>
        <v>415315992.28607118</v>
      </c>
      <c r="N41" s="89">
        <f t="shared" si="7"/>
        <v>420234677.07006317</v>
      </c>
      <c r="O41" s="89">
        <f t="shared" si="7"/>
        <v>425211614.99251759</v>
      </c>
      <c r="P41" s="89">
        <f t="shared" si="7"/>
        <v>430247495.95902693</v>
      </c>
      <c r="Q41" s="89">
        <f t="shared" si="7"/>
        <v>435343018.04589778</v>
      </c>
      <c r="R41" s="89">
        <f t="shared" si="7"/>
        <v>440498887.59691805</v>
      </c>
      <c r="S41" s="89">
        <f>S39/((B40-S37)*S40)</f>
        <v>7286469422.8681345</v>
      </c>
    </row>
    <row r="42" spans="1:19" s="23" customFormat="1" x14ac:dyDescent="0.25">
      <c r="A42" s="315" t="s">
        <v>547</v>
      </c>
      <c r="B42" s="316"/>
      <c r="C42" s="215"/>
      <c r="D42" s="308">
        <f>SUM(D41:H41)</f>
        <v>1725308611.4025836</v>
      </c>
      <c r="E42" s="309"/>
      <c r="F42" s="309"/>
      <c r="G42" s="309"/>
      <c r="H42" s="310"/>
      <c r="I42" s="308">
        <f>SUM(I41:R41)</f>
        <v>4180070172.8951769</v>
      </c>
      <c r="J42" s="309"/>
      <c r="K42" s="309"/>
      <c r="L42" s="309"/>
      <c r="M42" s="309"/>
      <c r="N42" s="309"/>
      <c r="O42" s="309"/>
      <c r="P42" s="309"/>
      <c r="Q42" s="309"/>
      <c r="R42" s="310"/>
      <c r="S42" s="215">
        <f>S41</f>
        <v>7286469422.8681345</v>
      </c>
    </row>
    <row r="43" spans="1:19" x14ac:dyDescent="0.25">
      <c r="A43" s="206" t="s">
        <v>545</v>
      </c>
      <c r="B43" s="197">
        <f>D42+I42+S42</f>
        <v>13191848207.165894</v>
      </c>
      <c r="C43" s="198"/>
      <c r="D43" s="198"/>
      <c r="E43" s="198"/>
      <c r="F43" s="198"/>
      <c r="G43" s="198"/>
      <c r="H43" s="198"/>
      <c r="I43" s="198"/>
      <c r="J43" s="198"/>
      <c r="K43" s="198"/>
      <c r="L43" s="198"/>
      <c r="M43" s="198"/>
      <c r="N43" s="198"/>
      <c r="O43" s="198"/>
      <c r="P43" s="198"/>
      <c r="Q43" s="198"/>
      <c r="R43" s="198"/>
      <c r="S43" s="200"/>
    </row>
    <row r="44" spans="1:19" x14ac:dyDescent="0.25">
      <c r="A44" s="206" t="s">
        <v>531</v>
      </c>
      <c r="B44" s="197">
        <f>B43</f>
        <v>13191848207.165894</v>
      </c>
      <c r="C44" s="198"/>
      <c r="D44" s="198"/>
      <c r="E44" s="198"/>
      <c r="F44" s="198"/>
      <c r="G44" s="198"/>
      <c r="H44" s="198"/>
      <c r="I44" s="198"/>
      <c r="J44" s="198"/>
      <c r="K44" s="198"/>
      <c r="L44" s="198"/>
      <c r="M44" s="198"/>
      <c r="N44" s="198"/>
      <c r="O44" s="198"/>
      <c r="P44" s="198"/>
      <c r="Q44" s="198"/>
      <c r="R44" s="198"/>
      <c r="S44" s="200"/>
    </row>
    <row r="45" spans="1:19" x14ac:dyDescent="0.25">
      <c r="A45" s="196" t="s">
        <v>532</v>
      </c>
      <c r="B45" s="197">
        <f>资产资本表!E17</f>
        <v>733176594.04999995</v>
      </c>
      <c r="C45" s="198"/>
      <c r="D45" s="198"/>
      <c r="E45" s="198"/>
      <c r="F45" s="198"/>
      <c r="G45" s="198"/>
      <c r="H45" s="198"/>
      <c r="I45" s="198"/>
      <c r="J45" s="198"/>
      <c r="K45" s="198"/>
      <c r="L45" s="198"/>
      <c r="M45" s="198"/>
      <c r="N45" s="198"/>
      <c r="O45" s="198"/>
      <c r="P45" s="198"/>
      <c r="Q45" s="198"/>
      <c r="R45" s="198"/>
      <c r="S45" s="200"/>
    </row>
    <row r="46" spans="1:19" x14ac:dyDescent="0.25">
      <c r="A46" s="196" t="s">
        <v>533</v>
      </c>
      <c r="B46" s="197">
        <f>资产资本表!E19</f>
        <v>2681764.62</v>
      </c>
      <c r="C46" s="198"/>
      <c r="D46" s="198"/>
      <c r="E46" s="198"/>
      <c r="F46" s="198"/>
      <c r="G46" s="198"/>
      <c r="H46" s="198"/>
      <c r="I46" s="198"/>
      <c r="J46" s="198"/>
      <c r="K46" s="198"/>
      <c r="L46" s="198"/>
      <c r="M46" s="198"/>
      <c r="N46" s="198"/>
      <c r="O46" s="198"/>
      <c r="P46" s="198"/>
      <c r="Q46" s="198"/>
      <c r="R46" s="198"/>
      <c r="S46" s="200"/>
    </row>
    <row r="47" spans="1:19" x14ac:dyDescent="0.25">
      <c r="A47" s="196" t="s">
        <v>534</v>
      </c>
      <c r="B47" s="197">
        <f>资产资本表!E89</f>
        <v>253403062.44</v>
      </c>
      <c r="C47" s="198"/>
      <c r="D47" s="198"/>
      <c r="E47" s="198"/>
      <c r="F47" s="198"/>
      <c r="G47" s="198"/>
      <c r="H47" s="198"/>
      <c r="I47" s="198"/>
      <c r="J47" s="198"/>
      <c r="K47" s="198"/>
      <c r="L47" s="198"/>
      <c r="M47" s="198"/>
      <c r="N47" s="198"/>
      <c r="O47" s="198"/>
      <c r="P47" s="198"/>
      <c r="Q47" s="198"/>
      <c r="R47" s="198"/>
      <c r="S47" s="200"/>
    </row>
    <row r="48" spans="1:19" x14ac:dyDescent="0.25">
      <c r="A48" s="201" t="s">
        <v>535</v>
      </c>
      <c r="B48" s="197">
        <f>B44+B45+B46-B47</f>
        <v>13674303503.395893</v>
      </c>
      <c r="C48" s="198"/>
      <c r="D48" s="198"/>
      <c r="E48" s="198"/>
      <c r="F48" s="198"/>
      <c r="G48" s="198"/>
      <c r="H48" s="198"/>
      <c r="I48" s="198"/>
      <c r="J48" s="198"/>
      <c r="K48" s="198"/>
      <c r="L48" s="198"/>
      <c r="M48" s="198"/>
      <c r="N48" s="198"/>
      <c r="O48" s="198"/>
      <c r="P48" s="198"/>
      <c r="Q48" s="198"/>
      <c r="R48" s="198"/>
      <c r="S48" s="200"/>
    </row>
    <row r="49" spans="1:74" x14ac:dyDescent="0.25">
      <c r="A49" s="196" t="s">
        <v>536</v>
      </c>
      <c r="B49" s="199">
        <f>资产资本表!E103/资产资本表!E107</f>
        <v>4.6852833219748313E-2</v>
      </c>
      <c r="C49" s="198"/>
      <c r="D49" s="198"/>
      <c r="E49" s="198"/>
      <c r="F49" s="198"/>
      <c r="G49" s="198"/>
      <c r="H49" s="198"/>
      <c r="I49" s="198"/>
      <c r="J49" s="198"/>
      <c r="K49" s="198"/>
      <c r="L49" s="198"/>
      <c r="M49" s="198"/>
      <c r="N49" s="198"/>
      <c r="O49" s="198"/>
      <c r="P49" s="198"/>
      <c r="Q49" s="198"/>
      <c r="R49" s="198"/>
      <c r="S49" s="200"/>
      <c r="T49" s="190"/>
      <c r="U49" s="190"/>
      <c r="V49" s="190"/>
      <c r="W49" s="190"/>
      <c r="X49" s="190"/>
      <c r="Y49" s="190"/>
      <c r="Z49" s="190"/>
      <c r="AA49" s="190"/>
      <c r="AB49" s="190"/>
      <c r="AC49" s="190"/>
      <c r="AD49" s="190"/>
      <c r="AE49" s="190"/>
      <c r="AF49" s="190"/>
      <c r="AG49" s="190"/>
      <c r="AH49" s="190"/>
      <c r="AI49" s="190"/>
      <c r="AJ49" s="190"/>
      <c r="AK49" s="190"/>
      <c r="AL49" s="190"/>
      <c r="AM49" s="190"/>
      <c r="AN49" s="190"/>
      <c r="AO49" s="190"/>
      <c r="AP49" s="190"/>
      <c r="AQ49" s="190"/>
      <c r="AR49" s="190"/>
      <c r="AS49" s="190"/>
      <c r="AT49" s="190"/>
      <c r="AU49" s="190"/>
      <c r="AV49" s="190"/>
      <c r="AW49" s="190"/>
      <c r="AX49" s="190"/>
      <c r="AY49" s="190"/>
      <c r="AZ49" s="190"/>
      <c r="BA49" s="190"/>
      <c r="BB49" s="190"/>
      <c r="BC49" s="190"/>
      <c r="BD49" s="190"/>
      <c r="BE49" s="190"/>
      <c r="BF49" s="190"/>
      <c r="BG49" s="190"/>
      <c r="BH49" s="190"/>
      <c r="BI49" s="190"/>
      <c r="BJ49" s="190"/>
      <c r="BK49" s="190"/>
      <c r="BL49" s="190"/>
      <c r="BM49" s="190"/>
      <c r="BN49" s="190"/>
      <c r="BO49" s="190"/>
      <c r="BP49" s="190"/>
      <c r="BQ49" s="190"/>
      <c r="BR49" s="190"/>
      <c r="BS49" s="190"/>
      <c r="BT49" s="190"/>
      <c r="BU49" s="190"/>
      <c r="BV49" s="190"/>
    </row>
    <row r="50" spans="1:74" x14ac:dyDescent="0.25">
      <c r="A50" s="201" t="s">
        <v>537</v>
      </c>
      <c r="B50" s="197">
        <f>B48*(1-B49)</f>
        <v>13033623641.955065</v>
      </c>
      <c r="C50" s="305" t="s">
        <v>543</v>
      </c>
      <c r="D50" s="306"/>
      <c r="E50" s="307"/>
      <c r="F50" s="198"/>
      <c r="G50" s="198"/>
      <c r="H50" s="198"/>
      <c r="I50" s="198"/>
      <c r="J50" s="198"/>
      <c r="K50" s="198"/>
      <c r="L50" s="198"/>
      <c r="M50" s="198"/>
      <c r="N50" s="198"/>
      <c r="O50" s="198"/>
      <c r="P50" s="198"/>
      <c r="Q50" s="198"/>
      <c r="R50" s="198"/>
      <c r="S50" s="200"/>
      <c r="T50" s="190"/>
      <c r="U50" s="190"/>
      <c r="V50" s="190"/>
      <c r="W50" s="190"/>
      <c r="X50" s="190"/>
      <c r="Y50" s="190"/>
      <c r="Z50" s="190"/>
      <c r="AA50" s="190"/>
      <c r="AB50" s="190"/>
      <c r="AC50" s="190"/>
      <c r="AD50" s="190"/>
      <c r="AE50" s="190"/>
      <c r="AF50" s="190"/>
      <c r="AG50" s="190"/>
      <c r="AH50" s="190"/>
      <c r="AI50" s="190"/>
      <c r="AJ50" s="190"/>
      <c r="AK50" s="190"/>
      <c r="AL50" s="190"/>
      <c r="AM50" s="190"/>
      <c r="AN50" s="190"/>
      <c r="AO50" s="190"/>
      <c r="AP50" s="190"/>
      <c r="AQ50" s="190"/>
      <c r="AR50" s="190"/>
      <c r="AS50" s="190"/>
      <c r="AT50" s="190"/>
      <c r="AU50" s="190"/>
      <c r="AV50" s="190"/>
      <c r="AW50" s="190"/>
      <c r="AX50" s="190"/>
      <c r="AY50" s="190"/>
      <c r="AZ50" s="190"/>
      <c r="BA50" s="190"/>
      <c r="BB50" s="190"/>
      <c r="BC50" s="190"/>
      <c r="BD50" s="190"/>
      <c r="BE50" s="190"/>
      <c r="BF50" s="190"/>
      <c r="BG50" s="190"/>
      <c r="BH50" s="190"/>
      <c r="BI50" s="190"/>
      <c r="BJ50" s="190"/>
      <c r="BK50" s="190"/>
      <c r="BL50" s="190"/>
      <c r="BM50" s="190"/>
      <c r="BN50" s="190"/>
      <c r="BO50" s="190"/>
      <c r="BP50" s="190"/>
      <c r="BQ50" s="190"/>
      <c r="BR50" s="190"/>
      <c r="BS50" s="190"/>
      <c r="BT50" s="190"/>
      <c r="BU50" s="190"/>
      <c r="BV50" s="190"/>
    </row>
    <row r="51" spans="1:74" x14ac:dyDescent="0.25">
      <c r="A51" s="196" t="s">
        <v>539</v>
      </c>
      <c r="B51" s="211">
        <f>B55</f>
        <v>744729147</v>
      </c>
      <c r="C51" s="205">
        <v>0.4</v>
      </c>
      <c r="D51" s="205">
        <v>0.3</v>
      </c>
      <c r="E51" s="205">
        <v>0.2</v>
      </c>
      <c r="F51" s="198"/>
      <c r="G51" s="198"/>
      <c r="H51" s="198"/>
      <c r="I51" s="198"/>
      <c r="J51" s="198"/>
      <c r="K51" s="198"/>
      <c r="L51" s="198"/>
      <c r="M51" s="198"/>
      <c r="N51" s="198"/>
      <c r="O51" s="198"/>
      <c r="P51" s="198"/>
      <c r="Q51" s="198"/>
      <c r="R51" s="198"/>
      <c r="S51" s="200"/>
      <c r="T51" s="190"/>
      <c r="U51" s="190"/>
      <c r="V51" s="190"/>
      <c r="W51" s="190"/>
      <c r="X51" s="190"/>
      <c r="Y51" s="190"/>
      <c r="Z51" s="190"/>
      <c r="AA51" s="190"/>
      <c r="AB51" s="190"/>
      <c r="AC51" s="190"/>
      <c r="AD51" s="190"/>
      <c r="AE51" s="190"/>
      <c r="AF51" s="190"/>
      <c r="AG51" s="190"/>
      <c r="AH51" s="190"/>
      <c r="AI51" s="190"/>
      <c r="AJ51" s="190"/>
      <c r="AK51" s="190"/>
      <c r="AL51" s="190"/>
      <c r="AM51" s="190"/>
      <c r="AN51" s="190"/>
      <c r="AO51" s="190"/>
      <c r="AP51" s="190"/>
      <c r="AQ51" s="190"/>
      <c r="AR51" s="190"/>
      <c r="AS51" s="190"/>
      <c r="AT51" s="190"/>
      <c r="AU51" s="190"/>
      <c r="AV51" s="190"/>
      <c r="AW51" s="190"/>
      <c r="AX51" s="190"/>
      <c r="AY51" s="190"/>
      <c r="AZ51" s="190"/>
      <c r="BA51" s="190"/>
      <c r="BB51" s="190"/>
      <c r="BC51" s="190"/>
      <c r="BD51" s="190"/>
      <c r="BE51" s="190"/>
      <c r="BF51" s="190"/>
      <c r="BG51" s="190"/>
      <c r="BH51" s="190"/>
      <c r="BI51" s="190"/>
      <c r="BJ51" s="190"/>
      <c r="BK51" s="190"/>
      <c r="BL51" s="190"/>
      <c r="BM51" s="190"/>
      <c r="BN51" s="190"/>
      <c r="BO51" s="190"/>
      <c r="BP51" s="190"/>
      <c r="BQ51" s="190"/>
      <c r="BR51" s="190"/>
      <c r="BS51" s="190"/>
      <c r="BT51" s="190"/>
      <c r="BU51" s="190"/>
      <c r="BV51" s="190"/>
    </row>
    <row r="52" spans="1:74" ht="15" thickBot="1" x14ac:dyDescent="0.3">
      <c r="A52" s="202" t="s">
        <v>538</v>
      </c>
      <c r="B52" s="207">
        <f>B50/B51</f>
        <v>17.501159575207367</v>
      </c>
      <c r="C52" s="208">
        <f>$B$52*(1-C51)</f>
        <v>10.500695745124419</v>
      </c>
      <c r="D52" s="208">
        <f>$B$52*(1-D51)</f>
        <v>12.250811702645157</v>
      </c>
      <c r="E52" s="208">
        <f>$B$52*(1-E51)</f>
        <v>14.000927660165894</v>
      </c>
      <c r="F52" s="194"/>
      <c r="G52" s="194"/>
      <c r="H52" s="194"/>
      <c r="I52" s="194"/>
      <c r="J52" s="194"/>
      <c r="K52" s="194"/>
      <c r="L52" s="194"/>
      <c r="M52" s="194"/>
      <c r="N52" s="194"/>
      <c r="O52" s="194"/>
      <c r="P52" s="194"/>
      <c r="Q52" s="194"/>
      <c r="R52" s="194"/>
      <c r="S52" s="203"/>
      <c r="T52" s="190"/>
      <c r="U52" s="190"/>
      <c r="V52" s="190"/>
      <c r="W52" s="190"/>
      <c r="X52" s="190"/>
      <c r="Y52" s="190"/>
      <c r="Z52" s="190"/>
      <c r="AA52" s="190"/>
      <c r="AB52" s="190"/>
      <c r="AC52" s="190"/>
      <c r="AD52" s="190"/>
      <c r="AE52" s="190"/>
      <c r="AF52" s="190"/>
      <c r="AG52" s="190"/>
      <c r="AH52" s="190"/>
      <c r="AI52" s="190"/>
      <c r="AJ52" s="190"/>
      <c r="AK52" s="190"/>
      <c r="AL52" s="190"/>
      <c r="AM52" s="190"/>
      <c r="AN52" s="190"/>
      <c r="AO52" s="190"/>
      <c r="AP52" s="190"/>
      <c r="AQ52" s="190"/>
      <c r="AR52" s="190"/>
      <c r="AS52" s="190"/>
      <c r="AT52" s="190"/>
      <c r="AU52" s="190"/>
      <c r="AV52" s="190"/>
      <c r="AW52" s="190"/>
      <c r="AX52" s="190"/>
      <c r="AY52" s="190"/>
      <c r="AZ52" s="190"/>
      <c r="BA52" s="190"/>
      <c r="BB52" s="190"/>
      <c r="BC52" s="190"/>
      <c r="BD52" s="190"/>
      <c r="BE52" s="190"/>
      <c r="BF52" s="190"/>
      <c r="BG52" s="190"/>
      <c r="BH52" s="190"/>
      <c r="BI52" s="190"/>
      <c r="BJ52" s="190"/>
      <c r="BK52" s="190"/>
      <c r="BL52" s="190"/>
      <c r="BM52" s="190"/>
      <c r="BN52" s="190"/>
      <c r="BO52" s="190"/>
      <c r="BP52" s="190"/>
      <c r="BQ52" s="190"/>
      <c r="BR52" s="190"/>
      <c r="BS52" s="190"/>
      <c r="BT52" s="190"/>
      <c r="BU52" s="190"/>
      <c r="BV52" s="190"/>
    </row>
    <row r="53" spans="1:74" ht="12.75" customHeight="1" thickBot="1" x14ac:dyDescent="0.3">
      <c r="A53" s="192"/>
      <c r="B53" s="193"/>
      <c r="C53" s="190"/>
      <c r="D53" s="190"/>
      <c r="E53" s="190"/>
      <c r="F53" s="190"/>
      <c r="G53" s="190"/>
      <c r="H53" s="190"/>
      <c r="I53" s="190"/>
      <c r="J53" s="190"/>
      <c r="K53" s="190"/>
      <c r="L53" s="190"/>
      <c r="M53" s="190"/>
      <c r="N53" s="190"/>
      <c r="O53" s="190"/>
      <c r="P53" s="190"/>
      <c r="Q53" s="190"/>
      <c r="R53" s="190"/>
      <c r="S53" s="190"/>
      <c r="T53" s="190"/>
      <c r="U53" s="190"/>
      <c r="V53" s="190"/>
      <c r="W53" s="190"/>
      <c r="X53" s="190"/>
      <c r="Y53" s="190"/>
      <c r="Z53" s="190"/>
      <c r="AA53" s="190"/>
      <c r="AB53" s="190"/>
      <c r="AC53" s="190"/>
      <c r="AD53" s="190"/>
      <c r="AE53" s="190"/>
      <c r="AF53" s="190"/>
      <c r="AG53" s="190"/>
      <c r="AH53" s="190"/>
      <c r="AI53" s="190"/>
      <c r="AJ53" s="190"/>
      <c r="AK53" s="190"/>
      <c r="AL53" s="190"/>
      <c r="AM53" s="190"/>
      <c r="AN53" s="190"/>
      <c r="AO53" s="190"/>
      <c r="AP53" s="190"/>
      <c r="AQ53" s="190"/>
      <c r="AR53" s="190"/>
      <c r="AS53" s="190"/>
      <c r="AT53" s="190"/>
      <c r="AU53" s="190"/>
      <c r="AV53" s="190"/>
      <c r="AW53" s="190"/>
      <c r="AX53" s="190"/>
      <c r="AY53" s="190"/>
      <c r="AZ53" s="190"/>
      <c r="BA53" s="190"/>
      <c r="BB53" s="190"/>
      <c r="BC53" s="190"/>
      <c r="BD53" s="190"/>
      <c r="BE53" s="190"/>
      <c r="BF53" s="190"/>
      <c r="BG53" s="190"/>
      <c r="BH53" s="190"/>
      <c r="BI53" s="190"/>
      <c r="BJ53" s="190"/>
      <c r="BK53" s="190"/>
      <c r="BL53" s="190"/>
      <c r="BM53" s="190"/>
      <c r="BN53" s="190"/>
      <c r="BO53" s="190"/>
      <c r="BP53" s="190"/>
      <c r="BQ53" s="190"/>
      <c r="BR53" s="190"/>
      <c r="BS53" s="190"/>
      <c r="BT53" s="190"/>
      <c r="BU53" s="190"/>
      <c r="BV53" s="190"/>
    </row>
    <row r="54" spans="1:74" s="103" customFormat="1" x14ac:dyDescent="0.25">
      <c r="A54" s="195">
        <v>2293</v>
      </c>
      <c r="B54" s="180">
        <f>自由现金流分析表!E1</f>
        <v>43100</v>
      </c>
      <c r="C54" s="191"/>
      <c r="D54" s="191"/>
      <c r="E54" s="191"/>
      <c r="F54" s="191"/>
      <c r="G54" s="191"/>
      <c r="H54" s="191"/>
      <c r="I54" s="191"/>
      <c r="J54" s="191"/>
      <c r="K54" s="191"/>
      <c r="L54" s="191"/>
      <c r="M54" s="191"/>
      <c r="N54" s="191"/>
      <c r="O54" s="191"/>
      <c r="P54" s="191"/>
      <c r="Q54" s="191"/>
      <c r="R54" s="191"/>
      <c r="S54" s="191"/>
      <c r="T54" s="191"/>
      <c r="U54" s="191"/>
      <c r="V54" s="191"/>
      <c r="W54" s="191"/>
      <c r="X54" s="191"/>
      <c r="Y54" s="191"/>
      <c r="Z54" s="191"/>
      <c r="AA54" s="191"/>
      <c r="AB54" s="191"/>
      <c r="AC54" s="191"/>
      <c r="AD54" s="191"/>
      <c r="AE54" s="191"/>
      <c r="AF54" s="191"/>
      <c r="AG54" s="191"/>
      <c r="AH54" s="191"/>
      <c r="AI54" s="191"/>
      <c r="AJ54" s="191"/>
      <c r="AK54" s="191"/>
      <c r="AL54" s="191"/>
      <c r="AM54" s="191"/>
      <c r="AN54" s="191"/>
      <c r="AO54" s="191"/>
      <c r="AP54" s="191"/>
      <c r="AQ54" s="191"/>
      <c r="AR54" s="191"/>
      <c r="AS54" s="191"/>
      <c r="AT54" s="191"/>
      <c r="AU54" s="191"/>
      <c r="AV54" s="191"/>
      <c r="AW54" s="191"/>
      <c r="AX54" s="191"/>
      <c r="AY54" s="191"/>
      <c r="AZ54" s="191"/>
      <c r="BA54" s="191"/>
      <c r="BB54" s="191"/>
      <c r="BC54" s="191"/>
      <c r="BD54" s="191"/>
      <c r="BE54" s="191"/>
      <c r="BF54" s="191"/>
      <c r="BG54" s="191"/>
      <c r="BH54" s="191"/>
      <c r="BI54" s="191"/>
      <c r="BJ54" s="191"/>
      <c r="BK54" s="191"/>
      <c r="BL54" s="191"/>
      <c r="BM54" s="191"/>
      <c r="BN54" s="191"/>
      <c r="BO54" s="191"/>
      <c r="BP54" s="191"/>
      <c r="BQ54" s="191"/>
      <c r="BR54" s="191"/>
      <c r="BS54" s="191"/>
      <c r="BT54" s="191"/>
      <c r="BU54" s="191"/>
      <c r="BV54" s="191"/>
    </row>
    <row r="55" spans="1:74" s="102" customFormat="1" x14ac:dyDescent="0.25">
      <c r="A55" s="212" t="s">
        <v>550</v>
      </c>
      <c r="B55" s="100">
        <v>744729147</v>
      </c>
      <c r="C55" s="213"/>
      <c r="D55" s="213"/>
      <c r="E55" s="213"/>
      <c r="F55" s="213"/>
      <c r="G55" s="213"/>
      <c r="H55" s="213"/>
      <c r="I55" s="213"/>
      <c r="J55" s="213"/>
      <c r="K55" s="213"/>
      <c r="L55" s="213"/>
      <c r="M55" s="213"/>
      <c r="N55" s="213"/>
      <c r="O55" s="213"/>
      <c r="P55" s="213"/>
      <c r="Q55" s="213"/>
      <c r="R55" s="213"/>
      <c r="S55" s="213"/>
      <c r="T55" s="213"/>
      <c r="U55" s="213"/>
      <c r="V55" s="213"/>
      <c r="W55" s="213"/>
      <c r="X55" s="213"/>
      <c r="Y55" s="213"/>
      <c r="Z55" s="213"/>
      <c r="AA55" s="213"/>
      <c r="AB55" s="213"/>
      <c r="AC55" s="213"/>
      <c r="AD55" s="213"/>
      <c r="AE55" s="213"/>
      <c r="AF55" s="213"/>
      <c r="AG55" s="213"/>
      <c r="AH55" s="213"/>
      <c r="AI55" s="213"/>
      <c r="AJ55" s="213"/>
      <c r="AK55" s="213"/>
      <c r="AL55" s="213"/>
      <c r="AM55" s="213"/>
      <c r="AN55" s="213"/>
      <c r="AO55" s="213"/>
      <c r="AP55" s="213"/>
      <c r="AQ55" s="213"/>
      <c r="AR55" s="213"/>
      <c r="AS55" s="213"/>
      <c r="AT55" s="213"/>
      <c r="AU55" s="213"/>
      <c r="AV55" s="213"/>
      <c r="AW55" s="213"/>
      <c r="AX55" s="213"/>
      <c r="AY55" s="213"/>
      <c r="AZ55" s="213"/>
      <c r="BA55" s="213"/>
      <c r="BB55" s="213"/>
      <c r="BC55" s="213"/>
      <c r="BD55" s="213"/>
      <c r="BE55" s="213"/>
      <c r="BF55" s="213"/>
      <c r="BG55" s="213"/>
      <c r="BH55" s="213"/>
      <c r="BI55" s="213"/>
      <c r="BJ55" s="213"/>
      <c r="BK55" s="213"/>
      <c r="BL55" s="213"/>
      <c r="BM55" s="213"/>
      <c r="BN55" s="213"/>
      <c r="BO55" s="213"/>
      <c r="BP55" s="213"/>
      <c r="BQ55" s="213"/>
      <c r="BR55" s="213"/>
      <c r="BS55" s="213"/>
      <c r="BT55" s="213"/>
      <c r="BU55" s="213"/>
      <c r="BV55" s="213"/>
    </row>
    <row r="56" spans="1:74" s="62" customFormat="1" ht="15" thickBot="1" x14ac:dyDescent="0.3">
      <c r="A56" s="74"/>
      <c r="B56" s="93"/>
    </row>
    <row r="57" spans="1:74" ht="52.8" customHeight="1" x14ac:dyDescent="0.25">
      <c r="A57" s="295" t="s">
        <v>740</v>
      </c>
      <c r="B57" s="296"/>
      <c r="C57" s="296"/>
      <c r="D57" s="296"/>
      <c r="E57" s="296"/>
      <c r="F57" s="296"/>
      <c r="G57" s="296"/>
      <c r="H57" s="296"/>
      <c r="I57" s="296"/>
    </row>
    <row r="60" spans="1:74" s="156" customFormat="1" ht="51" customHeight="1" x14ac:dyDescent="0.25">
      <c r="A60" s="293" t="s">
        <v>608</v>
      </c>
      <c r="B60" s="294"/>
      <c r="C60" s="294"/>
      <c r="D60" s="294"/>
      <c r="E60" s="294"/>
      <c r="F60" s="294"/>
      <c r="G60" s="294"/>
      <c r="H60" s="294"/>
      <c r="I60" s="294"/>
    </row>
    <row r="63" spans="1:74" s="4" customFormat="1" x14ac:dyDescent="0.25">
      <c r="A63" s="178" t="s">
        <v>610</v>
      </c>
      <c r="B63" s="177" t="s">
        <v>611</v>
      </c>
      <c r="C63" s="96" t="s">
        <v>612</v>
      </c>
      <c r="D63" s="96" t="s">
        <v>613</v>
      </c>
      <c r="E63" s="96" t="s">
        <v>628</v>
      </c>
      <c r="F63" s="96" t="s">
        <v>614</v>
      </c>
      <c r="G63" s="96" t="s">
        <v>615</v>
      </c>
      <c r="H63" s="96" t="s">
        <v>624</v>
      </c>
      <c r="I63" s="96" t="s">
        <v>617</v>
      </c>
      <c r="J63" s="96" t="s">
        <v>623</v>
      </c>
      <c r="K63" s="96" t="s">
        <v>619</v>
      </c>
      <c r="L63" s="96" t="s">
        <v>625</v>
      </c>
    </row>
    <row r="64" spans="1:74" s="26" customFormat="1" x14ac:dyDescent="0.25">
      <c r="A64" s="179">
        <f>股权价值增加表!M1</f>
        <v>42369</v>
      </c>
      <c r="B64" s="167">
        <v>42366</v>
      </c>
      <c r="C64" s="166">
        <v>17.39</v>
      </c>
      <c r="D64" s="166">
        <v>3.4</v>
      </c>
      <c r="E64" s="168">
        <f>股权价值增加表!M42/100000000</f>
        <v>4.2444729004999999</v>
      </c>
      <c r="F64" s="168">
        <v>0</v>
      </c>
      <c r="G64" s="166">
        <v>16.47</v>
      </c>
      <c r="H64" s="168">
        <f>G64*D64</f>
        <v>55.997999999999998</v>
      </c>
      <c r="I64" s="168">
        <f>C64*D64</f>
        <v>59.125999999999998</v>
      </c>
      <c r="J64" s="168">
        <f>H64/E64</f>
        <v>13.193157622328892</v>
      </c>
      <c r="K64" s="168">
        <f>I64/E64</f>
        <v>13.930116032319335</v>
      </c>
      <c r="L64" s="263">
        <v>0</v>
      </c>
    </row>
    <row r="65" spans="1:12" s="26" customFormat="1" x14ac:dyDescent="0.25">
      <c r="A65" s="179">
        <f>股权价值增加表!I1</f>
        <v>42735</v>
      </c>
      <c r="B65" s="167">
        <v>42543</v>
      </c>
      <c r="C65" s="166">
        <v>23.13</v>
      </c>
      <c r="D65" s="166">
        <v>3.64</v>
      </c>
      <c r="E65" s="168">
        <f>股权价值增加表!I42/100000000</f>
        <v>3.470332726199997</v>
      </c>
      <c r="F65" s="168">
        <f>(E65-E64)/E64*100</f>
        <v>-18.238782351721671</v>
      </c>
      <c r="G65" s="166">
        <v>23.11</v>
      </c>
      <c r="H65" s="168">
        <f t="shared" ref="H65:H66" si="8">G65*D65</f>
        <v>84.120400000000004</v>
      </c>
      <c r="I65" s="168">
        <f t="shared" ref="I65:I66" si="9">C65*D65</f>
        <v>84.193200000000004</v>
      </c>
      <c r="J65" s="168">
        <f t="shared" ref="J65:J66" si="10">H65/E65</f>
        <v>24.239865925510713</v>
      </c>
      <c r="K65" s="168">
        <f t="shared" ref="K65:K66" si="11">I65/E65</f>
        <v>24.260843741110463</v>
      </c>
      <c r="L65" s="263">
        <f>K65/F65</f>
        <v>-1.3301789161829838</v>
      </c>
    </row>
    <row r="66" spans="1:12" s="26" customFormat="1" x14ac:dyDescent="0.25">
      <c r="A66" s="179">
        <f>股权价值增加表!E1</f>
        <v>43100</v>
      </c>
      <c r="B66" s="167">
        <v>42872</v>
      </c>
      <c r="C66" s="166">
        <v>16.399999999999999</v>
      </c>
      <c r="D66" s="166">
        <v>9.09</v>
      </c>
      <c r="E66" s="168">
        <f>股权价值增加表!E42/100000000</f>
        <v>4.0911692575999998</v>
      </c>
      <c r="F66" s="168">
        <f t="shared" ref="F66" si="12">(E66-E65)/E65*100</f>
        <v>17.889827298485493</v>
      </c>
      <c r="G66" s="166">
        <v>15.76</v>
      </c>
      <c r="H66" s="168">
        <f t="shared" si="8"/>
        <v>143.25839999999999</v>
      </c>
      <c r="I66" s="168">
        <f t="shared" si="9"/>
        <v>149.07599999999999</v>
      </c>
      <c r="J66" s="168">
        <f t="shared" si="10"/>
        <v>35.01649308052329</v>
      </c>
      <c r="K66" s="168">
        <f t="shared" si="11"/>
        <v>36.438482647245046</v>
      </c>
      <c r="L66" s="263">
        <f t="shared" ref="L66" si="13">K66/F66</f>
        <v>2.0368269653631499</v>
      </c>
    </row>
    <row r="67" spans="1:12" s="26" customFormat="1" x14ac:dyDescent="0.25">
      <c r="A67" s="162"/>
      <c r="B67" s="163"/>
      <c r="C67" s="83"/>
      <c r="D67" s="83"/>
      <c r="E67" s="83"/>
      <c r="F67" s="165"/>
      <c r="G67" s="83"/>
      <c r="H67" s="165"/>
      <c r="I67" s="165"/>
      <c r="J67" s="165"/>
      <c r="K67" s="165"/>
      <c r="L67" s="264"/>
    </row>
    <row r="68" spans="1:12" s="157" customFormat="1" ht="15" thickBot="1" x14ac:dyDescent="0.3">
      <c r="A68" s="164" t="s">
        <v>622</v>
      </c>
      <c r="B68" s="44" t="s">
        <v>611</v>
      </c>
      <c r="C68" s="44" t="s">
        <v>612</v>
      </c>
      <c r="D68" s="44" t="s">
        <v>613</v>
      </c>
      <c r="E68" s="44" t="s">
        <v>621</v>
      </c>
      <c r="F68" s="44" t="s">
        <v>614</v>
      </c>
      <c r="G68" s="44" t="s">
        <v>615</v>
      </c>
      <c r="H68" s="44" t="s">
        <v>616</v>
      </c>
      <c r="I68" s="44" t="s">
        <v>617</v>
      </c>
      <c r="J68" s="44" t="s">
        <v>618</v>
      </c>
      <c r="K68" s="44" t="s">
        <v>619</v>
      </c>
      <c r="L68" s="265" t="s">
        <v>620</v>
      </c>
    </row>
    <row r="69" spans="1:12" s="26" customFormat="1" ht="15" thickBot="1" x14ac:dyDescent="0.3">
      <c r="A69" s="169" t="s">
        <v>627</v>
      </c>
      <c r="B69" s="170">
        <v>43305</v>
      </c>
      <c r="C69" s="171">
        <v>11.65</v>
      </c>
      <c r="D69" s="171">
        <v>9.09</v>
      </c>
      <c r="E69" s="171">
        <v>4.33</v>
      </c>
      <c r="F69" s="172">
        <f>(E69-E66)/E66*100</f>
        <v>5.8377135572265564</v>
      </c>
      <c r="G69" s="171">
        <v>10.119999999999999</v>
      </c>
      <c r="H69" s="172">
        <f>G69*D69</f>
        <v>91.990799999999993</v>
      </c>
      <c r="I69" s="172">
        <f>C69*D69</f>
        <v>105.8985</v>
      </c>
      <c r="J69" s="172">
        <f>H69/E69</f>
        <v>21.244988452655885</v>
      </c>
      <c r="K69" s="172">
        <f>I69/E69</f>
        <v>24.456928406466513</v>
      </c>
      <c r="L69" s="266">
        <f>K69/F69</f>
        <v>4.1894704436450239</v>
      </c>
    </row>
    <row r="70" spans="1:12" s="26" customFormat="1" ht="15" thickBot="1" x14ac:dyDescent="0.3">
      <c r="A70" s="173" t="s">
        <v>626</v>
      </c>
      <c r="B70" s="174">
        <v>43305</v>
      </c>
      <c r="C70" s="175">
        <v>11.65</v>
      </c>
      <c r="D70" s="175">
        <v>9.09</v>
      </c>
      <c r="E70" s="175">
        <v>3.86</v>
      </c>
      <c r="F70" s="176">
        <f>(E70-E66)/E66*100</f>
        <v>-5.6504447272761</v>
      </c>
      <c r="G70" s="171">
        <v>10.119999999999999</v>
      </c>
      <c r="H70" s="176">
        <f t="shared" ref="H70" si="14">G70*D70</f>
        <v>91.990799999999993</v>
      </c>
      <c r="I70" s="176">
        <f t="shared" ref="I70" si="15">C70*D70</f>
        <v>105.8985</v>
      </c>
      <c r="J70" s="176">
        <f t="shared" ref="J70" si="16">H70/E70</f>
        <v>23.831813471502588</v>
      </c>
      <c r="K70" s="176">
        <f t="shared" ref="K70" si="17">I70/E70</f>
        <v>27.434844559585493</v>
      </c>
      <c r="L70" s="267">
        <f t="shared" ref="L70" si="18">K70/F70</f>
        <v>-4.8553425232443539</v>
      </c>
    </row>
    <row r="71" spans="1:12" s="88" customFormat="1" ht="138" customHeight="1" x14ac:dyDescent="0.25">
      <c r="A71" s="291" t="s">
        <v>629</v>
      </c>
      <c r="B71" s="292"/>
      <c r="C71" s="292"/>
      <c r="D71" s="292"/>
      <c r="E71" s="292"/>
      <c r="F71" s="292"/>
      <c r="G71" s="292"/>
      <c r="H71" s="292"/>
    </row>
  </sheetData>
  <mergeCells count="16">
    <mergeCell ref="A71:H71"/>
    <mergeCell ref="A60:I60"/>
    <mergeCell ref="A57:I57"/>
    <mergeCell ref="A14:I14"/>
    <mergeCell ref="D22:H22"/>
    <mergeCell ref="A18:B18"/>
    <mergeCell ref="A21:B21"/>
    <mergeCell ref="A22:B22"/>
    <mergeCell ref="C29:E29"/>
    <mergeCell ref="A33:I33"/>
    <mergeCell ref="C50:E50"/>
    <mergeCell ref="D42:H42"/>
    <mergeCell ref="I42:R42"/>
    <mergeCell ref="A38:B38"/>
    <mergeCell ref="A41:B41"/>
    <mergeCell ref="A42:B42"/>
  </mergeCells>
  <phoneticPr fontId="1"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资产负债表</vt:lpstr>
      <vt:lpstr>利润表</vt:lpstr>
      <vt:lpstr>现金流量表</vt:lpstr>
      <vt:lpstr>资产资本表</vt:lpstr>
      <vt:lpstr>股权价值增加表</vt:lpstr>
      <vt:lpstr>投资和筹资活动现金流表</vt:lpstr>
      <vt:lpstr>平均资本成本表</vt:lpstr>
      <vt:lpstr>资产资本结构分析表</vt:lpstr>
      <vt:lpstr>股权价值增加分析表</vt:lpstr>
      <vt:lpstr>股东权益回报率分析表</vt:lpstr>
      <vt:lpstr>自由现金流分析表</vt:lpstr>
      <vt:lpstr>根据DCF测算价值表</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Justin</dc:creator>
  <cp:lastModifiedBy>Justin Zhang</cp:lastModifiedBy>
  <dcterms:created xsi:type="dcterms:W3CDTF">2018-12-03T08:51:04Z</dcterms:created>
  <dcterms:modified xsi:type="dcterms:W3CDTF">2019-02-11T03:16:17Z</dcterms:modified>
</cp:coreProperties>
</file>