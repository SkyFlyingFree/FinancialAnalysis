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54B32CD1-A391-409B-A354-2CE5AEA73507}" xr6:coauthVersionLast="40" xr6:coauthVersionMax="40" xr10:uidLastSave="{00000000-0000-0000-0000-000000000000}"/>
  <bookViews>
    <workbookView xWindow="480" yWindow="48" windowWidth="24792" windowHeight="11676" tabRatio="898" firstSheet="4" activeTab="10"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27" i="12" l="1"/>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X27" i="12"/>
  <c r="AY27"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CC27" i="12"/>
  <c r="CD27" i="12"/>
  <c r="CE27" i="12"/>
  <c r="CF27" i="12"/>
  <c r="CG27" i="12"/>
  <c r="CH27" i="12"/>
  <c r="CI27" i="12"/>
  <c r="CJ27" i="12"/>
  <c r="CK27" i="12"/>
  <c r="CL27" i="12"/>
  <c r="E27" i="12"/>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I100" i="11" l="1"/>
  <c r="I101" i="11" s="1"/>
  <c r="CC87" i="11"/>
  <c r="BU87" i="11"/>
  <c r="BM87" i="11"/>
  <c r="BE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Z24" i="6" s="1"/>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F3" i="10" l="1"/>
  <c r="BZ6" i="10"/>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Z13" i="12" s="1"/>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O13" i="12" s="1"/>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M25" i="12"/>
  <c r="M26" i="12" s="1"/>
  <c r="U25" i="12"/>
  <c r="U26" i="12" s="1"/>
  <c r="AC25" i="12"/>
  <c r="AK25" i="12"/>
  <c r="AK26" i="12" s="1"/>
  <c r="AS25" i="12"/>
  <c r="AS26" i="12" s="1"/>
  <c r="BA25" i="12"/>
  <c r="BA26" i="12" s="1"/>
  <c r="BI25" i="12"/>
  <c r="BI26" i="12" s="1"/>
  <c r="BQ25" i="12"/>
  <c r="BQ26" i="12" s="1"/>
  <c r="BY25" i="12"/>
  <c r="BY26" i="12" s="1"/>
  <c r="CG25" i="12"/>
  <c r="CG26" i="12" s="1"/>
  <c r="L27" i="6"/>
  <c r="L32" i="10" s="1"/>
  <c r="N27" i="6"/>
  <c r="N32" i="10" s="1"/>
  <c r="K19" i="10"/>
  <c r="P27" i="6"/>
  <c r="P32" i="10" s="1"/>
  <c r="L19" i="10"/>
  <c r="P19" i="10"/>
  <c r="O27" i="6"/>
  <c r="O32" i="10" s="1"/>
  <c r="J27" i="6"/>
  <c r="J32" i="10" s="1"/>
  <c r="F25" i="12"/>
  <c r="F26" i="12" s="1"/>
  <c r="N25" i="12"/>
  <c r="N26" i="12" s="1"/>
  <c r="V25" i="12"/>
  <c r="V26" i="12" s="1"/>
  <c r="AD25" i="12"/>
  <c r="AD26" i="12" s="1"/>
  <c r="AL25" i="12"/>
  <c r="AL26" i="12" s="1"/>
  <c r="AT25" i="12"/>
  <c r="AT26" i="12" s="1"/>
  <c r="BB25" i="12"/>
  <c r="BB26" i="12" s="1"/>
  <c r="BJ25" i="12"/>
  <c r="BJ26" i="12" s="1"/>
  <c r="BR25" i="12"/>
  <c r="BR26" i="12" s="1"/>
  <c r="BZ25" i="12"/>
  <c r="BZ26" i="12" s="1"/>
  <c r="CH25" i="12"/>
  <c r="CH26" i="12" s="1"/>
  <c r="CH28" i="12" s="1"/>
  <c r="I25" i="12"/>
  <c r="I26" i="12" s="1"/>
  <c r="Q25" i="12"/>
  <c r="Q26" i="12" s="1"/>
  <c r="Y25" i="12"/>
  <c r="AG25" i="12"/>
  <c r="AG26" i="12" s="1"/>
  <c r="AO25" i="12"/>
  <c r="AO26" i="12" s="1"/>
  <c r="AW25" i="12"/>
  <c r="AW26" i="12" s="1"/>
  <c r="BE25" i="12"/>
  <c r="BE26" i="12" s="1"/>
  <c r="BM25" i="12"/>
  <c r="BM26" i="12" s="1"/>
  <c r="BU25" i="12"/>
  <c r="BU26" i="12" s="1"/>
  <c r="L12" i="12"/>
  <c r="L13" i="12" s="1"/>
  <c r="T12" i="12"/>
  <c r="T13" i="12" s="1"/>
  <c r="AB12" i="12"/>
  <c r="AB13" i="12" s="1"/>
  <c r="AJ12" i="12"/>
  <c r="AJ13" i="12" s="1"/>
  <c r="AR12" i="12"/>
  <c r="AR13" i="12" s="1"/>
  <c r="AZ12" i="12"/>
  <c r="AZ13" i="12" s="1"/>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S25" i="12"/>
  <c r="S26"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CJ13" i="12" s="1"/>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I25" i="12"/>
  <c r="AI26" i="12" s="1"/>
  <c r="AQ25" i="12"/>
  <c r="AQ26" i="12" s="1"/>
  <c r="AY25" i="12"/>
  <c r="AY26" i="12" s="1"/>
  <c r="BG25" i="12"/>
  <c r="BG26" i="12" s="1"/>
  <c r="BO25" i="12"/>
  <c r="BO26" i="12" s="1"/>
  <c r="BW25" i="12"/>
  <c r="BW26" i="12" s="1"/>
  <c r="CE25" i="12"/>
  <c r="CE26"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O25" i="12"/>
  <c r="O26" i="12" s="1"/>
  <c r="W25" i="12"/>
  <c r="W26" i="12" s="1"/>
  <c r="AE25" i="12"/>
  <c r="AE26" i="12" s="1"/>
  <c r="AM25" i="12"/>
  <c r="AM26" i="12" s="1"/>
  <c r="AU25" i="12"/>
  <c r="AU26" i="12" s="1"/>
  <c r="BC25" i="12"/>
  <c r="BC26" i="12" s="1"/>
  <c r="BK25" i="12"/>
  <c r="BK26" i="12" s="1"/>
  <c r="BS25" i="12"/>
  <c r="BS26" i="12" s="1"/>
  <c r="CA25" i="12"/>
  <c r="CA26" i="12" s="1"/>
  <c r="CI25" i="12"/>
  <c r="CI26" i="12" s="1"/>
  <c r="CI28" i="12" s="1"/>
  <c r="H25" i="12"/>
  <c r="H26" i="12" s="1"/>
  <c r="P25" i="12"/>
  <c r="P26" i="12" s="1"/>
  <c r="X25" i="12"/>
  <c r="X26" i="12" s="1"/>
  <c r="AF25" i="12"/>
  <c r="AF26" i="12" s="1"/>
  <c r="AN25" i="12"/>
  <c r="AN26" i="12" s="1"/>
  <c r="AV25" i="12"/>
  <c r="AV26" i="12" s="1"/>
  <c r="BD25" i="12"/>
  <c r="BD26" i="12" s="1"/>
  <c r="BL25" i="12"/>
  <c r="BL26" i="12" s="1"/>
  <c r="BT25" i="12"/>
  <c r="BT26" i="12" s="1"/>
  <c r="CB25" i="12"/>
  <c r="CB26" i="12" s="1"/>
  <c r="CJ25" i="12"/>
  <c r="CJ26" i="12" s="1"/>
  <c r="CJ28" i="12" s="1"/>
  <c r="J5" i="12"/>
  <c r="R5" i="12"/>
  <c r="Z5" i="12"/>
  <c r="AH5" i="12"/>
  <c r="AP5" i="12"/>
  <c r="AX5" i="12"/>
  <c r="BF5" i="12"/>
  <c r="BN5" i="12"/>
  <c r="BV5" i="12"/>
  <c r="CD5" i="12"/>
  <c r="CC25" i="12"/>
  <c r="CC26" i="12" s="1"/>
  <c r="CK25" i="12"/>
  <c r="CK26" i="12" s="1"/>
  <c r="CK28" i="12" s="1"/>
  <c r="J25" i="12"/>
  <c r="J26" i="12" s="1"/>
  <c r="R25" i="12"/>
  <c r="R26" i="12" s="1"/>
  <c r="Z25" i="12"/>
  <c r="Z26" i="12" s="1"/>
  <c r="AH25" i="12"/>
  <c r="AH26" i="12" s="1"/>
  <c r="AP25" i="12"/>
  <c r="AP26" i="12" s="1"/>
  <c r="AX25" i="12"/>
  <c r="AX26" i="12" s="1"/>
  <c r="BF25" i="12"/>
  <c r="BF26" i="12" s="1"/>
  <c r="BN25" i="12"/>
  <c r="BN26" i="12" s="1"/>
  <c r="BV25" i="12"/>
  <c r="BV26" i="12" s="1"/>
  <c r="CD25" i="12"/>
  <c r="CD26" i="12" s="1"/>
  <c r="L25" i="12"/>
  <c r="L26" i="12" s="1"/>
  <c r="T25" i="12"/>
  <c r="T26" i="12" s="1"/>
  <c r="AB25" i="12"/>
  <c r="AB26" i="12" s="1"/>
  <c r="AJ25" i="12"/>
  <c r="AJ26" i="12" s="1"/>
  <c r="AR25" i="12"/>
  <c r="AR26" i="12" s="1"/>
  <c r="AZ25" i="12"/>
  <c r="AZ26" i="12" s="1"/>
  <c r="BH25" i="12"/>
  <c r="BH26" i="12" s="1"/>
  <c r="BP25" i="12"/>
  <c r="BP26" i="12" s="1"/>
  <c r="BX25" i="12"/>
  <c r="BX26" i="12" s="1"/>
  <c r="CF25" i="12"/>
  <c r="CF26"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AC26" i="12"/>
  <c r="AC13" i="12"/>
  <c r="CK18" i="12"/>
  <c r="X13" i="12"/>
  <c r="BL13" i="12"/>
  <c r="Y26" i="12"/>
  <c r="R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CC9" i="10" l="1"/>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Y49" i="10" l="1"/>
  <c r="AP49" i="10"/>
  <c r="J49" i="10"/>
  <c r="AT13" i="11"/>
  <c r="BB4" i="11"/>
  <c r="CH23" i="10"/>
  <c r="CH24" i="10" s="1"/>
  <c r="BB12" i="11"/>
  <c r="BB14" i="11"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D8" i="13" l="1"/>
  <c r="D9" i="13" s="1"/>
  <c r="F1" i="13"/>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<sst xmlns="http://schemas.openxmlformats.org/spreadsheetml/2006/main" count="925" uniqueCount="752">
  <si>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</si>
  <si>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</si>
  <si>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</si>
  <si>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</si>
  <si>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</si>
  <si>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</si>
  <si>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</si>
  <si>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</si>
  <si>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</si>
  <si>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</si>
  <si>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</si>
  <si>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</si>
  <si>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</si>
  <si>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</si>
  <si>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</si>
  <si>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</si>
  <si>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</si>
  <si>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</si>
  <si>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</si>
  <si>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</si>
  <si>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</si>
  <si>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</si>
  <si>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</si>
  <si>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</si>
  <si>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</si>
  <si>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</si>
  <si>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</si>
  <si>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</si>
  <si>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</si>
  <si>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</si>
  <si>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</si>
  <si>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</si>
  <si>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</si>
  <si>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</si>
  <si>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</si>
  <si>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</si>
  <si>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</si>
  <si>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</si>
  <si>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</si>
  <si>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</si>
  <si>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</si>
  <si>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</si>
  <si>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</si>
  <si>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</si>
  <si>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</si>
  <si>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</si>
  <si>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</si>
  <si>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</si>
  <si>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</si>
  <si>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</si>
  <si>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</si>
  <si>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</si>
  <si>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</si>
  <si>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</si>
  <si>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</si>
  <si>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</si>
  <si>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</si>
  <si>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</si>
  <si>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</si>
  <si>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</si>
  <si>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</si>
  <si>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</si>
  <si>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</si>
  <si>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</si>
  <si>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</si>
  <si>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</si>
  <si>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</si>
  <si>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</si>
  <si>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</si>
  <si>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</si>
  <si>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</si>
  <si>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</si>
  <si>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</si>
  <si>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</si>
  <si>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</si>
  <si>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</si>
  <si>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</si>
  <si>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</si>
  <si>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</si>
  <si>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</si>
  <si>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</si>
  <si>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</si>
  <si>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</si>
  <si>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</si>
  <si>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</si>
  <si>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</si>
  <si>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</si>
  <si>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</si>
  <si>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</si>
  <si>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</si>
  <si>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</si>
  <si>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</si>
  <si>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</si>
  <si>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</si>
  <si>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</si>
  <si>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</si>
  <si>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</si>
  <si>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</si>
  <si>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</si>
  <si>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</si>
  <si>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</si>
  <si>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</si>
  <si>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</si>
  <si>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</si>
  <si>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</si>
  <si>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</si>
  <si>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</si>
  <si>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</si>
  <si>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</si>
  <si>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</si>
  <si>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</si>
  <si>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</si>
  <si>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</si>
  <si>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</si>
  <si>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</si>
  <si>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</si>
  <si>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</si>
  <si>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</si>
  <si>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</si>
  <si>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</si>
  <si>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</si>
  <si>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</si>
  <si>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</si>
  <si>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</si>
  <si>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</si>
  <si>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</si>
  <si>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</si>
  <si>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</si>
  <si>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</si>
  <si>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</si>
  <si>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</si>
  <si>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</si>
  <si>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</si>
  <si>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</si>
  <si>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</si>
  <si>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</si>
  <si>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</si>
  <si>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</si>
  <si>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</si>
  <si>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</si>
  <si>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</si>
  <si>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</si>
  <si>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</si>
  <si>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</si>
  <si>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</si>
  <si>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</si>
  <si>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</si>
  <si>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</si>
  <si>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</si>
  <si>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</si>
  <si>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</si>
  <si>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</si>
  <si>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</si>
  <si>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</si>
  <si>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</si>
  <si>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</si>
  <si>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</si>
  <si>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</si>
  <si>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</si>
  <si>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</si>
  <si>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</si>
  <si>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</si>
  <si>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</si>
  <si>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</si>
  <si>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</si>
  <si>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</si>
  <si>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</si>
  <si>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</si>
  <si>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</si>
  <si>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</si>
  <si>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</si>
  <si>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</si>
  <si>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</si>
  <si>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</si>
  <si>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</si>
  <si>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</si>
  <si>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</si>
  <si>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</si>
  <si>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</si>
  <si>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</si>
  <si>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</si>
  <si>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</si>
  <si>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</si>
  <si>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</si>
  <si>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</si>
  <si>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</si>
  <si>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</si>
  <si>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</si>
  <si>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</si>
  <si>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</si>
  <si>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</si>
  <si>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</si>
  <si>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</si>
  <si>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</si>
  <si>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</si>
  <si>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</si>
  <si>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</si>
  <si>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</si>
  <si>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</si>
  <si>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</si>
  <si>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</si>
  <si>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</si>
  <si>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</si>
  <si>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</si>
  <si>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</si>
  <si>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</si>
  <si>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</si>
  <si>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</si>
  <si>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</si>
  <si>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</si>
  <si>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</si>
  <si>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</si>
  <si>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</si>
  <si>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</si>
  <si>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</si>
  <si>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</si>
  <si>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</si>
  <si>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</si>
  <si>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</si>
  <si>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</si>
  <si>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</si>
  <si>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</si>
  <si>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</si>
  <si>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</si>
  <si>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</si>
  <si>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</si>
  <si>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</si>
  <si>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</si>
  <si>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</si>
  <si>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</si>
  <si>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</si>
  <si>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</si>
  <si>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</si>
  <si>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</si>
  <si>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</si>
  <si>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</si>
  <si>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</si>
  <si>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</si>
  <si>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</si>
  <si>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</si>
  <si>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</si>
  <si>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</si>
  <si>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</si>
  <si>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</si>
  <si>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</si>
  <si>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</si>
  <si>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</si>
  <si>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</si>
  <si>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</si>
  <si>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</si>
  <si>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</si>
  <si>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</si>
  <si>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</si>
  <si>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</si>
  <si>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</si>
  <si>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</si>
  <si>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</si>
  <si>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</si>
  <si>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</si>
  <si>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</si>
  <si>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</si>
  <si>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</si>
  <si>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</si>
  <si>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</si>
  <si>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</si>
  <si>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</si>
  <si>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</si>
  <si>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</si>
  <si>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</si>
  <si>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</si>
  <si>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</si>
  <si>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</si>
  <si>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</si>
  <si>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</si>
  <si>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</si>
  <si>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</si>
  <si>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</si>
  <si>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</si>
  <si>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</si>
  <si>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</si>
  <si>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</si>
  <si>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</si>
  <si>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</si>
  <si>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</si>
  <si>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</si>
  <si>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</si>
  <si>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</si>
  <si>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</si>
  <si>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</si>
  <si>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</si>
  <si>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</si>
  <si>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</si>
  <si>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</si>
  <si>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</si>
  <si>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</si>
  <si>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</si>
  <si>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</si>
  <si>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</si>
  <si>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</si>
  <si>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</si>
  <si>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</si>
  <si>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</si>
  <si>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</si>
  <si>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</si>
  <si>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</si>
  <si>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</si>
  <si>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</si>
  <si>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</si>
  <si>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</si>
  <si>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</si>
  <si>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</si>
  <si>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</si>
  <si>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</si>
  <si>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</si>
  <si>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</si>
  <si>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</si>
  <si>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</si>
  <si>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</si>
  <si>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</si>
  <si>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</si>
  <si>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</si>
  <si>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</si>
  <si>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</si>
  <si>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</si>
  <si>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</si>
  <si>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</si>
  <si>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</si>
  <si>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</si>
  <si>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</si>
  <si>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</si>
  <si>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</si>
  <si>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</si>
  <si>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</si>
  <si>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</si>
  <si>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</si>
  <si>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</si>
  <si>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</si>
  <si>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</si>
  <si>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</si>
  <si>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</si>
  <si>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</si>
  <si>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</si>
  <si>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</si>
  <si>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</si>
  <si>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</si>
  <si>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</si>
  <si>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</si>
  <si>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</si>
  <si>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</si>
  <si>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</si>
  <si>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</si>
  <si>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</si>
  <si>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</si>
  <si>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</si>
  <si>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</si>
  <si>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</si>
  <si>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</si>
  <si>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</si>
  <si>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</si>
  <si>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</si>
  <si>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</si>
  <si>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</si>
  <si>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</si>
  <si>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</si>
  <si>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</si>
  <si>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</si>
  <si>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</si>
  <si>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</si>
  <si>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</si>
  <si>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</si>
  <si>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</si>
  <si>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</si>
  <si>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</si>
  <si>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</si>
  <si>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</si>
  <si>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</si>
  <si>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</si>
  <si>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</si>
  <si>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</si>
  <si>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</si>
  <si>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</si>
  <si>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</si>
  <si>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</si>
  <si>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</si>
  <si>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</si>
  <si>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</si>
  <si>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</si>
  <si>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</si>
  <si>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</si>
  <si>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</si>
  <si>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</si>
  <si>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</si>
  <si>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</si>
  <si>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</si>
  <si>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</si>
  <si>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</si>
  <si>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</si>
  <si>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</si>
  <si>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</si>
  <si>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</si>
  <si>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</si>
  <si>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</si>
  <si>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</si>
  <si>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</si>
  <si>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</si>
  <si>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</si>
  <si>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</si>
  <si>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</si>
  <si>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</si>
  <si>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</si>
  <si>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</si>
  <si>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</si>
  <si>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</si>
  <si>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</si>
  <si>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</si>
  <si>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</si>
  <si>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</si>
  <si>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</si>
  <si>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</si>
  <si>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</si>
  <si>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</si>
  <si>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</si>
  <si>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</si>
  <si>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</si>
  <si>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</si>
  <si>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</si>
  <si>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</si>
  <si>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</si>
  <si>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</si>
  <si>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</si>
  <si>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</si>
  <si>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</si>
  <si>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</si>
  <si>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</si>
  <si>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</si>
  <si>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</si>
  <si>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</si>
  <si>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</si>
  <si>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</si>
  <si>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</si>
  <si>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</si>
  <si>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</si>
  <si>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</si>
  <si>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</si>
  <si>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</si>
  <si>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</si>
  <si>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</si>
  <si>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</si>
  <si>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</si>
  <si>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</si>
  <si>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</si>
  <si>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</si>
  <si>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</si>
  <si>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</si>
  <si>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</si>
  <si>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</si>
  <si>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</si>
  <si>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</si>
  <si>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</si>
  <si>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</si>
  <si>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</si>
  <si>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</si>
  <si>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</si>
  <si>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</si>
  <si>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</si>
  <si>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</si>
  <si>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</si>
  <si>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</si>
  <si>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</si>
  <si>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</si>
  <si>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</si>
  <si>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</si>
  <si>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</si>
  <si>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</si>
  <si>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</si>
  <si>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</si>
  <si>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</si>
  <si>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</si>
  <si>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</si>
  <si>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</si>
  <si>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</si>
  <si>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</si>
  <si>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</si>
  <si>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</si>
  <si>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</si>
  <si>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</si>
  <si>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</si>
  <si>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</si>
  <si>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</si>
  <si>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</si>
  <si>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</si>
  <si>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</si>
  <si>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</si>
  <si>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</si>
  <si>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</si>
  <si>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</si>
  <si>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</si>
  <si>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</si>
  <si>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</si>
  <si>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</si>
  <si>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</si>
  <si>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</si>
  <si>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</si>
  <si>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</si>
  <si>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</si>
  <si>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</si>
  <si>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</si>
  <si>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</si>
  <si>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</si>
  <si>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</si>
  <si>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</si>
  <si>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</si>
  <si>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</si>
  <si>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</si>
  <si>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</si>
  <si>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</si>
  <si>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</si>
  <si>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</si>
  <si>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</si>
  <si>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</si>
  <si>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</si>
  <si>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</si>
  <si>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</si>
  <si>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</si>
  <si>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</si>
  <si>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</si>
  <si>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</si>
  <si>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</si>
  <si>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</si>
  <si>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</si>
  <si>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</si>
  <si>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</si>
  <si>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</si>
  <si>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</si>
  <si>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</si>
  <si>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</si>
  <si>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</si>
  <si>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</si>
  <si>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</si>
  <si>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</si>
  <si>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</si>
  <si>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</si>
  <si>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</si>
  <si>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</si>
  <si>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</si>
  <si>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</si>
  <si>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</si>
  <si>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</si>
  <si>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</si>
  <si>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</si>
  <si>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</si>
  <si>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</si>
  <si>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</si>
  <si>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</si>
  <si>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</si>
  <si>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</si>
  <si>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</si>
  <si>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</si>
  <si>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</si>
  <si>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</si>
  <si>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</si>
  <si>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</si>
  <si>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</si>
  <si>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</si>
  <si>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</si>
  <si>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</si>
  <si>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</si>
  <si>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</si>
  <si>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</si>
  <si>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</si>
  <si>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</si>
  <si>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</si>
  <si>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</si>
  <si>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</si>
  <si>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</si>
  <si>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</si>
  <si>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</si>
  <si>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</si>
  <si>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</si>
  <si>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</si>
  <si>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</si>
  <si>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</si>
  <si>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</si>
  <si>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</si>
  <si>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</si>
  <si>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</si>
  <si>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</si>
  <si>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</si>
  <si>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</si>
  <si>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</si>
  <si>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</si>
  <si>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</si>
  <si>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</si>
  <si>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</si>
  <si>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</si>
  <si>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</si>
  <si>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</si>
  <si>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</si>
  <si>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</si>
  <si>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</si>
  <si>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</si>
  <si>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</si>
  <si>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</si>
  <si>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</si>
  <si>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</si>
  <si>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</si>
  <si>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</si>
  <si>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</si>
  <si>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</si>
  <si>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</si>
  <si>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</si>
  <si>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</si>
  <si>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</si>
  <si>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</si>
  <si>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</si>
  <si>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</si>
  <si>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</si>
  <si>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</si>
  <si>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</si>
  <si>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</si>
  <si>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</si>
  <si>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</si>
  <si>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</si>
  <si>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</si>
  <si>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</si>
  <si>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</si>
  <si>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</si>
  <si>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</si>
  <si>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</si>
  <si>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</si>
  <si>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</si>
  <si>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</si>
  <si>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</si>
  <si>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</si>
  <si>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</si>
  <si>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</si>
  <si>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</si>
  <si>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</si>
  <si>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</si>
  <si>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</si>
  <si>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</si>
  <si>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</si>
  <si>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</si>
  <si>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</si>
  <si>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</si>
  <si>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</si>
  <si>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</si>
  <si>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</si>
  <si>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</si>
  <si>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</si>
  <si>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</si>
  <si>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</si>
  <si>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</si>
  <si>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</si>
  <si>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</si>
  <si>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</si>
  <si>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</si>
  <si>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</si>
  <si>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</si>
  <si>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</si>
  <si>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</si>
  <si>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</si>
  <si>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</si>
  <si>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</si>
  <si>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</si>
  <si>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</si>
  <si>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</si>
  <si>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</si>
  <si>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</si>
  <si>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</si>
  <si>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</si>
  <si>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</si>
  <si>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</si>
  <si>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</si>
  <si>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</si>
  <si>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</si>
  <si>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</si>
  <si>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</si>
  <si>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</si>
  <si>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</si>
  <si>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</si>
  <si>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</si>
  <si>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</si>
  <si>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</si>
  <si>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</si>
  <si>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</si>
  <si>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</si>
  <si>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</si>
  <si>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</si>
  <si>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</si>
  <si>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</si>
  <si>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</si>
  <si>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</si>
  <si>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</si>
  <si>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</si>
  <si>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</si>
  <si>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</si>
  <si>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</si>
  <si>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</si>
  <si>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</si>
  <si>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</si>
  <si>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</si>
  <si>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</si>
  <si>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</si>
  <si>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</si>
  <si>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</si>
  <si>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</si>
  <si>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</si>
  <si>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</si>
  <si>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</si>
  <si>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</si>
  <si>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</si>
  <si>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</si>
  <si>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</si>
  <si>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</si>
  <si>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</si>
  <si>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</si>
  <si>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</si>
  <si>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</si>
  <si>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</si>
  <si>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</si>
  <si>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</si>
  <si>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</si>
  <si>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</si>
  <si>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</si>
  <si>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</si>
  <si>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</si>
  <si>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</si>
  <si>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</si>
  <si>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</si>
  <si>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</si>
  <si>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</si>
  <si>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</si>
  <si>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</si>
  <si>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</si>
  <si>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</si>
  <si>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</si>
  <si>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</si>
  <si>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</si>
  <si>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</si>
  <si>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</si>
  <si>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</si>
  <si>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</si>
  <si>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</si>
  <si>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</si>
  <si>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</si>
  <si>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</si>
  <si>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</si>
  <si>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</si>
  <si>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WACC</t>
    <phoneticPr fontId="1" type="noConversion"/>
  </si>
  <si>
    <t>股权资本成本</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</si>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</sst>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8">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49" fontId="26" fillId="6" borderId="0" xfId="0" applyNumberFormat="1" applyFont="1" applyFill="1" applyAlignment="1">
      <alignment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0.43464711286475916</c:v>
                </c:pt>
                <c:pt idx="1">
                  <c:v>0.4846309485487118</c:v>
                </c:pt>
                <c:pt idx="2">
                  <c:v>0.48962112738048541</c:v>
                </c:pt>
                <c:pt idx="3">
                  <c:v>0.44861664463093659</c:v>
                </c:pt>
                <c:pt idx="4">
                  <c:v>0.43980156505528201</c:v>
                </c:pt>
                <c:pt idx="5">
                  <c:v>0.42216112454806304</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9.1839924187747821E-2</c:v>
                </c:pt>
                <c:pt idx="1">
                  <c:v>9.7874142032542411E-2</c:v>
                </c:pt>
                <c:pt idx="2">
                  <c:v>0.12529404017861698</c:v>
                </c:pt>
                <c:pt idx="3">
                  <c:v>0.13144936856659847</c:v>
                </c:pt>
                <c:pt idx="4">
                  <c:v>0.12248608103009449</c:v>
                </c:pt>
                <c:pt idx="5">
                  <c:v>0.13301566544362509</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0.11548789743858551</c:v>
                </c:pt>
                <c:pt idx="1">
                  <c:v>0.13691142497678241</c:v>
                </c:pt>
                <c:pt idx="2">
                  <c:v>0.1767056900652649</c:v>
                </c:pt>
                <c:pt idx="3">
                  <c:v>0.16363673306029453</c:v>
                </c:pt>
                <c:pt idx="4">
                  <c:v>0.15502846516518526</c:v>
                </c:pt>
                <c:pt idx="5">
                  <c:v>0.16295342989507589</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9.3457470573072216E-2</c:v>
                </c:pt>
                <c:pt idx="1">
                  <c:v>0.11124235417598893</c:v>
                </c:pt>
                <c:pt idx="2">
                  <c:v>0.14628985590477139</c:v>
                </c:pt>
                <c:pt idx="3">
                  <c:v>0.14415763136538459</c:v>
                </c:pt>
                <c:pt idx="4">
                  <c:v>0.13121714372721083</c:v>
                </c:pt>
                <c:pt idx="5">
                  <c:v>0.14016720350630651</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0.10723805803369657</c:v>
                </c:pt>
                <c:pt idx="1">
                  <c:v>0.13569593401341865</c:v>
                </c:pt>
                <c:pt idx="2">
                  <c:v>0.17596834206491632</c:v>
                </c:pt>
                <c:pt idx="3">
                  <c:v>0.16313569675166459</c:v>
                </c:pt>
                <c:pt idx="4">
                  <c:v>0.15467361904418575</c:v>
                </c:pt>
                <c:pt idx="5">
                  <c:v>0.16258225805088514</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8.7758475670423053E-2</c:v>
                </c:pt>
                <c:pt idx="1">
                  <c:v>0.11009182871443379</c:v>
                </c:pt>
                <c:pt idx="2">
                  <c:v>0.14557633289197322</c:v>
                </c:pt>
                <c:pt idx="3">
                  <c:v>0.14371362606605287</c:v>
                </c:pt>
                <c:pt idx="4">
                  <c:v>0.13095871866346628</c:v>
                </c:pt>
                <c:pt idx="5">
                  <c:v>0.13984776173082955</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543882536.40999997</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419522942.11000001</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511701040.50999999</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451805805.81999999</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392016027</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444037220.29000002</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156898905.18959999</c:v>
                </c:pt>
                <c:pt idx="1">
                  <c:v>116612618.8871997</c:v>
                </c:pt>
                <c:pt idx="2">
                  <c:v>212010520.97879997</c:v>
                </c:pt>
                <c:pt idx="3">
                  <c:v>197864629.11680013</c:v>
                </c:pt>
                <c:pt idx="4">
                  <c:v>160532881.25319999</c:v>
                </c:pt>
                <c:pt idx="5">
                  <c:v>229701050.09160006</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3152725257.1300001</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2880258171.6599998</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2655459613.3899999</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2487328254.04</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2125429369.46</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1892220602.73</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712,655,645.72 </c:v>
                </c:pt>
                <c:pt idx="5">
                  <c:v>712,011,638.27 </c:v>
                </c:pt>
                <c:pt idx="6">
                  <c:v>706,507,482.51 </c:v>
                </c:pt>
                <c:pt idx="7">
                  <c:v>719,703,422.57 </c:v>
                </c:pt>
                <c:pt idx="8">
                  <c:v>724,088,791.26 </c:v>
                </c:pt>
                <c:pt idx="9">
                  <c:v>660,102,135.27 </c:v>
                </c:pt>
                <c:pt idx="10">
                  <c:v>654,397,807.84 </c:v>
                </c:pt>
                <c:pt idx="11">
                  <c:v>657,598,710.34 </c:v>
                </c:pt>
                <c:pt idx="12">
                  <c:v>657,770,407.97 </c:v>
                </c:pt>
                <c:pt idx="13">
                  <c:v>658,741,725.48 </c:v>
                </c:pt>
                <c:pt idx="14">
                  <c:v>642,750,663.67 </c:v>
                </c:pt>
                <c:pt idx="15">
                  <c:v>638,106,996.24 </c:v>
                </c:pt>
                <c:pt idx="16">
                  <c:v>646,286,156.85 </c:v>
                </c:pt>
                <c:pt idx="17">
                  <c:v>687,749,387.56 </c:v>
                </c:pt>
                <c:pt idx="18">
                  <c:v>656,425,843.02 </c:v>
                </c:pt>
                <c:pt idx="19">
                  <c:v>675,710,284.61 </c:v>
                </c:pt>
                <c:pt idx="20">
                  <c:v>514,551,138.61 </c:v>
                </c:pt>
              </c:strCache>
            </c:strRef>
          </c:tx>
          <c:invertIfNegative val="0"/>
          <c:cat>
            <c:numRef>
              <c:f>投资和筹资活动现金流表!$E$12</c:f>
              <c:numCache>
                <c:formatCode>#,##0.00_ </c:formatCode>
                <c:ptCount val="1"/>
                <c:pt idx="0">
                  <c:v>712655645.71999979</c:v>
                </c:pt>
              </c:numCache>
            </c:numRef>
          </c:cat>
          <c:val>
            <c:numRef>
              <c:f>投资和筹资活动现金流表!$E$12:$U$12</c:f>
              <c:numCache>
                <c:formatCode>#,##0.00_ </c:formatCode>
                <c:ptCount val="5"/>
                <c:pt idx="0">
                  <c:v>712655645.71999979</c:v>
                </c:pt>
                <c:pt idx="1">
                  <c:v>724088791.25999999</c:v>
                </c:pt>
                <c:pt idx="2">
                  <c:v>657770407.97000003</c:v>
                </c:pt>
                <c:pt idx="3">
                  <c:v>646286156.85000002</c:v>
                </c:pt>
                <c:pt idx="4">
                  <c:v>514551138.61000001</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-0.11847611260372073</c:v>
                </c:pt>
                <c:pt idx="1">
                  <c:v>-1.7881528213507178E-2</c:v>
                </c:pt>
                <c:pt idx="2">
                  <c:v>-1.0282467040244955E-2</c:v>
                </c:pt>
                <c:pt idx="3">
                  <c:v>-2.3879332268572622E-2</c:v>
                </c:pt>
                <c:pt idx="4">
                  <c:v>0.24573428993194077</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0.84105326428773908</c:v>
                </c:pt>
                <c:pt idx="1">
                  <c:v>8.2048628603371689</c:v>
                </c:pt>
                <c:pt idx="2">
                  <c:v>2.6699896580141336</c:v>
                </c:pt>
                <c:pt idx="3">
                  <c:v>2.8388448026892452</c:v>
                </c:pt>
                <c:pt idx="4">
                  <c:v>2.3665585260047024</c:v>
                </c:pt>
                <c:pt idx="5">
                  <c:v>1.4084083661476603</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23865411.170000002</c:v>
                </c:pt>
                <c:pt idx="1">
                  <c:v>61591048.32</c:v>
                </c:pt>
                <c:pt idx="2">
                  <c:v>60901858.619999997</c:v>
                </c:pt>
                <c:pt idx="3">
                  <c:v>46626691.400000006</c:v>
                </c:pt>
                <c:pt idx="4">
                  <c:v>174798017.59999999</c:v>
                </c:pt>
                <c:pt idx="5">
                  <c:v>174948474.66999999</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449743007.73000002</c:v>
                </c:pt>
                <c:pt idx="1">
                  <c:v>0</c:v>
                </c:pt>
                <c:pt idx="2">
                  <c:v>66253681.619999997</c:v>
                </c:pt>
                <c:pt idx="3">
                  <c:v>132325433.64</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398329906.70999998</c:v>
                </c:pt>
                <c:pt idx="1">
                  <c:v>505346104.88999999</c:v>
                </c:pt>
                <c:pt idx="2">
                  <c:v>339503977.39999998</c:v>
                </c:pt>
                <c:pt idx="3">
                  <c:v>508017310.10000002</c:v>
                </c:pt>
                <c:pt idx="4">
                  <c:v>413669738.88</c:v>
                </c:pt>
                <c:pt idx="5">
                  <c:v>246398895.37</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-208447636.72999999</c:v>
                </c:pt>
                <c:pt idx="1">
                  <c:v>175600070.94999999</c:v>
                </c:pt>
                <c:pt idx="2">
                  <c:v>-176498537.03</c:v>
                </c:pt>
                <c:pt idx="3">
                  <c:v>-98254170</c:v>
                </c:pt>
                <c:pt idx="4">
                  <c:v>-98254170</c:v>
                </c:pt>
                <c:pt idx="5">
                  <c:v>-140363100</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-120244153.41</c:v>
                </c:pt>
                <c:pt idx="1">
                  <c:v>-116760877.09999999</c:v>
                </c:pt>
                <c:pt idx="2">
                  <c:v>-275040200</c:v>
                </c:pt>
                <c:pt idx="3">
                  <c:v>-98254170</c:v>
                </c:pt>
                <c:pt idx="4">
                  <c:v>-98254170</c:v>
                </c:pt>
                <c:pt idx="5">
                  <c:v>-140363100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-173987920.38</c:v>
                </c:pt>
                <c:pt idx="1">
                  <c:v>378381072.91999996</c:v>
                </c:pt>
                <c:pt idx="2">
                  <c:v>97937496.310000002</c:v>
                </c:pt>
                <c:pt idx="3">
                  <c:v>0</c:v>
                </c:pt>
                <c:pt idx="4">
                  <c:v>0</c:v>
                </c:pt>
                <c:pt idx="5">
                  <c:v>0</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247500960</c:v>
                </c:pt>
                <c:pt idx="1">
                  <c:v>578377380</c:v>
                </c:pt>
                <c:pt idx="2">
                  <c:v>100000000</c:v>
                </c:pt>
                <c:pt idx="3">
                  <c:v>0</c:v>
                </c:pt>
                <c:pt idx="4">
                  <c:v>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381873470.29999995</c:v>
                </c:pt>
                <c:pt idx="1">
                  <c:v>187575799.05999994</c:v>
                </c:pt>
                <c:pt idx="2">
                  <c:v>170321122.3499999</c:v>
                </c:pt>
                <c:pt idx="3">
                  <c:v>555710000</c:v>
                </c:pt>
                <c:pt idx="4">
                  <c:v>190540000</c:v>
                </c:pt>
                <c:pt idx="5">
                  <c:v>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21110212.079999998</c:v>
                </c:pt>
                <c:pt idx="1">
                  <c:v>9305327.8499999996</c:v>
                </c:pt>
                <c:pt idx="2">
                  <c:v>1760420.36</c:v>
                </c:pt>
                <c:pt idx="3">
                  <c:v>0</c:v>
                </c:pt>
                <c:pt idx="4">
                  <c:v>0</c:v>
                </c:pt>
                <c:pt idx="5">
                  <c:v>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253403062.44</c:v>
                </c:pt>
                <c:pt idx="1">
                  <c:v>498862452.37</c:v>
                </c:pt>
                <c:pt idx="2">
                  <c:v>114682220.78999999</c:v>
                </c:pt>
                <c:pt idx="3">
                  <c:v>5587351.7300000004</c:v>
                </c:pt>
                <c:pt idx="4">
                  <c:v>7877039.8899999997</c:v>
                </c:pt>
                <c:pt idx="5">
                  <c:v>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3152725257.1299996</c:v>
                </c:pt>
                <c:pt idx="1">
                  <c:v>2880258171.6600003</c:v>
                </c:pt>
                <c:pt idx="2">
                  <c:v>2655459613.3900003</c:v>
                </c:pt>
                <c:pt idx="3">
                  <c:v>2487328254.04</c:v>
                </c:pt>
                <c:pt idx="4">
                  <c:v>2125429369.46</c:v>
                </c:pt>
                <c:pt idx="5">
                  <c:v>1892220602.73</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3415975678.7199993</c:v>
                </c:pt>
                <c:pt idx="1">
                  <c:v>3379120624.0300002</c:v>
                </c:pt>
                <c:pt idx="2">
                  <c:v>2770141834.1799998</c:v>
                </c:pt>
                <c:pt idx="3">
                  <c:v>2492915605.7700005</c:v>
                </c:pt>
                <c:pt idx="4">
                  <c:v>2133306409.3499999</c:v>
                </c:pt>
                <c:pt idx="5">
                  <c:v>1892220602.73</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1"/>
                <c:pt idx="0">
                  <c:v>7.7241970481989927E-2</c:v>
                </c:pt>
                <c:pt idx="1">
                  <c:v>7.1822661276142855E-2</c:v>
                </c:pt>
                <c:pt idx="2">
                  <c:v>7.769067823178484E-2</c:v>
                </c:pt>
                <c:pt idx="3">
                  <c:v>7.9820696642371097E-2</c:v>
                </c:pt>
                <c:pt idx="4">
                  <c:v>7.9704607276086512E-2</c:v>
                </c:pt>
                <c:pt idx="5">
                  <c:v>0.08</c:v>
                </c:pt>
                <c:pt idx="6">
                  <c:v>0.08</c:v>
                </c:pt>
                <c:pt idx="7">
                  <c:v>0.08</c:v>
                </c:pt>
                <c:pt idx="8">
                  <c:v>7.9999999999999988E-2</c:v>
                </c:pt>
                <c:pt idx="9">
                  <c:v>8.6365069004460476E-2</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-0.52617034561550247</c:v>
                </c:pt>
                <c:pt idx="1">
                  <c:v>1.2309218137585185</c:v>
                </c:pt>
                <c:pt idx="2">
                  <c:v>7.1668233290207259E-2</c:v>
                </c:pt>
                <c:pt idx="3">
                  <c:v>-0.30578049072710917</c:v>
                </c:pt>
                <c:pt idx="4">
                  <c:v>-2.4859924797315816E-2</c:v>
                </c:pt>
                <c:pt idx="5">
                  <c:v>-4.6152732084669731E-2</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-0.93933822608308148</c:v>
                </c:pt>
                <c:pt idx="1">
                  <c:v>-8.6203384255491095E-2</c:v>
                </c:pt>
                <c:pt idx="2">
                  <c:v>0</c:v>
                </c:pt>
                <c:pt idx="3">
                  <c:v>0</c:v>
                </c:pt>
                <c:pt idx="4">
                  <c:v>0</c:v>
                </c:pt>
                <c:pt idx="5">
                  <c:v>0</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0.68284254875713102</c:v>
                </c:pt>
                <c:pt idx="1">
                  <c:v>-0.1798005371591907</c:v>
                </c:pt>
                <c:pt idx="2">
                  <c:v>0.13417540378641968</c:v>
                </c:pt>
                <c:pt idx="3">
                  <c:v>0.83906405071781986</c:v>
                </c:pt>
                <c:pt idx="4">
                  <c:v>0.31572554925062329</c:v>
                </c:pt>
                <c:pt idx="5">
                  <c:v>0.74267690574737655</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0.52837218459753676</c:v>
                </c:pt>
                <c:pt idx="1">
                  <c:v>-4.9965058510446081E-2</c:v>
                </c:pt>
                <c:pt idx="2">
                  <c:v>0.13908876436495488</c:v>
                </c:pt>
                <c:pt idx="3">
                  <c:v>0.53919604364321239</c:v>
                </c:pt>
                <c:pt idx="4">
                  <c:v>0.22747051072218413</c:v>
                </c:pt>
                <c:pt idx="5">
                  <c:v>0.16726334915767024</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0.35132793597297535</c:v>
                </c:pt>
                <c:pt idx="1">
                  <c:v>0.16060403740818568</c:v>
                </c:pt>
                <c:pt idx="2">
                  <c:v>0.14714847208004714</c:v>
                </c:pt>
                <c:pt idx="3">
                  <c:v>0.21438527086836667</c:v>
                </c:pt>
                <c:pt idx="4">
                  <c:v>0.14432766415874532</c:v>
                </c:pt>
                <c:pt idx="5">
                  <c:v>-0.10968184030547132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0.29158020288221076</c:v>
                </c:pt>
                <c:pt idx="1">
                  <c:v>-3.7376407822757848E-2</c:v>
                </c:pt>
                <c:pt idx="2">
                  <c:v>5.5210486576134143E-2</c:v>
                </c:pt>
                <c:pt idx="3">
                  <c:v>0.27730109350244897</c:v>
                </c:pt>
                <c:pt idx="4">
                  <c:v>0.25601929206855273</c:v>
                </c:pt>
                <c:pt idx="5">
                  <c:v>0.26658947692888879</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-0.50693602167021756</c:v>
                </c:pt>
                <c:pt idx="1">
                  <c:v>2.9948420404360112</c:v>
                </c:pt>
                <c:pt idx="2">
                  <c:v>0</c:v>
                </c:pt>
                <c:pt idx="3">
                  <c:v>0</c:v>
                </c:pt>
                <c:pt idx="4">
                  <c:v>0</c:v>
                </c:pt>
                <c:pt idx="5">
                  <c:v>0</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-0.43123218635649374</c:v>
                </c:pt>
                <c:pt idx="1">
                  <c:v>5.8268800220495249</c:v>
                </c:pt>
                <c:pt idx="2">
                  <c:v>1.573694686659721</c:v>
                </c:pt>
                <c:pt idx="3">
                  <c:v>-0.29067875648399177</c:v>
                </c:pt>
                <c:pt idx="4">
                  <c:v>0</c:v>
                </c:pt>
                <c:pt idx="5">
                  <c:v>0</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0.21463167862036087</c:v>
                </c:pt>
                <c:pt idx="1">
                  <c:v>0.45791266951713955</c:v>
                </c:pt>
                <c:pt idx="2">
                  <c:v>0.25038020967085672</c:v>
                </c:pt>
                <c:pt idx="3">
                  <c:v>0.25961756424967081</c:v>
                </c:pt>
                <c:pt idx="4">
                  <c:v>0.43701022134652312</c:v>
                </c:pt>
                <c:pt idx="5">
                  <c:v>0.50524969649979945</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7.8506548998758809E-4</c:v>
                </c:pt>
                <c:pt idx="1">
                  <c:v>1.3082834748667886E-2</c:v>
                </c:pt>
                <c:pt idx="2">
                  <c:v>1.7464413259662866E-2</c:v>
                </c:pt>
                <c:pt idx="3">
                  <c:v>0</c:v>
                </c:pt>
                <c:pt idx="4">
                  <c:v>0</c:v>
                </c:pt>
                <c:pt idx="5">
                  <c:v>0</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0.31704459017571723</c:v>
                </c:pt>
                <c:pt idx="1">
                  <c:v>0.24814757896685119</c:v>
                </c:pt>
                <c:pt idx="2">
                  <c:v>0.31445262911162492</c:v>
                </c:pt>
                <c:pt idx="3">
                  <c:v>0.33113917412580152</c:v>
                </c:pt>
                <c:pt idx="4">
                  <c:v>0.30295045944521293</c:v>
                </c:pt>
                <c:pt idx="5">
                  <c:v>0.27192978338129903</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0.77965233094520769</c:v>
                </c:pt>
                <c:pt idx="1">
                  <c:v>0.80320933621360735</c:v>
                </c:pt>
                <c:pt idx="2">
                  <c:v>0.87460883334015527</c:v>
                </c:pt>
                <c:pt idx="3">
                  <c:v>0</c:v>
                </c:pt>
                <c:pt idx="4">
                  <c:v>0</c:v>
                </c:pt>
                <c:pt idx="5">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0.22034766905479236</c:v>
                </c:pt>
                <c:pt idx="1">
                  <c:v>0.19679066378639268</c:v>
                </c:pt>
                <c:pt idx="2">
                  <c:v>0.12539116665984473</c:v>
                </c:pt>
                <c:pt idx="3">
                  <c:v>1</c:v>
                </c:pt>
                <c:pt idx="4">
                  <c:v>1</c:v>
                </c:pt>
                <c:pt idx="5">
                  <c:v>0</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1.3353641395818787</c:v>
                </c:pt>
                <c:pt idx="1">
                  <c:v>2.2082102011984115</c:v>
                </c:pt>
                <c:pt idx="2">
                  <c:v>1.5127376497494665</c:v>
                </c:pt>
                <c:pt idx="3">
                  <c:v>1.6343844568609289</c:v>
                </c:pt>
                <c:pt idx="4">
                  <c:v>2.680554397223768</c:v>
                </c:pt>
                <c:pt idx="5">
                  <c:v>3.2675187017344172</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733176594.04999995</c:v>
                </c:pt>
                <c:pt idx="1">
                  <c:v>1547342145.5699999</c:v>
                </c:pt>
                <c:pt idx="2">
                  <c:v>693588693.25999999</c:v>
                </c:pt>
                <c:pt idx="3">
                  <c:v>647204677.45000005</c:v>
                </c:pt>
                <c:pt idx="4">
                  <c:v>932276706.14999998</c:v>
                </c:pt>
                <c:pt idx="5">
                  <c:v>956043885.24000001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2681764.62</c:v>
                </c:pt>
                <c:pt idx="1">
                  <c:v>44208476.719999999</c:v>
                </c:pt>
                <c:pt idx="2">
                  <c:v>48378901.780000001</c:v>
                </c:pt>
                <c:pt idx="3">
                  <c:v>0</c:v>
                </c:pt>
                <c:pt idx="4">
                  <c:v>0</c:v>
                </c:pt>
                <c:pt idx="5">
                  <c:v>0</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1083016609.1099997</c:v>
                </c:pt>
                <c:pt idx="1">
                  <c:v>838520601.88999999</c:v>
                </c:pt>
                <c:pt idx="2">
                  <c:v>871078382.76999986</c:v>
                </c:pt>
                <c:pt idx="3">
                  <c:v>825502014.86000013</c:v>
                </c:pt>
                <c:pt idx="4">
                  <c:v>646286156.8499999</c:v>
                </c:pt>
                <c:pt idx="5">
                  <c:v>514551138.60999995</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3415975678.7199993</c:v>
                </c:pt>
                <c:pt idx="1">
                  <c:v>3379120624.0300002</c:v>
                </c:pt>
                <c:pt idx="2">
                  <c:v>2770141834.1799998</c:v>
                </c:pt>
                <c:pt idx="3">
                  <c:v>2492915605.7700005</c:v>
                </c:pt>
                <c:pt idx="4">
                  <c:v>2133306409.3499999</c:v>
                </c:pt>
                <c:pt idx="5">
                  <c:v>1892220602.73</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197566288.30000001</c:v>
                </c:pt>
                <c:pt idx="1">
                  <c:v>400690979.23000002</c:v>
                </c:pt>
                <c:pt idx="2">
                  <c:v>100302083.33</c:v>
                </c:pt>
                <c:pt idx="3">
                  <c:v>0</c:v>
                </c:pt>
                <c:pt idx="4">
                  <c:v>0</c:v>
                </c:pt>
                <c:pt idx="5">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55836774.140000001</c:v>
                </c:pt>
                <c:pt idx="1">
                  <c:v>98171473.140000001</c:v>
                </c:pt>
                <c:pt idx="2">
                  <c:v>14380137.460000001</c:v>
                </c:pt>
                <c:pt idx="3">
                  <c:v>5587351.7300000004</c:v>
                </c:pt>
                <c:pt idx="4">
                  <c:v>7877039.8899999997</c:v>
                </c:pt>
                <c:pt idx="5">
                  <c:v>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535610305.74999976</c:v>
                </c:pt>
                <c:pt idx="1">
                  <c:v>1146651166.3400002</c:v>
                </c:pt>
                <c:pt idx="2">
                  <c:v>593286609.92999995</c:v>
                </c:pt>
                <c:pt idx="3">
                  <c:v>647204677.45000029</c:v>
                </c:pt>
                <c:pt idx="4">
                  <c:v>932276706.14999986</c:v>
                </c:pt>
                <c:pt idx="5">
                  <c:v>956043885.24000001</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-535610305.74999994</c:v>
                </c:pt>
                <c:pt idx="1">
                  <c:v>-1146651166.3399999</c:v>
                </c:pt>
                <c:pt idx="2">
                  <c:v>-593286609.92999995</c:v>
                </c:pt>
                <c:pt idx="3">
                  <c:v>-647204677.45000005</c:v>
                </c:pt>
                <c:pt idx="4">
                  <c:v>-932276706.14999998</c:v>
                </c:pt>
                <c:pt idx="5">
                  <c:v>-956043885.24000001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0.5653528871352409</c:v>
                </c:pt>
                <c:pt idx="1">
                  <c:v>0.5153690514512882</c:v>
                </c:pt>
                <c:pt idx="2">
                  <c:v>0.51037887261951453</c:v>
                </c:pt>
                <c:pt idx="3">
                  <c:v>0.55138335536906347</c:v>
                </c:pt>
                <c:pt idx="4">
                  <c:v>0.56019843494471799</c:v>
                </c:pt>
                <c:pt idx="5">
                  <c:v>0.57783887545193702</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0.43464711286475916</c:v>
                </c:pt>
                <c:pt idx="1">
                  <c:v>0.4846309485487118</c:v>
                </c:pt>
                <c:pt idx="2">
                  <c:v>0.48962112738048541</c:v>
                </c:pt>
                <c:pt idx="3">
                  <c:v>0.44861664463093659</c:v>
                </c:pt>
                <c:pt idx="4">
                  <c:v>0.43980156505528201</c:v>
                </c:pt>
                <c:pt idx="5">
                  <c:v>0.42216112454806304</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7.0642397858853932E-3</c:v>
                </c:pt>
                <c:pt idx="1">
                  <c:v>1.0430598457755081E-2</c:v>
                </c:pt>
                <c:pt idx="2">
                  <c:v>1.0609974765724874E-2</c:v>
                </c:pt>
                <c:pt idx="3">
                  <c:v>9.9353815607877601E-3</c:v>
                </c:pt>
                <c:pt idx="4">
                  <c:v>9.3780516807361342E-3</c:v>
                </c:pt>
                <c:pt idx="5">
                  <c:v>8.193437774423799E-3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0.2160998728473458</c:v>
                </c:pt>
                <c:pt idx="1">
                  <c:v>0.24936278742137075</c:v>
                </c:pt>
                <c:pt idx="2">
                  <c:v>0.24080144199559059</c:v>
                </c:pt>
                <c:pt idx="3">
                  <c:v>0.21826966562981243</c:v>
                </c:pt>
                <c:pt idx="4">
                  <c:v>0.21987605441293132</c:v>
                </c:pt>
                <c:pt idx="5">
                  <c:v>0.20794978136561207</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8.8416770218776058E-2</c:v>
                </c:pt>
                <c:pt idx="1">
                  <c:v>9.7378155632180191E-2</c:v>
                </c:pt>
                <c:pt idx="2">
                  <c:v>8.5895385740603791E-2</c:v>
                </c:pt>
                <c:pt idx="3">
                  <c:v>7.215926517561376E-2</c:v>
                </c:pt>
                <c:pt idx="4">
                  <c:v>6.846256416651246E-2</c:v>
                </c:pt>
                <c:pt idx="5">
                  <c:v>5.7096406619858639E-2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1.4066411408642548E-2</c:v>
                </c:pt>
                <c:pt idx="1">
                  <c:v>1.5402435486595192E-2</c:v>
                </c:pt>
                <c:pt idx="2">
                  <c:v>1.0735824314603185E-2</c:v>
                </c:pt>
                <c:pt idx="3">
                  <c:v>5.8017555452434186E-3</c:v>
                </c:pt>
                <c:pt idx="4">
                  <c:v>4.4870878645851481E-3</c:v>
                </c:pt>
                <c:pt idx="5">
                  <c:v>2.8527840381664779E-3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5.2263816889248655E-4</c:v>
                </c:pt>
                <c:pt idx="1">
                  <c:v>4.6134021146343571E-4</c:v>
                </c:pt>
                <c:pt idx="2">
                  <c:v>3.7553598653514028E-4</c:v>
                </c:pt>
                <c:pt idx="3">
                  <c:v>3.7287054977729083E-4</c:v>
                </c:pt>
                <c:pt idx="4">
                  <c:v>4.0973552086460713E-4</c:v>
                </c:pt>
                <c:pt idx="5">
                  <c:v>3.982321922757764E-4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3.7482775005262588E-3</c:v>
                </c:pt>
                <c:pt idx="1">
                  <c:v>9.0411431965507875E-3</c:v>
                </c:pt>
                <c:pt idx="2">
                  <c:v>1.0248745208441613E-2</c:v>
                </c:pt>
                <c:pt idx="3">
                  <c:v>7.136289160305208E-3</c:v>
                </c:pt>
                <c:pt idx="4">
                  <c:v>7.4786268355353227E-3</c:v>
                </c:pt>
                <c:pt idx="5">
                  <c:v>8.9690123924327653E-3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0.32991820993006854</c:v>
                </c:pt>
                <c:pt idx="1">
                  <c:v>0.38207646040591547</c:v>
                </c:pt>
                <c:pt idx="2">
                  <c:v>0.35866690801149914</c:v>
                </c:pt>
                <c:pt idx="3">
                  <c:v>0.31367522762153993</c:v>
                </c:pt>
                <c:pt idx="4">
                  <c:v>0.31009212048116491</c:v>
                </c:pt>
                <c:pt idx="5">
                  <c:v>0.28545965438276949</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9.1839924187747821E-2</c:v>
                </c:pt>
                <c:pt idx="1">
                  <c:v>9.7874142032542411E-2</c:v>
                </c:pt>
                <c:pt idx="2">
                  <c:v>0.12529404017861698</c:v>
                </c:pt>
                <c:pt idx="3">
                  <c:v>0.13144936856659847</c:v>
                </c:pt>
                <c:pt idx="4">
                  <c:v>0.12248608103009449</c:v>
                </c:pt>
                <c:pt idx="5">
                  <c:v>0.13301566544362509</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0.97175081047278278</c:v>
                </c:pt>
                <c:pt idx="1">
                  <c:v>0.8811300777590737</c:v>
                </c:pt>
                <c:pt idx="2">
                  <c:v>0.85708451001171437</c:v>
                </c:pt>
                <c:pt idx="3">
                  <c:v>0.91186124618502906</c:v>
                </c:pt>
                <c:pt idx="4">
                  <c:v>0.93316216535487861</c:v>
                </c:pt>
                <c:pt idx="5">
                  <c:v>0.94897968732373328</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2.8249189527217267E-2</c:v>
                </c:pt>
                <c:pt idx="1">
                  <c:v>0.11886992224092631</c:v>
                </c:pt>
                <c:pt idx="2">
                  <c:v>0.14291548998828563</c:v>
                </c:pt>
                <c:pt idx="3">
                  <c:v>8.813875381497098E-2</c:v>
                </c:pt>
                <c:pt idx="4">
                  <c:v>6.6837834645121372E-2</c:v>
                </c:pt>
                <c:pt idx="5">
                  <c:v>5.1020312676266714E-2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8.7758475670423053E-2</c:v>
                </c:pt>
                <c:pt idx="1">
                  <c:v>0.11009182871443379</c:v>
                </c:pt>
                <c:pt idx="2">
                  <c:v>0.14557633289197322</c:v>
                </c:pt>
                <c:pt idx="3">
                  <c:v>0.14371362606605287</c:v>
                </c:pt>
                <c:pt idx="4">
                  <c:v>0.13095871866346628</c:v>
                </c:pt>
                <c:pt idx="5">
                  <c:v>0.13984776173082955</c:v>
                </c:pt>
                <c:pt idx="6">
                  <c:v>0.15617500321063818</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0.97175081047278278</c:v>
                </c:pt>
                <c:pt idx="1">
                  <c:v>0.8811300777590737</c:v>
                </c:pt>
                <c:pt idx="2">
                  <c:v>0.85708451001171437</c:v>
                </c:pt>
                <c:pt idx="3">
                  <c:v>0.91186124618502906</c:v>
                </c:pt>
                <c:pt idx="4">
                  <c:v>0.93316216535487861</c:v>
                </c:pt>
                <c:pt idx="5">
                  <c:v>0.94897968732373328</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2.8249189527217267E-2</c:v>
                </c:pt>
                <c:pt idx="1">
                  <c:v>0.11886992224092631</c:v>
                </c:pt>
                <c:pt idx="2">
                  <c:v>0.14291548998828563</c:v>
                </c:pt>
                <c:pt idx="3">
                  <c:v>8.813875381497098E-2</c:v>
                </c:pt>
                <c:pt idx="4">
                  <c:v>6.6837834645121372E-2</c:v>
                </c:pt>
                <c:pt idx="5">
                  <c:v>5.1020312676266714E-2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7.1434666210596354E-2</c:v>
                </c:pt>
                <c:pt idx="1">
                  <c:v>8.8779366920612723E-3</c:v>
                </c:pt>
                <c:pt idx="2">
                  <c:v>4.1727462204315113E-3</c:v>
                </c:pt>
                <c:pt idx="3">
                  <c:v>3.0618816402628868E-3</c:v>
                </c:pt>
                <c:pt idx="4">
                  <c:v>2.2889094633132823E-3</c:v>
                </c:pt>
                <c:pt idx="5">
                  <c:v>2.2777786538751288E-3</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4661850865.5100002</c:v>
                </c:pt>
                <c:pt idx="1">
                  <c:v>3152216442.1500001</c:v>
                </c:pt>
                <c:pt idx="2">
                  <c:v>2915633891.98</c:v>
                </c:pt>
                <c:pt idx="3">
                  <c:v>2761400573.5100002</c:v>
                </c:pt>
                <c:pt idx="4">
                  <c:v>2524209416.4000001</c:v>
                </c:pt>
                <c:pt idx="5">
                  <c:v>2724953861.21</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2635590846.21</c:v>
                </c:pt>
                <c:pt idx="1">
                  <c:v>1624554797.76</c:v>
                </c:pt>
                <c:pt idx="2">
                  <c:v>1488077938.76</c:v>
                </c:pt>
                <c:pt idx="3">
                  <c:v>1522590313.74</c:v>
                </c:pt>
                <c:pt idx="4">
                  <c:v>1414058164.54</c:v>
                </c:pt>
                <c:pt idx="5">
                  <c:v>1574584274.8199999</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2026260019.3000002</c:v>
                </c:pt>
                <c:pt idx="1">
                  <c:v>1527661644.3900001</c:v>
                </c:pt>
                <c:pt idx="2">
                  <c:v>1427555953.22</c:v>
                </c:pt>
                <c:pt idx="3">
                  <c:v>1238810259.7700002</c:v>
                </c:pt>
                <c:pt idx="4">
                  <c:v>1110151251.8600001</c:v>
                </c:pt>
                <c:pt idx="5">
                  <c:v>1150369586.3900001</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1.0285052847599297E-2</c:v>
                </c:pt>
                <c:pt idx="1">
                  <c:v>2.7233471434463124E-2</c:v>
                </c:pt>
                <c:pt idx="2">
                  <c:v>8.8259962303040188E-2</c:v>
                </c:pt>
                <c:pt idx="3">
                  <c:v>5.4221802473908891E-2</c:v>
                </c:pt>
                <c:pt idx="4">
                  <c:v>2.3640010020473265E-2</c:v>
                </c:pt>
                <c:pt idx="5">
                  <c:v>2.038359489387042E-2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2.9189460837232937</c:v>
                </c:pt>
                <c:pt idx="1">
                  <c:v>3.3214461150791692</c:v>
                </c:pt>
                <c:pt idx="2">
                  <c:v>2.5197859588978422</c:v>
                </c:pt>
                <c:pt idx="3">
                  <c:v>2.706701085510824</c:v>
                </c:pt>
                <c:pt idx="4">
                  <c:v>4.5502276376324344</c:v>
                </c:pt>
                <c:pt idx="5">
                  <c:v>6.4629709337097783</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4.3045054215198153</c:v>
                </c:pt>
                <c:pt idx="1">
                  <c:v>3.7592593849751572</c:v>
                </c:pt>
                <c:pt idx="2">
                  <c:v>3.3471544577979109</c:v>
                </c:pt>
                <c:pt idx="3">
                  <c:v>3.3451166972358219</c:v>
                </c:pt>
                <c:pt idx="4">
                  <c:v>3.9057148132384611</c:v>
                </c:pt>
                <c:pt idx="5">
                  <c:v>5.2957882253863939</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6.3584283832062418</c:v>
                </c:pt>
                <c:pt idx="1">
                  <c:v>2.0371812731752401</c:v>
                </c:pt>
                <c:pt idx="2">
                  <c:v>4.2036929383550952</c:v>
                </c:pt>
                <c:pt idx="3">
                  <c:v>4.2666573183463017</c:v>
                </c:pt>
                <c:pt idx="4">
                  <c:v>2.7075753365373303</c:v>
                </c:pt>
                <c:pt idx="5">
                  <c:v>2.8502393072949181</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1738.3519906046042</c:v>
                </c:pt>
                <c:pt idx="1">
                  <c:v>71.303439431196949</c:v>
                </c:pt>
                <c:pt idx="2">
                  <c:v>60.266640719515728</c:v>
                </c:pt>
                <c:pt idx="3">
                  <c:v>0</c:v>
                </c:pt>
                <c:pt idx="4">
                  <c:v>0</c:v>
                </c:pt>
                <c:pt idx="5">
                  <c:v>0</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5.198194657521527</c:v>
                </c:pt>
                <c:pt idx="1">
                  <c:v>4.4231971795653129</c:v>
                </c:pt>
                <c:pt idx="2">
                  <c:v>4.0266248106208806</c:v>
                </c:pt>
                <c:pt idx="3">
                  <c:v>4.1981222323944127</c:v>
                </c:pt>
                <c:pt idx="4">
                  <c:v>3.9057148132384603</c:v>
                </c:pt>
                <c:pt idx="5">
                  <c:v>0.50512785240247826</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12.233001069839267</c:v>
                </c:pt>
                <c:pt idx="1">
                  <c:v>8.1498008415876981</c:v>
                </c:pt>
                <c:pt idx="2">
                  <c:v>7.4165003762518662</c:v>
                </c:pt>
                <c:pt idx="3">
                  <c:v>6.946860946819605</c:v>
                </c:pt>
                <c:pt idx="4">
                  <c:v>6.1878711359330518</c:v>
                </c:pt>
                <c:pt idx="5">
                  <c:v>8.1384451783392429</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518.57265479916748</c:v>
                </c:pt>
                <c:pt idx="1">
                  <c:v>399.78414079145523</c:v>
                </c:pt>
                <c:pt idx="2">
                  <c:v>251.25752164958979</c:v>
                </c:pt>
                <c:pt idx="3">
                  <c:v>288.28678402411981</c:v>
                </c:pt>
                <c:pt idx="4">
                  <c:v>1231.3216665365853</c:v>
                </c:pt>
                <c:pt idx="5">
                  <c:v>93.624073637753682</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15.208464980449202</c:v>
                </c:pt>
                <c:pt idx="1">
                  <c:v>26.675105483631366</c:v>
                </c:pt>
                <c:pt idx="2">
                  <c:v>25.292357312553584</c:v>
                </c:pt>
                <c:pt idx="3">
                  <c:v>26.513885334276324</c:v>
                </c:pt>
                <c:pt idx="4">
                  <c:v>23.561752425911877</c:v>
                </c:pt>
                <c:pt idx="5">
                  <c:v>34.707593777569912</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16.06647754890686</c:v>
                </c:pt>
                <c:pt idx="1">
                  <c:v>16.883397336434367</c:v>
                </c:pt>
                <c:pt idx="2">
                  <c:v>22.44259324672052</c:v>
                </c:pt>
                <c:pt idx="3">
                  <c:v>42.165533851154535</c:v>
                </c:pt>
                <c:pt idx="4">
                  <c:v>30.853660973148301</c:v>
                </c:pt>
                <c:pt idx="5">
                  <c:v>31.217516429768818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3.1643178485948229</c:v>
                </c:pt>
                <c:pt idx="1">
                  <c:v>2.4639247096308416</c:v>
                </c:pt>
                <c:pt idx="2">
                  <c:v>2.3017503116306424</c:v>
                </c:pt>
                <c:pt idx="3">
                  <c:v>2.3097973568643635</c:v>
                </c:pt>
                <c:pt idx="4">
                  <c:v>2.1704148471408047</c:v>
                </c:pt>
                <c:pt idx="5">
                  <c:v>2.7747349762202895</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7.4370585241088767</c:v>
                </c:pt>
                <c:pt idx="1">
                  <c:v>6.4985762889768219</c:v>
                </c:pt>
                <c:pt idx="2">
                  <c:v>6.4784196105060179</c:v>
                </c:pt>
                <c:pt idx="3">
                  <c:v>5.6507472277328388</c:v>
                </c:pt>
                <c:pt idx="4">
                  <c:v>5.4896759463806788</c:v>
                </c:pt>
                <c:pt idx="5">
                  <c:v>6.0962800461564184</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0.1952072561511001</c:v>
                </c:pt>
                <c:pt idx="1">
                  <c:v>0.21273193432975832</c:v>
                </c:pt>
                <c:pt idx="2">
                  <c:v>0.21772179605103392</c:v>
                </c:pt>
                <c:pt idx="3">
                  <c:v>0.22324168208455378</c:v>
                </c:pt>
                <c:pt idx="4">
                  <c:v>0.30404663679595167</c:v>
                </c:pt>
                <c:pt idx="5">
                  <c:v>0.45011319015685858</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0.11222545793574309</c:v>
                </c:pt>
                <c:pt idx="1">
                  <c:v>0.12063677453589787</c:v>
                </c:pt>
                <c:pt idx="2">
                  <c:v>0.15145170978586944</c:v>
                </c:pt>
                <c:pt idx="3">
                  <c:v>0.14921399533000709</c:v>
                </c:pt>
                <c:pt idx="4">
                  <c:v>0.14466669824518766</c:v>
                </c:pt>
                <c:pt idx="5">
                  <c:v>0.154639494950159</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409116925.75999999</c:v>
                </c:pt>
                <c:pt idx="1">
                  <c:v>347033272.61999971</c:v>
                </c:pt>
                <c:pt idx="2">
                  <c:v>424447290.04999995</c:v>
                </c:pt>
                <c:pt idx="3">
                  <c:v>396850889.44000012</c:v>
                </c:pt>
                <c:pt idx="4">
                  <c:v>330567230.81</c:v>
                </c:pt>
                <c:pt idx="5">
                  <c:v>381078698.31000006</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3152725257.1299996</c:v>
                </c:pt>
                <c:pt idx="1">
                  <c:v>2880258171.6600003</c:v>
                </c:pt>
                <c:pt idx="2">
                  <c:v>2655459613.3900003</c:v>
                </c:pt>
                <c:pt idx="3">
                  <c:v>2487328254.04</c:v>
                </c:pt>
                <c:pt idx="4">
                  <c:v>2125429369.46</c:v>
                </c:pt>
                <c:pt idx="5">
                  <c:v>1892220602.73</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4661850865.5100002</c:v>
                </c:pt>
                <c:pt idx="1">
                  <c:v>3152216442.1500001</c:v>
                </c:pt>
                <c:pt idx="2">
                  <c:v>2915633891.98</c:v>
                </c:pt>
                <c:pt idx="3">
                  <c:v>2761400573.5100002</c:v>
                </c:pt>
                <c:pt idx="4">
                  <c:v>2524209416.4000001</c:v>
                </c:pt>
                <c:pt idx="5">
                  <c:v>2724953861.21</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523178348.21000004</c:v>
                </c:pt>
                <c:pt idx="1">
                  <c:v>380273224.21999973</c:v>
                </c:pt>
                <c:pt idx="2">
                  <c:v>441577738.04999995</c:v>
                </c:pt>
                <c:pt idx="3">
                  <c:v>412039612.28000009</c:v>
                </c:pt>
                <c:pt idx="4">
                  <c:v>365169041.95000005</c:v>
                </c:pt>
                <c:pt idx="5">
                  <c:v>421385488.86000007</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2681764.62</c:v>
                </c:pt>
                <c:pt idx="1">
                  <c:v>44208476.719999999</c:v>
                </c:pt>
                <c:pt idx="2">
                  <c:v>48378901.780000001</c:v>
                </c:pt>
                <c:pt idx="3">
                  <c:v>0</c:v>
                </c:pt>
                <c:pt idx="4">
                  <c:v>0</c:v>
                </c:pt>
                <c:pt idx="5">
                  <c:v>0</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1.045602289338069</c:v>
                </c:pt>
                <c:pt idx="1">
                  <c:v>0.99955722520543211</c:v>
                </c:pt>
                <c:pt idx="2">
                  <c:v>0.96354576644457834</c:v>
                </c:pt>
                <c:pt idx="3">
                  <c:v>1.0257507013147693</c:v>
                </c:pt>
                <c:pt idx="4">
                  <c:v>1.0143804989748262</c:v>
                </c:pt>
                <c:pt idx="5">
                  <c:v>0.98766317339072685</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0.92152830910873085</c:v>
                </c:pt>
                <c:pt idx="1">
                  <c:v>0.76511378169200561</c:v>
                </c:pt>
                <c:pt idx="2">
                  <c:v>0.81368912839992358</c:v>
                </c:pt>
                <c:pt idx="3">
                  <c:v>0.81056244141787448</c:v>
                </c:pt>
                <c:pt idx="4">
                  <c:v>0.83443795240395935</c:v>
                </c:pt>
                <c:pt idx="5">
                  <c:v>0.89158704274303535</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0.93036426702332808</c:v>
                </c:pt>
                <c:pt idx="1">
                  <c:v>1.6379661578913836</c:v>
                </c:pt>
                <c:pt idx="2">
                  <c:v>0.92935462180891093</c:v>
                </c:pt>
                <c:pt idx="3">
                  <c:v>1.3995570157747532</c:v>
                </c:pt>
                <c:pt idx="4">
                  <c:v>1.3379553798062613</c:v>
                </c:pt>
                <c:pt idx="5">
                  <c:v>0.67979319347627942</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0.97363340802886267</c:v>
                </c:pt>
                <c:pt idx="1">
                  <c:v>1.456189203631066</c:v>
                </c:pt>
                <c:pt idx="2">
                  <c:v>0.79987311819096862</c:v>
                </c:pt>
                <c:pt idx="3">
                  <c:v>1.2801213846764155</c:v>
                </c:pt>
                <c:pt idx="4">
                  <c:v>1.2513936661730538</c:v>
                </c:pt>
                <c:pt idx="5">
                  <c:v>0.64658270447213329</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-0.41281066532395461</c:v>
                </c:pt>
                <c:pt idx="1">
                  <c:v>0.58917596023769991</c:v>
                </c:pt>
                <c:pt idx="2">
                  <c:v>-0.4405296262542549</c:v>
                </c:pt>
                <c:pt idx="3">
                  <c:v>0.21455101797716131</c:v>
                </c:pt>
                <c:pt idx="4">
                  <c:v>0.79113366005655839</c:v>
                </c:pt>
                <c:pt idx="5">
                  <c:v>-0.29858573456785759</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398329906.70999998</c:v>
                </c:pt>
                <c:pt idx="1">
                  <c:v>505346104.88999999</c:v>
                </c:pt>
                <c:pt idx="2">
                  <c:v>339503977.39999998</c:v>
                </c:pt>
                <c:pt idx="3">
                  <c:v>508017310.10000002</c:v>
                </c:pt>
                <c:pt idx="4">
                  <c:v>413669738.88</c:v>
                </c:pt>
                <c:pt idx="5">
                  <c:v>246398895.37</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428144030.063025</c:v>
                </c:pt>
                <c:pt idx="1">
                  <c:v>308520479.7763046</c:v>
                </c:pt>
                <c:pt idx="2">
                  <c:v>365311550.00787956</c:v>
                </c:pt>
                <c:pt idx="3">
                  <c:v>362984361.74733239</c:v>
                </c:pt>
                <c:pt idx="4">
                  <c:v>309180519.11409795</c:v>
                </c:pt>
                <c:pt idx="5">
                  <c:v>362461551.15202373</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409116925.75999999</c:v>
                </c:pt>
                <c:pt idx="1">
                  <c:v>347033272.61999971</c:v>
                </c:pt>
                <c:pt idx="2">
                  <c:v>424447290.04999995</c:v>
                </c:pt>
                <c:pt idx="3">
                  <c:v>396850889.44000012</c:v>
                </c:pt>
                <c:pt idx="4">
                  <c:v>330567230.81</c:v>
                </c:pt>
                <c:pt idx="5">
                  <c:v>381078698.31000006</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AQ85"/>
  <sheetViews>
    <sheetView workbookViewId="0">
      <selection activeCell="Y25" sqref="Y25"/>
    </sheetView>
  </sheetViews>
  <sheetFormatPr defaultRowHeight="14.4" x14ac:dyDescent="0.25"/>
  <cols>
    <col min="1" max="1" width="35.88671875" style="190" bestFit="1" customWidth="1"/>
    <col min="2" max="2" width="12.77734375" style="190" hidden="1" customWidth="1"/>
    <col min="3" max="4" width="13.88671875" style="190" hidden="1" customWidth="1"/>
    <col min="5" max="5" width="13.88671875" style="190" bestFit="1" customWidth="1"/>
    <col min="6" max="6" width="13.88671875" style="190" hidden="1" customWidth="1"/>
    <col min="7"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2" width="12.77734375" style="190" hidden="1" customWidth="1"/>
    <col min="23" max="23" width="13.88671875" style="190" hidden="1" customWidth="1"/>
    <col min="24" max="24" width="12.77734375" style="190" hidden="1" customWidth="1"/>
    <col min="25" max="25" width="12.77734375" style="190" bestFit="1" customWidth="1"/>
    <col min="26" max="28" width="12.77734375" style="190" hidden="1" customWidth="1"/>
    <col min="29" max="29" width="12.77734375" style="190" bestFit="1" customWidth="1"/>
    <col min="30" max="30" width="12.77734375" style="190" hidden="1" customWidth="1"/>
    <col min="31" max="31" width="13.88671875" style="190" hidden="1" customWidth="1"/>
    <col min="32" max="32" width="12.77734375" style="190" hidden="1" customWidth="1"/>
    <col min="33" max="33" width="12.77734375" style="190" bestFit="1" customWidth="1"/>
    <col min="34" max="36" width="12.77734375" style="190" hidden="1" customWidth="1"/>
    <col min="37" max="37" width="12.77734375" style="190" bestFit="1" customWidth="1"/>
    <col min="38" max="39" width="12.77734375" style="190" hidden="1" customWidth="1"/>
    <col min="40" max="42" width="12.77734375" style="190" bestFit="1" customWidth="1"/>
    <col min="43" max="43" width="9.5546875" style="190" hidden="1" customWidth="1"/>
    <col min="44" max="16384" width="8.88671875" style="190"/>
  </cols>
  <sheetData>
    <row r="1" spans="1:43" x14ac:dyDescent="0.25">
      <c r="A1" s="190">
        <v>2293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20081231</v>
      </c>
      <c r="AO1" s="190">
        <v>20071231</v>
      </c>
      <c r="AP1" s="190">
        <v>20061231</v>
      </c>
      <c r="AQ1" s="190">
        <v>19700101</v>
      </c>
    </row>
    <row r="2" spans="1:43"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row>
    <row r="3" spans="1:43" x14ac:dyDescent="0.25">
      <c r="A3" s="190" t="s">
        <v>107</v>
      </c>
    </row>
    <row r="4" spans="1:43" x14ac:dyDescent="0.25">
      <c r="A4" s="190" t="s">
        <v>108</v>
      </c>
      <c r="B4" s="190">
        <v>710118691.26999998</v>
      </c>
      <c r="C4" s="190">
        <v>770050427.76999998</v>
      </c>
      <c r="D4" s="190">
        <v>920634080.02999997</v>
      </c>
      <c r="E4" s="190">
        <v>430523371.25999999</v>
      </c>
      <c r="F4" s="190">
        <v>352507611.31</v>
      </c>
      <c r="G4" s="190">
        <v>602354687.92999995</v>
      </c>
      <c r="H4" s="190">
        <v>676673658.49000001</v>
      </c>
      <c r="I4" s="190">
        <v>1158545020.5699999</v>
      </c>
      <c r="J4" s="190">
        <v>528927546.98000002</v>
      </c>
      <c r="K4" s="190">
        <v>566329470.64999998</v>
      </c>
      <c r="L4" s="190">
        <v>692567896.78999996</v>
      </c>
      <c r="M4" s="190">
        <v>589602793.25999999</v>
      </c>
      <c r="N4" s="190">
        <v>736928180.35000002</v>
      </c>
      <c r="O4" s="190">
        <v>619994822.77999997</v>
      </c>
      <c r="P4" s="190">
        <v>669893756.87</v>
      </c>
      <c r="Q4" s="190">
        <v>647204677.45000005</v>
      </c>
      <c r="R4" s="190">
        <v>629117054.61000001</v>
      </c>
      <c r="S4" s="190">
        <v>835542721.87</v>
      </c>
      <c r="T4" s="190">
        <v>884858061.70000005</v>
      </c>
      <c r="U4" s="190">
        <v>932276706.14999998</v>
      </c>
      <c r="V4" s="190">
        <v>902923862.08000004</v>
      </c>
      <c r="W4" s="190">
        <v>668725962.38</v>
      </c>
      <c r="X4" s="190">
        <v>841093308.09000003</v>
      </c>
      <c r="Y4" s="190">
        <v>956043885.24000001</v>
      </c>
      <c r="Z4" s="190">
        <v>803173622.38</v>
      </c>
      <c r="AA4" s="190">
        <v>667828913.97000003</v>
      </c>
      <c r="AB4" s="190">
        <v>1014024416.74</v>
      </c>
      <c r="AC4" s="190">
        <v>1002302902.5700001</v>
      </c>
      <c r="AD4" s="190">
        <v>982362386.38999999</v>
      </c>
      <c r="AE4" s="190">
        <v>862194779.22000003</v>
      </c>
      <c r="AF4" s="190">
        <v>1151874426.3</v>
      </c>
      <c r="AG4" s="190">
        <v>1057191976.45</v>
      </c>
      <c r="AH4" s="190">
        <v>960610001.01999998</v>
      </c>
      <c r="AI4" s="190">
        <v>930790908.42999995</v>
      </c>
      <c r="AJ4" s="190">
        <v>1127355392.73</v>
      </c>
      <c r="AK4" s="190">
        <v>1066884381.7</v>
      </c>
      <c r="AL4" s="190">
        <v>1057983159.11</v>
      </c>
      <c r="AM4" s="190">
        <v>74808751.980000004</v>
      </c>
      <c r="AN4" s="190">
        <v>78505801.079999998</v>
      </c>
      <c r="AO4" s="190">
        <v>45134760.259999998</v>
      </c>
      <c r="AP4" s="190">
        <v>52609626.460000001</v>
      </c>
      <c r="AQ4" s="190">
        <v>0</v>
      </c>
    </row>
    <row r="5" spans="1:43" x14ac:dyDescent="0.25">
      <c r="A5" s="190" t="s">
        <v>109</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row>
    <row r="6" spans="1:43"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row>
    <row r="7" spans="1:43" x14ac:dyDescent="0.25">
      <c r="A7" s="190" t="s">
        <v>111</v>
      </c>
      <c r="B7" s="190">
        <v>2091940</v>
      </c>
      <c r="C7" s="190">
        <v>12188750.060000001</v>
      </c>
      <c r="D7" s="190">
        <v>12253833.02</v>
      </c>
      <c r="E7" s="190">
        <v>3849740</v>
      </c>
      <c r="F7" s="190">
        <v>2270355</v>
      </c>
      <c r="G7" s="190">
        <v>410000</v>
      </c>
      <c r="H7" s="190">
        <v>260000</v>
      </c>
      <c r="I7" s="190">
        <v>1745397.86</v>
      </c>
      <c r="J7" s="190">
        <v>1670538.45</v>
      </c>
      <c r="K7" s="190">
        <v>1901931.76</v>
      </c>
      <c r="L7" s="190">
        <v>1621023.8</v>
      </c>
      <c r="M7" s="190">
        <v>1172800</v>
      </c>
      <c r="N7" s="190">
        <v>960000</v>
      </c>
      <c r="O7" s="190">
        <v>642464.94999999995</v>
      </c>
      <c r="P7" s="190">
        <v>714615.16</v>
      </c>
      <c r="Q7" s="190">
        <v>989915.78</v>
      </c>
      <c r="R7" s="190">
        <v>1037190.86</v>
      </c>
      <c r="S7" s="190">
        <v>3400644.27</v>
      </c>
      <c r="T7" s="190">
        <v>2306793.2999999998</v>
      </c>
      <c r="U7" s="190">
        <v>1548416.19</v>
      </c>
      <c r="V7" s="190">
        <v>6040809</v>
      </c>
      <c r="W7" s="190">
        <v>564541.11</v>
      </c>
      <c r="X7" s="190">
        <v>1149010.01</v>
      </c>
      <c r="Y7" s="190">
        <v>270236.12</v>
      </c>
      <c r="Z7" s="190">
        <v>409012.88</v>
      </c>
      <c r="AA7" s="190">
        <v>105891.24</v>
      </c>
      <c r="AB7" s="190">
        <v>775288.63</v>
      </c>
      <c r="AC7" s="190">
        <v>193838.98</v>
      </c>
      <c r="AD7" s="190">
        <v>79436.14</v>
      </c>
      <c r="AE7" s="190">
        <v>409616.21</v>
      </c>
      <c r="AF7" s="190">
        <v>4603722.82</v>
      </c>
      <c r="AG7" s="190">
        <v>11958225.689999999</v>
      </c>
      <c r="AH7" s="190">
        <v>0</v>
      </c>
      <c r="AI7" s="190">
        <v>513410.17</v>
      </c>
      <c r="AJ7" s="190">
        <v>572196.31999999995</v>
      </c>
      <c r="AK7" s="190">
        <v>2245820.88</v>
      </c>
      <c r="AL7" s="190">
        <v>661669.98</v>
      </c>
      <c r="AM7" s="190">
        <v>636142.48</v>
      </c>
      <c r="AN7" s="190">
        <v>649386.37</v>
      </c>
      <c r="AO7" s="190">
        <v>0</v>
      </c>
      <c r="AP7" s="190">
        <v>0</v>
      </c>
      <c r="AQ7" s="190">
        <v>0</v>
      </c>
    </row>
    <row r="8" spans="1:43" x14ac:dyDescent="0.25">
      <c r="A8" s="190" t="s">
        <v>112</v>
      </c>
      <c r="B8" s="190">
        <v>580853983.89999998</v>
      </c>
      <c r="C8" s="190">
        <v>438138467.91000003</v>
      </c>
      <c r="D8" s="190">
        <v>460113507.56</v>
      </c>
      <c r="E8" s="190">
        <v>480808686.57999998</v>
      </c>
      <c r="F8" s="190">
        <v>445741889.49000001</v>
      </c>
      <c r="G8" s="190">
        <v>382694965.16000003</v>
      </c>
      <c r="H8" s="190">
        <v>398118229.81</v>
      </c>
      <c r="I8" s="190">
        <v>292689716.82999998</v>
      </c>
      <c r="J8" s="190">
        <v>330087803.26999998</v>
      </c>
      <c r="K8" s="190">
        <v>298798072.86000001</v>
      </c>
      <c r="L8" s="190">
        <v>338224879.04000002</v>
      </c>
      <c r="M8" s="190">
        <v>268050567.55000001</v>
      </c>
      <c r="N8" s="190">
        <v>240127970.28999999</v>
      </c>
      <c r="O8" s="190">
        <v>221055510.58000001</v>
      </c>
      <c r="P8" s="190">
        <v>180887944.47</v>
      </c>
      <c r="Q8" s="190">
        <v>156591378.72</v>
      </c>
      <c r="R8" s="190">
        <v>152840645.81999999</v>
      </c>
      <c r="S8" s="190">
        <v>134532205.19</v>
      </c>
      <c r="T8" s="190">
        <v>130972515.98</v>
      </c>
      <c r="U8" s="190">
        <v>132063513.7</v>
      </c>
      <c r="V8" s="190">
        <v>124871179.90000001</v>
      </c>
      <c r="W8" s="190">
        <v>141457222.31999999</v>
      </c>
      <c r="X8" s="190">
        <v>163110571.53999999</v>
      </c>
      <c r="Y8" s="190">
        <v>159483692.58000001</v>
      </c>
      <c r="Z8" s="190">
        <v>165683910.00999999</v>
      </c>
      <c r="AA8" s="190">
        <v>115874864.73</v>
      </c>
      <c r="AB8" s="190">
        <v>132265022.66</v>
      </c>
      <c r="AC8" s="190">
        <v>153660489.46000001</v>
      </c>
      <c r="AD8" s="190">
        <v>126832137.70999999</v>
      </c>
      <c r="AE8" s="190">
        <v>84022778.739999995</v>
      </c>
      <c r="AF8" s="190">
        <v>86961545.939999998</v>
      </c>
      <c r="AG8" s="190">
        <v>99426063.010000005</v>
      </c>
      <c r="AH8" s="190">
        <v>75509383.540000007</v>
      </c>
      <c r="AI8" s="190">
        <v>52645021.25</v>
      </c>
      <c r="AJ8" s="190">
        <v>55236444.68</v>
      </c>
      <c r="AK8" s="190">
        <v>66426527.350000001</v>
      </c>
      <c r="AL8" s="190">
        <v>60291407.140000001</v>
      </c>
      <c r="AM8" s="190">
        <v>39063226.340000004</v>
      </c>
      <c r="AN8" s="190">
        <v>38675860.380000003</v>
      </c>
      <c r="AO8" s="190">
        <v>28767328.260000002</v>
      </c>
      <c r="AP8" s="190">
        <v>11045312.02</v>
      </c>
      <c r="AQ8" s="190">
        <v>0</v>
      </c>
    </row>
    <row r="9" spans="1:43" x14ac:dyDescent="0.25">
      <c r="A9" s="190" t="s">
        <v>113</v>
      </c>
      <c r="B9" s="190">
        <v>157071278.47999999</v>
      </c>
      <c r="C9" s="190">
        <v>132211765.58</v>
      </c>
      <c r="D9" s="190">
        <v>134453571.00999999</v>
      </c>
      <c r="E9" s="190">
        <v>73868976.25</v>
      </c>
      <c r="F9" s="190">
        <v>172279007.19999999</v>
      </c>
      <c r="G9" s="190">
        <v>131829615.06999999</v>
      </c>
      <c r="H9" s="190">
        <v>117784622.39</v>
      </c>
      <c r="I9" s="190">
        <v>100072947.19</v>
      </c>
      <c r="J9" s="190">
        <v>103049985.63</v>
      </c>
      <c r="K9" s="190">
        <v>133853356.81999999</v>
      </c>
      <c r="L9" s="190">
        <v>161630190.78</v>
      </c>
      <c r="M9" s="190">
        <v>103972259.95</v>
      </c>
      <c r="N9" s="190">
        <v>109776822.94</v>
      </c>
      <c r="O9" s="190">
        <v>81482699.400000006</v>
      </c>
      <c r="P9" s="190">
        <v>71800718.560000002</v>
      </c>
      <c r="Q9" s="190">
        <v>44531778.509999998</v>
      </c>
      <c r="R9" s="190">
        <v>49124891.990000002</v>
      </c>
      <c r="S9" s="190">
        <v>49707263.079999998</v>
      </c>
      <c r="T9" s="190">
        <v>41434499.039999999</v>
      </c>
      <c r="U9" s="190">
        <v>40227425.159999996</v>
      </c>
      <c r="V9" s="190">
        <v>54840704.670000002</v>
      </c>
      <c r="W9" s="190">
        <v>75498363.569999993</v>
      </c>
      <c r="X9" s="190">
        <v>66621828.310000002</v>
      </c>
      <c r="Y9" s="190">
        <v>65789624.579999998</v>
      </c>
      <c r="Z9" s="190">
        <v>86594855.659999996</v>
      </c>
      <c r="AA9" s="190">
        <v>100884181.02</v>
      </c>
      <c r="AB9" s="190">
        <v>54122787.810000002</v>
      </c>
      <c r="AC9" s="190">
        <v>40548494.140000001</v>
      </c>
      <c r="AD9" s="190">
        <v>46639715</v>
      </c>
      <c r="AE9" s="190">
        <v>36061124.840000004</v>
      </c>
      <c r="AF9" s="190">
        <v>24205182.16</v>
      </c>
      <c r="AG9" s="190">
        <v>25141448.399999999</v>
      </c>
      <c r="AH9" s="190">
        <v>24313994.920000002</v>
      </c>
      <c r="AI9" s="190">
        <v>17714076.780000001</v>
      </c>
      <c r="AJ9" s="190">
        <v>15301435.41</v>
      </c>
      <c r="AK9" s="190">
        <v>17069909.039999999</v>
      </c>
      <c r="AL9" s="190">
        <v>22248730.899999999</v>
      </c>
      <c r="AM9" s="190">
        <v>15215885.380000001</v>
      </c>
      <c r="AN9" s="190">
        <v>19104243.850000001</v>
      </c>
      <c r="AO9" s="190">
        <v>17911488.699999999</v>
      </c>
      <c r="AP9" s="190">
        <v>13983529.800000001</v>
      </c>
      <c r="AQ9" s="190">
        <v>0</v>
      </c>
    </row>
    <row r="10" spans="1:43" x14ac:dyDescent="0.25">
      <c r="A10" s="190" t="s">
        <v>114</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row>
    <row r="11" spans="1:43" x14ac:dyDescent="0.25">
      <c r="A11" s="190" t="s">
        <v>115</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row>
    <row r="12" spans="1:43" x14ac:dyDescent="0.25">
      <c r="A12" s="190" t="s">
        <v>116</v>
      </c>
      <c r="B12" s="190">
        <v>72333306.409999996</v>
      </c>
      <c r="C12" s="190">
        <v>60571840.270000003</v>
      </c>
      <c r="D12" s="190">
        <v>63883762.060000002</v>
      </c>
      <c r="E12" s="190">
        <v>54915603.759999998</v>
      </c>
      <c r="F12" s="190">
        <v>83254020.299999997</v>
      </c>
      <c r="G12" s="190">
        <v>83958635.420000002</v>
      </c>
      <c r="H12" s="190">
        <v>102139132.78</v>
      </c>
      <c r="I12" s="190">
        <v>135673836.22999999</v>
      </c>
      <c r="J12" s="190">
        <v>107919476.52</v>
      </c>
      <c r="K12" s="190">
        <v>133934201.04000001</v>
      </c>
      <c r="L12" s="190">
        <v>61009903.200000003</v>
      </c>
      <c r="M12" s="190">
        <v>66982741.729999997</v>
      </c>
      <c r="N12" s="190">
        <v>110849517.84999999</v>
      </c>
      <c r="O12" s="190">
        <v>62287042.759999998</v>
      </c>
      <c r="P12" s="190">
        <v>68114577.540000007</v>
      </c>
      <c r="Q12" s="190">
        <v>58085235.229999997</v>
      </c>
      <c r="R12" s="190">
        <v>24182803.25</v>
      </c>
      <c r="S12" s="190">
        <v>19479590.800000001</v>
      </c>
      <c r="T12" s="190">
        <v>21916426.41</v>
      </c>
      <c r="U12" s="190">
        <v>16440066.15</v>
      </c>
      <c r="V12" s="190">
        <v>22928795.800000001</v>
      </c>
      <c r="W12" s="190">
        <v>31991549.640000001</v>
      </c>
      <c r="X12" s="190">
        <v>35229415.829999998</v>
      </c>
      <c r="Y12" s="190">
        <v>25803231.489999998</v>
      </c>
      <c r="Z12" s="190">
        <v>33648357.420000002</v>
      </c>
      <c r="AA12" s="190">
        <v>23013437.010000002</v>
      </c>
      <c r="AB12" s="190">
        <v>21876070.68</v>
      </c>
      <c r="AC12" s="190">
        <v>16417345.25</v>
      </c>
      <c r="AD12" s="190">
        <v>20371747.120000001</v>
      </c>
      <c r="AE12" s="190">
        <v>15835350.300000001</v>
      </c>
      <c r="AF12" s="190">
        <v>18252320.469999999</v>
      </c>
      <c r="AG12" s="190">
        <v>8972504.1400000006</v>
      </c>
      <c r="AH12" s="190">
        <v>9921024.3599999994</v>
      </c>
      <c r="AI12" s="190">
        <v>7619665.3600000003</v>
      </c>
      <c r="AJ12" s="190">
        <v>7176838.0899999999</v>
      </c>
      <c r="AK12" s="190">
        <v>6090918.6699999999</v>
      </c>
      <c r="AL12" s="190">
        <v>5146872.5</v>
      </c>
      <c r="AM12" s="190">
        <v>6439788.0099999998</v>
      </c>
      <c r="AN12" s="190">
        <v>6630938.0499999998</v>
      </c>
      <c r="AO12" s="190">
        <v>3722592.29</v>
      </c>
      <c r="AP12" s="190">
        <v>6173071.8600000003</v>
      </c>
      <c r="AQ12" s="190">
        <v>0</v>
      </c>
    </row>
    <row r="13" spans="1:43"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row>
    <row r="14" spans="1:43" x14ac:dyDescent="0.25">
      <c r="A14" s="190" t="s">
        <v>118</v>
      </c>
      <c r="B14" s="190">
        <v>1406649814.5999999</v>
      </c>
      <c r="C14" s="190">
        <v>1277481876.6099999</v>
      </c>
      <c r="D14" s="190">
        <v>1039377680.17</v>
      </c>
      <c r="E14" s="190">
        <v>1006969529.14</v>
      </c>
      <c r="F14" s="190">
        <v>1155240446.72</v>
      </c>
      <c r="G14" s="190">
        <v>1079101133.6400001</v>
      </c>
      <c r="H14" s="190">
        <v>955221936.07000005</v>
      </c>
      <c r="I14" s="190">
        <v>658849754.71000004</v>
      </c>
      <c r="J14" s="190">
        <v>648882684.19000006</v>
      </c>
      <c r="K14" s="190">
        <v>584122349.22000003</v>
      </c>
      <c r="L14" s="190">
        <v>561215080.60000002</v>
      </c>
      <c r="M14" s="190">
        <v>659822679.88999999</v>
      </c>
      <c r="N14" s="190">
        <v>596130321.23000002</v>
      </c>
      <c r="O14" s="190">
        <v>609801140.38999999</v>
      </c>
      <c r="P14" s="190">
        <v>560459480.14999998</v>
      </c>
      <c r="Q14" s="190">
        <v>633174159.28999996</v>
      </c>
      <c r="R14" s="190">
        <v>667486290.90999997</v>
      </c>
      <c r="S14" s="190">
        <v>698269102.41999996</v>
      </c>
      <c r="T14" s="190">
        <v>606326560.25999999</v>
      </c>
      <c r="U14" s="190">
        <v>685201506.19000006</v>
      </c>
      <c r="V14" s="190">
        <v>665815546.09000003</v>
      </c>
      <c r="W14" s="190">
        <v>678268671.26999998</v>
      </c>
      <c r="X14" s="190">
        <v>626612547.63</v>
      </c>
      <c r="Y14" s="190">
        <v>617828802.88</v>
      </c>
      <c r="Z14" s="190">
        <v>684421196.61000001</v>
      </c>
      <c r="AA14" s="190">
        <v>767935065.25999999</v>
      </c>
      <c r="AB14" s="190">
        <v>616708419.55999994</v>
      </c>
      <c r="AC14" s="190">
        <v>517115102.25999999</v>
      </c>
      <c r="AD14" s="190">
        <v>498955231.80000001</v>
      </c>
      <c r="AE14" s="190">
        <v>518664663.74000001</v>
      </c>
      <c r="AF14" s="190">
        <v>433392310.58999997</v>
      </c>
      <c r="AG14" s="190">
        <v>458547043.06999999</v>
      </c>
      <c r="AH14" s="190">
        <v>462790607.91000003</v>
      </c>
      <c r="AI14" s="190">
        <v>392900466.92000002</v>
      </c>
      <c r="AJ14" s="190">
        <v>288797940.39999998</v>
      </c>
      <c r="AK14" s="190">
        <v>260446354.96000001</v>
      </c>
      <c r="AL14" s="190">
        <v>228862805.44999999</v>
      </c>
      <c r="AM14" s="190">
        <v>238414526.06999999</v>
      </c>
      <c r="AN14" s="190">
        <v>212903239.86000001</v>
      </c>
      <c r="AO14" s="190">
        <v>179548764.44</v>
      </c>
      <c r="AP14" s="190">
        <v>151966774.36000001</v>
      </c>
      <c r="AQ14" s="190">
        <v>0</v>
      </c>
    </row>
    <row r="15" spans="1:43" x14ac:dyDescent="0.25">
      <c r="A15" s="190" t="s">
        <v>119</v>
      </c>
      <c r="B15" s="190">
        <v>0</v>
      </c>
      <c r="C15" s="190">
        <v>88855671.209999993</v>
      </c>
      <c r="D15" s="190">
        <v>106598759.26000001</v>
      </c>
      <c r="E15" s="190">
        <v>74189874.799999997</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row>
    <row r="16" spans="1:43" x14ac:dyDescent="0.25">
      <c r="A16" s="190" t="s">
        <v>120</v>
      </c>
      <c r="B16" s="190">
        <v>0</v>
      </c>
      <c r="C16" s="190">
        <v>0</v>
      </c>
      <c r="D16" s="190">
        <v>0</v>
      </c>
      <c r="E16" s="190">
        <v>0</v>
      </c>
      <c r="F16" s="190">
        <v>3874120.96</v>
      </c>
      <c r="G16" s="190">
        <v>3195054.61</v>
      </c>
      <c r="H16" s="190">
        <v>2781023.33</v>
      </c>
      <c r="I16" s="190">
        <v>3478020.4</v>
      </c>
      <c r="J16" s="190">
        <v>2516777.67</v>
      </c>
      <c r="K16" s="190">
        <v>2516777.67</v>
      </c>
      <c r="L16" s="190">
        <v>2588453.7000000002</v>
      </c>
      <c r="M16" s="190">
        <v>2588453.7000000002</v>
      </c>
      <c r="N16" s="190">
        <v>0</v>
      </c>
      <c r="O16" s="190">
        <v>0</v>
      </c>
      <c r="P16" s="190">
        <v>0</v>
      </c>
      <c r="Q16" s="190">
        <v>1558541.85</v>
      </c>
      <c r="R16" s="190">
        <v>0</v>
      </c>
      <c r="S16" s="190">
        <v>0</v>
      </c>
      <c r="T16" s="190">
        <v>0</v>
      </c>
      <c r="U16" s="190">
        <v>866475.09</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row>
    <row r="17" spans="1:43"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row>
    <row r="18" spans="1:43"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row>
    <row r="19" spans="1:43" x14ac:dyDescent="0.25">
      <c r="A19" s="190" t="s">
        <v>123</v>
      </c>
      <c r="B19" s="190">
        <v>814926691.53999996</v>
      </c>
      <c r="C19" s="190">
        <v>916547631.28999996</v>
      </c>
      <c r="D19" s="190">
        <v>1014352444.61</v>
      </c>
      <c r="E19" s="190">
        <v>1095643948.1400001</v>
      </c>
      <c r="F19" s="190">
        <v>925125720.74000001</v>
      </c>
      <c r="G19" s="190">
        <v>593180734.69000006</v>
      </c>
      <c r="H19" s="190">
        <v>637128087.65999997</v>
      </c>
      <c r="I19" s="190">
        <v>584581346.38999999</v>
      </c>
      <c r="J19" s="190">
        <v>813801452.42999995</v>
      </c>
      <c r="K19" s="190">
        <v>775103623.03999996</v>
      </c>
      <c r="L19" s="190">
        <v>746830445.29999995</v>
      </c>
      <c r="M19" s="190">
        <v>767963823.16999996</v>
      </c>
      <c r="N19" s="190">
        <v>506545516.94999999</v>
      </c>
      <c r="O19" s="190">
        <v>568763666.89999998</v>
      </c>
      <c r="P19" s="190">
        <v>803338772.63999999</v>
      </c>
      <c r="Q19" s="190">
        <v>747217859.52999997</v>
      </c>
      <c r="R19" s="190">
        <v>712687015.44000006</v>
      </c>
      <c r="S19" s="190">
        <v>277089955.38</v>
      </c>
      <c r="T19" s="190">
        <v>401756461.29000002</v>
      </c>
      <c r="U19" s="190">
        <v>190540000</v>
      </c>
      <c r="V19" s="190">
        <v>0</v>
      </c>
      <c r="W19" s="190">
        <v>0</v>
      </c>
      <c r="X19" s="190">
        <v>0</v>
      </c>
      <c r="Y19" s="190">
        <v>0</v>
      </c>
      <c r="Z19" s="190">
        <v>0</v>
      </c>
      <c r="AA19" s="190">
        <v>24214750.989999998</v>
      </c>
      <c r="AB19" s="190">
        <v>6661888.6100000003</v>
      </c>
      <c r="AC19" s="190">
        <v>16691542.939999999</v>
      </c>
      <c r="AD19" s="190">
        <v>0</v>
      </c>
      <c r="AE19" s="190">
        <v>0</v>
      </c>
      <c r="AF19" s="190">
        <v>0</v>
      </c>
      <c r="AG19" s="190">
        <v>0</v>
      </c>
      <c r="AH19" s="190">
        <v>0</v>
      </c>
      <c r="AI19" s="190">
        <v>424473.89</v>
      </c>
      <c r="AJ19" s="190">
        <v>477514.43</v>
      </c>
      <c r="AK19" s="190">
        <v>416221.88</v>
      </c>
      <c r="AL19" s="190">
        <v>0</v>
      </c>
      <c r="AM19" s="190">
        <v>0</v>
      </c>
      <c r="AN19" s="190">
        <v>0</v>
      </c>
      <c r="AO19" s="190">
        <v>0</v>
      </c>
      <c r="AP19" s="190">
        <v>0</v>
      </c>
      <c r="AQ19" s="190">
        <v>0</v>
      </c>
    </row>
    <row r="20" spans="1:43" x14ac:dyDescent="0.25">
      <c r="A20" s="190" t="s">
        <v>124</v>
      </c>
      <c r="B20" s="190">
        <v>3744045706.1999998</v>
      </c>
      <c r="C20" s="190">
        <v>3696046430.6999998</v>
      </c>
      <c r="D20" s="190">
        <v>3751667637.7199998</v>
      </c>
      <c r="E20" s="190">
        <v>3220769729.9299998</v>
      </c>
      <c r="F20" s="190">
        <v>3140293171.7199998</v>
      </c>
      <c r="G20" s="190">
        <v>2876724826.52</v>
      </c>
      <c r="H20" s="190">
        <v>2890106690.5300002</v>
      </c>
      <c r="I20" s="190">
        <v>2935636040.1799998</v>
      </c>
      <c r="J20" s="190">
        <v>2536856265.1399999</v>
      </c>
      <c r="K20" s="190">
        <v>2496559783.0599999</v>
      </c>
      <c r="L20" s="190">
        <v>2565687873.21</v>
      </c>
      <c r="M20" s="190">
        <v>2460156119.25</v>
      </c>
      <c r="N20" s="190">
        <v>2301318329.6100001</v>
      </c>
      <c r="O20" s="190">
        <v>2164027347.7600002</v>
      </c>
      <c r="P20" s="190">
        <v>2355209865.3899999</v>
      </c>
      <c r="Q20" s="190">
        <v>2289353546.3600001</v>
      </c>
      <c r="R20" s="190">
        <v>2236475892.8800001</v>
      </c>
      <c r="S20" s="190">
        <v>2018021483.01</v>
      </c>
      <c r="T20" s="190">
        <v>2089571317.98</v>
      </c>
      <c r="U20" s="190">
        <v>1999164108.6300001</v>
      </c>
      <c r="V20" s="190">
        <v>1777420897.54</v>
      </c>
      <c r="W20" s="190">
        <v>1596506310.29</v>
      </c>
      <c r="X20" s="190">
        <v>1733816681.4100001</v>
      </c>
      <c r="Y20" s="190">
        <v>1825219472.8900001</v>
      </c>
      <c r="Z20" s="190">
        <v>1773930954.96</v>
      </c>
      <c r="AA20" s="190">
        <v>1699857104.22</v>
      </c>
      <c r="AB20" s="190">
        <v>1846433894.6900001</v>
      </c>
      <c r="AC20" s="190">
        <v>1746929715.5999999</v>
      </c>
      <c r="AD20" s="190">
        <v>1675240654.1600001</v>
      </c>
      <c r="AE20" s="190">
        <v>1517188313.05</v>
      </c>
      <c r="AF20" s="190">
        <v>1719289508.28</v>
      </c>
      <c r="AG20" s="190">
        <v>1661237260.76</v>
      </c>
      <c r="AH20" s="190">
        <v>1533145011.75</v>
      </c>
      <c r="AI20" s="190">
        <v>1402608022.8</v>
      </c>
      <c r="AJ20" s="190">
        <v>1494917762.0599999</v>
      </c>
      <c r="AK20" s="190">
        <v>1419580134.48</v>
      </c>
      <c r="AL20" s="190">
        <v>1375194645.0799999</v>
      </c>
      <c r="AM20" s="190">
        <v>374578320.25999999</v>
      </c>
      <c r="AN20" s="190">
        <v>356469469.58999997</v>
      </c>
      <c r="AO20" s="190">
        <v>275084933.94999999</v>
      </c>
      <c r="AP20" s="190">
        <v>235778314.5</v>
      </c>
      <c r="AQ20" s="190">
        <v>0</v>
      </c>
    </row>
    <row r="21" spans="1:43" x14ac:dyDescent="0.25">
      <c r="A21" s="190" t="s">
        <v>125</v>
      </c>
    </row>
    <row r="22" spans="1:43"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row>
    <row r="23" spans="1:43" x14ac:dyDescent="0.25">
      <c r="A23" s="190" t="s">
        <v>127</v>
      </c>
      <c r="B23" s="190">
        <v>227475238.28</v>
      </c>
      <c r="C23" s="190">
        <v>224516989.86000001</v>
      </c>
      <c r="D23" s="190">
        <v>204255161.68000001</v>
      </c>
      <c r="E23" s="190">
        <v>228463347.99000001</v>
      </c>
      <c r="F23" s="190">
        <v>189611525</v>
      </c>
      <c r="G23" s="190">
        <v>190034675</v>
      </c>
      <c r="H23" s="190">
        <v>388188950</v>
      </c>
      <c r="I23" s="190">
        <v>388797125</v>
      </c>
      <c r="J23" s="190">
        <v>406326690</v>
      </c>
      <c r="K23" s="190">
        <v>160371775</v>
      </c>
      <c r="L23" s="190">
        <v>103916150</v>
      </c>
      <c r="M23" s="190">
        <v>103985900</v>
      </c>
      <c r="N23" s="190">
        <v>60741278.399999999</v>
      </c>
      <c r="O23" s="190">
        <v>0</v>
      </c>
      <c r="P23" s="190">
        <v>0</v>
      </c>
      <c r="Q23" s="190">
        <v>0</v>
      </c>
      <c r="R23" s="190">
        <v>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row>
    <row r="24" spans="1:43"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50000000</v>
      </c>
      <c r="W24" s="190">
        <v>100431200</v>
      </c>
      <c r="X24" s="190">
        <v>150670577.77000001</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5010356.16</v>
      </c>
      <c r="AP24" s="190">
        <v>0</v>
      </c>
      <c r="AQ24" s="190">
        <v>0</v>
      </c>
    </row>
    <row r="25" spans="1:43" x14ac:dyDescent="0.25">
      <c r="A25" s="190" t="s">
        <v>129</v>
      </c>
      <c r="B25" s="190">
        <v>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row>
    <row r="26" spans="1:43" x14ac:dyDescent="0.25">
      <c r="A26" s="190" t="s">
        <v>130</v>
      </c>
      <c r="B26" s="190">
        <v>2103461.14</v>
      </c>
      <c r="C26" s="190">
        <v>2260588.16</v>
      </c>
      <c r="D26" s="190">
        <v>2681764.62</v>
      </c>
      <c r="E26" s="190">
        <v>2681764.62</v>
      </c>
      <c r="F26" s="190">
        <v>36554845.829999998</v>
      </c>
      <c r="G26" s="190">
        <v>37301246.560000002</v>
      </c>
      <c r="H26" s="190">
        <v>44582193.149999999</v>
      </c>
      <c r="I26" s="190">
        <v>44208476.719999999</v>
      </c>
      <c r="J26" s="190">
        <v>46497065.140000001</v>
      </c>
      <c r="K26" s="190">
        <v>48418056.219999999</v>
      </c>
      <c r="L26" s="190">
        <v>47013607.68</v>
      </c>
      <c r="M26" s="190">
        <v>48378901.780000001</v>
      </c>
      <c r="N26" s="190">
        <v>0</v>
      </c>
      <c r="O26" s="190">
        <v>0</v>
      </c>
      <c r="P26" s="190">
        <v>0</v>
      </c>
      <c r="Q26" s="190">
        <v>0</v>
      </c>
      <c r="R26" s="190">
        <v>0</v>
      </c>
      <c r="S26" s="190">
        <v>0</v>
      </c>
      <c r="T26" s="190">
        <v>0</v>
      </c>
      <c r="U26" s="190">
        <v>0</v>
      </c>
      <c r="V26" s="190">
        <v>0</v>
      </c>
      <c r="W26" s="190">
        <v>0</v>
      </c>
      <c r="X26" s="190">
        <v>0</v>
      </c>
      <c r="Y26" s="190">
        <v>0</v>
      </c>
      <c r="Z26" s="190">
        <v>0</v>
      </c>
      <c r="AA26" s="190">
        <v>0</v>
      </c>
      <c r="AB26" s="190">
        <v>0</v>
      </c>
      <c r="AC26" s="190">
        <v>0</v>
      </c>
      <c r="AD26" s="190">
        <v>0</v>
      </c>
      <c r="AE26" s="190">
        <v>0</v>
      </c>
      <c r="AF26" s="190">
        <v>0</v>
      </c>
      <c r="AG26" s="190">
        <v>0</v>
      </c>
      <c r="AH26" s="190">
        <v>0</v>
      </c>
      <c r="AI26" s="190">
        <v>0</v>
      </c>
      <c r="AJ26" s="190">
        <v>0</v>
      </c>
      <c r="AK26" s="190">
        <v>0</v>
      </c>
      <c r="AL26" s="190">
        <v>0</v>
      </c>
      <c r="AM26" s="190">
        <v>0</v>
      </c>
      <c r="AN26" s="190">
        <v>0</v>
      </c>
      <c r="AO26" s="190">
        <v>0</v>
      </c>
      <c r="AP26" s="190">
        <v>0</v>
      </c>
      <c r="AQ26" s="190">
        <v>0</v>
      </c>
    </row>
    <row r="27" spans="1:43" x14ac:dyDescent="0.25">
      <c r="A27" s="190" t="s">
        <v>131</v>
      </c>
      <c r="B27" s="190">
        <v>0</v>
      </c>
      <c r="C27" s="190">
        <v>0</v>
      </c>
      <c r="D27" s="190">
        <v>0</v>
      </c>
      <c r="E27" s="190">
        <v>0</v>
      </c>
      <c r="F27" s="190">
        <v>0</v>
      </c>
      <c r="G27" s="190">
        <v>0</v>
      </c>
      <c r="H27" s="190">
        <v>0</v>
      </c>
      <c r="I27" s="190">
        <v>0</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row>
    <row r="28" spans="1:43" x14ac:dyDescent="0.25">
      <c r="A28" s="190" t="s">
        <v>132</v>
      </c>
      <c r="B28" s="190">
        <v>372172620.89999998</v>
      </c>
      <c r="C28" s="190">
        <v>367124049.68000001</v>
      </c>
      <c r="D28" s="190">
        <v>371395847.38999999</v>
      </c>
      <c r="E28" s="190">
        <v>381088077.97000003</v>
      </c>
      <c r="F28" s="190">
        <v>381539162.49000001</v>
      </c>
      <c r="G28" s="190">
        <v>390950110.38999999</v>
      </c>
      <c r="H28" s="190">
        <v>397152171</v>
      </c>
      <c r="I28" s="190">
        <v>386784475.27999997</v>
      </c>
      <c r="J28" s="190">
        <v>392012152.26999998</v>
      </c>
      <c r="K28" s="190">
        <v>381374642.98000002</v>
      </c>
      <c r="L28" s="190">
        <v>388749418.19999999</v>
      </c>
      <c r="M28" s="190">
        <v>393127990.83999997</v>
      </c>
      <c r="N28" s="190">
        <v>390402293.52999997</v>
      </c>
      <c r="O28" s="190">
        <v>395693007.80000001</v>
      </c>
      <c r="P28" s="190">
        <v>390946237.61000001</v>
      </c>
      <c r="Q28" s="190">
        <v>397503360.81999999</v>
      </c>
      <c r="R28" s="190">
        <v>392443251.63</v>
      </c>
      <c r="S28" s="190">
        <v>397521952.61000001</v>
      </c>
      <c r="T28" s="190">
        <v>403387978.83999997</v>
      </c>
      <c r="U28" s="190">
        <v>407928568.80000001</v>
      </c>
      <c r="V28" s="190">
        <v>325765584.14999998</v>
      </c>
      <c r="W28" s="190">
        <v>328137977.91000003</v>
      </c>
      <c r="X28" s="190">
        <v>328664938.44999999</v>
      </c>
      <c r="Y28" s="190">
        <v>334824871.51999998</v>
      </c>
      <c r="Z28" s="190">
        <v>332916373.94</v>
      </c>
      <c r="AA28" s="190">
        <v>248829080.34</v>
      </c>
      <c r="AB28" s="190">
        <v>248914102.15000001</v>
      </c>
      <c r="AC28" s="190">
        <v>249966842.94</v>
      </c>
      <c r="AD28" s="190">
        <v>125511902.36</v>
      </c>
      <c r="AE28" s="190">
        <v>86220540.829999998</v>
      </c>
      <c r="AF28" s="190">
        <v>84605227.299999997</v>
      </c>
      <c r="AG28" s="190">
        <v>84235402.629999995</v>
      </c>
      <c r="AH28" s="190">
        <v>77945026.120000005</v>
      </c>
      <c r="AI28" s="190">
        <v>77504194.579999998</v>
      </c>
      <c r="AJ28" s="190">
        <v>77668880.290000007</v>
      </c>
      <c r="AK28" s="190">
        <v>78949390.819999993</v>
      </c>
      <c r="AL28" s="190">
        <v>79720945.200000003</v>
      </c>
      <c r="AM28" s="190">
        <v>80968896.030000001</v>
      </c>
      <c r="AN28" s="190">
        <v>82222263.489999995</v>
      </c>
      <c r="AO28" s="190">
        <v>60766014.450000003</v>
      </c>
      <c r="AP28" s="190">
        <v>47596871.630000003</v>
      </c>
      <c r="AQ28" s="190">
        <v>0</v>
      </c>
    </row>
    <row r="29" spans="1:43" x14ac:dyDescent="0.25">
      <c r="A29" s="190" t="s">
        <v>133</v>
      </c>
      <c r="B29" s="190">
        <v>23682948.329999998</v>
      </c>
      <c r="C29" s="190">
        <v>26006424.219999999</v>
      </c>
      <c r="D29" s="190">
        <v>15601822.970000001</v>
      </c>
      <c r="E29" s="190">
        <v>8989773.8000000007</v>
      </c>
      <c r="F29" s="190">
        <v>25669698.649999999</v>
      </c>
      <c r="G29" s="190">
        <v>21599109.84</v>
      </c>
      <c r="H29" s="190">
        <v>20240701.100000001</v>
      </c>
      <c r="I29" s="190">
        <v>7884796.1200000001</v>
      </c>
      <c r="J29" s="190">
        <v>15397381.529999999</v>
      </c>
      <c r="K29" s="190">
        <v>13701536.6</v>
      </c>
      <c r="L29" s="190">
        <v>12874743.26</v>
      </c>
      <c r="M29" s="190">
        <v>11604165.609999999</v>
      </c>
      <c r="N29" s="190">
        <v>20430685.149999999</v>
      </c>
      <c r="O29" s="190">
        <v>12776418.76</v>
      </c>
      <c r="P29" s="190">
        <v>21241440.440000001</v>
      </c>
      <c r="Q29" s="190">
        <v>9578658.2200000007</v>
      </c>
      <c r="R29" s="190">
        <v>15817383.17</v>
      </c>
      <c r="S29" s="190">
        <v>6650276.6200000001</v>
      </c>
      <c r="T29" s="190">
        <v>2547847.0499999998</v>
      </c>
      <c r="U29" s="190">
        <v>2050000</v>
      </c>
      <c r="V29" s="190">
        <v>82286664.459999993</v>
      </c>
      <c r="W29" s="190">
        <v>49111965.100000001</v>
      </c>
      <c r="X29" s="190">
        <v>38208937.420000002</v>
      </c>
      <c r="Y29" s="190">
        <v>29105269.140000001</v>
      </c>
      <c r="Z29" s="190">
        <v>17622460.850000001</v>
      </c>
      <c r="AA29" s="190">
        <v>49511361.219999999</v>
      </c>
      <c r="AB29" s="190">
        <v>42077971.189999998</v>
      </c>
      <c r="AC29" s="190">
        <v>23413300.07</v>
      </c>
      <c r="AD29" s="190">
        <v>70618503.939999998</v>
      </c>
      <c r="AE29" s="190">
        <v>64998837.409999996</v>
      </c>
      <c r="AF29" s="190">
        <v>59754084.57</v>
      </c>
      <c r="AG29" s="190">
        <v>46221172.68</v>
      </c>
      <c r="AH29" s="190">
        <v>10074928</v>
      </c>
      <c r="AI29" s="190">
        <v>3126577.64</v>
      </c>
      <c r="AJ29" s="190">
        <v>1725129.21</v>
      </c>
      <c r="AK29" s="190">
        <v>24062856.719999999</v>
      </c>
      <c r="AL29" s="190">
        <v>0</v>
      </c>
      <c r="AM29" s="190">
        <v>0</v>
      </c>
      <c r="AN29" s="190">
        <v>799996.06</v>
      </c>
      <c r="AO29" s="190">
        <v>0</v>
      </c>
      <c r="AP29" s="190">
        <v>442457.92</v>
      </c>
      <c r="AQ29" s="190">
        <v>0</v>
      </c>
    </row>
    <row r="30" spans="1:43"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row>
    <row r="31" spans="1:43" x14ac:dyDescent="0.25">
      <c r="A31" s="190" t="s">
        <v>135</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row>
    <row r="32" spans="1:43"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row>
    <row r="33" spans="1:43"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row>
    <row r="34" spans="1:43"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row>
    <row r="35" spans="1:43" x14ac:dyDescent="0.25">
      <c r="A35" s="190" t="s">
        <v>139</v>
      </c>
      <c r="B35" s="190">
        <v>308191331.69</v>
      </c>
      <c r="C35" s="190">
        <v>302341982.07999998</v>
      </c>
      <c r="D35" s="190">
        <v>295395421.49000001</v>
      </c>
      <c r="E35" s="190">
        <v>306530006.25</v>
      </c>
      <c r="F35" s="190">
        <v>323481827.06</v>
      </c>
      <c r="G35" s="190">
        <v>332029194.92000002</v>
      </c>
      <c r="H35" s="190">
        <v>331416349.85000002</v>
      </c>
      <c r="I35" s="190">
        <v>118170720.79000001</v>
      </c>
      <c r="J35" s="190">
        <v>111435999.70999999</v>
      </c>
      <c r="K35" s="190">
        <v>113087078.09</v>
      </c>
      <c r="L35" s="190">
        <v>114290815.06999999</v>
      </c>
      <c r="M35" s="190">
        <v>115277269.56999999</v>
      </c>
      <c r="N35" s="190">
        <v>101655338.19</v>
      </c>
      <c r="O35" s="190">
        <v>102732342.14</v>
      </c>
      <c r="P35" s="190">
        <v>103485214.91</v>
      </c>
      <c r="Q35" s="190">
        <v>104149223.65000001</v>
      </c>
      <c r="R35" s="190">
        <v>104006611.81999999</v>
      </c>
      <c r="S35" s="190">
        <v>104953963.73999999</v>
      </c>
      <c r="T35" s="190">
        <v>105966556.81999999</v>
      </c>
      <c r="U35" s="190">
        <v>107131650.09</v>
      </c>
      <c r="V35" s="190">
        <v>105477980.48999999</v>
      </c>
      <c r="W35" s="190">
        <v>76697891.120000005</v>
      </c>
      <c r="X35" s="190">
        <v>77512018.849999994</v>
      </c>
      <c r="Y35" s="190">
        <v>78511748.140000001</v>
      </c>
      <c r="Z35" s="190">
        <v>75008661.75</v>
      </c>
      <c r="AA35" s="190">
        <v>75533792.769999996</v>
      </c>
      <c r="AB35" s="190">
        <v>76417045.849999994</v>
      </c>
      <c r="AC35" s="190">
        <v>77223131.420000002</v>
      </c>
      <c r="AD35" s="190">
        <v>49561700.560000002</v>
      </c>
      <c r="AE35" s="190">
        <v>48784322.049999997</v>
      </c>
      <c r="AF35" s="190">
        <v>37756780.240000002</v>
      </c>
      <c r="AG35" s="190">
        <v>37874398.460000001</v>
      </c>
      <c r="AH35" s="190">
        <v>35041483.909999996</v>
      </c>
      <c r="AI35" s="190">
        <v>35254621.369999997</v>
      </c>
      <c r="AJ35" s="190">
        <v>35448231.049999997</v>
      </c>
      <c r="AK35" s="190">
        <v>12441501.48</v>
      </c>
      <c r="AL35" s="190">
        <v>12567010.58</v>
      </c>
      <c r="AM35" s="190">
        <v>12702441.859999999</v>
      </c>
      <c r="AN35" s="190">
        <v>12773722.76</v>
      </c>
      <c r="AO35" s="190">
        <v>13253983.52</v>
      </c>
      <c r="AP35" s="190">
        <v>13373966.359999999</v>
      </c>
      <c r="AQ35" s="190">
        <v>0</v>
      </c>
    </row>
    <row r="36" spans="1:43" x14ac:dyDescent="0.25">
      <c r="A36" s="190" t="s">
        <v>140</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row>
    <row r="37" spans="1:43" x14ac:dyDescent="0.25">
      <c r="A37" s="190" t="s">
        <v>141</v>
      </c>
      <c r="B37" s="190">
        <v>243655266.56</v>
      </c>
      <c r="C37" s="190">
        <v>243655266.56</v>
      </c>
      <c r="D37" s="190">
        <v>235212831.53</v>
      </c>
      <c r="E37" s="190">
        <v>242110082.27000001</v>
      </c>
      <c r="F37" s="190">
        <v>316329792.22000003</v>
      </c>
      <c r="G37" s="190">
        <v>319336551.69</v>
      </c>
      <c r="H37" s="190">
        <v>321700134.58999997</v>
      </c>
      <c r="I37" s="190">
        <v>171198432.88999999</v>
      </c>
      <c r="J37" s="190">
        <v>196618493.28999999</v>
      </c>
      <c r="K37" s="190">
        <v>196618493.28999999</v>
      </c>
      <c r="L37" s="190">
        <v>196618493.28999999</v>
      </c>
      <c r="M37" s="190">
        <v>196618493.28999999</v>
      </c>
      <c r="N37" s="190">
        <v>169278079.88999999</v>
      </c>
      <c r="O37" s="190">
        <v>167731606.88999999</v>
      </c>
      <c r="P37" s="190">
        <v>167731606.88999999</v>
      </c>
      <c r="Q37" s="190">
        <v>167731606.88999999</v>
      </c>
      <c r="R37" s="190">
        <v>0</v>
      </c>
      <c r="S37" s="190">
        <v>0</v>
      </c>
      <c r="T37" s="190">
        <v>0</v>
      </c>
      <c r="U37" s="190">
        <v>0</v>
      </c>
      <c r="V37" s="190">
        <v>0</v>
      </c>
      <c r="W37" s="190">
        <v>0</v>
      </c>
      <c r="X37" s="190">
        <v>0</v>
      </c>
      <c r="Y37" s="190">
        <v>0</v>
      </c>
      <c r="Z37" s="190">
        <v>0</v>
      </c>
      <c r="AA37" s="190">
        <v>0</v>
      </c>
      <c r="AB37" s="190">
        <v>0</v>
      </c>
      <c r="AC37" s="190">
        <v>0</v>
      </c>
      <c r="AD37" s="190">
        <v>0</v>
      </c>
      <c r="AE37" s="190">
        <v>0</v>
      </c>
      <c r="AF37" s="190">
        <v>0</v>
      </c>
      <c r="AG37" s="190">
        <v>0</v>
      </c>
      <c r="AH37" s="190">
        <v>21180.67</v>
      </c>
      <c r="AI37" s="190">
        <v>21180.67</v>
      </c>
      <c r="AJ37" s="190">
        <v>21180.67</v>
      </c>
      <c r="AK37" s="190">
        <v>21180.67</v>
      </c>
      <c r="AL37" s="190">
        <v>21180.67</v>
      </c>
      <c r="AM37" s="190">
        <v>21180.67</v>
      </c>
      <c r="AN37" s="190">
        <v>21180.67</v>
      </c>
      <c r="AO37" s="190">
        <v>0</v>
      </c>
      <c r="AP37" s="190">
        <v>0</v>
      </c>
      <c r="AQ37" s="190">
        <v>0</v>
      </c>
    </row>
    <row r="38" spans="1:43" x14ac:dyDescent="0.25">
      <c r="A38" s="190" t="s">
        <v>142</v>
      </c>
      <c r="B38" s="190">
        <v>43475749.869999997</v>
      </c>
      <c r="C38" s="190">
        <v>33872230.049999997</v>
      </c>
      <c r="D38" s="190">
        <v>44410205.869999997</v>
      </c>
      <c r="E38" s="190">
        <v>45947172.509999998</v>
      </c>
      <c r="F38" s="190">
        <v>29544182.129999999</v>
      </c>
      <c r="G38" s="190">
        <v>33023768.449999999</v>
      </c>
      <c r="H38" s="190">
        <v>41923633.200000003</v>
      </c>
      <c r="I38" s="190">
        <v>43253422.079999998</v>
      </c>
      <c r="J38" s="190">
        <v>48680532.130000003</v>
      </c>
      <c r="K38" s="190">
        <v>51199288.490000002</v>
      </c>
      <c r="L38" s="190">
        <v>50568500.950000003</v>
      </c>
      <c r="M38" s="190">
        <v>50655055.060000002</v>
      </c>
      <c r="N38" s="190">
        <v>53577405.07</v>
      </c>
      <c r="O38" s="190">
        <v>55914826.670000002</v>
      </c>
      <c r="P38" s="190">
        <v>59083791.030000001</v>
      </c>
      <c r="Q38" s="190">
        <v>60762776.060000002</v>
      </c>
      <c r="R38" s="190">
        <v>63982086.710000001</v>
      </c>
      <c r="S38" s="190">
        <v>67359719.879999995</v>
      </c>
      <c r="T38" s="190">
        <v>69801468.840000004</v>
      </c>
      <c r="U38" s="190">
        <v>70760454.409999996</v>
      </c>
      <c r="V38" s="190">
        <v>56419955.990000002</v>
      </c>
      <c r="W38" s="190">
        <v>39435138.039999999</v>
      </c>
      <c r="X38" s="190">
        <v>29161215.899999999</v>
      </c>
      <c r="Y38" s="190">
        <v>17715115.059999999</v>
      </c>
      <c r="Z38" s="190">
        <v>17778744.809999999</v>
      </c>
      <c r="AA38" s="190">
        <v>15884098.449999999</v>
      </c>
      <c r="AB38" s="190">
        <v>14905670.91</v>
      </c>
      <c r="AC38" s="190">
        <v>12321576.76</v>
      </c>
      <c r="AD38" s="190">
        <v>10256905.619999999</v>
      </c>
      <c r="AE38" s="190">
        <v>7566624.9100000001</v>
      </c>
      <c r="AF38" s="190">
        <v>7658282.04</v>
      </c>
      <c r="AG38" s="190">
        <v>6663584</v>
      </c>
      <c r="AH38" s="190">
        <v>5604783.4100000001</v>
      </c>
      <c r="AI38" s="190">
        <v>5014467.38</v>
      </c>
      <c r="AJ38" s="190">
        <v>5238906.71</v>
      </c>
      <c r="AK38" s="190">
        <v>4722656.8099999996</v>
      </c>
      <c r="AL38" s="190">
        <v>0</v>
      </c>
      <c r="AM38" s="190">
        <v>0</v>
      </c>
      <c r="AN38" s="190">
        <v>0</v>
      </c>
      <c r="AO38" s="190">
        <v>0</v>
      </c>
      <c r="AP38" s="190">
        <v>0</v>
      </c>
      <c r="AQ38" s="190">
        <v>0</v>
      </c>
    </row>
    <row r="39" spans="1:43" x14ac:dyDescent="0.25">
      <c r="A39" s="190" t="s">
        <v>143</v>
      </c>
      <c r="B39" s="190">
        <v>123180603.91</v>
      </c>
      <c r="C39" s="190">
        <v>121891447.79000001</v>
      </c>
      <c r="D39" s="190">
        <v>113050132.55</v>
      </c>
      <c r="E39" s="190">
        <v>131652044.88</v>
      </c>
      <c r="F39" s="190">
        <v>128957242.54000001</v>
      </c>
      <c r="G39" s="190">
        <v>132821350.84</v>
      </c>
      <c r="H39" s="190">
        <v>124728664.06999999</v>
      </c>
      <c r="I39" s="190">
        <v>96568754.730000004</v>
      </c>
      <c r="J39" s="190">
        <v>97988507.489999995</v>
      </c>
      <c r="K39" s="190">
        <v>98726880.129999995</v>
      </c>
      <c r="L39" s="190">
        <v>106206337.41</v>
      </c>
      <c r="M39" s="190">
        <v>105045408.40000001</v>
      </c>
      <c r="N39" s="190">
        <v>94036413.329999998</v>
      </c>
      <c r="O39" s="190">
        <v>87281212.469999999</v>
      </c>
      <c r="P39" s="190">
        <v>82842026.349999994</v>
      </c>
      <c r="Q39" s="190">
        <v>85776389.219999999</v>
      </c>
      <c r="R39" s="190">
        <v>82492392.150000006</v>
      </c>
      <c r="S39" s="190">
        <v>66264750.82</v>
      </c>
      <c r="T39" s="190">
        <v>56403144.689999998</v>
      </c>
      <c r="U39" s="190">
        <v>58415483.549999997</v>
      </c>
      <c r="V39" s="190">
        <v>67799202.469999999</v>
      </c>
      <c r="W39" s="190">
        <v>62611670.850000001</v>
      </c>
      <c r="X39" s="190">
        <v>51492596.219999999</v>
      </c>
      <c r="Y39" s="190">
        <v>54394134.75</v>
      </c>
      <c r="Z39" s="190">
        <v>53462105.979999997</v>
      </c>
      <c r="AA39" s="190">
        <v>48277776.359999999</v>
      </c>
      <c r="AB39" s="190">
        <v>42246032.509999998</v>
      </c>
      <c r="AC39" s="190">
        <v>43324488.460000001</v>
      </c>
      <c r="AD39" s="190">
        <v>57206608.259999998</v>
      </c>
      <c r="AE39" s="190">
        <v>48133149.729999997</v>
      </c>
      <c r="AF39" s="190">
        <v>44207607.390000001</v>
      </c>
      <c r="AG39" s="190">
        <v>39821139.329999998</v>
      </c>
      <c r="AH39" s="190">
        <v>6938403.5800000001</v>
      </c>
      <c r="AI39" s="190">
        <v>6785539.7000000002</v>
      </c>
      <c r="AJ39" s="190">
        <v>8018973.6100000003</v>
      </c>
      <c r="AK39" s="190">
        <v>7742787.0199999996</v>
      </c>
      <c r="AL39" s="190">
        <v>4851029.58</v>
      </c>
      <c r="AM39" s="190">
        <v>4560809.71</v>
      </c>
      <c r="AN39" s="190">
        <v>6155362.0300000003</v>
      </c>
      <c r="AO39" s="190">
        <v>3866563.8</v>
      </c>
      <c r="AP39" s="190">
        <v>2783130.85</v>
      </c>
      <c r="AQ39" s="190">
        <v>0</v>
      </c>
    </row>
    <row r="40" spans="1:43" x14ac:dyDescent="0.25">
      <c r="A40" s="190" t="s">
        <v>144</v>
      </c>
      <c r="B40" s="190">
        <v>11472387.039999999</v>
      </c>
      <c r="C40" s="190">
        <v>11399767.140000001</v>
      </c>
      <c r="D40" s="190">
        <v>11985893.65</v>
      </c>
      <c r="E40" s="190">
        <v>19932301.280000001</v>
      </c>
      <c r="F40" s="190">
        <v>11551859.84</v>
      </c>
      <c r="G40" s="190">
        <v>11592919.029999999</v>
      </c>
      <c r="H40" s="190">
        <v>15785000</v>
      </c>
      <c r="I40" s="190">
        <v>15785000</v>
      </c>
      <c r="J40" s="190">
        <v>0</v>
      </c>
      <c r="K40" s="190">
        <v>0</v>
      </c>
      <c r="L40" s="190">
        <v>0</v>
      </c>
      <c r="M40" s="190">
        <v>0</v>
      </c>
      <c r="N40" s="190">
        <v>0</v>
      </c>
      <c r="O40" s="190">
        <v>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row>
    <row r="41" spans="1:43" x14ac:dyDescent="0.25">
      <c r="A41" s="190" t="s">
        <v>145</v>
      </c>
      <c r="B41" s="190">
        <v>1355409607.72</v>
      </c>
      <c r="C41" s="190">
        <v>1333068745.54</v>
      </c>
      <c r="D41" s="190">
        <v>1293989081.75</v>
      </c>
      <c r="E41" s="190">
        <v>1367394571.5699999</v>
      </c>
      <c r="F41" s="190">
        <v>1443240135.76</v>
      </c>
      <c r="G41" s="190">
        <v>1468688926.72</v>
      </c>
      <c r="H41" s="190">
        <v>1685717796.96</v>
      </c>
      <c r="I41" s="190">
        <v>1272651203.6099999</v>
      </c>
      <c r="J41" s="190">
        <v>1314956821.5599999</v>
      </c>
      <c r="K41" s="190">
        <v>1063497750.8</v>
      </c>
      <c r="L41" s="190">
        <v>1020238065.86</v>
      </c>
      <c r="M41" s="190">
        <v>1024693184.55</v>
      </c>
      <c r="N41" s="190">
        <v>890121493.55999994</v>
      </c>
      <c r="O41" s="190">
        <v>822129414.73000002</v>
      </c>
      <c r="P41" s="190">
        <v>825330317.23000002</v>
      </c>
      <c r="Q41" s="190">
        <v>825502014.86000001</v>
      </c>
      <c r="R41" s="190">
        <v>658741725.48000002</v>
      </c>
      <c r="S41" s="190">
        <v>642750663.66999996</v>
      </c>
      <c r="T41" s="190">
        <v>638106996.24000001</v>
      </c>
      <c r="U41" s="190">
        <v>646286156.85000002</v>
      </c>
      <c r="V41" s="190">
        <v>687749387.55999994</v>
      </c>
      <c r="W41" s="190">
        <v>656425843.01999998</v>
      </c>
      <c r="X41" s="190">
        <v>675710284.61000001</v>
      </c>
      <c r="Y41" s="190">
        <v>514551138.61000001</v>
      </c>
      <c r="Z41" s="190">
        <v>496788347.32999998</v>
      </c>
      <c r="AA41" s="190">
        <v>438036109.13999999</v>
      </c>
      <c r="AB41" s="190">
        <v>424560822.61000001</v>
      </c>
      <c r="AC41" s="190">
        <v>406249339.64999998</v>
      </c>
      <c r="AD41" s="190">
        <v>313155620.74000001</v>
      </c>
      <c r="AE41" s="190">
        <v>255703474.93000001</v>
      </c>
      <c r="AF41" s="190">
        <v>233981981.53999999</v>
      </c>
      <c r="AG41" s="190">
        <v>214815697.09999999</v>
      </c>
      <c r="AH41" s="190">
        <v>135625805.69</v>
      </c>
      <c r="AI41" s="190">
        <v>127706581.34</v>
      </c>
      <c r="AJ41" s="190">
        <v>128121301.54000001</v>
      </c>
      <c r="AK41" s="190">
        <v>127940373.52</v>
      </c>
      <c r="AL41" s="190">
        <v>97160166.030000001</v>
      </c>
      <c r="AM41" s="190">
        <v>98253328.269999996</v>
      </c>
      <c r="AN41" s="190">
        <v>101972525.01000001</v>
      </c>
      <c r="AO41" s="190">
        <v>82896917.930000007</v>
      </c>
      <c r="AP41" s="190">
        <v>64196426.759999998</v>
      </c>
      <c r="AQ41" s="190">
        <v>0</v>
      </c>
    </row>
    <row r="42" spans="1:43" x14ac:dyDescent="0.25">
      <c r="A42" s="190" t="s">
        <v>146</v>
      </c>
      <c r="B42" s="190">
        <v>5099455313.9200001</v>
      </c>
      <c r="C42" s="190">
        <v>5029115176.2399998</v>
      </c>
      <c r="D42" s="190">
        <v>5045656719.4700003</v>
      </c>
      <c r="E42" s="190">
        <v>4588164301.5</v>
      </c>
      <c r="F42" s="190">
        <v>4583533307.4799995</v>
      </c>
      <c r="G42" s="190">
        <v>4345413753.2399998</v>
      </c>
      <c r="H42" s="190">
        <v>4575824487.4899998</v>
      </c>
      <c r="I42" s="190">
        <v>4208287243.79</v>
      </c>
      <c r="J42" s="190">
        <v>3851813086.6999998</v>
      </c>
      <c r="K42" s="190">
        <v>3560057533.8600001</v>
      </c>
      <c r="L42" s="190">
        <v>3585925939.0700002</v>
      </c>
      <c r="M42" s="190">
        <v>3484849303.8000002</v>
      </c>
      <c r="N42" s="190">
        <v>3191439823.1700001</v>
      </c>
      <c r="O42" s="190">
        <v>2986156762.4899998</v>
      </c>
      <c r="P42" s="190">
        <v>3180540182.6199999</v>
      </c>
      <c r="Q42" s="190">
        <v>3114855561.2199998</v>
      </c>
      <c r="R42" s="190">
        <v>2895217618.3600001</v>
      </c>
      <c r="S42" s="190">
        <v>2660772146.6799998</v>
      </c>
      <c r="T42" s="190">
        <v>2727678314.2199998</v>
      </c>
      <c r="U42" s="190">
        <v>2645450265.48</v>
      </c>
      <c r="V42" s="190">
        <v>2465170285.0999999</v>
      </c>
      <c r="W42" s="190">
        <v>2252932153.3099999</v>
      </c>
      <c r="X42" s="190">
        <v>2409526966.02</v>
      </c>
      <c r="Y42" s="190">
        <v>2339770611.5</v>
      </c>
      <c r="Z42" s="190">
        <v>2270719302.29</v>
      </c>
      <c r="AA42" s="190">
        <v>2137893213.3599999</v>
      </c>
      <c r="AB42" s="190">
        <v>2270994717.3000002</v>
      </c>
      <c r="AC42" s="190">
        <v>2153179055.25</v>
      </c>
      <c r="AD42" s="190">
        <v>1988396274.9000001</v>
      </c>
      <c r="AE42" s="190">
        <v>1772891787.98</v>
      </c>
      <c r="AF42" s="190">
        <v>1953271489.8199999</v>
      </c>
      <c r="AG42" s="190">
        <v>1876052957.8599999</v>
      </c>
      <c r="AH42" s="190">
        <v>1668770817.4400001</v>
      </c>
      <c r="AI42" s="190">
        <v>1530314604.1400001</v>
      </c>
      <c r="AJ42" s="190">
        <v>1623039063.5999999</v>
      </c>
      <c r="AK42" s="190">
        <v>1547520508</v>
      </c>
      <c r="AL42" s="190">
        <v>1472354811.1099999</v>
      </c>
      <c r="AM42" s="190">
        <v>472831648.52999997</v>
      </c>
      <c r="AN42" s="190">
        <v>458441994.60000002</v>
      </c>
      <c r="AO42" s="190">
        <v>357981851.88</v>
      </c>
      <c r="AP42" s="190">
        <v>299974741.25999999</v>
      </c>
      <c r="AQ42" s="190">
        <v>0</v>
      </c>
    </row>
    <row r="43" spans="1:43" x14ac:dyDescent="0.25">
      <c r="A43" s="190" t="s">
        <v>147</v>
      </c>
    </row>
    <row r="44" spans="1:43" x14ac:dyDescent="0.25">
      <c r="A44" s="190" t="s">
        <v>148</v>
      </c>
      <c r="B44" s="190">
        <v>188948864.02000001</v>
      </c>
      <c r="C44" s="190">
        <v>188460025.30000001</v>
      </c>
      <c r="D44" s="190">
        <v>197086499.49000001</v>
      </c>
      <c r="E44" s="190">
        <v>190000000</v>
      </c>
      <c r="F44" s="190">
        <v>347918379.06999999</v>
      </c>
      <c r="G44" s="190">
        <v>346399456.67000002</v>
      </c>
      <c r="H44" s="190">
        <v>376062024.37</v>
      </c>
      <c r="I44" s="190">
        <v>400000000</v>
      </c>
      <c r="J44" s="190">
        <v>240000000</v>
      </c>
      <c r="K44" s="190">
        <v>270000000</v>
      </c>
      <c r="L44" s="190">
        <v>100000000</v>
      </c>
      <c r="M44" s="190">
        <v>100000000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5000000</v>
      </c>
      <c r="AP44" s="190">
        <v>28000000</v>
      </c>
      <c r="AQ44" s="190">
        <v>0</v>
      </c>
    </row>
    <row r="45" spans="1:43"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row>
    <row r="46" spans="1:43" x14ac:dyDescent="0.25">
      <c r="A46" s="190" t="s">
        <v>150</v>
      </c>
      <c r="B46" s="190">
        <v>0</v>
      </c>
      <c r="C46" s="190">
        <v>84226759.390000001</v>
      </c>
      <c r="D46" s="190">
        <v>76500924.930000007</v>
      </c>
      <c r="E46" s="190">
        <v>78023266.099999994</v>
      </c>
      <c r="F46" s="190">
        <v>72564162.640000001</v>
      </c>
      <c r="G46" s="190">
        <v>73348377.950000003</v>
      </c>
      <c r="H46" s="190">
        <v>61195376.789999999</v>
      </c>
      <c r="I46" s="190">
        <v>50783142.990000002</v>
      </c>
      <c r="J46" s="190">
        <v>60054536.219999999</v>
      </c>
      <c r="K46" s="190">
        <v>37699330.850000001</v>
      </c>
      <c r="L46" s="190">
        <v>50967182.450000003</v>
      </c>
      <c r="M46" s="190">
        <v>15129844.289999999</v>
      </c>
      <c r="N46" s="190">
        <v>61247366.950000003</v>
      </c>
      <c r="O46" s="190">
        <v>51070730.969999999</v>
      </c>
      <c r="P46" s="190">
        <v>40869975.25</v>
      </c>
      <c r="Q46" s="190">
        <v>40077508.780000001</v>
      </c>
      <c r="R46" s="190">
        <v>51659930.859999999</v>
      </c>
      <c r="S46" s="190">
        <v>51032185.659999996</v>
      </c>
      <c r="T46" s="190">
        <v>33940991.850000001</v>
      </c>
      <c r="U46" s="190">
        <v>50244501.109999999</v>
      </c>
      <c r="V46" s="190">
        <v>33982268.030000001</v>
      </c>
      <c r="W46" s="190">
        <v>32067281.440000001</v>
      </c>
      <c r="X46" s="190">
        <v>33988610.57</v>
      </c>
      <c r="Y46" s="190">
        <v>32049651.059999999</v>
      </c>
      <c r="Z46" s="190">
        <v>30591922.75</v>
      </c>
      <c r="AA46" s="190">
        <v>38170116.299999997</v>
      </c>
      <c r="AB46" s="190">
        <v>28615139.530000001</v>
      </c>
      <c r="AC46" s="190">
        <v>34862777.979999997</v>
      </c>
      <c r="AD46" s="190">
        <v>20039063.359999999</v>
      </c>
      <c r="AE46" s="190">
        <v>35145214.579999998</v>
      </c>
      <c r="AF46" s="190">
        <v>16758909.880000001</v>
      </c>
      <c r="AG46" s="190">
        <v>23246829.98</v>
      </c>
      <c r="AH46" s="190">
        <v>16106627.73</v>
      </c>
      <c r="AI46" s="190">
        <v>5804375.8300000001</v>
      </c>
      <c r="AJ46" s="190">
        <v>4787213.41</v>
      </c>
      <c r="AK46" s="190">
        <v>4791876.92</v>
      </c>
      <c r="AL46" s="190">
        <v>26027954.710000001</v>
      </c>
      <c r="AM46" s="190">
        <v>29868093.559999999</v>
      </c>
      <c r="AN46" s="190">
        <v>19168816</v>
      </c>
      <c r="AO46" s="190">
        <v>0</v>
      </c>
      <c r="AP46" s="190">
        <v>0</v>
      </c>
      <c r="AQ46" s="190">
        <v>0</v>
      </c>
    </row>
    <row r="47" spans="1:43" x14ac:dyDescent="0.25">
      <c r="A47" s="190" t="s">
        <v>151</v>
      </c>
      <c r="B47" s="190">
        <v>0</v>
      </c>
      <c r="C47" s="190">
        <v>492622176.07999998</v>
      </c>
      <c r="D47" s="190">
        <v>425389738.02999997</v>
      </c>
      <c r="E47" s="190">
        <v>416408376.41000003</v>
      </c>
      <c r="F47" s="190">
        <v>467584495.98000002</v>
      </c>
      <c r="G47" s="190">
        <v>408007274.42000002</v>
      </c>
      <c r="H47" s="190">
        <v>369147111.12</v>
      </c>
      <c r="I47" s="190">
        <v>337499520.91000003</v>
      </c>
      <c r="J47" s="190">
        <v>284092374.5</v>
      </c>
      <c r="K47" s="190">
        <v>208422647.28999999</v>
      </c>
      <c r="L47" s="190">
        <v>248861390.71000001</v>
      </c>
      <c r="M47" s="190">
        <v>300605223.86000001</v>
      </c>
      <c r="N47" s="190">
        <v>282071544.69</v>
      </c>
      <c r="O47" s="190">
        <v>270614379.23000002</v>
      </c>
      <c r="P47" s="190">
        <v>179275966.55000001</v>
      </c>
      <c r="Q47" s="190">
        <v>252086816.63999999</v>
      </c>
      <c r="R47" s="190">
        <v>346521310.00999999</v>
      </c>
      <c r="S47" s="190">
        <v>261050690.30000001</v>
      </c>
      <c r="T47" s="190">
        <v>239726079.91999999</v>
      </c>
      <c r="U47" s="190">
        <v>281249128.88999999</v>
      </c>
      <c r="V47" s="190">
        <v>199573936.55000001</v>
      </c>
      <c r="W47" s="190">
        <v>166426948.56999999</v>
      </c>
      <c r="X47" s="190">
        <v>187236688.43000001</v>
      </c>
      <c r="Y47" s="190">
        <v>257643763.53999999</v>
      </c>
      <c r="Z47" s="190">
        <v>264734459.97</v>
      </c>
      <c r="AA47" s="190">
        <v>299308562.82999998</v>
      </c>
      <c r="AB47" s="190">
        <v>274168394.76999998</v>
      </c>
      <c r="AC47" s="190">
        <v>298354085.85000002</v>
      </c>
      <c r="AD47" s="190">
        <v>220005852.24000001</v>
      </c>
      <c r="AE47" s="190">
        <v>200850439.75999999</v>
      </c>
      <c r="AF47" s="190">
        <v>194130373.44</v>
      </c>
      <c r="AG47" s="190">
        <v>268714371.08999997</v>
      </c>
      <c r="AH47" s="190">
        <v>128429378.42</v>
      </c>
      <c r="AI47" s="190">
        <v>117828842.56</v>
      </c>
      <c r="AJ47" s="190">
        <v>82202291.599999994</v>
      </c>
      <c r="AK47" s="190">
        <v>94609888.870000005</v>
      </c>
      <c r="AL47" s="190">
        <v>62949499.850000001</v>
      </c>
      <c r="AM47" s="190">
        <v>60735366.170000002</v>
      </c>
      <c r="AN47" s="190">
        <v>70897740.730000004</v>
      </c>
      <c r="AO47" s="190">
        <v>55779746.740000002</v>
      </c>
      <c r="AP47" s="190">
        <v>45415547.68</v>
      </c>
      <c r="AQ47" s="190">
        <v>0</v>
      </c>
    </row>
    <row r="48" spans="1:43" x14ac:dyDescent="0.25">
      <c r="A48" s="190" t="s">
        <v>152</v>
      </c>
      <c r="B48" s="190">
        <v>83278080.769999996</v>
      </c>
      <c r="C48" s="190">
        <v>85489388.390000001</v>
      </c>
      <c r="D48" s="190">
        <v>80754979.599999994</v>
      </c>
      <c r="E48" s="190">
        <v>89406648.530000001</v>
      </c>
      <c r="F48" s="190">
        <v>66724826.969999999</v>
      </c>
      <c r="G48" s="190">
        <v>71419339.900000006</v>
      </c>
      <c r="H48" s="190">
        <v>126694703.09</v>
      </c>
      <c r="I48" s="190">
        <v>109366676.15000001</v>
      </c>
      <c r="J48" s="190">
        <v>108058264.70999999</v>
      </c>
      <c r="K48" s="190">
        <v>109826640.25</v>
      </c>
      <c r="L48" s="190">
        <v>95622000.510000005</v>
      </c>
      <c r="M48" s="190">
        <v>80881599.680000007</v>
      </c>
      <c r="N48" s="190">
        <v>64036596.079999998</v>
      </c>
      <c r="O48" s="190">
        <v>68431755.129999995</v>
      </c>
      <c r="P48" s="190">
        <v>101102031.11</v>
      </c>
      <c r="Q48" s="190">
        <v>86092671.120000005</v>
      </c>
      <c r="R48" s="190">
        <v>45971429.380000003</v>
      </c>
      <c r="S48" s="190">
        <v>53110942.130000003</v>
      </c>
      <c r="T48" s="190">
        <v>74396737.290000007</v>
      </c>
      <c r="U48" s="190">
        <v>74121513.219999999</v>
      </c>
      <c r="V48" s="190">
        <v>54660257.630000003</v>
      </c>
      <c r="W48" s="190">
        <v>43111362.920000002</v>
      </c>
      <c r="X48" s="190">
        <v>66104440.909999996</v>
      </c>
      <c r="Y48" s="190">
        <v>55619716.280000001</v>
      </c>
      <c r="Z48" s="190">
        <v>55302377.479999997</v>
      </c>
      <c r="AA48" s="190">
        <v>53244998.289999999</v>
      </c>
      <c r="AB48" s="190">
        <v>73085304.019999996</v>
      </c>
      <c r="AC48" s="190">
        <v>83410023.870000005</v>
      </c>
      <c r="AD48" s="190">
        <v>64216356.18</v>
      </c>
      <c r="AE48" s="190">
        <v>62080895.219999999</v>
      </c>
      <c r="AF48" s="190">
        <v>86486174.939999998</v>
      </c>
      <c r="AG48" s="190">
        <v>44715330.340000004</v>
      </c>
      <c r="AH48" s="190">
        <v>48447355.82</v>
      </c>
      <c r="AI48" s="190">
        <v>27729649.68</v>
      </c>
      <c r="AJ48" s="190">
        <v>57222327.399999999</v>
      </c>
      <c r="AK48" s="190">
        <v>34172534.549999997</v>
      </c>
      <c r="AL48" s="190">
        <v>24045552.960000001</v>
      </c>
      <c r="AM48" s="190">
        <v>17196785.210000001</v>
      </c>
      <c r="AN48" s="190">
        <v>22351928.379999999</v>
      </c>
      <c r="AO48" s="190">
        <v>14776370.939999999</v>
      </c>
      <c r="AP48" s="190">
        <v>41165866.700000003</v>
      </c>
      <c r="AQ48" s="190">
        <v>0</v>
      </c>
    </row>
    <row r="49" spans="1:43"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row>
    <row r="50" spans="1:43" x14ac:dyDescent="0.25">
      <c r="A50" s="190" t="s">
        <v>154</v>
      </c>
      <c r="B50" s="190">
        <v>104130213.66</v>
      </c>
      <c r="C50" s="190">
        <v>97147973.239999995</v>
      </c>
      <c r="D50" s="190">
        <v>93912128.540000007</v>
      </c>
      <c r="E50" s="190">
        <v>135547115.13</v>
      </c>
      <c r="F50" s="190">
        <v>100544218.75</v>
      </c>
      <c r="G50" s="190">
        <v>93461848.829999998</v>
      </c>
      <c r="H50" s="190">
        <v>86808048.439999998</v>
      </c>
      <c r="I50" s="190">
        <v>80932813</v>
      </c>
      <c r="J50" s="190">
        <v>68768972.730000004</v>
      </c>
      <c r="K50" s="190">
        <v>55714609.840000004</v>
      </c>
      <c r="L50" s="190">
        <v>58263035.460000001</v>
      </c>
      <c r="M50" s="190">
        <v>76185233.560000002</v>
      </c>
      <c r="N50" s="190">
        <v>49758768.649999999</v>
      </c>
      <c r="O50" s="190">
        <v>46661668.469999999</v>
      </c>
      <c r="P50" s="190">
        <v>60107491.990000002</v>
      </c>
      <c r="Q50" s="190">
        <v>79111287.549999997</v>
      </c>
      <c r="R50" s="190">
        <v>39617969.299999997</v>
      </c>
      <c r="S50" s="190">
        <v>39278805.990000002</v>
      </c>
      <c r="T50" s="190">
        <v>40689188.799999997</v>
      </c>
      <c r="U50" s="190">
        <v>51711912.359999999</v>
      </c>
      <c r="V50" s="190">
        <v>35628761.850000001</v>
      </c>
      <c r="W50" s="190">
        <v>36679253.609999999</v>
      </c>
      <c r="X50" s="190">
        <v>37666978.210000001</v>
      </c>
      <c r="Y50" s="190">
        <v>38118554.369999997</v>
      </c>
      <c r="Z50" s="190">
        <v>35005535.740000002</v>
      </c>
      <c r="AA50" s="190">
        <v>33044291.079999998</v>
      </c>
      <c r="AB50" s="190">
        <v>44217530.359999999</v>
      </c>
      <c r="AC50" s="190">
        <v>27448505.84</v>
      </c>
      <c r="AD50" s="190">
        <v>32205329.43</v>
      </c>
      <c r="AE50" s="190">
        <v>28266261.68</v>
      </c>
      <c r="AF50" s="190">
        <v>26236854.23</v>
      </c>
      <c r="AG50" s="190">
        <v>26515652.41</v>
      </c>
      <c r="AH50" s="190">
        <v>23367527.800000001</v>
      </c>
      <c r="AI50" s="190">
        <v>23133468.34</v>
      </c>
      <c r="AJ50" s="190">
        <v>22235477.079999998</v>
      </c>
      <c r="AK50" s="190">
        <v>21491475.84</v>
      </c>
      <c r="AL50" s="190">
        <v>18336221.640000001</v>
      </c>
      <c r="AM50" s="190">
        <v>18160939.329999998</v>
      </c>
      <c r="AN50" s="190">
        <v>17922939.960000001</v>
      </c>
      <c r="AO50" s="190">
        <v>11511182.060000001</v>
      </c>
      <c r="AP50" s="190">
        <v>9490197.3499999996</v>
      </c>
      <c r="AQ50" s="190">
        <v>0</v>
      </c>
    </row>
    <row r="51" spans="1:43" x14ac:dyDescent="0.25">
      <c r="A51" s="190" t="s">
        <v>155</v>
      </c>
      <c r="B51" s="190">
        <v>49256570.710000001</v>
      </c>
      <c r="C51" s="190">
        <v>17783746.57</v>
      </c>
      <c r="D51" s="190">
        <v>60808421.219999999</v>
      </c>
      <c r="E51" s="190">
        <v>131691760.77</v>
      </c>
      <c r="F51" s="190">
        <v>101470001.01000001</v>
      </c>
      <c r="G51" s="190">
        <v>49689860.100000001</v>
      </c>
      <c r="H51" s="190">
        <v>99807050.629999995</v>
      </c>
      <c r="I51" s="190">
        <v>85532965.549999997</v>
      </c>
      <c r="J51" s="190">
        <v>29874534.41</v>
      </c>
      <c r="K51" s="190">
        <v>35734010.189999998</v>
      </c>
      <c r="L51" s="190">
        <v>73108978.579999998</v>
      </c>
      <c r="M51" s="190">
        <v>71462721.680000007</v>
      </c>
      <c r="N51" s="190">
        <v>48669585.399999999</v>
      </c>
      <c r="O51" s="190">
        <v>16038021.939999999</v>
      </c>
      <c r="P51" s="190">
        <v>53331382.43</v>
      </c>
      <c r="Q51" s="190">
        <v>30321686.989999998</v>
      </c>
      <c r="R51" s="190">
        <v>24257149.670000002</v>
      </c>
      <c r="S51" s="190">
        <v>-9157544.9900000002</v>
      </c>
      <c r="T51" s="190">
        <v>41703844.950000003</v>
      </c>
      <c r="U51" s="190">
        <v>-10207223.199999999</v>
      </c>
      <c r="V51" s="190">
        <v>40001809.07</v>
      </c>
      <c r="W51" s="190">
        <v>-21850069.050000001</v>
      </c>
      <c r="X51" s="190">
        <v>44482766.740000002</v>
      </c>
      <c r="Y51" s="190">
        <v>2729424.25</v>
      </c>
      <c r="Z51" s="190">
        <v>53764057.170000002</v>
      </c>
      <c r="AA51" s="190">
        <v>21253800.059999999</v>
      </c>
      <c r="AB51" s="190">
        <v>40855204.450000003</v>
      </c>
      <c r="AC51" s="190">
        <v>12959396.76</v>
      </c>
      <c r="AD51" s="190">
        <v>39239445.759999998</v>
      </c>
      <c r="AE51" s="190">
        <v>-48668986.020000003</v>
      </c>
      <c r="AF51" s="190">
        <v>54805025.219999999</v>
      </c>
      <c r="AG51" s="190">
        <v>2720795.11</v>
      </c>
      <c r="AH51" s="190">
        <v>35918893</v>
      </c>
      <c r="AI51" s="190">
        <v>6870827.6100000003</v>
      </c>
      <c r="AJ51" s="190">
        <v>42105458.289999999</v>
      </c>
      <c r="AK51" s="190">
        <v>30683200.640000001</v>
      </c>
      <c r="AL51" s="190">
        <v>26515087.09</v>
      </c>
      <c r="AM51" s="190">
        <v>-2708796.52</v>
      </c>
      <c r="AN51" s="190">
        <v>8780899.7200000007</v>
      </c>
      <c r="AO51" s="190">
        <v>20337137.77</v>
      </c>
      <c r="AP51" s="190">
        <v>3308743.89</v>
      </c>
      <c r="AQ51" s="190">
        <v>0</v>
      </c>
    </row>
    <row r="52" spans="1:43" x14ac:dyDescent="0.25">
      <c r="A52" s="190" t="s">
        <v>156</v>
      </c>
      <c r="B52" s="190">
        <v>0</v>
      </c>
      <c r="C52" s="190">
        <v>120284.89</v>
      </c>
      <c r="D52" s="190">
        <v>92918.44</v>
      </c>
      <c r="E52" s="190">
        <v>378668.3</v>
      </c>
      <c r="F52" s="190">
        <v>93686.35</v>
      </c>
      <c r="G52" s="190">
        <v>262805.84000000003</v>
      </c>
      <c r="H52" s="190">
        <v>526149.98</v>
      </c>
      <c r="I52" s="190">
        <v>690979.23</v>
      </c>
      <c r="J52" s="190">
        <v>0</v>
      </c>
      <c r="K52" s="190">
        <v>0</v>
      </c>
      <c r="L52" s="190">
        <v>0</v>
      </c>
      <c r="M52" s="190">
        <v>302083.33</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10444.44</v>
      </c>
      <c r="AP52" s="190">
        <v>49021.5</v>
      </c>
      <c r="AQ52" s="190">
        <v>0</v>
      </c>
    </row>
    <row r="53" spans="1:43" x14ac:dyDescent="0.25">
      <c r="A53" s="190" t="s">
        <v>157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row>
    <row r="54" spans="1:43" x14ac:dyDescent="0.25">
      <c r="A54" s="190" t="s">
        <v>158</v>
      </c>
      <c r="B54" s="190">
        <v>174174387.56</v>
      </c>
      <c r="C54" s="190">
        <v>267720764.88999999</v>
      </c>
      <c r="D54" s="190">
        <v>183636152.00999999</v>
      </c>
      <c r="E54" s="190">
        <v>155387998.97999999</v>
      </c>
      <c r="F54" s="190">
        <v>167096257.28</v>
      </c>
      <c r="G54" s="190">
        <v>166326681.74000001</v>
      </c>
      <c r="H54" s="190">
        <v>108461313.58</v>
      </c>
      <c r="I54" s="190">
        <v>119459262.78</v>
      </c>
      <c r="J54" s="190">
        <v>129096474.2</v>
      </c>
      <c r="K54" s="190">
        <v>111889529.72</v>
      </c>
      <c r="L54" s="190">
        <v>121785876.54000001</v>
      </c>
      <c r="M54" s="190">
        <v>119385398.15000001</v>
      </c>
      <c r="N54" s="190">
        <v>100043179.77</v>
      </c>
      <c r="O54" s="190">
        <v>96573186.959999993</v>
      </c>
      <c r="P54" s="190">
        <v>104737772.03</v>
      </c>
      <c r="Q54" s="190">
        <v>109431899.19</v>
      </c>
      <c r="R54" s="190">
        <v>58058523.149999999</v>
      </c>
      <c r="S54" s="190">
        <v>54359344.32</v>
      </c>
      <c r="T54" s="190">
        <v>54478386.140000001</v>
      </c>
      <c r="U54" s="190">
        <v>54160633.229999997</v>
      </c>
      <c r="V54" s="190">
        <v>50845067.060000002</v>
      </c>
      <c r="W54" s="190">
        <v>48802486.119999997</v>
      </c>
      <c r="X54" s="190">
        <v>50456499.079999998</v>
      </c>
      <c r="Y54" s="190">
        <v>49101698.909999996</v>
      </c>
      <c r="Z54" s="190">
        <v>57593452.100000001</v>
      </c>
      <c r="AA54" s="190">
        <v>45895756.600000001</v>
      </c>
      <c r="AB54" s="190">
        <v>44705798.020000003</v>
      </c>
      <c r="AC54" s="190">
        <v>36922110.979999997</v>
      </c>
      <c r="AD54" s="190">
        <v>36867844.240000002</v>
      </c>
      <c r="AE54" s="190">
        <v>35010155.009999998</v>
      </c>
      <c r="AF54" s="190">
        <v>30047017.890000001</v>
      </c>
      <c r="AG54" s="190">
        <v>27006431.969999999</v>
      </c>
      <c r="AH54" s="190">
        <v>28097199.600000001</v>
      </c>
      <c r="AI54" s="190">
        <v>32160007.850000001</v>
      </c>
      <c r="AJ54" s="190">
        <v>26460314</v>
      </c>
      <c r="AK54" s="190">
        <v>23631955.23</v>
      </c>
      <c r="AL54" s="190">
        <v>24340520.57</v>
      </c>
      <c r="AM54" s="190">
        <v>17204835.57</v>
      </c>
      <c r="AN54" s="190">
        <v>15642743.189999999</v>
      </c>
      <c r="AO54" s="190">
        <v>14240405.210000001</v>
      </c>
      <c r="AP54" s="190">
        <v>43058601.479999997</v>
      </c>
      <c r="AQ54" s="190">
        <v>0</v>
      </c>
    </row>
    <row r="55" spans="1:43"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row>
    <row r="56" spans="1:43"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row>
    <row r="57" spans="1:43"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row>
    <row r="58" spans="1:43" x14ac:dyDescent="0.25">
      <c r="A58" s="190" t="s">
        <v>162</v>
      </c>
      <c r="B58" s="190">
        <v>0</v>
      </c>
      <c r="C58" s="190">
        <v>7278260</v>
      </c>
      <c r="D58" s="190">
        <v>6916910</v>
      </c>
      <c r="E58" s="190">
        <v>7187620</v>
      </c>
      <c r="F58" s="190">
        <v>14601180</v>
      </c>
      <c r="G58" s="190">
        <v>14903680</v>
      </c>
      <c r="H58" s="190">
        <v>15178460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row>
    <row r="59" spans="1:43" x14ac:dyDescent="0.25">
      <c r="A59" s="190" t="s">
        <v>163</v>
      </c>
      <c r="B59" s="190">
        <v>75095008.400000006</v>
      </c>
      <c r="C59" s="190">
        <v>64834268.609999999</v>
      </c>
      <c r="D59" s="190">
        <v>67258993.180000007</v>
      </c>
      <c r="E59" s="190">
        <v>84207625.390000001</v>
      </c>
      <c r="F59" s="190">
        <v>27900982.940000001</v>
      </c>
      <c r="G59" s="190">
        <v>32053640.420000002</v>
      </c>
      <c r="H59" s="190">
        <v>55326668.07</v>
      </c>
      <c r="I59" s="190">
        <v>37467238.380000003</v>
      </c>
      <c r="J59" s="190">
        <v>27487049.420000002</v>
      </c>
      <c r="K59" s="190">
        <v>35839293.82</v>
      </c>
      <c r="L59" s="190">
        <v>54584831.789999999</v>
      </c>
      <c r="M59" s="190">
        <v>49807448.399999999</v>
      </c>
      <c r="N59" s="190">
        <v>39211393</v>
      </c>
      <c r="O59" s="190">
        <v>33895804.149999999</v>
      </c>
      <c r="P59" s="190">
        <v>32714815.600000001</v>
      </c>
      <c r="Q59" s="190">
        <v>24818085.18</v>
      </c>
      <c r="R59" s="190">
        <v>20643154.260000002</v>
      </c>
      <c r="S59" s="190">
        <v>18885327.989999998</v>
      </c>
      <c r="T59" s="190">
        <v>13061850.189999999</v>
      </c>
      <c r="U59" s="190">
        <v>10863390.52</v>
      </c>
      <c r="V59" s="190">
        <v>19792689.98</v>
      </c>
      <c r="W59" s="190">
        <v>16985933.010000002</v>
      </c>
      <c r="X59" s="190">
        <v>11694968.01</v>
      </c>
      <c r="Y59" s="190">
        <v>12287200.359999999</v>
      </c>
      <c r="Z59" s="190">
        <v>10307350.710000001</v>
      </c>
      <c r="AA59" s="190">
        <v>3066819.13</v>
      </c>
      <c r="AB59" s="190">
        <v>8512379.5099999998</v>
      </c>
      <c r="AC59" s="190">
        <v>8728575.6999999993</v>
      </c>
      <c r="AD59" s="190">
        <v>19071215.530000001</v>
      </c>
      <c r="AE59" s="190">
        <v>20889846.449999999</v>
      </c>
      <c r="AF59" s="190">
        <v>10930391.85</v>
      </c>
      <c r="AG59" s="190">
        <v>6627962.0499999998</v>
      </c>
      <c r="AH59" s="190">
        <v>10161251.76</v>
      </c>
      <c r="AI59" s="190">
        <v>5455317.2000000002</v>
      </c>
      <c r="AJ59" s="190">
        <v>5626052.2000000002</v>
      </c>
      <c r="AK59" s="190">
        <v>5891067.8200000003</v>
      </c>
      <c r="AL59" s="190">
        <v>1387908.21</v>
      </c>
      <c r="AM59" s="190">
        <v>1365946.28</v>
      </c>
      <c r="AN59" s="190">
        <v>2339075.14</v>
      </c>
      <c r="AO59" s="190">
        <v>3039475.51</v>
      </c>
      <c r="AP59" s="190">
        <v>1778889.15</v>
      </c>
      <c r="AQ59" s="190">
        <v>0</v>
      </c>
    </row>
    <row r="60" spans="1:43" x14ac:dyDescent="0.25">
      <c r="A60" s="190" t="s">
        <v>164</v>
      </c>
      <c r="B60" s="190">
        <v>1296998698.1700001</v>
      </c>
      <c r="C60" s="190">
        <v>1315868740.54</v>
      </c>
      <c r="D60" s="190">
        <v>1192357665.4400001</v>
      </c>
      <c r="E60" s="190">
        <v>1298086438.76</v>
      </c>
      <c r="F60" s="190">
        <v>1366498190.99</v>
      </c>
      <c r="G60" s="190">
        <v>1255872965.8699999</v>
      </c>
      <c r="H60" s="190">
        <v>1299206906.0699999</v>
      </c>
      <c r="I60" s="190">
        <v>1221732598.99</v>
      </c>
      <c r="J60" s="190">
        <v>947432206.19000006</v>
      </c>
      <c r="K60" s="190">
        <v>865126061.96000004</v>
      </c>
      <c r="L60" s="190">
        <v>803193296.03999996</v>
      </c>
      <c r="M60" s="190">
        <v>813759552.95000005</v>
      </c>
      <c r="N60" s="190">
        <v>645038434.53999996</v>
      </c>
      <c r="O60" s="190">
        <v>583285546.85000002</v>
      </c>
      <c r="P60" s="190">
        <v>572139434.96000004</v>
      </c>
      <c r="Q60" s="190">
        <v>621939955.45000005</v>
      </c>
      <c r="R60" s="190">
        <v>586729466.63</v>
      </c>
      <c r="S60" s="190">
        <v>468559751.39999998</v>
      </c>
      <c r="T60" s="190">
        <v>497997079.13999999</v>
      </c>
      <c r="U60" s="190">
        <v>512143856.13</v>
      </c>
      <c r="V60" s="190">
        <v>434484790.17000002</v>
      </c>
      <c r="W60" s="190">
        <v>322223196.62</v>
      </c>
      <c r="X60" s="190">
        <v>431630951.94999999</v>
      </c>
      <c r="Y60" s="190">
        <v>447550008.76999998</v>
      </c>
      <c r="Z60" s="190">
        <v>507299155.92000002</v>
      </c>
      <c r="AA60" s="190">
        <v>493984344.29000002</v>
      </c>
      <c r="AB60" s="190">
        <v>514159750.66000003</v>
      </c>
      <c r="AC60" s="190">
        <v>502685476.98000002</v>
      </c>
      <c r="AD60" s="190">
        <v>431645106.74000001</v>
      </c>
      <c r="AE60" s="190">
        <v>333573826.68000001</v>
      </c>
      <c r="AF60" s="190">
        <v>419394747.44999999</v>
      </c>
      <c r="AG60" s="190">
        <v>399547372.94999999</v>
      </c>
      <c r="AH60" s="190">
        <v>290528234.13</v>
      </c>
      <c r="AI60" s="190">
        <v>218982489.06999999</v>
      </c>
      <c r="AJ60" s="190">
        <v>240639133.97999999</v>
      </c>
      <c r="AK60" s="190">
        <v>215271999.87</v>
      </c>
      <c r="AL60" s="190">
        <v>183602745.03</v>
      </c>
      <c r="AM60" s="190">
        <v>141823169.59999999</v>
      </c>
      <c r="AN60" s="190">
        <v>157104143.12</v>
      </c>
      <c r="AO60" s="190">
        <v>124694762.67</v>
      </c>
      <c r="AP60" s="190">
        <v>172266867.75</v>
      </c>
      <c r="AQ60" s="190">
        <v>0</v>
      </c>
    </row>
    <row r="61" spans="1:43" x14ac:dyDescent="0.25">
      <c r="A61" s="190" t="s">
        <v>165</v>
      </c>
    </row>
    <row r="62" spans="1:43" x14ac:dyDescent="0.25">
      <c r="A62" s="190" t="s">
        <v>166</v>
      </c>
      <c r="B62" s="190">
        <v>0</v>
      </c>
      <c r="C62" s="190">
        <v>43669560</v>
      </c>
      <c r="D62" s="190">
        <v>48418370</v>
      </c>
      <c r="E62" s="190">
        <v>50313340</v>
      </c>
      <c r="F62" s="190">
        <v>58404720</v>
      </c>
      <c r="G62" s="190">
        <v>59614720</v>
      </c>
      <c r="H62" s="190">
        <v>148610922</v>
      </c>
      <c r="I62" s="190">
        <v>88377380</v>
      </c>
      <c r="J62" s="190">
        <v>84840756</v>
      </c>
      <c r="K62" s="190">
        <v>0</v>
      </c>
      <c r="L62" s="190">
        <v>0</v>
      </c>
      <c r="M62" s="190">
        <v>0</v>
      </c>
      <c r="N62" s="190">
        <v>0</v>
      </c>
      <c r="O62" s="190">
        <v>0</v>
      </c>
      <c r="P62" s="190">
        <v>0</v>
      </c>
      <c r="Q62" s="190">
        <v>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row>
    <row r="63" spans="1:43" x14ac:dyDescent="0.25">
      <c r="A63" s="190" t="s">
        <v>167</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row>
    <row r="64" spans="1:43" x14ac:dyDescent="0.25">
      <c r="A64" s="190" t="s">
        <v>168</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row>
    <row r="65" spans="1:43" x14ac:dyDescent="0.25">
      <c r="A65" s="190" t="s">
        <v>169</v>
      </c>
      <c r="B65" s="190">
        <v>15765867.51</v>
      </c>
      <c r="C65" s="190">
        <v>16554964.779999999</v>
      </c>
      <c r="D65" s="190">
        <v>15733046.279999999</v>
      </c>
      <c r="E65" s="190">
        <v>16782981.620000001</v>
      </c>
      <c r="F65" s="190">
        <v>18750304.399999999</v>
      </c>
      <c r="G65" s="190">
        <v>20425933.780000001</v>
      </c>
      <c r="H65" s="190">
        <v>20242601.390000001</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row>
    <row r="66" spans="1:43"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row>
    <row r="67" spans="1:43" x14ac:dyDescent="0.25">
      <c r="A67" s="190" t="s">
        <v>171</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row>
    <row r="68" spans="1:43" x14ac:dyDescent="0.25">
      <c r="A68" s="190" t="s">
        <v>172</v>
      </c>
      <c r="B68" s="190">
        <v>59138703.289999999</v>
      </c>
      <c r="C68" s="190">
        <v>57105693.060000002</v>
      </c>
      <c r="D68" s="190">
        <v>53020453.700000003</v>
      </c>
      <c r="E68" s="190">
        <v>53232849.850000001</v>
      </c>
      <c r="F68" s="190">
        <v>81163867.950000003</v>
      </c>
      <c r="G68" s="190">
        <v>86052130.519999996</v>
      </c>
      <c r="H68" s="190">
        <v>88037017.060000002</v>
      </c>
      <c r="I68" s="190">
        <v>1125000</v>
      </c>
      <c r="J68" s="190">
        <v>1250000</v>
      </c>
      <c r="K68" s="190">
        <v>1250000</v>
      </c>
      <c r="L68" s="190">
        <v>1250000</v>
      </c>
      <c r="M68" s="190">
        <v>1250000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row>
    <row r="69" spans="1:43" x14ac:dyDescent="0.25">
      <c r="A69" s="190" t="s">
        <v>173</v>
      </c>
      <c r="B69" s="190">
        <v>12000000</v>
      </c>
      <c r="C69" s="190">
        <v>12000000</v>
      </c>
      <c r="D69" s="190">
        <v>11500000</v>
      </c>
      <c r="E69" s="190">
        <v>11500000</v>
      </c>
      <c r="F69" s="190">
        <v>10500000</v>
      </c>
      <c r="G69" s="190">
        <v>10500000</v>
      </c>
      <c r="H69" s="190">
        <v>7000000</v>
      </c>
      <c r="I69" s="190">
        <v>7000000</v>
      </c>
      <c r="J69" s="190">
        <v>0</v>
      </c>
      <c r="K69" s="190">
        <v>0</v>
      </c>
      <c r="L69" s="190">
        <v>0</v>
      </c>
      <c r="M69" s="190">
        <v>0</v>
      </c>
      <c r="N69" s="190">
        <v>0</v>
      </c>
      <c r="O69" s="190">
        <v>0</v>
      </c>
      <c r="P69" s="190">
        <v>0</v>
      </c>
      <c r="Q69" s="190">
        <v>0</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row>
    <row r="70" spans="1:43" x14ac:dyDescent="0.25">
      <c r="A70" s="190" t="s">
        <v>174</v>
      </c>
      <c r="B70" s="190">
        <v>753429.11</v>
      </c>
      <c r="C70" s="190">
        <v>3245885.74</v>
      </c>
      <c r="D70" s="190">
        <v>2932846.91</v>
      </c>
      <c r="E70" s="190">
        <v>5523434.1399999997</v>
      </c>
      <c r="F70" s="190">
        <v>4666311.3099999996</v>
      </c>
      <c r="G70" s="190">
        <v>8005496.9699999997</v>
      </c>
      <c r="H70" s="190">
        <v>6684277.6100000003</v>
      </c>
      <c r="I70" s="190">
        <v>9794093.1400000006</v>
      </c>
      <c r="J70" s="190">
        <v>8250221.9000000004</v>
      </c>
      <c r="K70" s="190">
        <v>17439146.66</v>
      </c>
      <c r="L70" s="190">
        <v>10690043.33</v>
      </c>
      <c r="M70" s="190">
        <v>14380137.460000001</v>
      </c>
      <c r="N70" s="190">
        <v>0</v>
      </c>
      <c r="O70" s="190">
        <v>3913327.12</v>
      </c>
      <c r="P70" s="190">
        <v>2666935.96</v>
      </c>
      <c r="Q70" s="190">
        <v>5587351.7300000004</v>
      </c>
      <c r="R70" s="190">
        <v>4419412.5999999996</v>
      </c>
      <c r="S70" s="190">
        <v>7430086.4699999997</v>
      </c>
      <c r="T70" s="190">
        <v>5284150.0999999996</v>
      </c>
      <c r="U70" s="190">
        <v>7877039.8899999997</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row>
    <row r="71" spans="1:43" x14ac:dyDescent="0.25">
      <c r="A71" s="190" t="s">
        <v>175</v>
      </c>
      <c r="B71" s="190">
        <v>87657999.909999996</v>
      </c>
      <c r="C71" s="190">
        <v>132576103.58</v>
      </c>
      <c r="D71" s="190">
        <v>131604716.89</v>
      </c>
      <c r="E71" s="190">
        <v>137352605.61000001</v>
      </c>
      <c r="F71" s="190">
        <v>173485203.66</v>
      </c>
      <c r="G71" s="190">
        <v>184598281.27000001</v>
      </c>
      <c r="H71" s="190">
        <v>270574818.06</v>
      </c>
      <c r="I71" s="190">
        <v>106296473.14</v>
      </c>
      <c r="J71" s="190">
        <v>94340977.900000006</v>
      </c>
      <c r="K71" s="190">
        <v>18689146.66</v>
      </c>
      <c r="L71" s="190">
        <v>11940043.33</v>
      </c>
      <c r="M71" s="190">
        <v>15630137.460000001</v>
      </c>
      <c r="N71" s="190">
        <v>0</v>
      </c>
      <c r="O71" s="190">
        <v>3913327.12</v>
      </c>
      <c r="P71" s="190">
        <v>2666935.96</v>
      </c>
      <c r="Q71" s="190">
        <v>5587351.7300000004</v>
      </c>
      <c r="R71" s="190">
        <v>4419412.5999999996</v>
      </c>
      <c r="S71" s="190">
        <v>7430086.4699999997</v>
      </c>
      <c r="T71" s="190">
        <v>5284150.0999999996</v>
      </c>
      <c r="U71" s="190">
        <v>7877039.8899999997</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row>
    <row r="72" spans="1:43" x14ac:dyDescent="0.25">
      <c r="A72" s="190" t="s">
        <v>176</v>
      </c>
      <c r="B72" s="190">
        <v>1384656698.0799999</v>
      </c>
      <c r="C72" s="190">
        <v>1448444844.1199999</v>
      </c>
      <c r="D72" s="190">
        <v>1323962382.3299999</v>
      </c>
      <c r="E72" s="190">
        <v>1435439044.3699999</v>
      </c>
      <c r="F72" s="190">
        <v>1539983394.6500001</v>
      </c>
      <c r="G72" s="190">
        <v>1440471247.1400001</v>
      </c>
      <c r="H72" s="190">
        <v>1569781724.1300001</v>
      </c>
      <c r="I72" s="190">
        <v>1328029072.1300001</v>
      </c>
      <c r="J72" s="190">
        <v>1041773184.09</v>
      </c>
      <c r="K72" s="190">
        <v>883815208.62</v>
      </c>
      <c r="L72" s="190">
        <v>815133339.37</v>
      </c>
      <c r="M72" s="190">
        <v>829389690.40999997</v>
      </c>
      <c r="N72" s="190">
        <v>645038434.53999996</v>
      </c>
      <c r="O72" s="190">
        <v>587198873.97000003</v>
      </c>
      <c r="P72" s="190">
        <v>574806370.91999996</v>
      </c>
      <c r="Q72" s="190">
        <v>627527307.17999995</v>
      </c>
      <c r="R72" s="190">
        <v>591148879.23000002</v>
      </c>
      <c r="S72" s="190">
        <v>475989837.87</v>
      </c>
      <c r="T72" s="190">
        <v>503281229.24000001</v>
      </c>
      <c r="U72" s="190">
        <v>520020896.01999998</v>
      </c>
      <c r="V72" s="190">
        <v>434484790.17000002</v>
      </c>
      <c r="W72" s="190">
        <v>322223196.62</v>
      </c>
      <c r="X72" s="190">
        <v>431630951.94999999</v>
      </c>
      <c r="Y72" s="190">
        <v>447550008.76999998</v>
      </c>
      <c r="Z72" s="190">
        <v>507299155.92000002</v>
      </c>
      <c r="AA72" s="190">
        <v>493984344.29000002</v>
      </c>
      <c r="AB72" s="190">
        <v>514159750.66000003</v>
      </c>
      <c r="AC72" s="190">
        <v>502685476.98000002</v>
      </c>
      <c r="AD72" s="190">
        <v>431645106.74000001</v>
      </c>
      <c r="AE72" s="190">
        <v>333573826.68000001</v>
      </c>
      <c r="AF72" s="190">
        <v>419394747.44999999</v>
      </c>
      <c r="AG72" s="190">
        <v>399547372.94999999</v>
      </c>
      <c r="AH72" s="190">
        <v>290528234.13</v>
      </c>
      <c r="AI72" s="190">
        <v>218982489.06999999</v>
      </c>
      <c r="AJ72" s="190">
        <v>240639133.97999999</v>
      </c>
      <c r="AK72" s="190">
        <v>215271999.87</v>
      </c>
      <c r="AL72" s="190">
        <v>183602745.03</v>
      </c>
      <c r="AM72" s="190">
        <v>141823169.59999999</v>
      </c>
      <c r="AN72" s="190">
        <v>157104143.12</v>
      </c>
      <c r="AO72" s="190">
        <v>124694762.67</v>
      </c>
      <c r="AP72" s="190">
        <v>172266867.75</v>
      </c>
      <c r="AQ72" s="190">
        <v>0</v>
      </c>
    </row>
    <row r="73" spans="1:43" x14ac:dyDescent="0.25">
      <c r="A73" s="190" t="s">
        <v>177</v>
      </c>
    </row>
    <row r="74" spans="1:43" x14ac:dyDescent="0.25">
      <c r="A74" s="190" t="s">
        <v>178</v>
      </c>
      <c r="B74" s="190">
        <v>744729147</v>
      </c>
      <c r="C74" s="190">
        <v>744729147</v>
      </c>
      <c r="D74" s="190">
        <v>744919147</v>
      </c>
      <c r="E74" s="190">
        <v>704905500</v>
      </c>
      <c r="F74" s="190">
        <v>704905500</v>
      </c>
      <c r="G74" s="190">
        <v>704905500</v>
      </c>
      <c r="H74" s="190">
        <v>701815500</v>
      </c>
      <c r="I74" s="190">
        <v>701815500</v>
      </c>
      <c r="J74" s="190">
        <v>701815500</v>
      </c>
      <c r="K74" s="190">
        <v>701815500</v>
      </c>
      <c r="L74" s="190">
        <v>701815500</v>
      </c>
      <c r="M74" s="190">
        <v>701815500</v>
      </c>
      <c r="N74" s="190">
        <v>701815500</v>
      </c>
      <c r="O74" s="190">
        <v>701815500</v>
      </c>
      <c r="P74" s="190">
        <v>280726200</v>
      </c>
      <c r="Q74" s="190">
        <v>280726200</v>
      </c>
      <c r="R74" s="190">
        <v>280726200</v>
      </c>
      <c r="S74" s="190">
        <v>280726200</v>
      </c>
      <c r="T74" s="190">
        <v>280726200</v>
      </c>
      <c r="U74" s="190">
        <v>280726200</v>
      </c>
      <c r="V74" s="190">
        <v>280726200</v>
      </c>
      <c r="W74" s="190">
        <v>280726200</v>
      </c>
      <c r="X74" s="190">
        <v>140363100</v>
      </c>
      <c r="Y74" s="190">
        <v>140363100</v>
      </c>
      <c r="Z74" s="190">
        <v>140363100</v>
      </c>
      <c r="AA74" s="190">
        <v>140363100</v>
      </c>
      <c r="AB74" s="190">
        <v>140363100</v>
      </c>
      <c r="AC74" s="190">
        <v>140363100</v>
      </c>
      <c r="AD74" s="190">
        <v>140363100</v>
      </c>
      <c r="AE74" s="190">
        <v>140363100</v>
      </c>
      <c r="AF74" s="190">
        <v>140363100</v>
      </c>
      <c r="AG74" s="190">
        <v>140363100</v>
      </c>
      <c r="AH74" s="190">
        <v>140363100</v>
      </c>
      <c r="AI74" s="190">
        <v>140363100</v>
      </c>
      <c r="AJ74" s="190">
        <v>140363100</v>
      </c>
      <c r="AK74" s="190">
        <v>140363100</v>
      </c>
      <c r="AL74" s="190">
        <v>140363100</v>
      </c>
      <c r="AM74" s="190">
        <v>105263100</v>
      </c>
      <c r="AN74" s="190">
        <v>105263100</v>
      </c>
      <c r="AO74" s="190">
        <v>105263100</v>
      </c>
      <c r="AP74" s="190">
        <v>14943456</v>
      </c>
      <c r="AQ74" s="190">
        <v>0</v>
      </c>
    </row>
    <row r="75" spans="1:43" x14ac:dyDescent="0.25">
      <c r="A75" s="190" t="s">
        <v>179</v>
      </c>
      <c r="B75" s="190">
        <v>799073930.01999998</v>
      </c>
      <c r="C75" s="190">
        <v>796160462.83000004</v>
      </c>
      <c r="D75" s="190">
        <v>770521940.25</v>
      </c>
      <c r="E75" s="190">
        <v>370838881.36000001</v>
      </c>
      <c r="F75" s="190">
        <v>367084618.66000003</v>
      </c>
      <c r="G75" s="190">
        <v>365372843.69</v>
      </c>
      <c r="H75" s="190">
        <v>343661998.69999999</v>
      </c>
      <c r="I75" s="190">
        <v>348501443.69</v>
      </c>
      <c r="J75" s="190">
        <v>348501443.69</v>
      </c>
      <c r="K75" s="190">
        <v>348237589.52999997</v>
      </c>
      <c r="L75" s="190">
        <v>345579812.58999997</v>
      </c>
      <c r="M75" s="190">
        <v>345579812.58999997</v>
      </c>
      <c r="N75" s="190">
        <v>345579812.58999997</v>
      </c>
      <c r="O75" s="190">
        <v>345579812.58999997</v>
      </c>
      <c r="P75" s="190">
        <v>766669112.59000003</v>
      </c>
      <c r="Q75" s="190">
        <v>766669112.59000003</v>
      </c>
      <c r="R75" s="190">
        <v>766669112.59000003</v>
      </c>
      <c r="S75" s="190">
        <v>766669112.59000003</v>
      </c>
      <c r="T75" s="190">
        <v>766669112.59000003</v>
      </c>
      <c r="U75" s="190">
        <v>766669112.59000003</v>
      </c>
      <c r="V75" s="190">
        <v>766669112.59000003</v>
      </c>
      <c r="W75" s="190">
        <v>766669112.59000003</v>
      </c>
      <c r="X75" s="190">
        <v>907032212.59000003</v>
      </c>
      <c r="Y75" s="190">
        <v>907032212.59000003</v>
      </c>
      <c r="Z75" s="190">
        <v>907032212.59000003</v>
      </c>
      <c r="AA75" s="190">
        <v>907032212.59000003</v>
      </c>
      <c r="AB75" s="190">
        <v>907032212.59000003</v>
      </c>
      <c r="AC75" s="190">
        <v>907032212.59000003</v>
      </c>
      <c r="AD75" s="190">
        <v>907032212.59000003</v>
      </c>
      <c r="AE75" s="190">
        <v>907032212.59000003</v>
      </c>
      <c r="AF75" s="190">
        <v>907032212.59000003</v>
      </c>
      <c r="AG75" s="190">
        <v>907032212.59000003</v>
      </c>
      <c r="AH75" s="190">
        <v>909088421.73000002</v>
      </c>
      <c r="AI75" s="190">
        <v>909088421.73000002</v>
      </c>
      <c r="AJ75" s="190">
        <v>909088421.73000002</v>
      </c>
      <c r="AK75" s="190">
        <v>909088421.73000002</v>
      </c>
      <c r="AL75" s="190">
        <v>908208321.07000005</v>
      </c>
      <c r="AM75" s="190">
        <v>36175321.07</v>
      </c>
      <c r="AN75" s="190">
        <v>36175321.07</v>
      </c>
      <c r="AO75" s="190">
        <v>36175321.07</v>
      </c>
      <c r="AP75" s="190">
        <v>1758251.73</v>
      </c>
      <c r="AQ75" s="190">
        <v>0</v>
      </c>
    </row>
    <row r="76" spans="1:43" x14ac:dyDescent="0.25">
      <c r="A76" s="190" t="s">
        <v>180</v>
      </c>
      <c r="B76" s="190">
        <v>25622400</v>
      </c>
      <c r="C76" s="190">
        <v>25622400</v>
      </c>
      <c r="D76" s="190">
        <v>25622400</v>
      </c>
      <c r="E76" s="190">
        <v>19961400</v>
      </c>
      <c r="F76" s="190">
        <v>19961400</v>
      </c>
      <c r="G76" s="190">
        <v>19961400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row>
    <row r="77" spans="1:43" x14ac:dyDescent="0.25">
      <c r="A77" s="190" t="s">
        <v>181</v>
      </c>
      <c r="B77" s="190">
        <v>2034023.42</v>
      </c>
      <c r="C77" s="190">
        <v>-15462040.77</v>
      </c>
      <c r="D77" s="190">
        <v>-47760818.689999998</v>
      </c>
      <c r="E77" s="190">
        <v>-24230454.379999999</v>
      </c>
      <c r="F77" s="190">
        <v>-18217345.870000001</v>
      </c>
      <c r="G77" s="190">
        <v>-6939857.9900000002</v>
      </c>
      <c r="H77" s="190">
        <v>8285101.3700000001</v>
      </c>
      <c r="I77" s="190">
        <v>2775399.74</v>
      </c>
      <c r="J77" s="190">
        <v>1347499.98</v>
      </c>
      <c r="K77" s="190">
        <v>1044258.23</v>
      </c>
      <c r="L77" s="190">
        <v>25377.54</v>
      </c>
      <c r="M77" s="190">
        <v>29224.77</v>
      </c>
      <c r="N77" s="190">
        <v>-350887.55</v>
      </c>
      <c r="O77" s="190">
        <v>-1738250.4</v>
      </c>
      <c r="P77" s="190">
        <v>-1596939.08</v>
      </c>
      <c r="Q77" s="190">
        <v>-1718413.22</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row>
    <row r="78" spans="1:43"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row>
    <row r="79" spans="1:43" x14ac:dyDescent="0.25">
      <c r="A79" s="190" t="s">
        <v>183</v>
      </c>
      <c r="B79" s="190">
        <v>333942631.27999997</v>
      </c>
      <c r="C79" s="190">
        <v>333942631.27999997</v>
      </c>
      <c r="D79" s="190">
        <v>333942631.27999997</v>
      </c>
      <c r="E79" s="190">
        <v>333942631.27999997</v>
      </c>
      <c r="F79" s="190">
        <v>286181596.91000003</v>
      </c>
      <c r="G79" s="190">
        <v>286181596.91000003</v>
      </c>
      <c r="H79" s="190">
        <v>286181596.91000003</v>
      </c>
      <c r="I79" s="190">
        <v>286181596.91000003</v>
      </c>
      <c r="J79" s="190">
        <v>258069600.65000001</v>
      </c>
      <c r="K79" s="190">
        <v>258069600.65000001</v>
      </c>
      <c r="L79" s="190">
        <v>258069600.65000001</v>
      </c>
      <c r="M79" s="190">
        <v>258069600.65000001</v>
      </c>
      <c r="N79" s="190">
        <v>214396957.88</v>
      </c>
      <c r="O79" s="190">
        <v>214396957.88</v>
      </c>
      <c r="P79" s="190">
        <v>214396957.88</v>
      </c>
      <c r="Q79" s="190">
        <v>214396957.88</v>
      </c>
      <c r="R79" s="190">
        <v>170059530.44999999</v>
      </c>
      <c r="S79" s="190">
        <v>170059530.44999999</v>
      </c>
      <c r="T79" s="190">
        <v>170059530.44999999</v>
      </c>
      <c r="U79" s="190">
        <v>170059530.44999999</v>
      </c>
      <c r="V79" s="190">
        <v>134414074.22999999</v>
      </c>
      <c r="W79" s="190">
        <v>134414074.22999999</v>
      </c>
      <c r="X79" s="190">
        <v>134414074.22999999</v>
      </c>
      <c r="Y79" s="190">
        <v>134414074.22999999</v>
      </c>
      <c r="Z79" s="190">
        <v>93959960.069999993</v>
      </c>
      <c r="AA79" s="190">
        <v>93959960.069999993</v>
      </c>
      <c r="AB79" s="190">
        <v>93959960.069999993</v>
      </c>
      <c r="AC79" s="190">
        <v>93959960.069999993</v>
      </c>
      <c r="AD79" s="190">
        <v>58711023.469999999</v>
      </c>
      <c r="AE79" s="190">
        <v>58711023.469999999</v>
      </c>
      <c r="AF79" s="190">
        <v>55755062.170000002</v>
      </c>
      <c r="AG79" s="190">
        <v>58711023.469999999</v>
      </c>
      <c r="AH79" s="190">
        <v>33367477.82</v>
      </c>
      <c r="AI79" s="190">
        <v>33367477.82</v>
      </c>
      <c r="AJ79" s="190">
        <v>33367477.82</v>
      </c>
      <c r="AK79" s="190">
        <v>33367477.82</v>
      </c>
      <c r="AL79" s="190">
        <v>22190473.329999998</v>
      </c>
      <c r="AM79" s="190">
        <v>22190473.329999998</v>
      </c>
      <c r="AN79" s="190">
        <v>22190473.329999998</v>
      </c>
      <c r="AO79" s="190">
        <v>10637841.689999999</v>
      </c>
      <c r="AP79" s="190">
        <v>17556289.039999999</v>
      </c>
      <c r="AQ79" s="190">
        <v>0</v>
      </c>
    </row>
    <row r="80" spans="1:43"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row>
    <row r="81" spans="1:43" x14ac:dyDescent="0.25">
      <c r="A81" s="190" t="s">
        <v>185</v>
      </c>
      <c r="B81" s="190">
        <v>1756122910.02</v>
      </c>
      <c r="C81" s="190">
        <v>1597456143.1700001</v>
      </c>
      <c r="D81" s="190">
        <v>1796004757.3</v>
      </c>
      <c r="E81" s="190">
        <v>1639515988.21</v>
      </c>
      <c r="F81" s="190">
        <v>1569927010.5999999</v>
      </c>
      <c r="G81" s="190">
        <v>1421034201.5899999</v>
      </c>
      <c r="H81" s="190">
        <v>1516602206.3699999</v>
      </c>
      <c r="I81" s="190">
        <v>1399763125.4400001</v>
      </c>
      <c r="J81" s="190">
        <v>1370033724.22</v>
      </c>
      <c r="K81" s="190">
        <v>1261415134.47</v>
      </c>
      <c r="L81" s="190">
        <v>1359753909.76</v>
      </c>
      <c r="M81" s="190">
        <v>1250941350.79</v>
      </c>
      <c r="N81" s="190">
        <v>1208347465.52</v>
      </c>
      <c r="O81" s="190">
        <v>1068295724.63</v>
      </c>
      <c r="P81" s="190">
        <v>1281431019.3199999</v>
      </c>
      <c r="Q81" s="190">
        <v>1165251874.99</v>
      </c>
      <c r="R81" s="190">
        <v>1088200440.6300001</v>
      </c>
      <c r="S81" s="190">
        <v>968867455.89999998</v>
      </c>
      <c r="T81" s="190">
        <v>1008503054.0599999</v>
      </c>
      <c r="U81" s="190">
        <v>909753702.34000003</v>
      </c>
      <c r="V81" s="190">
        <v>850428398.08000004</v>
      </c>
      <c r="W81" s="190">
        <v>750350402.75</v>
      </c>
      <c r="X81" s="190">
        <v>797255248.05999994</v>
      </c>
      <c r="Y81" s="190">
        <v>711498676.40999997</v>
      </c>
      <c r="Z81" s="190">
        <v>623008496.62</v>
      </c>
      <c r="AA81" s="190">
        <v>503552118.06</v>
      </c>
      <c r="AB81" s="190">
        <v>616572912.17999995</v>
      </c>
      <c r="AC81" s="190">
        <v>510229123.81</v>
      </c>
      <c r="AD81" s="190">
        <v>451626737.39999998</v>
      </c>
      <c r="AE81" s="190">
        <v>333903403.31999999</v>
      </c>
      <c r="AF81" s="190">
        <v>431242525.72000003</v>
      </c>
      <c r="AG81" s="190">
        <v>370783524.22000003</v>
      </c>
      <c r="AH81" s="190">
        <v>289614593.99000001</v>
      </c>
      <c r="AI81" s="190">
        <v>223495470.13999999</v>
      </c>
      <c r="AJ81" s="190">
        <v>294620676.75</v>
      </c>
      <c r="AK81" s="190">
        <v>244953989.93000001</v>
      </c>
      <c r="AL81" s="190">
        <v>214216081.68000001</v>
      </c>
      <c r="AM81" s="190">
        <v>164238846.41999999</v>
      </c>
      <c r="AN81" s="190">
        <v>134425609.84</v>
      </c>
      <c r="AO81" s="190">
        <v>78016353.280000001</v>
      </c>
      <c r="AP81" s="190">
        <v>93449876.739999995</v>
      </c>
      <c r="AQ81" s="190">
        <v>0</v>
      </c>
    </row>
    <row r="82" spans="1:43" x14ac:dyDescent="0.25">
      <c r="A82" s="190" t="s">
        <v>186</v>
      </c>
      <c r="B82" s="190">
        <v>3610280241.7399998</v>
      </c>
      <c r="C82" s="190">
        <v>3431203943.5100002</v>
      </c>
      <c r="D82" s="190">
        <v>3572005257.1399999</v>
      </c>
      <c r="E82" s="190">
        <v>3005011146.4699998</v>
      </c>
      <c r="F82" s="190">
        <v>2889919980.3000002</v>
      </c>
      <c r="G82" s="190">
        <v>2750592884.1999998</v>
      </c>
      <c r="H82" s="190">
        <v>2856546403.3499999</v>
      </c>
      <c r="I82" s="190">
        <v>2739037065.7800002</v>
      </c>
      <c r="J82" s="190">
        <v>2679767768.54</v>
      </c>
      <c r="K82" s="190">
        <v>2570582082.8800001</v>
      </c>
      <c r="L82" s="190">
        <v>2665244200.54</v>
      </c>
      <c r="M82" s="190">
        <v>2556435488.8000002</v>
      </c>
      <c r="N82" s="190">
        <v>2469788848.4400001</v>
      </c>
      <c r="O82" s="190">
        <v>2328349744.6999998</v>
      </c>
      <c r="P82" s="190">
        <v>2541626350.71</v>
      </c>
      <c r="Q82" s="190">
        <v>2425325732.2399998</v>
      </c>
      <c r="R82" s="190">
        <v>2304068739.1300001</v>
      </c>
      <c r="S82" s="190">
        <v>2184782308.8099999</v>
      </c>
      <c r="T82" s="190">
        <v>2224397084.98</v>
      </c>
      <c r="U82" s="190">
        <v>2125429369.46</v>
      </c>
      <c r="V82" s="190">
        <v>2030685494.9300001</v>
      </c>
      <c r="W82" s="190">
        <v>1930708956.6900001</v>
      </c>
      <c r="X82" s="190">
        <v>1977896014.0699999</v>
      </c>
      <c r="Y82" s="190">
        <v>1892220602.73</v>
      </c>
      <c r="Z82" s="190">
        <v>1763420146.3699999</v>
      </c>
      <c r="AA82" s="190">
        <v>1643908869.0699999</v>
      </c>
      <c r="AB82" s="190">
        <v>1756834966.6400001</v>
      </c>
      <c r="AC82" s="190">
        <v>1650493578.27</v>
      </c>
      <c r="AD82" s="190">
        <v>1556751168.1600001</v>
      </c>
      <c r="AE82" s="190">
        <v>1439317961.3</v>
      </c>
      <c r="AF82" s="190">
        <v>1533876742.3699999</v>
      </c>
      <c r="AG82" s="190">
        <v>1476505584.9100001</v>
      </c>
      <c r="AH82" s="190">
        <v>1372213383.73</v>
      </c>
      <c r="AI82" s="190">
        <v>1306209020</v>
      </c>
      <c r="AJ82" s="190">
        <v>1377416891.96</v>
      </c>
      <c r="AK82" s="190">
        <v>1327763903.6099999</v>
      </c>
      <c r="AL82" s="190">
        <v>1284977976.0799999</v>
      </c>
      <c r="AM82" s="190">
        <v>327867740.81999999</v>
      </c>
      <c r="AN82" s="190">
        <v>298054504.24000001</v>
      </c>
      <c r="AO82" s="190">
        <v>230092616.03999999</v>
      </c>
      <c r="AP82" s="190">
        <v>127707873.51000001</v>
      </c>
      <c r="AQ82" s="190">
        <v>0</v>
      </c>
    </row>
    <row r="83" spans="1:43" x14ac:dyDescent="0.25">
      <c r="A83" s="190" t="s">
        <v>187</v>
      </c>
      <c r="B83" s="190">
        <v>104518374.09999999</v>
      </c>
      <c r="C83" s="190">
        <v>149466388.61000001</v>
      </c>
      <c r="D83" s="190">
        <v>149689080</v>
      </c>
      <c r="E83" s="190">
        <v>147714110.66</v>
      </c>
      <c r="F83" s="190">
        <v>153629932.53</v>
      </c>
      <c r="G83" s="190">
        <v>154349621.90000001</v>
      </c>
      <c r="H83" s="190">
        <v>149496360.00999999</v>
      </c>
      <c r="I83" s="190">
        <v>141221105.88</v>
      </c>
      <c r="J83" s="190">
        <v>130272134.06999999</v>
      </c>
      <c r="K83" s="190">
        <v>105660242.36</v>
      </c>
      <c r="L83" s="190">
        <v>105548399.16</v>
      </c>
      <c r="M83" s="190">
        <v>99024124.590000004</v>
      </c>
      <c r="N83" s="190">
        <v>76612540.189999998</v>
      </c>
      <c r="O83" s="190">
        <v>70608143.819999993</v>
      </c>
      <c r="P83" s="190">
        <v>64107460.990000002</v>
      </c>
      <c r="Q83" s="190">
        <v>62002521.799999997</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6029199.5800000001</v>
      </c>
      <c r="AI83" s="190">
        <v>5123095.07</v>
      </c>
      <c r="AJ83" s="190">
        <v>4983037.66</v>
      </c>
      <c r="AK83" s="190">
        <v>4484604.5199999996</v>
      </c>
      <c r="AL83" s="190">
        <v>3774090</v>
      </c>
      <c r="AM83" s="190">
        <v>3140738.11</v>
      </c>
      <c r="AN83" s="190">
        <v>3283347.24</v>
      </c>
      <c r="AO83" s="190">
        <v>3194473.17</v>
      </c>
      <c r="AP83" s="190">
        <v>0</v>
      </c>
      <c r="AQ83" s="190">
        <v>0</v>
      </c>
    </row>
    <row r="84" spans="1:43" x14ac:dyDescent="0.25">
      <c r="A84" s="190" t="s">
        <v>188</v>
      </c>
      <c r="B84" s="190">
        <v>3714798615.8400002</v>
      </c>
      <c r="C84" s="190">
        <v>3580670332.1199999</v>
      </c>
      <c r="D84" s="190">
        <v>3721694337.1399999</v>
      </c>
      <c r="E84" s="190">
        <v>3152725257.1300001</v>
      </c>
      <c r="F84" s="190">
        <v>3043549912.8299999</v>
      </c>
      <c r="G84" s="190">
        <v>2904942506.0999999</v>
      </c>
      <c r="H84" s="190">
        <v>3006042763.3600001</v>
      </c>
      <c r="I84" s="190">
        <v>2880258171.6599998</v>
      </c>
      <c r="J84" s="190">
        <v>2810039902.6100001</v>
      </c>
      <c r="K84" s="190">
        <v>2676242325.2399998</v>
      </c>
      <c r="L84" s="190">
        <v>2770792599.6999998</v>
      </c>
      <c r="M84" s="190">
        <v>2655459613.3899999</v>
      </c>
      <c r="N84" s="190">
        <v>2546401388.6300001</v>
      </c>
      <c r="O84" s="190">
        <v>2398957888.52</v>
      </c>
      <c r="P84" s="190">
        <v>2605733811.6999998</v>
      </c>
      <c r="Q84" s="190">
        <v>2487328254.04</v>
      </c>
      <c r="R84" s="190">
        <v>2304068739.1300001</v>
      </c>
      <c r="S84" s="190">
        <v>2184782308.8099999</v>
      </c>
      <c r="T84" s="190">
        <v>2224397084.98</v>
      </c>
      <c r="U84" s="190">
        <v>2125429369.46</v>
      </c>
      <c r="V84" s="190">
        <v>2030685494.9300001</v>
      </c>
      <c r="W84" s="190">
        <v>1930708956.6900001</v>
      </c>
      <c r="X84" s="190">
        <v>1977896014.0699999</v>
      </c>
      <c r="Y84" s="190">
        <v>1892220602.73</v>
      </c>
      <c r="Z84" s="190">
        <v>1763420146.3699999</v>
      </c>
      <c r="AA84" s="190">
        <v>1643908869.0699999</v>
      </c>
      <c r="AB84" s="190">
        <v>1756834966.6400001</v>
      </c>
      <c r="AC84" s="190">
        <v>1650493578.27</v>
      </c>
      <c r="AD84" s="190">
        <v>1556751168.1600001</v>
      </c>
      <c r="AE84" s="190">
        <v>1439317961.3</v>
      </c>
      <c r="AF84" s="190">
        <v>1533876742.3699999</v>
      </c>
      <c r="AG84" s="190">
        <v>1476505584.9100001</v>
      </c>
      <c r="AH84" s="190">
        <v>1378242583.3099999</v>
      </c>
      <c r="AI84" s="190">
        <v>1311332115.0699999</v>
      </c>
      <c r="AJ84" s="190">
        <v>1382399929.6199999</v>
      </c>
      <c r="AK84" s="190">
        <v>1332248508.1300001</v>
      </c>
      <c r="AL84" s="190">
        <v>1288752066.0799999</v>
      </c>
      <c r="AM84" s="190">
        <v>331008478.93000001</v>
      </c>
      <c r="AN84" s="190">
        <v>301337851.48000002</v>
      </c>
      <c r="AO84" s="190">
        <v>233287089.21000001</v>
      </c>
      <c r="AP84" s="190">
        <v>127707873.51000001</v>
      </c>
      <c r="AQ84" s="190">
        <v>0</v>
      </c>
    </row>
    <row r="85" spans="1:43" x14ac:dyDescent="0.25">
      <c r="A85" s="190" t="s">
        <v>189</v>
      </c>
      <c r="B85" s="190">
        <v>5099455313.9200001</v>
      </c>
      <c r="C85" s="190">
        <v>5029115176.2399998</v>
      </c>
      <c r="D85" s="190">
        <v>5045656719.4700003</v>
      </c>
      <c r="E85" s="190">
        <v>4588164301.5</v>
      </c>
      <c r="F85" s="190">
        <v>4583533307.4799995</v>
      </c>
      <c r="G85" s="190">
        <v>4345413753.2399998</v>
      </c>
      <c r="H85" s="190">
        <v>4575824487.4899998</v>
      </c>
      <c r="I85" s="190">
        <v>4208287243.79</v>
      </c>
      <c r="J85" s="190">
        <v>3851813086.6999998</v>
      </c>
      <c r="K85" s="190">
        <v>3560057533.8600001</v>
      </c>
      <c r="L85" s="190">
        <v>3585925939.0700002</v>
      </c>
      <c r="M85" s="190">
        <v>3484849303.8000002</v>
      </c>
      <c r="N85" s="190">
        <v>3191439823.1700001</v>
      </c>
      <c r="O85" s="190">
        <v>2986156762.4899998</v>
      </c>
      <c r="P85" s="190">
        <v>3180540182.6199999</v>
      </c>
      <c r="Q85" s="190">
        <v>3114855561.2199998</v>
      </c>
      <c r="R85" s="190">
        <v>2895217618.3600001</v>
      </c>
      <c r="S85" s="190">
        <v>2660772146.6799998</v>
      </c>
      <c r="T85" s="190">
        <v>2727678314.2199998</v>
      </c>
      <c r="U85" s="190">
        <v>2645450265.48</v>
      </c>
      <c r="V85" s="190">
        <v>2465170285.0999999</v>
      </c>
      <c r="W85" s="190">
        <v>2252932153.3099999</v>
      </c>
      <c r="X85" s="190">
        <v>2409526966.02</v>
      </c>
      <c r="Y85" s="190">
        <v>2339770611.5</v>
      </c>
      <c r="Z85" s="190">
        <v>2270719302.29</v>
      </c>
      <c r="AA85" s="190">
        <v>2137893213.3599999</v>
      </c>
      <c r="AB85" s="190">
        <v>2270994717.3000002</v>
      </c>
      <c r="AC85" s="190">
        <v>2153179055.25</v>
      </c>
      <c r="AD85" s="190">
        <v>1988396274.9000001</v>
      </c>
      <c r="AE85" s="190">
        <v>1772891787.98</v>
      </c>
      <c r="AF85" s="190">
        <v>1953271489.8199999</v>
      </c>
      <c r="AG85" s="190">
        <v>1876052957.8599999</v>
      </c>
      <c r="AH85" s="190">
        <v>1668770817.4400001</v>
      </c>
      <c r="AI85" s="190">
        <v>1530314604.1400001</v>
      </c>
      <c r="AJ85" s="190">
        <v>1623039063.5999999</v>
      </c>
      <c r="AK85" s="190">
        <v>1547520508</v>
      </c>
      <c r="AL85" s="190">
        <v>1472354811.1099999</v>
      </c>
      <c r="AM85" s="190">
        <v>472831648.52999997</v>
      </c>
      <c r="AN85" s="190">
        <v>458441994.60000002</v>
      </c>
      <c r="AO85" s="190">
        <v>357981851.88</v>
      </c>
      <c r="AP85" s="190">
        <v>299974741.25999999</v>
      </c>
      <c r="AQ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AS31"/>
  <sheetViews>
    <sheetView workbookViewId="0">
      <selection activeCell="A2" sqref="A2"/>
    </sheetView>
  </sheetViews>
  <sheetFormatPr defaultRowHeight="14.4" x14ac:dyDescent="0.25"/>
  <cols>
    <col min="1" max="1" width="39.109375" style="190" bestFit="1" customWidth="1"/>
    <col min="2" max="3" width="12.77734375" style="190" hidden="1" customWidth="1"/>
    <col min="4" max="4" width="13.88671875" style="190" hidden="1" customWidth="1"/>
    <col min="5" max="5" width="13.88671875" style="190" bestFit="1" customWidth="1"/>
    <col min="6" max="6" width="13.88671875" style="190" hidden="1" customWidth="1"/>
    <col min="7" max="8" width="12.77734375" style="190" hidden="1" customWidth="1"/>
    <col min="9" max="9" width="12.77734375" style="190" bestFit="1" customWidth="1"/>
    <col min="10" max="12" width="12.77734375" style="190" hidden="1" customWidth="1"/>
    <col min="13" max="13" width="13.88671875" style="190" bestFit="1" customWidth="1"/>
    <col min="14" max="14" width="13.88671875" style="190" hidden="1" customWidth="1"/>
    <col min="15" max="16" width="12.77734375" style="190" hidden="1" customWidth="1"/>
    <col min="17" max="17" width="12.77734375" style="190" bestFit="1" customWidth="1"/>
    <col min="18" max="19" width="13.88671875" style="190" hidden="1" customWidth="1"/>
    <col min="20" max="20" width="12.77734375" style="190" hidden="1" customWidth="1"/>
    <col min="21" max="21" width="13.88671875" style="190" bestFit="1" customWidth="1"/>
    <col min="22" max="23" width="13.88671875" style="190" hidden="1" customWidth="1"/>
    <col min="24" max="24" width="12.77734375" style="190" hidden="1" customWidth="1"/>
    <col min="25" max="25" width="13.88671875" style="190" bestFit="1" customWidth="1"/>
    <col min="26" max="27" width="13.88671875" style="190" hidden="1" customWidth="1"/>
    <col min="28" max="28" width="12.77734375" style="190" hidden="1" customWidth="1"/>
    <col min="29" max="29" width="13.88671875" style="190" bestFit="1" customWidth="1"/>
    <col min="30" max="32" width="12.77734375" style="190" hidden="1" customWidth="1"/>
    <col min="33" max="33" width="13.88671875" style="190" bestFit="1" customWidth="1"/>
    <col min="34" max="34" width="13.88671875" style="190" hidden="1" customWidth="1"/>
    <col min="35" max="36" width="12.77734375" style="190" hidden="1" customWidth="1"/>
    <col min="37" max="37" width="12.77734375" style="190" bestFit="1" customWidth="1"/>
    <col min="38" max="40" width="12.77734375" style="190" hidden="1" customWidth="1"/>
    <col min="41" max="41" width="12.77734375" style="190" bestFit="1" customWidth="1"/>
    <col min="42" max="42" width="12.77734375" style="190" hidden="1" customWidth="1"/>
    <col min="43" max="44" width="12.77734375" style="190" bestFit="1" customWidth="1"/>
    <col min="45" max="45" width="9.5546875" style="190" hidden="1" customWidth="1"/>
    <col min="46" max="16384" width="8.88671875" style="190"/>
  </cols>
  <sheetData>
    <row r="1" spans="1:45" x14ac:dyDescent="0.25">
      <c r="A1" s="190">
        <v>2293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20071231</v>
      </c>
      <c r="AR1" s="190">
        <v>20061231</v>
      </c>
      <c r="AS1" s="190">
        <v>19700101</v>
      </c>
    </row>
    <row r="2" spans="1:45"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row>
    <row r="3" spans="1:45" x14ac:dyDescent="0.25">
      <c r="A3" s="190" t="s">
        <v>190</v>
      </c>
      <c r="B3" s="190">
        <v>3451681484.4400001</v>
      </c>
      <c r="C3" s="190">
        <v>2196906569.27</v>
      </c>
      <c r="D3" s="190">
        <v>1171508749.5999999</v>
      </c>
      <c r="E3" s="190">
        <v>4661850865.5100002</v>
      </c>
      <c r="F3" s="190">
        <v>3182670009.3200002</v>
      </c>
      <c r="G3" s="190">
        <v>1981435890.6199999</v>
      </c>
      <c r="H3" s="190">
        <v>1057767260.42</v>
      </c>
      <c r="I3" s="190">
        <v>3152216442.1500001</v>
      </c>
      <c r="J3" s="190">
        <v>2155264290.48</v>
      </c>
      <c r="K3" s="190">
        <v>1343083310.6500001</v>
      </c>
      <c r="L3" s="190">
        <v>762846279.96000004</v>
      </c>
      <c r="M3" s="190">
        <v>2915633891.98</v>
      </c>
      <c r="N3" s="190">
        <v>2046094586.02</v>
      </c>
      <c r="O3" s="190">
        <v>1249976092.8499999</v>
      </c>
      <c r="P3" s="190">
        <v>705394935.15999997</v>
      </c>
      <c r="Q3" s="190">
        <v>2761400573.5100002</v>
      </c>
      <c r="R3" s="190">
        <v>1879993912.9100001</v>
      </c>
      <c r="S3" s="190">
        <v>1112279848.48</v>
      </c>
      <c r="T3" s="190">
        <v>657308577.96000004</v>
      </c>
      <c r="U3" s="190">
        <v>2524209416.4000001</v>
      </c>
      <c r="V3" s="190">
        <v>1722646961.76</v>
      </c>
      <c r="W3" s="190">
        <v>1078073329.79</v>
      </c>
      <c r="X3" s="190">
        <v>615351177.55999994</v>
      </c>
      <c r="Y3" s="190">
        <v>2724953861.21</v>
      </c>
      <c r="Z3" s="190">
        <v>1847721787.6600001</v>
      </c>
      <c r="AA3" s="190">
        <v>1036490112.66</v>
      </c>
      <c r="AB3" s="190">
        <v>614320304.89999998</v>
      </c>
      <c r="AC3" s="190">
        <v>2382434788.48</v>
      </c>
      <c r="AD3" s="190">
        <v>1633896787.0999999</v>
      </c>
      <c r="AE3" s="190">
        <v>1003246147.98</v>
      </c>
      <c r="AF3" s="190">
        <v>583149853.35000002</v>
      </c>
      <c r="AG3" s="190">
        <v>1818814620.1400001</v>
      </c>
      <c r="AH3" s="190">
        <v>1145669244.4200001</v>
      </c>
      <c r="AI3" s="190">
        <v>661829336.29999995</v>
      </c>
      <c r="AJ3" s="190">
        <v>359335837.14999998</v>
      </c>
      <c r="AK3" s="190">
        <v>1145306750.3299999</v>
      </c>
      <c r="AL3" s="190">
        <v>723914564.5</v>
      </c>
      <c r="AM3" s="190">
        <v>407570538.00999999</v>
      </c>
      <c r="AN3" s="190">
        <v>255192022.33000001</v>
      </c>
      <c r="AO3" s="190">
        <v>902684684.88</v>
      </c>
      <c r="AP3" s="190">
        <v>632875455.57000005</v>
      </c>
      <c r="AQ3" s="190">
        <v>755362629.51999998</v>
      </c>
      <c r="AR3" s="190">
        <v>552487592.55999994</v>
      </c>
      <c r="AS3" s="190">
        <v>0</v>
      </c>
    </row>
    <row r="4" spans="1:45" x14ac:dyDescent="0.25">
      <c r="A4" s="190" t="s">
        <v>191</v>
      </c>
      <c r="B4" s="190">
        <v>3451681484.4400001</v>
      </c>
      <c r="C4" s="190">
        <v>2196906569.27</v>
      </c>
      <c r="D4" s="190">
        <v>1171508749.5999999</v>
      </c>
      <c r="E4" s="190">
        <v>4661850865.5100002</v>
      </c>
      <c r="F4" s="190">
        <v>3182670009.3200002</v>
      </c>
      <c r="G4" s="190">
        <v>1981435890.6199999</v>
      </c>
      <c r="H4" s="190">
        <v>1057767260.42</v>
      </c>
      <c r="I4" s="190">
        <v>3152216442.1500001</v>
      </c>
      <c r="J4" s="190">
        <v>2155264290.48</v>
      </c>
      <c r="K4" s="190">
        <v>1343083310.6500001</v>
      </c>
      <c r="L4" s="190">
        <v>762846279.96000004</v>
      </c>
      <c r="M4" s="190">
        <v>2915633891.98</v>
      </c>
      <c r="N4" s="190">
        <v>2046094586.02</v>
      </c>
      <c r="O4" s="190">
        <v>1249976092.8499999</v>
      </c>
      <c r="P4" s="190">
        <v>705394935.15999997</v>
      </c>
      <c r="Q4" s="190">
        <v>2761400573.5100002</v>
      </c>
      <c r="R4" s="190">
        <v>1879993912.9100001</v>
      </c>
      <c r="S4" s="190">
        <v>1112279848.48</v>
      </c>
      <c r="T4" s="190">
        <v>657308577.96000004</v>
      </c>
      <c r="U4" s="190">
        <v>2524209416.4000001</v>
      </c>
      <c r="V4" s="190">
        <v>1722646961.76</v>
      </c>
      <c r="W4" s="190">
        <v>1078073329.79</v>
      </c>
      <c r="X4" s="190">
        <v>615351177.55999994</v>
      </c>
      <c r="Y4" s="190">
        <v>2724953861.21</v>
      </c>
      <c r="Z4" s="190">
        <v>1847721787.6600001</v>
      </c>
      <c r="AA4" s="190">
        <v>1036490112.66</v>
      </c>
      <c r="AB4" s="190">
        <v>614320304.89999998</v>
      </c>
      <c r="AC4" s="190">
        <v>2382434788.48</v>
      </c>
      <c r="AD4" s="190">
        <v>1633896787.0999999</v>
      </c>
      <c r="AE4" s="190">
        <v>1003246147.98</v>
      </c>
      <c r="AF4" s="190">
        <v>583149853.35000002</v>
      </c>
      <c r="AG4" s="190">
        <v>1818814620.1400001</v>
      </c>
      <c r="AH4" s="190">
        <v>1145669244.4200001</v>
      </c>
      <c r="AI4" s="190">
        <v>661829336.29999995</v>
      </c>
      <c r="AJ4" s="190">
        <v>359335837.14999998</v>
      </c>
      <c r="AK4" s="190">
        <v>1145306750.3299999</v>
      </c>
      <c r="AL4" s="190">
        <v>723914564.5</v>
      </c>
      <c r="AM4" s="190">
        <v>407570538.00999999</v>
      </c>
      <c r="AN4" s="190">
        <v>255192022.33000001</v>
      </c>
      <c r="AO4" s="190">
        <v>902684684.88</v>
      </c>
      <c r="AP4" s="190">
        <v>632875455.57000005</v>
      </c>
      <c r="AQ4" s="190">
        <v>755362629.51999998</v>
      </c>
      <c r="AR4" s="190">
        <v>552487592.55999994</v>
      </c>
      <c r="AS4" s="190">
        <v>0</v>
      </c>
    </row>
    <row r="5" spans="1:45" x14ac:dyDescent="0.25">
      <c r="A5" s="190" t="s">
        <v>192</v>
      </c>
      <c r="B5" s="190">
        <v>3106371144.1100001</v>
      </c>
      <c r="C5" s="190">
        <v>1963973396.55</v>
      </c>
      <c r="D5" s="190">
        <v>997048149.07000005</v>
      </c>
      <c r="E5" s="190">
        <v>4181386288.5700002</v>
      </c>
      <c r="F5" s="190">
        <v>2799608669.5100002</v>
      </c>
      <c r="G5" s="190">
        <v>1789336137.8199999</v>
      </c>
      <c r="H5" s="190">
        <v>911402697.05999994</v>
      </c>
      <c r="I5" s="190">
        <v>2791712009.0599999</v>
      </c>
      <c r="J5" s="190">
        <v>1854682015.3299999</v>
      </c>
      <c r="K5" s="190">
        <v>1163557128.8</v>
      </c>
      <c r="L5" s="190">
        <v>636570049.78999996</v>
      </c>
      <c r="M5" s="190">
        <v>2488616586.6900001</v>
      </c>
      <c r="N5" s="190">
        <v>1719045407.5799999</v>
      </c>
      <c r="O5" s="190">
        <v>1062740166.39</v>
      </c>
      <c r="P5" s="190">
        <v>568192756.96000004</v>
      </c>
      <c r="Q5" s="190">
        <v>2346455870.0599999</v>
      </c>
      <c r="R5" s="190">
        <v>1587924079.75</v>
      </c>
      <c r="S5" s="190">
        <v>942626881.45000005</v>
      </c>
      <c r="T5" s="190">
        <v>547233509.11000001</v>
      </c>
      <c r="U5" s="190">
        <v>2156528642.8200002</v>
      </c>
      <c r="V5" s="190">
        <v>1470434085.3699999</v>
      </c>
      <c r="W5" s="190">
        <v>929886964.09000003</v>
      </c>
      <c r="X5" s="190">
        <v>511816187.38</v>
      </c>
      <c r="Y5" s="190">
        <v>2306286341.0599999</v>
      </c>
      <c r="Z5" s="190">
        <v>1573973711.73</v>
      </c>
      <c r="AA5" s="190">
        <v>889728695.99000001</v>
      </c>
      <c r="AB5" s="190">
        <v>485542688.94999999</v>
      </c>
      <c r="AC5" s="190">
        <v>1965192184.6099999</v>
      </c>
      <c r="AD5" s="190">
        <v>1329042954.96</v>
      </c>
      <c r="AE5" s="190">
        <v>838484454.04999995</v>
      </c>
      <c r="AF5" s="190">
        <v>474310231.93000001</v>
      </c>
      <c r="AG5" s="190">
        <v>1546409573.4400001</v>
      </c>
      <c r="AH5" s="190">
        <v>940717942.78999996</v>
      </c>
      <c r="AI5" s="190">
        <v>557799897.57000005</v>
      </c>
      <c r="AJ5" s="190">
        <v>290090371.98000002</v>
      </c>
      <c r="AK5" s="190">
        <v>955820089.32000005</v>
      </c>
      <c r="AL5" s="190">
        <v>595602934.60000002</v>
      </c>
      <c r="AM5" s="190">
        <v>345266332.23000002</v>
      </c>
      <c r="AN5" s="190">
        <v>214973907.06</v>
      </c>
      <c r="AO5" s="190">
        <v>765105963.61000001</v>
      </c>
      <c r="AP5" s="190">
        <v>526456283.88999999</v>
      </c>
      <c r="AQ5" s="190">
        <v>643875980.46000004</v>
      </c>
      <c r="AR5" s="190">
        <v>500041093.89999998</v>
      </c>
      <c r="AS5" s="190">
        <v>0</v>
      </c>
    </row>
    <row r="6" spans="1:45" x14ac:dyDescent="0.25">
      <c r="A6" s="190" t="s">
        <v>193</v>
      </c>
      <c r="B6" s="190">
        <v>1953613952.27</v>
      </c>
      <c r="C6" s="190">
        <v>1200957199.22</v>
      </c>
      <c r="D6" s="190">
        <v>666621300.82000005</v>
      </c>
      <c r="E6" s="190">
        <v>2635590846.21</v>
      </c>
      <c r="F6" s="190">
        <v>1773993047.99</v>
      </c>
      <c r="G6" s="190">
        <v>1090223199.48</v>
      </c>
      <c r="H6" s="190">
        <v>586351416.38999999</v>
      </c>
      <c r="I6" s="190">
        <v>1624554797.76</v>
      </c>
      <c r="J6" s="190">
        <v>1105706598.52</v>
      </c>
      <c r="K6" s="190">
        <v>676890906.00999999</v>
      </c>
      <c r="L6" s="190">
        <v>382181848.41000003</v>
      </c>
      <c r="M6" s="190">
        <v>1488077938.76</v>
      </c>
      <c r="N6" s="190">
        <v>1070685858.4</v>
      </c>
      <c r="O6" s="190">
        <v>646044667.88</v>
      </c>
      <c r="P6" s="190">
        <v>368353515.80000001</v>
      </c>
      <c r="Q6" s="190">
        <v>1522590313.74</v>
      </c>
      <c r="R6" s="190">
        <v>1049502064.09</v>
      </c>
      <c r="S6" s="190">
        <v>614113615.22000003</v>
      </c>
      <c r="T6" s="190">
        <v>364584481.94</v>
      </c>
      <c r="U6" s="190">
        <v>1414058164.54</v>
      </c>
      <c r="V6" s="190">
        <v>987390552.35000002</v>
      </c>
      <c r="W6" s="190">
        <v>613641321.99000001</v>
      </c>
      <c r="X6" s="190">
        <v>354907772.18000001</v>
      </c>
      <c r="Y6" s="190">
        <v>1574584274.8199999</v>
      </c>
      <c r="Z6" s="190">
        <v>1075633938.99</v>
      </c>
      <c r="AA6" s="190">
        <v>583133528.04999995</v>
      </c>
      <c r="AB6" s="190">
        <v>327439565.81</v>
      </c>
      <c r="AC6" s="190">
        <v>1377436916.3499999</v>
      </c>
      <c r="AD6" s="190">
        <v>987289834.52999997</v>
      </c>
      <c r="AE6" s="190">
        <v>593673817.29999995</v>
      </c>
      <c r="AF6" s="190">
        <v>349417553.02999997</v>
      </c>
      <c r="AG6" s="190">
        <v>1131280282.5999999</v>
      </c>
      <c r="AH6" s="190">
        <v>712739208.15999997</v>
      </c>
      <c r="AI6" s="190">
        <v>401643789.75</v>
      </c>
      <c r="AJ6" s="190">
        <v>217129319.08000001</v>
      </c>
      <c r="AK6" s="190">
        <v>697436260.83000004</v>
      </c>
      <c r="AL6" s="190">
        <v>441509914.73000002</v>
      </c>
      <c r="AM6" s="190">
        <v>245422172.28</v>
      </c>
      <c r="AN6" s="190">
        <v>160507029.72999999</v>
      </c>
      <c r="AO6" s="190">
        <v>568121133.83000004</v>
      </c>
      <c r="AP6" s="190">
        <v>392963008.33999997</v>
      </c>
      <c r="AQ6" s="190">
        <v>492404923.29000002</v>
      </c>
      <c r="AR6" s="190">
        <v>410889235.10000002</v>
      </c>
      <c r="AS6" s="190">
        <v>0</v>
      </c>
    </row>
    <row r="7" spans="1:45" x14ac:dyDescent="0.25">
      <c r="A7" s="190" t="s">
        <v>194</v>
      </c>
      <c r="B7" s="190">
        <v>29093419.890000001</v>
      </c>
      <c r="C7" s="190">
        <v>19260305.050000001</v>
      </c>
      <c r="D7" s="190">
        <v>13849213.380000001</v>
      </c>
      <c r="E7" s="190">
        <v>32932432.359999999</v>
      </c>
      <c r="F7" s="190">
        <v>24728521.48</v>
      </c>
      <c r="G7" s="190">
        <v>14894526.470000001</v>
      </c>
      <c r="H7" s="190">
        <v>9865506.8200000003</v>
      </c>
      <c r="I7" s="190">
        <v>32879503.960000001</v>
      </c>
      <c r="J7" s="190">
        <v>20342783.280000001</v>
      </c>
      <c r="K7" s="190">
        <v>13315984.83</v>
      </c>
      <c r="L7" s="190">
        <v>7704992.5800000001</v>
      </c>
      <c r="M7" s="190">
        <v>30934802.02</v>
      </c>
      <c r="N7" s="190">
        <v>20220350.57</v>
      </c>
      <c r="O7" s="190">
        <v>12017562.199999999</v>
      </c>
      <c r="P7" s="190">
        <v>7554547.1799999997</v>
      </c>
      <c r="Q7" s="190">
        <v>27435568.34</v>
      </c>
      <c r="R7" s="190">
        <v>17807929.550000001</v>
      </c>
      <c r="S7" s="190">
        <v>11308254.77</v>
      </c>
      <c r="T7" s="190">
        <v>5527106.5300000003</v>
      </c>
      <c r="U7" s="190">
        <v>23672166.359999999</v>
      </c>
      <c r="V7" s="190">
        <v>12926448.15</v>
      </c>
      <c r="W7" s="190">
        <v>9723886.5899999999</v>
      </c>
      <c r="X7" s="190">
        <v>5275688.63</v>
      </c>
      <c r="Y7" s="190">
        <v>22326739.899999999</v>
      </c>
      <c r="Z7" s="190">
        <v>13533150.76</v>
      </c>
      <c r="AA7" s="190">
        <v>7258365.5199999996</v>
      </c>
      <c r="AB7" s="190">
        <v>5066982.6900000004</v>
      </c>
      <c r="AC7" s="190">
        <v>19437504.949999999</v>
      </c>
      <c r="AD7" s="190">
        <v>12671718.359999999</v>
      </c>
      <c r="AE7" s="190">
        <v>7795564.7300000004</v>
      </c>
      <c r="AF7" s="190">
        <v>5459671.6500000004</v>
      </c>
      <c r="AG7" s="190">
        <v>3629038.82</v>
      </c>
      <c r="AH7" s="190">
        <v>1551522</v>
      </c>
      <c r="AI7" s="190">
        <v>1301715.54</v>
      </c>
      <c r="AJ7" s="190">
        <v>769782.76</v>
      </c>
      <c r="AK7" s="190">
        <v>4176943.63</v>
      </c>
      <c r="AL7" s="190">
        <v>2354174.79</v>
      </c>
      <c r="AM7" s="190">
        <v>1255018.1100000001</v>
      </c>
      <c r="AN7" s="190">
        <v>1133909.1599999999</v>
      </c>
      <c r="AO7" s="190">
        <v>2255947.33</v>
      </c>
      <c r="AP7" s="190">
        <v>1536038.19</v>
      </c>
      <c r="AQ7" s="190">
        <v>1488397.64</v>
      </c>
      <c r="AR7" s="190">
        <v>355681.75</v>
      </c>
      <c r="AS7" s="190">
        <v>0</v>
      </c>
    </row>
    <row r="8" spans="1:45" x14ac:dyDescent="0.25">
      <c r="A8" s="190" t="s">
        <v>195</v>
      </c>
      <c r="B8" s="190">
        <v>755046524.91999996</v>
      </c>
      <c r="C8" s="190">
        <v>502691033.01999998</v>
      </c>
      <c r="D8" s="190">
        <v>226395056.80000001</v>
      </c>
      <c r="E8" s="190">
        <v>1007425379.27</v>
      </c>
      <c r="F8" s="190">
        <v>642493739.66999996</v>
      </c>
      <c r="G8" s="190">
        <v>417544038.85000002</v>
      </c>
      <c r="H8" s="190">
        <v>189585387.75999999</v>
      </c>
      <c r="I8" s="190">
        <v>786045478.57000005</v>
      </c>
      <c r="J8" s="190">
        <v>518638726.98000002</v>
      </c>
      <c r="K8" s="190">
        <v>333015243.95999998</v>
      </c>
      <c r="L8" s="190">
        <v>166825730.5</v>
      </c>
      <c r="M8" s="190">
        <v>702088845.51999998</v>
      </c>
      <c r="N8" s="190">
        <v>462448442.44999999</v>
      </c>
      <c r="O8" s="190">
        <v>299124416.25999999</v>
      </c>
      <c r="P8" s="190">
        <v>151757162.58000001</v>
      </c>
      <c r="Q8" s="190">
        <v>602729979.85000002</v>
      </c>
      <c r="R8" s="190">
        <v>405825925.36000001</v>
      </c>
      <c r="S8" s="190">
        <v>244311835.50999999</v>
      </c>
      <c r="T8" s="190">
        <v>144974860.56999999</v>
      </c>
      <c r="U8" s="190">
        <v>555013206.99000001</v>
      </c>
      <c r="V8" s="190">
        <v>365059735.88999999</v>
      </c>
      <c r="W8" s="190">
        <v>236966282.15000001</v>
      </c>
      <c r="X8" s="190">
        <v>117960513.40000001</v>
      </c>
      <c r="Y8" s="190">
        <v>566653559.66999996</v>
      </c>
      <c r="Z8" s="190">
        <v>392084110.52999997</v>
      </c>
      <c r="AA8" s="190">
        <v>240286794.72</v>
      </c>
      <c r="AB8" s="190">
        <v>122620158.45999999</v>
      </c>
      <c r="AC8" s="190">
        <v>441418204.77999997</v>
      </c>
      <c r="AD8" s="190">
        <v>252776641.69999999</v>
      </c>
      <c r="AE8" s="190">
        <v>190131843.62</v>
      </c>
      <c r="AF8" s="190">
        <v>100718712.59</v>
      </c>
      <c r="AG8" s="190">
        <v>342283901.14999998</v>
      </c>
      <c r="AH8" s="190">
        <v>186370356</v>
      </c>
      <c r="AI8" s="190">
        <v>123963819.84999999</v>
      </c>
      <c r="AJ8" s="190">
        <v>59543448.259999998</v>
      </c>
      <c r="AK8" s="190">
        <v>201046926.90000001</v>
      </c>
      <c r="AL8" s="190">
        <v>114316617.67</v>
      </c>
      <c r="AM8" s="190">
        <v>73363262.760000005</v>
      </c>
      <c r="AN8" s="190">
        <v>37534225.119999997</v>
      </c>
      <c r="AO8" s="190">
        <v>136129878.31</v>
      </c>
      <c r="AP8" s="190">
        <v>92577271.849999994</v>
      </c>
      <c r="AQ8" s="190">
        <v>105794634.05</v>
      </c>
      <c r="AR8" s="190">
        <v>63423441.579999998</v>
      </c>
      <c r="AS8" s="190">
        <v>0</v>
      </c>
    </row>
    <row r="9" spans="1:45" x14ac:dyDescent="0.25">
      <c r="A9" s="190" t="s">
        <v>196</v>
      </c>
      <c r="B9" s="190">
        <v>304103117.33999997</v>
      </c>
      <c r="C9" s="190">
        <v>188159567.47</v>
      </c>
      <c r="D9" s="190">
        <v>90367590.790000007</v>
      </c>
      <c r="E9" s="190">
        <v>412185796.76999998</v>
      </c>
      <c r="F9" s="190">
        <v>305179569.81</v>
      </c>
      <c r="G9" s="190">
        <v>217049153.30000001</v>
      </c>
      <c r="H9" s="190">
        <v>126733545.47</v>
      </c>
      <c r="I9" s="190">
        <v>306957023.29000002</v>
      </c>
      <c r="J9" s="190">
        <v>200845799.02000001</v>
      </c>
      <c r="K9" s="190">
        <v>135839900.40000001</v>
      </c>
      <c r="L9" s="190">
        <v>80503404.650000006</v>
      </c>
      <c r="M9" s="190">
        <v>250439497.83000001</v>
      </c>
      <c r="N9" s="190">
        <v>167560243.09</v>
      </c>
      <c r="O9" s="190">
        <v>109574535.88</v>
      </c>
      <c r="P9" s="190">
        <v>44760306.32</v>
      </c>
      <c r="Q9" s="190">
        <v>199260636.24000001</v>
      </c>
      <c r="R9" s="190">
        <v>126303234.48999999</v>
      </c>
      <c r="S9" s="190">
        <v>83119643.409999996</v>
      </c>
      <c r="T9" s="190">
        <v>43236491.380000003</v>
      </c>
      <c r="U9" s="190">
        <v>172813849.13999999</v>
      </c>
      <c r="V9" s="190">
        <v>114401332.89</v>
      </c>
      <c r="W9" s="190">
        <v>78974700.060000002</v>
      </c>
      <c r="X9" s="190">
        <v>42789633.460000001</v>
      </c>
      <c r="Y9" s="190">
        <v>155585073.68000001</v>
      </c>
      <c r="Z9" s="190">
        <v>107818106.62</v>
      </c>
      <c r="AA9" s="190">
        <v>70303997.909999996</v>
      </c>
      <c r="AB9" s="190">
        <v>36267100.840000004</v>
      </c>
      <c r="AC9" s="190">
        <v>145851485.24000001</v>
      </c>
      <c r="AD9" s="190">
        <v>95195047.700000003</v>
      </c>
      <c r="AE9" s="190">
        <v>52930645.890000001</v>
      </c>
      <c r="AF9" s="190">
        <v>22465149.68</v>
      </c>
      <c r="AG9" s="190">
        <v>76624889.430000007</v>
      </c>
      <c r="AH9" s="190">
        <v>49568897</v>
      </c>
      <c r="AI9" s="190">
        <v>31523521.989999998</v>
      </c>
      <c r="AJ9" s="190">
        <v>14004284.33</v>
      </c>
      <c r="AK9" s="190">
        <v>54529063.93</v>
      </c>
      <c r="AL9" s="190">
        <v>36218004.359999999</v>
      </c>
      <c r="AM9" s="190">
        <v>24891093.989999998</v>
      </c>
      <c r="AN9" s="190">
        <v>13710230.73</v>
      </c>
      <c r="AO9" s="190">
        <v>50602456.740000002</v>
      </c>
      <c r="AP9" s="190">
        <v>36383370.460000001</v>
      </c>
      <c r="AQ9" s="190">
        <v>39988361.549999997</v>
      </c>
      <c r="AR9" s="190">
        <v>26062197.600000001</v>
      </c>
      <c r="AS9" s="190">
        <v>0</v>
      </c>
    </row>
    <row r="10" spans="1:45" x14ac:dyDescent="0.25">
      <c r="A10" s="190" t="s">
        <v>197</v>
      </c>
      <c r="B10" s="190">
        <v>-2359221.61</v>
      </c>
      <c r="C10" s="190">
        <v>1307558.08</v>
      </c>
      <c r="D10" s="190">
        <v>260047.72</v>
      </c>
      <c r="E10" s="190">
        <v>27676321.760000002</v>
      </c>
      <c r="F10" s="190">
        <v>23895992.73</v>
      </c>
      <c r="G10" s="190">
        <v>22668170.600000001</v>
      </c>
      <c r="H10" s="190">
        <v>-1043511.73</v>
      </c>
      <c r="I10" s="190">
        <v>-7276604.9100000001</v>
      </c>
      <c r="J10" s="190">
        <v>-1871592.45</v>
      </c>
      <c r="K10" s="190">
        <v>-2154259.86</v>
      </c>
      <c r="L10" s="190">
        <v>-731727.52</v>
      </c>
      <c r="M10" s="190">
        <v>-14226230.67</v>
      </c>
      <c r="N10" s="190">
        <v>-10314957.32</v>
      </c>
      <c r="O10" s="190">
        <v>-7357660</v>
      </c>
      <c r="P10" s="190">
        <v>-4232774.92</v>
      </c>
      <c r="Q10" s="190">
        <v>-21581599.199999999</v>
      </c>
      <c r="R10" s="190">
        <v>-17942236.75</v>
      </c>
      <c r="S10" s="190">
        <v>-12917148.289999999</v>
      </c>
      <c r="T10" s="190">
        <v>-7911472.3899999997</v>
      </c>
      <c r="U10" s="190">
        <v>-20355093.649999999</v>
      </c>
      <c r="V10" s="190">
        <v>-16614304.869999999</v>
      </c>
      <c r="W10" s="190">
        <v>-11733376.039999999</v>
      </c>
      <c r="X10" s="190">
        <v>-5998847.0300000003</v>
      </c>
      <c r="Y10" s="190">
        <v>-20637011.890000001</v>
      </c>
      <c r="Z10" s="190">
        <v>-16272157.35</v>
      </c>
      <c r="AA10" s="190">
        <v>-12430552.390000001</v>
      </c>
      <c r="AB10" s="190">
        <v>-4426213.4400000004</v>
      </c>
      <c r="AC10" s="190">
        <v>-25337302.25</v>
      </c>
      <c r="AD10" s="190">
        <v>-17411511.800000001</v>
      </c>
      <c r="AE10" s="190">
        <v>-7335849.6200000001</v>
      </c>
      <c r="AF10" s="190">
        <v>-5493875.6900000004</v>
      </c>
      <c r="AG10" s="190">
        <v>-19012808.809999999</v>
      </c>
      <c r="AH10" s="190">
        <v>-12888786.66</v>
      </c>
      <c r="AI10" s="190">
        <v>-3392337.25</v>
      </c>
      <c r="AJ10" s="190">
        <v>-2462071.08</v>
      </c>
      <c r="AK10" s="190">
        <v>-1020272.3</v>
      </c>
      <c r="AL10" s="190">
        <v>-806903.54</v>
      </c>
      <c r="AM10" s="190">
        <v>-193051.15</v>
      </c>
      <c r="AN10" s="190">
        <v>-3513.59</v>
      </c>
      <c r="AO10" s="190">
        <v>1374912.33</v>
      </c>
      <c r="AP10" s="190">
        <v>869291.8</v>
      </c>
      <c r="AQ10" s="190">
        <v>2451980.81</v>
      </c>
      <c r="AR10" s="190">
        <v>1449589.11</v>
      </c>
      <c r="AS10" s="190">
        <v>0</v>
      </c>
    </row>
    <row r="11" spans="1:45" x14ac:dyDescent="0.25">
      <c r="A11" s="190" t="s">
        <v>198</v>
      </c>
      <c r="B11" s="190">
        <v>56819551.770000003</v>
      </c>
      <c r="C11" s="190">
        <v>51597733.710000001</v>
      </c>
      <c r="D11" s="190">
        <v>-445060.44</v>
      </c>
      <c r="E11" s="190">
        <v>65575512.200000003</v>
      </c>
      <c r="F11" s="190">
        <v>29317797.829999998</v>
      </c>
      <c r="G11" s="190">
        <v>26957049.120000001</v>
      </c>
      <c r="H11" s="190">
        <v>-89647.65</v>
      </c>
      <c r="I11" s="190">
        <v>48551810.390000001</v>
      </c>
      <c r="J11" s="190">
        <v>11019699.98</v>
      </c>
      <c r="K11" s="190">
        <v>6649353.46</v>
      </c>
      <c r="L11" s="190">
        <v>85801.17</v>
      </c>
      <c r="M11" s="190">
        <v>31301733.23</v>
      </c>
      <c r="N11" s="190">
        <v>8445470.3900000006</v>
      </c>
      <c r="O11" s="190">
        <v>3336644.17</v>
      </c>
      <c r="P11" s="190">
        <v>0</v>
      </c>
      <c r="Q11" s="190">
        <v>16020971.09</v>
      </c>
      <c r="R11" s="190">
        <v>6427163.0099999998</v>
      </c>
      <c r="S11" s="190">
        <v>2690680.83</v>
      </c>
      <c r="T11" s="190">
        <v>-3177958.92</v>
      </c>
      <c r="U11" s="190">
        <v>11326349.439999999</v>
      </c>
      <c r="V11" s="190">
        <v>7270320.96</v>
      </c>
      <c r="W11" s="190">
        <v>2314149.34</v>
      </c>
      <c r="X11" s="190">
        <v>-3118573.26</v>
      </c>
      <c r="Y11" s="190">
        <v>7773704.8799999999</v>
      </c>
      <c r="Z11" s="190">
        <v>1176562.18</v>
      </c>
      <c r="AA11" s="190">
        <v>1176562.18</v>
      </c>
      <c r="AB11" s="190">
        <v>-1424905.41</v>
      </c>
      <c r="AC11" s="190">
        <v>6385375.54</v>
      </c>
      <c r="AD11" s="190">
        <v>-1478775.53</v>
      </c>
      <c r="AE11" s="190">
        <v>1288432.1299999999</v>
      </c>
      <c r="AF11" s="190">
        <v>1743020.67</v>
      </c>
      <c r="AG11" s="190">
        <v>11604270.25</v>
      </c>
      <c r="AH11" s="190">
        <v>3376746.29</v>
      </c>
      <c r="AI11" s="190">
        <v>2759387.69</v>
      </c>
      <c r="AJ11" s="190">
        <v>1105608.6299999999</v>
      </c>
      <c r="AK11" s="190">
        <v>-348833.67</v>
      </c>
      <c r="AL11" s="190">
        <v>2011126.59</v>
      </c>
      <c r="AM11" s="190">
        <v>527836.24</v>
      </c>
      <c r="AN11" s="190">
        <v>2092025.91</v>
      </c>
      <c r="AO11" s="190">
        <v>6621635.0700000003</v>
      </c>
      <c r="AP11" s="190">
        <v>2127303.25</v>
      </c>
      <c r="AQ11" s="190">
        <v>1747683.12</v>
      </c>
      <c r="AR11" s="190">
        <v>-2139051.2400000002</v>
      </c>
      <c r="AS11" s="190">
        <v>0</v>
      </c>
    </row>
    <row r="12" spans="1:45" x14ac:dyDescent="0.25">
      <c r="A12" s="190" t="s">
        <v>199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row>
    <row r="13" spans="1:45" x14ac:dyDescent="0.25">
      <c r="A13" s="190" t="s">
        <v>200</v>
      </c>
      <c r="B13" s="190">
        <v>95242273.629999995</v>
      </c>
      <c r="C13" s="190">
        <v>28971556.489999998</v>
      </c>
      <c r="D13" s="190">
        <v>10478204.369999999</v>
      </c>
      <c r="E13" s="190">
        <v>46344509.020000003</v>
      </c>
      <c r="F13" s="190">
        <v>27243457.18</v>
      </c>
      <c r="G13" s="190">
        <v>27737580.16</v>
      </c>
      <c r="H13" s="190">
        <v>775003.99</v>
      </c>
      <c r="I13" s="190">
        <v>30518868.780000001</v>
      </c>
      <c r="J13" s="190">
        <v>20610189.93</v>
      </c>
      <c r="K13" s="190">
        <v>14837689.359999999</v>
      </c>
      <c r="L13" s="190">
        <v>10351456.130000001</v>
      </c>
      <c r="M13" s="190">
        <v>54802146.340000004</v>
      </c>
      <c r="N13" s="190">
        <v>32745457.399999999</v>
      </c>
      <c r="O13" s="190">
        <v>18458085.66</v>
      </c>
      <c r="P13" s="190">
        <v>1034260.27</v>
      </c>
      <c r="Q13" s="190">
        <v>17154949.390000001</v>
      </c>
      <c r="R13" s="190">
        <v>12541798.699999999</v>
      </c>
      <c r="S13" s="190">
        <v>8266763.2999999998</v>
      </c>
      <c r="T13" s="190">
        <v>1817612.22</v>
      </c>
      <c r="U13" s="190">
        <v>5457633.1399999997</v>
      </c>
      <c r="V13" s="190">
        <v>4203934.51</v>
      </c>
      <c r="W13" s="190">
        <v>3280088.85</v>
      </c>
      <c r="X13" s="190">
        <v>1638355.54</v>
      </c>
      <c r="Y13" s="190">
        <v>929555.19</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3020.54</v>
      </c>
      <c r="AP13" s="190">
        <v>3020.54</v>
      </c>
      <c r="AQ13" s="190">
        <v>10356.16</v>
      </c>
      <c r="AR13" s="190">
        <v>0</v>
      </c>
      <c r="AS13" s="190">
        <v>0</v>
      </c>
    </row>
    <row r="14" spans="1:45" x14ac:dyDescent="0.25">
      <c r="A14" s="190" t="s">
        <v>201</v>
      </c>
      <c r="B14" s="190">
        <v>0</v>
      </c>
      <c r="C14" s="190">
        <v>0</v>
      </c>
      <c r="D14" s="190">
        <v>0</v>
      </c>
      <c r="E14" s="190">
        <v>0</v>
      </c>
      <c r="F14" s="190">
        <v>0</v>
      </c>
      <c r="G14" s="190">
        <v>0</v>
      </c>
      <c r="H14" s="190">
        <v>0</v>
      </c>
      <c r="I14" s="190">
        <v>0</v>
      </c>
      <c r="J14" s="190">
        <v>0</v>
      </c>
      <c r="K14" s="190">
        <v>0</v>
      </c>
      <c r="L14" s="190">
        <v>0</v>
      </c>
      <c r="M14" s="190">
        <v>0</v>
      </c>
      <c r="N14" s="190">
        <v>0</v>
      </c>
      <c r="O14" s="190">
        <v>0</v>
      </c>
      <c r="P14" s="190">
        <v>0</v>
      </c>
      <c r="Q14" s="190">
        <v>0</v>
      </c>
      <c r="R14" s="190">
        <v>0</v>
      </c>
      <c r="S14" s="190">
        <v>0</v>
      </c>
      <c r="T14" s="190">
        <v>0</v>
      </c>
      <c r="U14" s="190">
        <v>0</v>
      </c>
      <c r="V14" s="190">
        <v>0</v>
      </c>
      <c r="W14" s="190">
        <v>0</v>
      </c>
      <c r="X14" s="190">
        <v>0</v>
      </c>
      <c r="Y14" s="190">
        <v>0</v>
      </c>
      <c r="Z14" s="190">
        <v>0</v>
      </c>
      <c r="AA14" s="190">
        <v>0</v>
      </c>
      <c r="AB14" s="190">
        <v>0</v>
      </c>
      <c r="AC14" s="190">
        <v>0</v>
      </c>
      <c r="AD14" s="190">
        <v>0</v>
      </c>
      <c r="AE14" s="190">
        <v>0</v>
      </c>
      <c r="AF14" s="190">
        <v>0</v>
      </c>
      <c r="AG14" s="190">
        <v>0</v>
      </c>
      <c r="AH14" s="190">
        <v>0</v>
      </c>
      <c r="AI14" s="190">
        <v>0</v>
      </c>
      <c r="AJ14" s="190">
        <v>0</v>
      </c>
      <c r="AK14" s="190">
        <v>0</v>
      </c>
      <c r="AL14" s="190">
        <v>0</v>
      </c>
      <c r="AM14" s="190">
        <v>0</v>
      </c>
      <c r="AN14" s="190">
        <v>0</v>
      </c>
      <c r="AO14" s="190">
        <v>0</v>
      </c>
      <c r="AP14" s="190">
        <v>0</v>
      </c>
      <c r="AQ14" s="190">
        <v>0</v>
      </c>
      <c r="AR14" s="190">
        <v>0</v>
      </c>
      <c r="AS14" s="190">
        <v>0</v>
      </c>
    </row>
    <row r="15" spans="1:45"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row>
    <row r="16" spans="1:45" x14ac:dyDescent="0.25">
      <c r="A16" s="190" t="s">
        <v>203</v>
      </c>
      <c r="B16" s="190">
        <v>439778157.26999998</v>
      </c>
      <c r="C16" s="190">
        <v>261376883.84</v>
      </c>
      <c r="D16" s="190">
        <v>184938804.90000001</v>
      </c>
      <c r="E16" s="190">
        <v>526408625.69999999</v>
      </c>
      <c r="F16" s="190">
        <v>410304796.99000001</v>
      </c>
      <c r="G16" s="190">
        <v>219837332.96000001</v>
      </c>
      <c r="H16" s="190">
        <v>147139567.34999999</v>
      </c>
      <c r="I16" s="190">
        <v>391023301.87</v>
      </c>
      <c r="J16" s="190">
        <v>321192465.07999998</v>
      </c>
      <c r="K16" s="190">
        <v>194363871.21000001</v>
      </c>
      <c r="L16" s="190">
        <v>136627686.30000001</v>
      </c>
      <c r="M16" s="190">
        <v>481819451.63</v>
      </c>
      <c r="N16" s="190">
        <v>359794635.83999997</v>
      </c>
      <c r="O16" s="190">
        <v>205694012.12</v>
      </c>
      <c r="P16" s="190">
        <v>138236438.47</v>
      </c>
      <c r="Q16" s="190">
        <v>432099652.83999997</v>
      </c>
      <c r="R16" s="190">
        <v>304611631.86000001</v>
      </c>
      <c r="S16" s="190">
        <v>177919730.33000001</v>
      </c>
      <c r="T16" s="190">
        <v>111892681.06999999</v>
      </c>
      <c r="U16" s="190">
        <v>373138406.72000003</v>
      </c>
      <c r="V16" s="190">
        <v>256416810.90000001</v>
      </c>
      <c r="W16" s="190">
        <v>151466454.55000001</v>
      </c>
      <c r="X16" s="190">
        <v>105173345.72</v>
      </c>
      <c r="Y16" s="190">
        <v>419597075.33999997</v>
      </c>
      <c r="Z16" s="190">
        <v>273748075.93000001</v>
      </c>
      <c r="AA16" s="190">
        <v>146761416.66999999</v>
      </c>
      <c r="AB16" s="190">
        <v>128777615.95</v>
      </c>
      <c r="AC16" s="190">
        <v>417242603.87</v>
      </c>
      <c r="AD16" s="190">
        <v>304853832.13999999</v>
      </c>
      <c r="AE16" s="190">
        <v>164761693.93000001</v>
      </c>
      <c r="AF16" s="190">
        <v>108839621.42</v>
      </c>
      <c r="AG16" s="190">
        <v>272405046.69999999</v>
      </c>
      <c r="AH16" s="190">
        <v>204951301.63</v>
      </c>
      <c r="AI16" s="190">
        <v>104029438.73</v>
      </c>
      <c r="AJ16" s="190">
        <v>69245465.170000002</v>
      </c>
      <c r="AK16" s="190">
        <v>189486661.00999999</v>
      </c>
      <c r="AL16" s="190">
        <v>128311629.90000001</v>
      </c>
      <c r="AM16" s="190">
        <v>62304205.780000001</v>
      </c>
      <c r="AN16" s="190">
        <v>40218115.270000003</v>
      </c>
      <c r="AO16" s="190">
        <v>137581741.81</v>
      </c>
      <c r="AP16" s="190">
        <v>106422192.22</v>
      </c>
      <c r="AQ16" s="190">
        <v>111497005.22</v>
      </c>
      <c r="AR16" s="190">
        <v>52446498.659999996</v>
      </c>
      <c r="AS16" s="190">
        <v>0</v>
      </c>
    </row>
    <row r="17" spans="1:45" x14ac:dyDescent="0.25">
      <c r="A17" s="190" t="s">
        <v>204</v>
      </c>
      <c r="B17" s="190">
        <v>39929318.539999999</v>
      </c>
      <c r="C17" s="190">
        <v>23790936.760000002</v>
      </c>
      <c r="D17" s="190">
        <v>17736596.469999999</v>
      </c>
      <c r="E17" s="190">
        <v>28741647.739999998</v>
      </c>
      <c r="F17" s="190">
        <v>16434561.65</v>
      </c>
      <c r="G17" s="190">
        <v>2835337.11</v>
      </c>
      <c r="H17" s="190">
        <v>1357217.05</v>
      </c>
      <c r="I17" s="190">
        <v>31515785.460000001</v>
      </c>
      <c r="J17" s="190">
        <v>15293382.17</v>
      </c>
      <c r="K17" s="190">
        <v>10253156.76</v>
      </c>
      <c r="L17" s="190">
        <v>1711428.02</v>
      </c>
      <c r="M17" s="190">
        <v>31200038.579999998</v>
      </c>
      <c r="N17" s="190">
        <v>21022194.91</v>
      </c>
      <c r="O17" s="190">
        <v>12411077.710000001</v>
      </c>
      <c r="P17" s="190">
        <v>1262648.01</v>
      </c>
      <c r="Q17" s="190">
        <v>27679898.23</v>
      </c>
      <c r="R17" s="190">
        <v>15925152.66</v>
      </c>
      <c r="S17" s="190">
        <v>5979681.0099999998</v>
      </c>
      <c r="T17" s="190">
        <v>5396342.3499999996</v>
      </c>
      <c r="U17" s="190">
        <v>23036917.629999999</v>
      </c>
      <c r="V17" s="190">
        <v>20315275.600000001</v>
      </c>
      <c r="W17" s="190">
        <v>12402328.41</v>
      </c>
      <c r="X17" s="190">
        <v>1236909.1599999999</v>
      </c>
      <c r="Y17" s="190">
        <v>25725825.120000001</v>
      </c>
      <c r="Z17" s="190">
        <v>22572257.73</v>
      </c>
      <c r="AA17" s="190">
        <v>12541591.51</v>
      </c>
      <c r="AB17" s="190">
        <v>736991.53</v>
      </c>
      <c r="AC17" s="190">
        <v>28791959.940000001</v>
      </c>
      <c r="AD17" s="190">
        <v>23673545.809999999</v>
      </c>
      <c r="AE17" s="190">
        <v>23195170.879999999</v>
      </c>
      <c r="AF17" s="190">
        <v>9335826.3499999996</v>
      </c>
      <c r="AG17" s="190">
        <v>11502189.32</v>
      </c>
      <c r="AH17" s="190">
        <v>11081732.949999999</v>
      </c>
      <c r="AI17" s="190">
        <v>10506330.810000001</v>
      </c>
      <c r="AJ17" s="190">
        <v>306738.96999999997</v>
      </c>
      <c r="AK17" s="190">
        <v>8216882.4100000001</v>
      </c>
      <c r="AL17" s="190">
        <v>5622129.3799999999</v>
      </c>
      <c r="AM17" s="190">
        <v>5011250.08</v>
      </c>
      <c r="AN17" s="190">
        <v>4726096.46</v>
      </c>
      <c r="AO17" s="190">
        <v>2143208.62</v>
      </c>
      <c r="AP17" s="190">
        <v>1094137.28</v>
      </c>
      <c r="AQ17" s="190">
        <v>1305351.04</v>
      </c>
      <c r="AR17" s="190">
        <v>1464492.06</v>
      </c>
      <c r="AS17" s="190">
        <v>0</v>
      </c>
    </row>
    <row r="18" spans="1:45" x14ac:dyDescent="0.25">
      <c r="A18" s="190" t="s">
        <v>205</v>
      </c>
      <c r="B18" s="190">
        <v>3022696.12</v>
      </c>
      <c r="C18" s="190">
        <v>1350430.7</v>
      </c>
      <c r="D18" s="190">
        <v>355095.52</v>
      </c>
      <c r="E18" s="190">
        <v>11267737.029999999</v>
      </c>
      <c r="F18" s="190">
        <v>4310011.5199999996</v>
      </c>
      <c r="G18" s="190">
        <v>3057133.68</v>
      </c>
      <c r="H18" s="190">
        <v>1396838.08</v>
      </c>
      <c r="I18" s="190">
        <v>3016145.22</v>
      </c>
      <c r="J18" s="190">
        <v>2984350.44</v>
      </c>
      <c r="K18" s="190">
        <v>1908565.68</v>
      </c>
      <c r="L18" s="190">
        <v>1375277.48</v>
      </c>
      <c r="M18" s="190">
        <v>1318449.7</v>
      </c>
      <c r="N18" s="190">
        <v>1176236.1599999999</v>
      </c>
      <c r="O18" s="190">
        <v>817793.88</v>
      </c>
      <c r="P18" s="190">
        <v>35695.550000000003</v>
      </c>
      <c r="Q18" s="190">
        <v>7973745.25</v>
      </c>
      <c r="R18" s="190">
        <v>3519236.48</v>
      </c>
      <c r="S18" s="190">
        <v>1197350.04</v>
      </c>
      <c r="T18" s="190">
        <v>837081.26</v>
      </c>
      <c r="U18" s="190">
        <v>4159297.35</v>
      </c>
      <c r="V18" s="190">
        <v>1612090.29</v>
      </c>
      <c r="W18" s="190">
        <v>1509843.43</v>
      </c>
      <c r="X18" s="190">
        <v>1135977.08</v>
      </c>
      <c r="Y18" s="190">
        <v>1285680.17</v>
      </c>
      <c r="Z18" s="190">
        <v>953092.61</v>
      </c>
      <c r="AA18" s="190">
        <v>538791.31000000006</v>
      </c>
      <c r="AB18" s="190">
        <v>181978.5</v>
      </c>
      <c r="AC18" s="190">
        <v>1476315.36</v>
      </c>
      <c r="AD18" s="190">
        <v>433577.68</v>
      </c>
      <c r="AE18" s="190">
        <v>239452.44</v>
      </c>
      <c r="AF18" s="190">
        <v>50942.7</v>
      </c>
      <c r="AG18" s="190">
        <v>715739.19</v>
      </c>
      <c r="AH18" s="190">
        <v>1753115.35</v>
      </c>
      <c r="AI18" s="190">
        <v>1131050.3500000001</v>
      </c>
      <c r="AJ18" s="190">
        <v>12505.05</v>
      </c>
      <c r="AK18" s="190">
        <v>774457.16</v>
      </c>
      <c r="AL18" s="190">
        <v>91949.52</v>
      </c>
      <c r="AM18" s="190">
        <v>22292.07</v>
      </c>
      <c r="AN18" s="190">
        <v>16277.21</v>
      </c>
      <c r="AO18" s="190">
        <v>2531709.37</v>
      </c>
      <c r="AP18" s="190">
        <v>2594789.69</v>
      </c>
      <c r="AQ18" s="190">
        <v>1639750.96</v>
      </c>
      <c r="AR18" s="190">
        <v>339356.86</v>
      </c>
      <c r="AS18" s="190">
        <v>0</v>
      </c>
    </row>
    <row r="19" spans="1:45" x14ac:dyDescent="0.25">
      <c r="A19" s="190" t="s">
        <v>206</v>
      </c>
      <c r="B19" s="190">
        <v>0</v>
      </c>
      <c r="C19" s="190">
        <v>0</v>
      </c>
      <c r="D19" s="190">
        <v>0</v>
      </c>
      <c r="E19" s="190">
        <v>0</v>
      </c>
      <c r="F19" s="190">
        <v>880670.3</v>
      </c>
      <c r="G19" s="190">
        <v>567133.53</v>
      </c>
      <c r="H19" s="190">
        <v>165784.81</v>
      </c>
      <c r="I19" s="190">
        <v>450121.14</v>
      </c>
      <c r="J19" s="190">
        <v>165784.81</v>
      </c>
      <c r="K19" s="190">
        <v>282765.87</v>
      </c>
      <c r="L19" s="190">
        <v>34584.79</v>
      </c>
      <c r="M19" s="190">
        <v>391153.17</v>
      </c>
      <c r="N19" s="190">
        <v>0</v>
      </c>
      <c r="O19" s="190">
        <v>0</v>
      </c>
      <c r="P19" s="190">
        <v>0</v>
      </c>
      <c r="Q19" s="190">
        <v>1056232.54</v>
      </c>
      <c r="R19" s="190">
        <v>0</v>
      </c>
      <c r="S19" s="190">
        <v>0</v>
      </c>
      <c r="T19" s="190">
        <v>0</v>
      </c>
      <c r="U19" s="190">
        <v>246659.68</v>
      </c>
      <c r="V19" s="190">
        <v>0</v>
      </c>
      <c r="W19" s="190">
        <v>0</v>
      </c>
      <c r="X19" s="190">
        <v>0</v>
      </c>
      <c r="Y19" s="190">
        <v>0</v>
      </c>
      <c r="Z19" s="190">
        <v>0</v>
      </c>
      <c r="AA19" s="190">
        <v>355433.64</v>
      </c>
      <c r="AB19" s="190">
        <v>0</v>
      </c>
      <c r="AC19" s="190">
        <v>376627.38</v>
      </c>
      <c r="AD19" s="190">
        <v>0</v>
      </c>
      <c r="AE19" s="190">
        <v>0</v>
      </c>
      <c r="AF19" s="190">
        <v>0</v>
      </c>
      <c r="AG19" s="190">
        <v>102312.77</v>
      </c>
      <c r="AH19" s="190">
        <v>0</v>
      </c>
      <c r="AI19" s="190">
        <v>0</v>
      </c>
      <c r="AJ19" s="190">
        <v>0</v>
      </c>
      <c r="AK19" s="190">
        <v>196954.43</v>
      </c>
      <c r="AL19" s="190">
        <v>0</v>
      </c>
      <c r="AM19" s="190">
        <v>14468.98</v>
      </c>
      <c r="AN19" s="190">
        <v>0</v>
      </c>
      <c r="AO19" s="190">
        <v>169368.56</v>
      </c>
      <c r="AP19" s="190">
        <v>0</v>
      </c>
      <c r="AQ19" s="190">
        <v>1516529.05</v>
      </c>
      <c r="AR19" s="190">
        <v>205485.15</v>
      </c>
      <c r="AS19" s="190">
        <v>0</v>
      </c>
    </row>
    <row r="20" spans="1:45" x14ac:dyDescent="0.25">
      <c r="A20" s="190" t="s">
        <v>207</v>
      </c>
      <c r="B20" s="190">
        <v>476684779.69</v>
      </c>
      <c r="C20" s="190">
        <v>283817389.89999998</v>
      </c>
      <c r="D20" s="190">
        <v>202320305.84999999</v>
      </c>
      <c r="E20" s="190">
        <v>543882536.40999997</v>
      </c>
      <c r="F20" s="190">
        <v>422429347.12</v>
      </c>
      <c r="G20" s="190">
        <v>219615536.38999999</v>
      </c>
      <c r="H20" s="190">
        <v>147099946.31999999</v>
      </c>
      <c r="I20" s="190">
        <v>419522942.11000001</v>
      </c>
      <c r="J20" s="190">
        <v>333501496.81</v>
      </c>
      <c r="K20" s="190">
        <v>202708462.28999999</v>
      </c>
      <c r="L20" s="190">
        <v>136963836.84</v>
      </c>
      <c r="M20" s="190">
        <v>511701040.50999999</v>
      </c>
      <c r="N20" s="190">
        <v>379640594.58999997</v>
      </c>
      <c r="O20" s="190">
        <v>217287295.94999999</v>
      </c>
      <c r="P20" s="190">
        <v>139463390.93000001</v>
      </c>
      <c r="Q20" s="190">
        <v>451805805.81999999</v>
      </c>
      <c r="R20" s="190">
        <v>317017548.04000002</v>
      </c>
      <c r="S20" s="190">
        <v>182702061.30000001</v>
      </c>
      <c r="T20" s="190">
        <v>116451942.16</v>
      </c>
      <c r="U20" s="190">
        <v>392016027</v>
      </c>
      <c r="V20" s="190">
        <v>275119996.20999998</v>
      </c>
      <c r="W20" s="190">
        <v>162358939.53</v>
      </c>
      <c r="X20" s="190">
        <v>105274277.8</v>
      </c>
      <c r="Y20" s="190">
        <v>444037220.29000002</v>
      </c>
      <c r="Z20" s="190">
        <v>295367241.05000001</v>
      </c>
      <c r="AA20" s="190">
        <v>158764216.87</v>
      </c>
      <c r="AB20" s="190">
        <v>129332628.98</v>
      </c>
      <c r="AC20" s="190">
        <v>444558248.44999999</v>
      </c>
      <c r="AD20" s="190">
        <v>328093800.26999998</v>
      </c>
      <c r="AE20" s="190">
        <v>187717412.37</v>
      </c>
      <c r="AF20" s="190">
        <v>118124505.06999999</v>
      </c>
      <c r="AG20" s="190">
        <v>283191496.82999998</v>
      </c>
      <c r="AH20" s="190">
        <v>214279919.22999999</v>
      </c>
      <c r="AI20" s="190">
        <v>113404719.19</v>
      </c>
      <c r="AJ20" s="190">
        <v>69539699.090000004</v>
      </c>
      <c r="AK20" s="190">
        <v>196929086.25999999</v>
      </c>
      <c r="AL20" s="190">
        <v>133841809.76000001</v>
      </c>
      <c r="AM20" s="190">
        <v>67293163.790000007</v>
      </c>
      <c r="AN20" s="190">
        <v>44927934.520000003</v>
      </c>
      <c r="AO20" s="190">
        <v>137193241.06</v>
      </c>
      <c r="AP20" s="190">
        <v>104921539.81</v>
      </c>
      <c r="AQ20" s="190">
        <v>111162605.3</v>
      </c>
      <c r="AR20" s="190">
        <v>53571633.859999999</v>
      </c>
      <c r="AS20" s="190">
        <v>0</v>
      </c>
    </row>
    <row r="21" spans="1:45" x14ac:dyDescent="0.25">
      <c r="A21" s="190" t="s">
        <v>208</v>
      </c>
      <c r="B21" s="190">
        <v>90860108.140000001</v>
      </c>
      <c r="C21" s="190">
        <v>58234003.689999998</v>
      </c>
      <c r="D21" s="190">
        <v>43254573.359999999</v>
      </c>
      <c r="E21" s="190">
        <v>90810907.900000006</v>
      </c>
      <c r="F21" s="190">
        <v>90508988.840000004</v>
      </c>
      <c r="G21" s="190">
        <v>44332038.670000002</v>
      </c>
      <c r="H21" s="190">
        <v>21985611.260000002</v>
      </c>
      <c r="I21" s="190">
        <v>80709681.709999993</v>
      </c>
      <c r="J21" s="190">
        <v>63378605.710000001</v>
      </c>
      <c r="K21" s="190">
        <v>44079906.789999999</v>
      </c>
      <c r="L21" s="190">
        <v>23129226.210000001</v>
      </c>
      <c r="M21" s="190">
        <v>88611971.989999995</v>
      </c>
      <c r="N21" s="190">
        <v>48869485.689999998</v>
      </c>
      <c r="O21" s="190">
        <v>30061624.289999999</v>
      </c>
      <c r="P21" s="190">
        <v>21179307.41</v>
      </c>
      <c r="Q21" s="190">
        <v>53632117.130000003</v>
      </c>
      <c r="R21" s="190">
        <v>40316639.75</v>
      </c>
      <c r="S21" s="190">
        <v>25334137.739999998</v>
      </c>
      <c r="T21" s="190">
        <v>17702590.440000001</v>
      </c>
      <c r="U21" s="190">
        <v>59861374.850000001</v>
      </c>
      <c r="V21" s="190">
        <v>37936104.539999999</v>
      </c>
      <c r="W21" s="190">
        <v>25253043.190000001</v>
      </c>
      <c r="X21" s="190">
        <v>19517706.149999999</v>
      </c>
      <c r="Y21" s="190">
        <v>61950453.530000001</v>
      </c>
      <c r="Z21" s="190">
        <v>42224768.240000002</v>
      </c>
      <c r="AA21" s="190">
        <v>25078122.620000001</v>
      </c>
      <c r="AB21" s="190">
        <v>22988840.609999999</v>
      </c>
      <c r="AC21" s="190">
        <v>70548110.260000005</v>
      </c>
      <c r="AD21" s="190">
        <v>47934985.090000004</v>
      </c>
      <c r="AE21" s="190">
        <v>25281931.27</v>
      </c>
      <c r="AF21" s="190">
        <v>29453283.52</v>
      </c>
      <c r="AG21" s="190">
        <v>71365814.269999996</v>
      </c>
      <c r="AH21" s="190">
        <v>69820550.109999999</v>
      </c>
      <c r="AI21" s="190">
        <v>35970578.43</v>
      </c>
      <c r="AJ21" s="190">
        <v>19374579.129999999</v>
      </c>
      <c r="AK21" s="190">
        <v>50926318.670000002</v>
      </c>
      <c r="AL21" s="190">
        <v>32179640.43</v>
      </c>
      <c r="AM21" s="190">
        <v>16241581.609999999</v>
      </c>
      <c r="AN21" s="190">
        <v>11150238.310000001</v>
      </c>
      <c r="AO21" s="190">
        <v>26161263.460000001</v>
      </c>
      <c r="AP21" s="190">
        <v>20821381.469999999</v>
      </c>
      <c r="AQ21" s="190">
        <v>26024310.539999999</v>
      </c>
      <c r="AR21" s="190">
        <v>4054415.44</v>
      </c>
      <c r="AS21" s="190">
        <v>0</v>
      </c>
    </row>
    <row r="22" spans="1:45" x14ac:dyDescent="0.25">
      <c r="A22" s="190" t="s">
        <v>209</v>
      </c>
      <c r="B22" s="190">
        <v>385824671.55000001</v>
      </c>
      <c r="C22" s="190">
        <v>225583386.21000001</v>
      </c>
      <c r="D22" s="190">
        <v>159065732.49000001</v>
      </c>
      <c r="E22" s="190">
        <v>453071628.50999999</v>
      </c>
      <c r="F22" s="190">
        <v>331920358.27999997</v>
      </c>
      <c r="G22" s="190">
        <v>175283497.72</v>
      </c>
      <c r="H22" s="190">
        <v>125114335.06</v>
      </c>
      <c r="I22" s="190">
        <v>338813260.39999998</v>
      </c>
      <c r="J22" s="190">
        <v>270122891.10000002</v>
      </c>
      <c r="K22" s="190">
        <v>158628555.5</v>
      </c>
      <c r="L22" s="190">
        <v>113834610.63</v>
      </c>
      <c r="M22" s="190">
        <v>423089068.51999998</v>
      </c>
      <c r="N22" s="190">
        <v>330771108.89999998</v>
      </c>
      <c r="O22" s="190">
        <v>187225671.66</v>
      </c>
      <c r="P22" s="190">
        <v>118284083.52</v>
      </c>
      <c r="Q22" s="190">
        <v>398173688.69</v>
      </c>
      <c r="R22" s="190">
        <v>276700908.29000002</v>
      </c>
      <c r="S22" s="190">
        <v>157367923.56</v>
      </c>
      <c r="T22" s="190">
        <v>98749351.719999999</v>
      </c>
      <c r="U22" s="190">
        <v>332154652.14999998</v>
      </c>
      <c r="V22" s="190">
        <v>237183891.66999999</v>
      </c>
      <c r="W22" s="190">
        <v>137105896.34</v>
      </c>
      <c r="X22" s="190">
        <v>85756571.650000006</v>
      </c>
      <c r="Y22" s="190">
        <v>382086766.75999999</v>
      </c>
      <c r="Z22" s="190">
        <v>253142472.81</v>
      </c>
      <c r="AA22" s="190">
        <v>133686094.25</v>
      </c>
      <c r="AB22" s="190">
        <v>106343788.37</v>
      </c>
      <c r="AC22" s="190">
        <v>374010138.19</v>
      </c>
      <c r="AD22" s="190">
        <v>280158815.18000001</v>
      </c>
      <c r="AE22" s="190">
        <v>162435481.09999999</v>
      </c>
      <c r="AF22" s="190">
        <v>88671221.549999997</v>
      </c>
      <c r="AG22" s="190">
        <v>211825682.56</v>
      </c>
      <c r="AH22" s="190">
        <v>144459369.12</v>
      </c>
      <c r="AI22" s="190">
        <v>77434140.760000005</v>
      </c>
      <c r="AJ22" s="190">
        <v>50165119.960000001</v>
      </c>
      <c r="AK22" s="190">
        <v>146002767.59</v>
      </c>
      <c r="AL22" s="190">
        <v>101662169.33</v>
      </c>
      <c r="AM22" s="190">
        <v>51051582.18</v>
      </c>
      <c r="AN22" s="190">
        <v>33777696.210000001</v>
      </c>
      <c r="AO22" s="190">
        <v>111031977.59999999</v>
      </c>
      <c r="AP22" s="190">
        <v>84100158.340000004</v>
      </c>
      <c r="AQ22" s="190">
        <v>85138294.760000005</v>
      </c>
      <c r="AR22" s="190">
        <v>49517218.420000002</v>
      </c>
      <c r="AS22" s="190">
        <v>0</v>
      </c>
    </row>
    <row r="23" spans="1:45" x14ac:dyDescent="0.25">
      <c r="A23" s="190" t="s">
        <v>210</v>
      </c>
      <c r="B23" s="190">
        <v>377094856.52999997</v>
      </c>
      <c r="C23" s="190">
        <v>218428089.68000001</v>
      </c>
      <c r="D23" s="190">
        <v>156488769.09</v>
      </c>
      <c r="E23" s="190">
        <v>427876997.13999999</v>
      </c>
      <c r="F23" s="190">
        <v>310526985.16000003</v>
      </c>
      <c r="G23" s="190">
        <v>161634176.15000001</v>
      </c>
      <c r="H23" s="190">
        <v>116839080.93000001</v>
      </c>
      <c r="I23" s="190">
        <v>317296870.91000003</v>
      </c>
      <c r="J23" s="190">
        <v>259455473.43000001</v>
      </c>
      <c r="K23" s="190">
        <v>150836883.68000001</v>
      </c>
      <c r="L23" s="190">
        <v>108812558.97</v>
      </c>
      <c r="M23" s="190">
        <v>410088318.56999999</v>
      </c>
      <c r="N23" s="190">
        <v>323821790.52999997</v>
      </c>
      <c r="O23" s="190">
        <v>183770049.63999999</v>
      </c>
      <c r="P23" s="190">
        <v>116179144.33</v>
      </c>
      <c r="Q23" s="190">
        <v>398089770.07999998</v>
      </c>
      <c r="R23" s="190">
        <v>276700908.29000002</v>
      </c>
      <c r="S23" s="190">
        <v>157367923.56</v>
      </c>
      <c r="T23" s="190">
        <v>98749351.719999999</v>
      </c>
      <c r="U23" s="190">
        <v>332154652.14999998</v>
      </c>
      <c r="V23" s="190">
        <v>237183891.66999999</v>
      </c>
      <c r="W23" s="190">
        <v>137105896.34</v>
      </c>
      <c r="X23" s="190">
        <v>85756571.650000006</v>
      </c>
      <c r="Y23" s="190">
        <v>382086766.75999999</v>
      </c>
      <c r="Z23" s="190">
        <v>253142472.81</v>
      </c>
      <c r="AA23" s="190">
        <v>133686094.25</v>
      </c>
      <c r="AB23" s="190">
        <v>106343788.37</v>
      </c>
      <c r="AC23" s="190">
        <v>374010138.19</v>
      </c>
      <c r="AD23" s="190">
        <v>280158815.18000001</v>
      </c>
      <c r="AE23" s="190">
        <v>162435481.09999999</v>
      </c>
      <c r="AF23" s="190">
        <v>88671221.549999997</v>
      </c>
      <c r="AG23" s="190">
        <v>209705315.55000001</v>
      </c>
      <c r="AH23" s="190">
        <v>142914774.06</v>
      </c>
      <c r="AI23" s="190">
        <v>76795650.209999993</v>
      </c>
      <c r="AJ23" s="190">
        <v>49666686.82</v>
      </c>
      <c r="AK23" s="190">
        <v>144473175.58000001</v>
      </c>
      <c r="AL23" s="190">
        <v>100843091.84</v>
      </c>
      <c r="AM23" s="190">
        <v>50865856.579999998</v>
      </c>
      <c r="AN23" s="190">
        <v>33532813.120000001</v>
      </c>
      <c r="AO23" s="190">
        <v>110067128.2</v>
      </c>
      <c r="AP23" s="190">
        <v>83336279.640000001</v>
      </c>
      <c r="AQ23" s="190">
        <v>85143821.590000004</v>
      </c>
      <c r="AR23" s="190">
        <v>49249157.25</v>
      </c>
      <c r="AS23" s="190">
        <v>0</v>
      </c>
    </row>
    <row r="24" spans="1:45" x14ac:dyDescent="0.25">
      <c r="A24" s="190" t="s">
        <v>211</v>
      </c>
      <c r="B24" s="190">
        <v>8729815.0199999996</v>
      </c>
      <c r="C24" s="190">
        <v>7155296.5300000003</v>
      </c>
      <c r="D24" s="190">
        <v>2576963.4</v>
      </c>
      <c r="E24" s="190">
        <v>25194631.370000001</v>
      </c>
      <c r="F24" s="190">
        <v>21393373.120000001</v>
      </c>
      <c r="G24" s="190">
        <v>13649321.57</v>
      </c>
      <c r="H24" s="190">
        <v>8275254.1299999999</v>
      </c>
      <c r="I24" s="190">
        <v>21516389.489999998</v>
      </c>
      <c r="J24" s="190">
        <v>10667417.67</v>
      </c>
      <c r="K24" s="190">
        <v>7791671.8200000003</v>
      </c>
      <c r="L24" s="190">
        <v>5022051.66</v>
      </c>
      <c r="M24" s="190">
        <v>13000749.949999999</v>
      </c>
      <c r="N24" s="190">
        <v>6949318.3700000001</v>
      </c>
      <c r="O24" s="190">
        <v>3455622.02</v>
      </c>
      <c r="P24" s="190">
        <v>2104939.19</v>
      </c>
      <c r="Q24" s="190">
        <v>83918.61</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2120367.0099999998</v>
      </c>
      <c r="AH24" s="190">
        <v>1544595.06</v>
      </c>
      <c r="AI24" s="190">
        <v>638490.55000000005</v>
      </c>
      <c r="AJ24" s="190">
        <v>498433.14</v>
      </c>
      <c r="AK24" s="190">
        <v>1529592.01</v>
      </c>
      <c r="AL24" s="190">
        <v>819077.49</v>
      </c>
      <c r="AM24" s="190">
        <v>185725.6</v>
      </c>
      <c r="AN24" s="190">
        <v>244883.09</v>
      </c>
      <c r="AO24" s="190">
        <v>964849.4</v>
      </c>
      <c r="AP24" s="190">
        <v>763878.7</v>
      </c>
      <c r="AQ24" s="190">
        <v>-5526.83</v>
      </c>
      <c r="AR24" s="190">
        <v>0</v>
      </c>
      <c r="AS24" s="190">
        <v>0</v>
      </c>
    </row>
    <row r="25" spans="1:45" x14ac:dyDescent="0.25">
      <c r="A25" s="190" t="s">
        <v>212</v>
      </c>
    </row>
    <row r="26" spans="1:45" x14ac:dyDescent="0.25">
      <c r="A26" s="190" t="s">
        <v>213</v>
      </c>
      <c r="B26" s="190">
        <v>0.51100000000000001</v>
      </c>
      <c r="C26" s="190">
        <v>0.29599999999999999</v>
      </c>
      <c r="D26" s="190">
        <v>0.214</v>
      </c>
      <c r="E26" s="190">
        <v>0.60829999999999995</v>
      </c>
      <c r="F26" s="190">
        <v>0.44180000000000003</v>
      </c>
      <c r="G26" s="190">
        <v>0.2303</v>
      </c>
      <c r="H26" s="190">
        <v>0.16650000000000001</v>
      </c>
      <c r="I26" s="190">
        <v>0.4521</v>
      </c>
      <c r="J26" s="190">
        <v>0.37</v>
      </c>
      <c r="K26" s="190">
        <v>0.21490000000000001</v>
      </c>
      <c r="L26" s="190">
        <v>0.155</v>
      </c>
      <c r="M26" s="190">
        <v>0.57999999999999996</v>
      </c>
      <c r="N26" s="190">
        <v>0.46</v>
      </c>
      <c r="O26" s="190">
        <v>0.26</v>
      </c>
      <c r="P26" s="190">
        <v>0.41</v>
      </c>
      <c r="Q26" s="190">
        <v>1.42</v>
      </c>
      <c r="R26" s="190">
        <v>0.99</v>
      </c>
      <c r="S26" s="190">
        <v>0.56000000000000005</v>
      </c>
      <c r="T26" s="190">
        <v>0.35</v>
      </c>
      <c r="U26" s="190">
        <v>1.18</v>
      </c>
      <c r="V26" s="190">
        <v>0.84</v>
      </c>
      <c r="W26" s="190">
        <v>0.49</v>
      </c>
      <c r="X26" s="190">
        <v>0.61</v>
      </c>
      <c r="Y26" s="190">
        <v>2.72</v>
      </c>
      <c r="Z26" s="190">
        <v>1.8</v>
      </c>
      <c r="AA26" s="190">
        <v>0.95</v>
      </c>
      <c r="AB26" s="190">
        <v>0.76</v>
      </c>
      <c r="AC26" s="190">
        <v>2.66</v>
      </c>
      <c r="AD26" s="190">
        <v>2</v>
      </c>
      <c r="AE26" s="190">
        <v>1.1599999999999999</v>
      </c>
      <c r="AF26" s="190">
        <v>0.63</v>
      </c>
      <c r="AG26" s="190">
        <v>1.49</v>
      </c>
      <c r="AH26" s="190">
        <v>1.02</v>
      </c>
      <c r="AI26" s="190">
        <v>0.55000000000000004</v>
      </c>
      <c r="AJ26" s="190">
        <v>0.35</v>
      </c>
      <c r="AK26" s="190">
        <v>1.27</v>
      </c>
      <c r="AL26" s="190">
        <v>0.96</v>
      </c>
      <c r="AM26" s="190">
        <v>0.48</v>
      </c>
      <c r="AN26" s="190">
        <v>0.32</v>
      </c>
      <c r="AO26" s="190">
        <v>1.05</v>
      </c>
      <c r="AP26" s="190">
        <v>0.79</v>
      </c>
      <c r="AQ26" s="190">
        <v>0.85</v>
      </c>
      <c r="AR26" s="190">
        <v>0.49</v>
      </c>
      <c r="AS26" s="190">
        <v>0</v>
      </c>
    </row>
    <row r="27" spans="1:45" x14ac:dyDescent="0.25">
      <c r="A27" s="190" t="s">
        <v>214</v>
      </c>
      <c r="B27" s="190">
        <v>0.51100000000000001</v>
      </c>
      <c r="C27" s="190">
        <v>0.29599999999999999</v>
      </c>
      <c r="D27" s="190">
        <v>0.214</v>
      </c>
      <c r="E27" s="190">
        <v>0.60829999999999995</v>
      </c>
      <c r="F27" s="190">
        <v>0.44180000000000003</v>
      </c>
      <c r="G27" s="190">
        <v>0.2303</v>
      </c>
      <c r="H27" s="190">
        <v>0.16650000000000001</v>
      </c>
      <c r="I27" s="190">
        <v>0.4521</v>
      </c>
      <c r="J27" s="190">
        <v>0.37</v>
      </c>
      <c r="K27" s="190">
        <v>0.21490000000000001</v>
      </c>
      <c r="L27" s="190">
        <v>0.155</v>
      </c>
      <c r="M27" s="190">
        <v>0.57999999999999996</v>
      </c>
      <c r="N27" s="190">
        <v>0.46</v>
      </c>
      <c r="O27" s="190">
        <v>0.26</v>
      </c>
      <c r="P27" s="190">
        <v>0.41</v>
      </c>
      <c r="Q27" s="190">
        <v>1.42</v>
      </c>
      <c r="R27" s="190">
        <v>0.99</v>
      </c>
      <c r="S27" s="190">
        <v>0.56000000000000005</v>
      </c>
      <c r="T27" s="190">
        <v>0.35</v>
      </c>
      <c r="U27" s="190">
        <v>1.18</v>
      </c>
      <c r="V27" s="190">
        <v>0.84</v>
      </c>
      <c r="W27" s="190">
        <v>0.49</v>
      </c>
      <c r="X27" s="190">
        <v>0.61</v>
      </c>
      <c r="Y27" s="190">
        <v>2.72</v>
      </c>
      <c r="Z27" s="190">
        <v>1.8</v>
      </c>
      <c r="AA27" s="190">
        <v>0.95</v>
      </c>
      <c r="AB27" s="190">
        <v>0.76</v>
      </c>
      <c r="AC27" s="190">
        <v>2.66</v>
      </c>
      <c r="AD27" s="190">
        <v>2</v>
      </c>
      <c r="AE27" s="190">
        <v>1.1599999999999999</v>
      </c>
      <c r="AF27" s="190">
        <v>0.63</v>
      </c>
      <c r="AG27" s="190">
        <v>1.49</v>
      </c>
      <c r="AH27" s="190">
        <v>1.02</v>
      </c>
      <c r="AI27" s="190">
        <v>0.55000000000000004</v>
      </c>
      <c r="AJ27" s="190">
        <v>0.35</v>
      </c>
      <c r="AK27" s="190">
        <v>1.27</v>
      </c>
      <c r="AL27" s="190">
        <v>0.96</v>
      </c>
      <c r="AM27" s="190">
        <v>0.48</v>
      </c>
      <c r="AN27" s="190">
        <v>0.32</v>
      </c>
      <c r="AO27" s="190">
        <v>1.05</v>
      </c>
      <c r="AP27" s="190">
        <v>0.79</v>
      </c>
      <c r="AQ27" s="190">
        <v>0.85</v>
      </c>
      <c r="AR27" s="190">
        <v>0.49</v>
      </c>
      <c r="AS27" s="190">
        <v>0</v>
      </c>
    </row>
    <row r="28" spans="1:45" x14ac:dyDescent="0.25">
      <c r="A28" s="190" t="s">
        <v>215</v>
      </c>
      <c r="B28" s="190">
        <v>26264477.800000001</v>
      </c>
      <c r="C28" s="190">
        <v>8768413.6099999994</v>
      </c>
      <c r="D28" s="190">
        <v>-23530364.309999999</v>
      </c>
      <c r="E28" s="190">
        <v>-27005854.120000001</v>
      </c>
      <c r="F28" s="190">
        <v>-20996537.109999999</v>
      </c>
      <c r="G28" s="190">
        <v>-9716983.2799999993</v>
      </c>
      <c r="H28" s="190">
        <v>267164.26</v>
      </c>
      <c r="I28" s="190">
        <v>2746174.97</v>
      </c>
      <c r="J28" s="190">
        <v>1318275.21</v>
      </c>
      <c r="K28" s="190">
        <v>1015033.46</v>
      </c>
      <c r="L28" s="190">
        <v>-3847.23</v>
      </c>
      <c r="M28" s="190">
        <v>1747637.99</v>
      </c>
      <c r="N28" s="190">
        <v>1367525.67</v>
      </c>
      <c r="O28" s="190">
        <v>-19837.18</v>
      </c>
      <c r="P28" s="190">
        <v>121474.14</v>
      </c>
      <c r="Q28" s="190">
        <v>60762.7</v>
      </c>
      <c r="R28" s="190">
        <v>192631.38</v>
      </c>
      <c r="S28" s="190">
        <v>239185.79</v>
      </c>
      <c r="T28" s="190">
        <v>218363.8</v>
      </c>
      <c r="U28" s="190">
        <v>-691715.42</v>
      </c>
      <c r="V28" s="190">
        <v>-464829.47</v>
      </c>
      <c r="W28" s="190">
        <v>-363372.38</v>
      </c>
      <c r="X28" s="190">
        <v>-81160.31</v>
      </c>
      <c r="Y28" s="190">
        <v>3357.7</v>
      </c>
      <c r="Z28" s="190">
        <v>147195.29</v>
      </c>
      <c r="AA28" s="190">
        <v>92296.55</v>
      </c>
      <c r="AB28" s="190">
        <v>-2400</v>
      </c>
      <c r="AC28" s="190">
        <v>-706542.83</v>
      </c>
      <c r="AD28" s="190">
        <v>-597629.93000000005</v>
      </c>
      <c r="AE28" s="190">
        <v>-307502.71000000002</v>
      </c>
      <c r="AF28" s="190">
        <v>0</v>
      </c>
      <c r="AG28" s="190">
        <v>-375189.5</v>
      </c>
      <c r="AH28" s="190">
        <v>-211123.94</v>
      </c>
      <c r="AI28" s="190">
        <v>-96363.82</v>
      </c>
      <c r="AJ28" s="190">
        <v>0</v>
      </c>
      <c r="AK28" s="190">
        <v>-13205.78</v>
      </c>
      <c r="AL28" s="190">
        <v>0</v>
      </c>
      <c r="AM28" s="190">
        <v>0</v>
      </c>
      <c r="AN28" s="190">
        <v>0</v>
      </c>
      <c r="AO28" s="190">
        <v>0</v>
      </c>
      <c r="AP28" s="190">
        <v>0</v>
      </c>
      <c r="AQ28" s="190">
        <v>0</v>
      </c>
      <c r="AR28" s="190">
        <v>0</v>
      </c>
      <c r="AS28" s="190">
        <v>0</v>
      </c>
    </row>
    <row r="29" spans="1:45" x14ac:dyDescent="0.25">
      <c r="A29" s="190" t="s">
        <v>216</v>
      </c>
      <c r="B29" s="190">
        <v>412089149.35000002</v>
      </c>
      <c r="C29" s="190">
        <v>234351799.81999999</v>
      </c>
      <c r="D29" s="190">
        <v>135535368.18000001</v>
      </c>
      <c r="E29" s="190">
        <v>426065774.38999999</v>
      </c>
      <c r="F29" s="190">
        <v>310923821.17000002</v>
      </c>
      <c r="G29" s="190">
        <v>165566514.44</v>
      </c>
      <c r="H29" s="190">
        <v>125381499.31999999</v>
      </c>
      <c r="I29" s="190">
        <v>341559435.37</v>
      </c>
      <c r="J29" s="190">
        <v>271441166.31</v>
      </c>
      <c r="K29" s="190">
        <v>159643588.96000001</v>
      </c>
      <c r="L29" s="190">
        <v>113830763.40000001</v>
      </c>
      <c r="M29" s="190">
        <v>424836706.50999999</v>
      </c>
      <c r="N29" s="190">
        <v>332138634.56999999</v>
      </c>
      <c r="O29" s="190">
        <v>187205834.47999999</v>
      </c>
      <c r="P29" s="190">
        <v>118405557.66</v>
      </c>
      <c r="Q29" s="190">
        <v>398234451.38999999</v>
      </c>
      <c r="R29" s="190">
        <v>276893539.67000002</v>
      </c>
      <c r="S29" s="190">
        <v>157607109.34999999</v>
      </c>
      <c r="T29" s="190">
        <v>98967715.519999996</v>
      </c>
      <c r="U29" s="190">
        <v>331462936.73000002</v>
      </c>
      <c r="V29" s="190">
        <v>236719062.19999999</v>
      </c>
      <c r="W29" s="190">
        <v>136742523.96000001</v>
      </c>
      <c r="X29" s="190">
        <v>85675411.340000004</v>
      </c>
      <c r="Y29" s="190">
        <v>382090124.45999998</v>
      </c>
      <c r="Z29" s="190">
        <v>253289668.09999999</v>
      </c>
      <c r="AA29" s="190">
        <v>133778390.8</v>
      </c>
      <c r="AB29" s="190">
        <v>106343788.37</v>
      </c>
      <c r="AC29" s="190">
        <v>373303595.36000001</v>
      </c>
      <c r="AD29" s="190">
        <v>279561185.25</v>
      </c>
      <c r="AE29" s="190">
        <v>162127978.38999999</v>
      </c>
      <c r="AF29" s="190">
        <v>88671221.549999997</v>
      </c>
      <c r="AG29" s="190">
        <v>211450493.06</v>
      </c>
      <c r="AH29" s="190">
        <v>144248245.18000001</v>
      </c>
      <c r="AI29" s="190">
        <v>77337776.939999998</v>
      </c>
      <c r="AJ29" s="190">
        <v>50165119.960000001</v>
      </c>
      <c r="AK29" s="190">
        <v>145989561.81</v>
      </c>
      <c r="AL29" s="190">
        <v>101662169.33</v>
      </c>
      <c r="AM29" s="190">
        <v>0</v>
      </c>
      <c r="AN29" s="190">
        <v>33777696.210000001</v>
      </c>
      <c r="AO29" s="190">
        <v>0</v>
      </c>
      <c r="AP29" s="190">
        <v>84100158.340000004</v>
      </c>
      <c r="AQ29" s="190">
        <v>0</v>
      </c>
      <c r="AR29" s="190">
        <v>0</v>
      </c>
      <c r="AS29" s="190">
        <v>0</v>
      </c>
    </row>
    <row r="30" spans="1:45" x14ac:dyDescent="0.25">
      <c r="A30" s="190" t="s">
        <v>217</v>
      </c>
      <c r="B30" s="190">
        <v>403359334.32999998</v>
      </c>
      <c r="C30" s="190">
        <v>227196503.28999999</v>
      </c>
      <c r="D30" s="190">
        <v>132958404.78</v>
      </c>
      <c r="E30" s="190">
        <v>400871143.01999998</v>
      </c>
      <c r="F30" s="190">
        <v>289534239.55000001</v>
      </c>
      <c r="G30" s="190">
        <v>151918918.41999999</v>
      </c>
      <c r="H30" s="190">
        <v>117106245.19</v>
      </c>
      <c r="I30" s="190">
        <v>320043045.88</v>
      </c>
      <c r="J30" s="190">
        <v>260773748.63999999</v>
      </c>
      <c r="K30" s="190">
        <v>151851917.13999999</v>
      </c>
      <c r="L30" s="190">
        <v>108808711.73999999</v>
      </c>
      <c r="M30" s="190">
        <v>411835956.56</v>
      </c>
      <c r="N30" s="190">
        <v>325189316.19999999</v>
      </c>
      <c r="O30" s="190">
        <v>183750212.46000001</v>
      </c>
      <c r="P30" s="190">
        <v>116300618.47</v>
      </c>
      <c r="Q30" s="190">
        <v>398150532.77999997</v>
      </c>
      <c r="R30" s="190">
        <v>276893539.67000002</v>
      </c>
      <c r="S30" s="190">
        <v>157607109.34999999</v>
      </c>
      <c r="T30" s="190">
        <v>98967715.519999996</v>
      </c>
      <c r="U30" s="190">
        <v>331462936.73000002</v>
      </c>
      <c r="V30" s="190">
        <v>236719062.19999999</v>
      </c>
      <c r="W30" s="190">
        <v>136742523.96000001</v>
      </c>
      <c r="X30" s="190">
        <v>85675411.340000004</v>
      </c>
      <c r="Y30" s="190">
        <v>382090124.45999998</v>
      </c>
      <c r="Z30" s="190">
        <v>253289668.09999999</v>
      </c>
      <c r="AA30" s="190">
        <v>133778390.8</v>
      </c>
      <c r="AB30" s="190">
        <v>106343788.37</v>
      </c>
      <c r="AC30" s="190">
        <v>373303595.36000001</v>
      </c>
      <c r="AD30" s="190">
        <v>279561185.25</v>
      </c>
      <c r="AE30" s="190">
        <v>162127978.38999999</v>
      </c>
      <c r="AF30" s="190">
        <v>88671221.549999997</v>
      </c>
      <c r="AG30" s="190">
        <v>209330126.05000001</v>
      </c>
      <c r="AH30" s="190">
        <v>142703650.12</v>
      </c>
      <c r="AI30" s="190">
        <v>76699286.390000001</v>
      </c>
      <c r="AJ30" s="190">
        <v>49666686.82</v>
      </c>
      <c r="AK30" s="190">
        <v>144459969.80000001</v>
      </c>
      <c r="AL30" s="190">
        <v>100843091.84</v>
      </c>
      <c r="AM30" s="190">
        <v>0</v>
      </c>
      <c r="AN30" s="190">
        <v>33532813.120000001</v>
      </c>
      <c r="AO30" s="190">
        <v>0</v>
      </c>
      <c r="AP30" s="190">
        <v>83336279.640000001</v>
      </c>
      <c r="AQ30" s="190">
        <v>0</v>
      </c>
      <c r="AR30" s="190">
        <v>0</v>
      </c>
      <c r="AS30" s="190">
        <v>0</v>
      </c>
    </row>
    <row r="31" spans="1:45" x14ac:dyDescent="0.25">
      <c r="A31" s="190" t="s">
        <v>218</v>
      </c>
      <c r="B31" s="190">
        <v>8729815.0199999996</v>
      </c>
      <c r="C31" s="190">
        <v>7155296.5300000003</v>
      </c>
      <c r="D31" s="190">
        <v>2576963.4</v>
      </c>
      <c r="E31" s="190">
        <v>25194631.370000001</v>
      </c>
      <c r="F31" s="190">
        <v>21389581.620000001</v>
      </c>
      <c r="G31" s="190">
        <v>13647596.02</v>
      </c>
      <c r="H31" s="190">
        <v>8275254.1299999999</v>
      </c>
      <c r="I31" s="190">
        <v>21516389.489999998</v>
      </c>
      <c r="J31" s="190">
        <v>10667417.67</v>
      </c>
      <c r="K31" s="190">
        <v>7791671.8200000003</v>
      </c>
      <c r="L31" s="190">
        <v>5022051.66</v>
      </c>
      <c r="M31" s="190">
        <v>13000749.949999999</v>
      </c>
      <c r="N31" s="190">
        <v>6949318.3700000001</v>
      </c>
      <c r="O31" s="190">
        <v>3455622.02</v>
      </c>
      <c r="P31" s="190">
        <v>2104939.19</v>
      </c>
      <c r="Q31" s="190">
        <v>83918.61</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2120367.0099999998</v>
      </c>
      <c r="AH31" s="190">
        <v>1544595.06</v>
      </c>
      <c r="AI31" s="190">
        <v>638490.55000000005</v>
      </c>
      <c r="AJ31" s="190">
        <v>498433.14</v>
      </c>
      <c r="AK31" s="190">
        <v>1529592.01</v>
      </c>
      <c r="AL31" s="190">
        <v>819077.49</v>
      </c>
      <c r="AM31" s="190">
        <v>0</v>
      </c>
      <c r="AN31" s="190">
        <v>244883.09</v>
      </c>
      <c r="AO31" s="190">
        <v>0</v>
      </c>
      <c r="AP31" s="190">
        <v>763878.7</v>
      </c>
      <c r="AQ31" s="190">
        <v>0</v>
      </c>
      <c r="AR31" s="190">
        <v>0</v>
      </c>
      <c r="AS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AS77"/>
  <sheetViews>
    <sheetView workbookViewId="0">
      <selection activeCell="A31" sqref="A31"/>
    </sheetView>
  </sheetViews>
  <sheetFormatPr defaultRowHeight="14.4" x14ac:dyDescent="0.25"/>
  <cols>
    <col min="1" max="1" width="57.77734375" style="190" bestFit="1" customWidth="1"/>
    <col min="2" max="3" width="13.88671875" style="190" hidden="1" customWidth="1"/>
    <col min="4" max="4" width="12.77734375" style="190" hidden="1" customWidth="1"/>
    <col min="5" max="5" width="13.88671875" style="190" bestFit="1" customWidth="1"/>
    <col min="6" max="8" width="13.88671875" style="190" hidden="1" customWidth="1"/>
    <col min="9" max="9" width="13.88671875" style="190" bestFit="1" customWidth="1"/>
    <col min="10" max="11" width="13.88671875" style="190" hidden="1" customWidth="1"/>
    <col min="12" max="12" width="12.77734375" style="190" hidden="1" customWidth="1"/>
    <col min="13" max="13" width="13.88671875" style="190" bestFit="1" customWidth="1"/>
    <col min="14" max="14" width="12.77734375" style="190" hidden="1" customWidth="1"/>
    <col min="15" max="16" width="13.88671875" style="190" hidden="1" customWidth="1"/>
    <col min="17" max="17" width="13.88671875" style="190" bestFit="1" customWidth="1"/>
    <col min="18" max="20" width="13.88671875" style="190" hidden="1" customWidth="1"/>
    <col min="21" max="21" width="13.88671875" style="190" bestFit="1" customWidth="1"/>
    <col min="22" max="24" width="13.886718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5" width="13.88671875" style="190" hidden="1" customWidth="1"/>
    <col min="36" max="36" width="12.77734375" style="190" hidden="1" customWidth="1"/>
    <col min="37" max="37" width="13.88671875" style="190" bestFit="1" customWidth="1"/>
    <col min="38" max="38" width="12.77734375" style="190" hidden="1" customWidth="1"/>
    <col min="39" max="39" width="13.88671875" style="190" hidden="1" customWidth="1"/>
    <col min="40" max="40" width="12.77734375" style="190" hidden="1" customWidth="1"/>
    <col min="41" max="41" width="13.88671875" style="190" bestFit="1" customWidth="1"/>
    <col min="42" max="42" width="13.88671875" style="190" hidden="1" customWidth="1"/>
    <col min="43" max="44" width="13.88671875" style="190" bestFit="1" customWidth="1"/>
    <col min="45" max="45" width="9.5546875" style="190" hidden="1" customWidth="1"/>
    <col min="46" max="16384" width="8.88671875" style="190"/>
  </cols>
  <sheetData>
    <row r="1" spans="1:45" x14ac:dyDescent="0.25">
      <c r="A1" s="190">
        <v>2293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20071231</v>
      </c>
      <c r="AR1" s="190">
        <v>20061231</v>
      </c>
      <c r="AS1" s="190">
        <v>19700101</v>
      </c>
    </row>
    <row r="2" spans="1:45"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row>
    <row r="3" spans="1:45" x14ac:dyDescent="0.25">
      <c r="A3" s="190" t="s">
        <v>219</v>
      </c>
    </row>
    <row r="4" spans="1:45" x14ac:dyDescent="0.25">
      <c r="A4" s="190" t="s">
        <v>220</v>
      </c>
      <c r="B4" s="190">
        <v>4161288964.8400002</v>
      </c>
      <c r="C4" s="190">
        <v>2722043541.54</v>
      </c>
      <c r="D4" s="190">
        <v>1336331413.25</v>
      </c>
      <c r="E4" s="190">
        <v>5703097066.9099998</v>
      </c>
      <c r="F4" s="190">
        <v>3517644500</v>
      </c>
      <c r="G4" s="190">
        <v>2192498921.1100001</v>
      </c>
      <c r="H4" s="190">
        <v>1220146194.1099999</v>
      </c>
      <c r="I4" s="190">
        <v>3686460242.5900002</v>
      </c>
      <c r="J4" s="190">
        <v>2564846453.2399998</v>
      </c>
      <c r="K4" s="190">
        <v>1590874669.1199999</v>
      </c>
      <c r="L4" s="190">
        <v>869902587.33000004</v>
      </c>
      <c r="M4" s="190">
        <v>3286935630.9499998</v>
      </c>
      <c r="N4" s="190">
        <v>2293032683.1900001</v>
      </c>
      <c r="O4" s="190">
        <v>1385251550.4400001</v>
      </c>
      <c r="P4" s="190">
        <v>814632103.25999999</v>
      </c>
      <c r="Q4" s="190">
        <v>3314035032.6199999</v>
      </c>
      <c r="R4" s="190">
        <v>2243208554.8099999</v>
      </c>
      <c r="S4" s="190">
        <v>1323849741.5799999</v>
      </c>
      <c r="T4" s="190">
        <v>805221687.07000005</v>
      </c>
      <c r="U4" s="190">
        <v>2995795304.5700002</v>
      </c>
      <c r="V4" s="190">
        <v>2119069929.0899999</v>
      </c>
      <c r="W4" s="190">
        <v>1315577679.99</v>
      </c>
      <c r="X4" s="190">
        <v>702968081.51999998</v>
      </c>
      <c r="Y4" s="190">
        <v>3148863796.1500001</v>
      </c>
      <c r="Z4" s="190">
        <v>2120726664.9400001</v>
      </c>
      <c r="AA4" s="190">
        <v>1218831206.3199999</v>
      </c>
      <c r="AB4" s="190">
        <v>730659610.20000005</v>
      </c>
      <c r="AC4" s="190">
        <v>2777690159.8099999</v>
      </c>
      <c r="AD4" s="190">
        <v>1916727969.5599999</v>
      </c>
      <c r="AE4" s="190">
        <v>1217349548.29</v>
      </c>
      <c r="AF4" s="190">
        <v>741075333.60000002</v>
      </c>
      <c r="AG4" s="190">
        <v>2088659586.1199999</v>
      </c>
      <c r="AH4" s="190">
        <v>1343955053.95</v>
      </c>
      <c r="AI4" s="190">
        <v>780113829.26999998</v>
      </c>
      <c r="AJ4" s="190">
        <v>453646157.58999997</v>
      </c>
      <c r="AK4" s="190">
        <v>1317538187.6700001</v>
      </c>
      <c r="AL4" s="190">
        <v>829205973.38999999</v>
      </c>
      <c r="AM4" s="190">
        <v>470456644.57999998</v>
      </c>
      <c r="AN4" s="190">
        <v>298846126.06</v>
      </c>
      <c r="AO4" s="190">
        <v>1049900173.75</v>
      </c>
      <c r="AP4" s="190">
        <v>729885010.66999996</v>
      </c>
      <c r="AQ4" s="190">
        <v>744580968.05999994</v>
      </c>
      <c r="AR4" s="190">
        <v>745665504.97000003</v>
      </c>
      <c r="AS4" s="190">
        <v>0</v>
      </c>
    </row>
    <row r="5" spans="1:45" x14ac:dyDescent="0.25">
      <c r="A5" s="190" t="s">
        <v>221</v>
      </c>
      <c r="B5" s="190">
        <v>0</v>
      </c>
      <c r="C5" s="190">
        <v>0</v>
      </c>
      <c r="D5" s="190">
        <v>0</v>
      </c>
      <c r="E5" s="190">
        <v>0</v>
      </c>
      <c r="F5" s="190">
        <v>0</v>
      </c>
      <c r="G5" s="190">
        <v>0</v>
      </c>
      <c r="H5" s="190">
        <v>0</v>
      </c>
      <c r="I5" s="190">
        <v>0</v>
      </c>
      <c r="J5" s="190">
        <v>0</v>
      </c>
      <c r="K5" s="190">
        <v>0</v>
      </c>
      <c r="L5" s="190">
        <v>0</v>
      </c>
      <c r="M5" s="190">
        <v>69659.199999999997</v>
      </c>
      <c r="N5" s="190">
        <v>552743.74</v>
      </c>
      <c r="O5" s="190">
        <v>0</v>
      </c>
      <c r="P5" s="190">
        <v>0</v>
      </c>
      <c r="Q5" s="190">
        <v>327316.94</v>
      </c>
      <c r="R5" s="190">
        <v>361451.08</v>
      </c>
      <c r="S5" s="190">
        <v>361451.08</v>
      </c>
      <c r="T5" s="190">
        <v>327316.94</v>
      </c>
      <c r="U5" s="190">
        <v>314947.51</v>
      </c>
      <c r="V5" s="190">
        <v>162509.93</v>
      </c>
      <c r="W5" s="190">
        <v>162509.93</v>
      </c>
      <c r="X5" s="190">
        <v>162509.93</v>
      </c>
      <c r="Y5" s="190">
        <v>374865.05</v>
      </c>
      <c r="Z5" s="190">
        <v>374865.05</v>
      </c>
      <c r="AA5" s="190">
        <v>374865.05</v>
      </c>
      <c r="AB5" s="190">
        <v>374865.05</v>
      </c>
      <c r="AC5" s="190">
        <v>1058107.5</v>
      </c>
      <c r="AD5" s="190">
        <v>31497099.68</v>
      </c>
      <c r="AE5" s="190">
        <v>0</v>
      </c>
      <c r="AF5" s="190">
        <v>0</v>
      </c>
      <c r="AG5" s="190">
        <v>528418.12</v>
      </c>
      <c r="AH5" s="190">
        <v>474551.69</v>
      </c>
      <c r="AI5" s="190">
        <v>111675.35</v>
      </c>
      <c r="AJ5" s="190">
        <v>0</v>
      </c>
      <c r="AK5" s="190">
        <v>158035.93</v>
      </c>
      <c r="AL5" s="190">
        <v>0</v>
      </c>
      <c r="AM5" s="190">
        <v>0</v>
      </c>
      <c r="AN5" s="190">
        <v>0</v>
      </c>
      <c r="AO5" s="190">
        <v>0</v>
      </c>
      <c r="AP5" s="190">
        <v>0</v>
      </c>
      <c r="AQ5" s="190">
        <v>0</v>
      </c>
      <c r="AR5" s="190">
        <v>1404669.8</v>
      </c>
      <c r="AS5" s="190">
        <v>0</v>
      </c>
    </row>
    <row r="6" spans="1:45" x14ac:dyDescent="0.25">
      <c r="A6" s="190" t="s">
        <v>222</v>
      </c>
      <c r="B6" s="190">
        <v>69814907.879999995</v>
      </c>
      <c r="C6" s="190">
        <v>109976760.09</v>
      </c>
      <c r="D6" s="190">
        <v>54951311.060000002</v>
      </c>
      <c r="E6" s="190">
        <v>28741647.739999998</v>
      </c>
      <c r="F6" s="190">
        <v>46750094.93</v>
      </c>
      <c r="G6" s="190">
        <v>36030293.270000003</v>
      </c>
      <c r="H6" s="190">
        <v>47742965.689999998</v>
      </c>
      <c r="I6" s="190">
        <v>38381205.759999998</v>
      </c>
      <c r="J6" s="190">
        <v>16024781.41</v>
      </c>
      <c r="K6" s="190">
        <v>10241717.880000001</v>
      </c>
      <c r="L6" s="190">
        <v>6143199.6699999999</v>
      </c>
      <c r="M6" s="190">
        <v>50441392.670000002</v>
      </c>
      <c r="N6" s="190">
        <v>14963146.310000001</v>
      </c>
      <c r="O6" s="190">
        <v>37310762.130000003</v>
      </c>
      <c r="P6" s="190">
        <v>22602369.59</v>
      </c>
      <c r="Q6" s="190">
        <v>32205247.260000002</v>
      </c>
      <c r="R6" s="190">
        <v>22007493.41</v>
      </c>
      <c r="S6" s="190">
        <v>9385239.4000000004</v>
      </c>
      <c r="T6" s="190">
        <v>14890095.699999999</v>
      </c>
      <c r="U6" s="190">
        <v>35703596.939999998</v>
      </c>
      <c r="V6" s="190">
        <v>31252771.780000001</v>
      </c>
      <c r="W6" s="190">
        <v>16356230.49</v>
      </c>
      <c r="X6" s="190">
        <v>11360939.18</v>
      </c>
      <c r="Y6" s="190">
        <v>48013280.420000002</v>
      </c>
      <c r="Z6" s="190">
        <v>37812532.880000003</v>
      </c>
      <c r="AA6" s="190">
        <v>22782121.239999998</v>
      </c>
      <c r="AB6" s="190">
        <v>4680057.4000000004</v>
      </c>
      <c r="AC6" s="190">
        <v>34788528.520000003</v>
      </c>
      <c r="AD6" s="190">
        <v>29902663.66</v>
      </c>
      <c r="AE6" s="190">
        <v>28463377.449999999</v>
      </c>
      <c r="AF6" s="190">
        <v>12685806.57</v>
      </c>
      <c r="AG6" s="190">
        <v>17467261.75</v>
      </c>
      <c r="AH6" s="190">
        <v>13583814.65</v>
      </c>
      <c r="AI6" s="190">
        <v>14046010.779999999</v>
      </c>
      <c r="AJ6" s="190">
        <v>3207747.93</v>
      </c>
      <c r="AK6" s="190">
        <v>13751700.17</v>
      </c>
      <c r="AL6" s="190">
        <v>7764790.2000000002</v>
      </c>
      <c r="AM6" s="190">
        <v>6478633.7800000003</v>
      </c>
      <c r="AN6" s="190">
        <v>6119550.1799999997</v>
      </c>
      <c r="AO6" s="190">
        <v>3938723.52</v>
      </c>
      <c r="AP6" s="190">
        <v>2915850.8</v>
      </c>
      <c r="AQ6" s="190">
        <v>5303693.99</v>
      </c>
      <c r="AR6" s="190">
        <v>6860563.0199999996</v>
      </c>
      <c r="AS6" s="190">
        <v>0</v>
      </c>
    </row>
    <row r="7" spans="1:45" x14ac:dyDescent="0.25">
      <c r="A7" s="190" t="s">
        <v>223</v>
      </c>
      <c r="B7" s="190">
        <v>4231103872.7199998</v>
      </c>
      <c r="C7" s="190">
        <v>2832020301.6300001</v>
      </c>
      <c r="D7" s="190">
        <v>1391282724.3099999</v>
      </c>
      <c r="E7" s="190">
        <v>5731838714.6499996</v>
      </c>
      <c r="F7" s="190">
        <v>3564394594.9299998</v>
      </c>
      <c r="G7" s="190">
        <v>2228529214.3800001</v>
      </c>
      <c r="H7" s="190">
        <v>1267889159.8</v>
      </c>
      <c r="I7" s="190">
        <v>3724841448.3499999</v>
      </c>
      <c r="J7" s="190">
        <v>2580871234.6500001</v>
      </c>
      <c r="K7" s="190">
        <v>1601116387</v>
      </c>
      <c r="L7" s="190">
        <v>876045787</v>
      </c>
      <c r="M7" s="190">
        <v>3337446682.8200002</v>
      </c>
      <c r="N7" s="190">
        <v>2308548573.2399998</v>
      </c>
      <c r="O7" s="190">
        <v>1422562312.5699999</v>
      </c>
      <c r="P7" s="190">
        <v>837234472.85000002</v>
      </c>
      <c r="Q7" s="190">
        <v>3346567596.8200002</v>
      </c>
      <c r="R7" s="190">
        <v>2265577499.3000002</v>
      </c>
      <c r="S7" s="190">
        <v>1333596432.0599999</v>
      </c>
      <c r="T7" s="190">
        <v>820439099.71000004</v>
      </c>
      <c r="U7" s="190">
        <v>3031813849.02</v>
      </c>
      <c r="V7" s="190">
        <v>2150485210.8000002</v>
      </c>
      <c r="W7" s="190">
        <v>1332096420.4100001</v>
      </c>
      <c r="X7" s="190">
        <v>714491530.63</v>
      </c>
      <c r="Y7" s="190">
        <v>3197251941.6199999</v>
      </c>
      <c r="Z7" s="190">
        <v>2158914062.8699999</v>
      </c>
      <c r="AA7" s="190">
        <v>1241988192.6099999</v>
      </c>
      <c r="AB7" s="190">
        <v>735714532.64999998</v>
      </c>
      <c r="AC7" s="190">
        <v>2813536795.8299999</v>
      </c>
      <c r="AD7" s="190">
        <v>1978127732.9000001</v>
      </c>
      <c r="AE7" s="190">
        <v>1245812925.74</v>
      </c>
      <c r="AF7" s="190">
        <v>753761140.16999996</v>
      </c>
      <c r="AG7" s="190">
        <v>2106655265.99</v>
      </c>
      <c r="AH7" s="190">
        <v>1358013420.29</v>
      </c>
      <c r="AI7" s="190">
        <v>794271515.39999998</v>
      </c>
      <c r="AJ7" s="190">
        <v>456853905.51999998</v>
      </c>
      <c r="AK7" s="190">
        <v>1331447923.77</v>
      </c>
      <c r="AL7" s="190">
        <v>836970763.59000003</v>
      </c>
      <c r="AM7" s="190">
        <v>476935278.36000001</v>
      </c>
      <c r="AN7" s="190">
        <v>304965676.24000001</v>
      </c>
      <c r="AO7" s="190">
        <v>1053838897.27</v>
      </c>
      <c r="AP7" s="190">
        <v>732800861.47000003</v>
      </c>
      <c r="AQ7" s="190">
        <v>749884662.04999995</v>
      </c>
      <c r="AR7" s="190">
        <v>753930737.78999996</v>
      </c>
      <c r="AS7" s="190">
        <v>0</v>
      </c>
    </row>
    <row r="8" spans="1:45" x14ac:dyDescent="0.25">
      <c r="A8" s="190" t="s">
        <v>224</v>
      </c>
      <c r="B8" s="190">
        <v>2939502141.7199998</v>
      </c>
      <c r="C8" s="190">
        <v>1860950122.1900001</v>
      </c>
      <c r="D8" s="190">
        <v>837107821.84000003</v>
      </c>
      <c r="E8" s="190">
        <v>3609821600.6999998</v>
      </c>
      <c r="F8" s="190">
        <v>2323071420.4400001</v>
      </c>
      <c r="G8" s="190">
        <v>1492025561.8399999</v>
      </c>
      <c r="H8" s="190">
        <v>688643736.25999999</v>
      </c>
      <c r="I8" s="190">
        <v>1803863738.21</v>
      </c>
      <c r="J8" s="190">
        <v>1264408788.6700001</v>
      </c>
      <c r="K8" s="190">
        <v>801825879.37</v>
      </c>
      <c r="L8" s="190">
        <v>379886905.56999999</v>
      </c>
      <c r="M8" s="190">
        <v>1741353288.3399999</v>
      </c>
      <c r="N8" s="190">
        <v>1103671201.21</v>
      </c>
      <c r="O8" s="190">
        <v>688480396.50999999</v>
      </c>
      <c r="P8" s="190">
        <v>392445189.70999998</v>
      </c>
      <c r="Q8" s="190">
        <v>1720148709.0899999</v>
      </c>
      <c r="R8" s="190">
        <v>1158120394.3699999</v>
      </c>
      <c r="S8" s="190">
        <v>747790322.51999998</v>
      </c>
      <c r="T8" s="190">
        <v>427284503.94</v>
      </c>
      <c r="U8" s="190">
        <v>1614570293.9300001</v>
      </c>
      <c r="V8" s="190">
        <v>1282604995.45</v>
      </c>
      <c r="W8" s="190">
        <v>888757097.39999998</v>
      </c>
      <c r="X8" s="190">
        <v>443559084.66000003</v>
      </c>
      <c r="Y8" s="190">
        <v>1951625661.6300001</v>
      </c>
      <c r="Z8" s="190">
        <v>1482693822.45</v>
      </c>
      <c r="AA8" s="190">
        <v>972415037.48000002</v>
      </c>
      <c r="AB8" s="190">
        <v>499030388.23000002</v>
      </c>
      <c r="AC8" s="190">
        <v>1661510580.8</v>
      </c>
      <c r="AD8" s="190">
        <v>1230350167.1400001</v>
      </c>
      <c r="AE8" s="190">
        <v>817875308.41999996</v>
      </c>
      <c r="AF8" s="190">
        <v>459565632.83999997</v>
      </c>
      <c r="AG8" s="190">
        <v>1375766897.97</v>
      </c>
      <c r="AH8" s="190">
        <v>1015684690.5</v>
      </c>
      <c r="AI8" s="190">
        <v>597309569.08000004</v>
      </c>
      <c r="AJ8" s="190">
        <v>292742398.63</v>
      </c>
      <c r="AK8" s="190">
        <v>825941878.73000002</v>
      </c>
      <c r="AL8" s="190">
        <v>497940815.36000001</v>
      </c>
      <c r="AM8" s="190">
        <v>292176160.31999999</v>
      </c>
      <c r="AN8" s="190">
        <v>170804972.46000001</v>
      </c>
      <c r="AO8" s="190">
        <v>652826308.24000001</v>
      </c>
      <c r="AP8" s="190">
        <v>484156990.38999999</v>
      </c>
      <c r="AQ8" s="190">
        <v>515703590.80000001</v>
      </c>
      <c r="AR8" s="190">
        <v>611151271.71000004</v>
      </c>
      <c r="AS8" s="190">
        <v>0</v>
      </c>
    </row>
    <row r="9" spans="1:45" x14ac:dyDescent="0.25">
      <c r="A9" s="190" t="s">
        <v>225</v>
      </c>
      <c r="B9" s="190">
        <v>497826350.92000002</v>
      </c>
      <c r="C9" s="190">
        <v>350948856.49000001</v>
      </c>
      <c r="D9" s="190">
        <v>157384365.58000001</v>
      </c>
      <c r="E9" s="190">
        <v>682014023.92999995</v>
      </c>
      <c r="F9" s="190">
        <v>528866846.76999998</v>
      </c>
      <c r="G9" s="190">
        <v>308145724.32999998</v>
      </c>
      <c r="H9" s="190">
        <v>192581262.03</v>
      </c>
      <c r="I9" s="190">
        <v>562633225.27999997</v>
      </c>
      <c r="J9" s="190">
        <v>409832250.43000001</v>
      </c>
      <c r="K9" s="190">
        <v>279583692.58999997</v>
      </c>
      <c r="L9" s="190">
        <v>122890858.8</v>
      </c>
      <c r="M9" s="190">
        <v>522729966.67000002</v>
      </c>
      <c r="N9" s="190">
        <v>363246433.61000001</v>
      </c>
      <c r="O9" s="190">
        <v>248495080.11000001</v>
      </c>
      <c r="P9" s="190">
        <v>127429186.08</v>
      </c>
      <c r="Q9" s="190">
        <v>436243663.13999999</v>
      </c>
      <c r="R9" s="190">
        <v>307775670.87</v>
      </c>
      <c r="S9" s="190">
        <v>205648688.61000001</v>
      </c>
      <c r="T9" s="190">
        <v>109160160.56</v>
      </c>
      <c r="U9" s="190">
        <v>427048661.64999998</v>
      </c>
      <c r="V9" s="190">
        <v>295690120.94999999</v>
      </c>
      <c r="W9" s="190">
        <v>204246507.28999999</v>
      </c>
      <c r="X9" s="190">
        <v>109028812.94</v>
      </c>
      <c r="Y9" s="190">
        <v>399667655.35000002</v>
      </c>
      <c r="Z9" s="190">
        <v>277085536.07999998</v>
      </c>
      <c r="AA9" s="190">
        <v>180220595.50999999</v>
      </c>
      <c r="AB9" s="190">
        <v>80729054.810000002</v>
      </c>
      <c r="AC9" s="190">
        <v>283502960.60000002</v>
      </c>
      <c r="AD9" s="190">
        <v>175212650.94999999</v>
      </c>
      <c r="AE9" s="190">
        <v>113024221.92</v>
      </c>
      <c r="AF9" s="190">
        <v>54108054.009999998</v>
      </c>
      <c r="AG9" s="190">
        <v>186294058.69999999</v>
      </c>
      <c r="AH9" s="190">
        <v>125007384.48</v>
      </c>
      <c r="AI9" s="190">
        <v>80022531</v>
      </c>
      <c r="AJ9" s="190">
        <v>38345491.600000001</v>
      </c>
      <c r="AK9" s="190">
        <v>125658221.75</v>
      </c>
      <c r="AL9" s="190">
        <v>82522858.150000006</v>
      </c>
      <c r="AM9" s="190">
        <v>54585919.770000003</v>
      </c>
      <c r="AN9" s="190">
        <v>27680341.079999998</v>
      </c>
      <c r="AO9" s="190">
        <v>83679669.129999995</v>
      </c>
      <c r="AP9" s="190">
        <v>60320684.439999998</v>
      </c>
      <c r="AQ9" s="190">
        <v>50772602.25</v>
      </c>
      <c r="AR9" s="190">
        <v>31357816.780000001</v>
      </c>
      <c r="AS9" s="190">
        <v>0</v>
      </c>
    </row>
    <row r="10" spans="1:45" x14ac:dyDescent="0.25">
      <c r="A10" s="190" t="s">
        <v>226</v>
      </c>
      <c r="B10" s="190">
        <v>352950974.77999997</v>
      </c>
      <c r="C10" s="190">
        <v>276696545.72000003</v>
      </c>
      <c r="D10" s="190">
        <v>191246024.34999999</v>
      </c>
      <c r="E10" s="190">
        <v>290836363.91000003</v>
      </c>
      <c r="F10" s="190">
        <v>278845607.36000001</v>
      </c>
      <c r="G10" s="190">
        <v>209963592.43000001</v>
      </c>
      <c r="H10" s="190">
        <v>99563765.159999996</v>
      </c>
      <c r="I10" s="190">
        <v>327932552.08999997</v>
      </c>
      <c r="J10" s="190">
        <v>289162739.44</v>
      </c>
      <c r="K10" s="190">
        <v>196014438.43000001</v>
      </c>
      <c r="L10" s="190">
        <v>88108039.060000002</v>
      </c>
      <c r="M10" s="190">
        <v>339971704.19</v>
      </c>
      <c r="N10" s="190">
        <v>228510490.00999999</v>
      </c>
      <c r="O10" s="190">
        <v>169389962.11000001</v>
      </c>
      <c r="P10" s="190">
        <v>56994774.659999996</v>
      </c>
      <c r="Q10" s="190">
        <v>348516790.95999998</v>
      </c>
      <c r="R10" s="190">
        <v>236936018.78999999</v>
      </c>
      <c r="S10" s="190">
        <v>151360294.90000001</v>
      </c>
      <c r="T10" s="190">
        <v>44117635.119999997</v>
      </c>
      <c r="U10" s="190">
        <v>284769788.56</v>
      </c>
      <c r="V10" s="190">
        <v>163508464.56999999</v>
      </c>
      <c r="W10" s="190">
        <v>154261321.08000001</v>
      </c>
      <c r="X10" s="190">
        <v>50970863.960000001</v>
      </c>
      <c r="Y10" s="190">
        <v>279759801.14999998</v>
      </c>
      <c r="Z10" s="190">
        <v>136285325.09</v>
      </c>
      <c r="AA10" s="190">
        <v>86790565.700000003</v>
      </c>
      <c r="AB10" s="190">
        <v>30574953.969999999</v>
      </c>
      <c r="AC10" s="190">
        <v>266127976.22999999</v>
      </c>
      <c r="AD10" s="190">
        <v>200750356.81</v>
      </c>
      <c r="AE10" s="190">
        <v>163921376.25</v>
      </c>
      <c r="AF10" s="190">
        <v>68856535.280000001</v>
      </c>
      <c r="AG10" s="190">
        <v>191136028.69999999</v>
      </c>
      <c r="AH10" s="190">
        <v>113139459.09</v>
      </c>
      <c r="AI10" s="190">
        <v>86897699.810000002</v>
      </c>
      <c r="AJ10" s="190">
        <v>28685419.699999999</v>
      </c>
      <c r="AK10" s="190">
        <v>121194587.25</v>
      </c>
      <c r="AL10" s="190">
        <v>72950361.879999995</v>
      </c>
      <c r="AM10" s="190">
        <v>55356849.460000001</v>
      </c>
      <c r="AN10" s="190">
        <v>26356086.48</v>
      </c>
      <c r="AO10" s="190">
        <v>101950252.22</v>
      </c>
      <c r="AP10" s="190">
        <v>73012157.010000005</v>
      </c>
      <c r="AQ10" s="190">
        <v>56555097.539999999</v>
      </c>
      <c r="AR10" s="190">
        <v>29891563.379999999</v>
      </c>
      <c r="AS10" s="190">
        <v>0</v>
      </c>
    </row>
    <row r="11" spans="1:45" x14ac:dyDescent="0.25">
      <c r="A11" s="190" t="s">
        <v>227</v>
      </c>
      <c r="B11" s="190">
        <v>645690207.60000002</v>
      </c>
      <c r="C11" s="190">
        <v>377481174.27999997</v>
      </c>
      <c r="D11" s="190">
        <v>227424740.84</v>
      </c>
      <c r="E11" s="190">
        <v>750836819.39999998</v>
      </c>
      <c r="F11" s="190">
        <v>411552788.95999998</v>
      </c>
      <c r="G11" s="190">
        <v>326441874.16000003</v>
      </c>
      <c r="H11" s="190">
        <v>195903192.47999999</v>
      </c>
      <c r="I11" s="190">
        <v>525065827.88</v>
      </c>
      <c r="J11" s="190">
        <v>394856602.85000002</v>
      </c>
      <c r="K11" s="190">
        <v>271394385.69999999</v>
      </c>
      <c r="L11" s="190">
        <v>204743892.91999999</v>
      </c>
      <c r="M11" s="190">
        <v>393887746.22000003</v>
      </c>
      <c r="N11" s="190">
        <v>422474438.42000002</v>
      </c>
      <c r="O11" s="190">
        <v>245608549.75</v>
      </c>
      <c r="P11" s="190">
        <v>117690135.44</v>
      </c>
      <c r="Q11" s="190">
        <v>333641123.52999997</v>
      </c>
      <c r="R11" s="190">
        <v>241727495.61000001</v>
      </c>
      <c r="S11" s="190">
        <v>144555353.72</v>
      </c>
      <c r="T11" s="190">
        <v>73905541.730000004</v>
      </c>
      <c r="U11" s="190">
        <v>291755366</v>
      </c>
      <c r="V11" s="190">
        <v>232055688.18000001</v>
      </c>
      <c r="W11" s="190">
        <v>148507385.22999999</v>
      </c>
      <c r="X11" s="190">
        <v>73546397.310000002</v>
      </c>
      <c r="Y11" s="190">
        <v>319799928.12</v>
      </c>
      <c r="Z11" s="190">
        <v>242432179.91</v>
      </c>
      <c r="AA11" s="190">
        <v>160300326.22</v>
      </c>
      <c r="AB11" s="190">
        <v>82963405.670000002</v>
      </c>
      <c r="AC11" s="190">
        <v>296099368.13</v>
      </c>
      <c r="AD11" s="190">
        <v>161831527.66999999</v>
      </c>
      <c r="AE11" s="190">
        <v>98593115.519999996</v>
      </c>
      <c r="AF11" s="190">
        <v>46544245.399999999</v>
      </c>
      <c r="AG11" s="190">
        <v>221271208.59999999</v>
      </c>
      <c r="AH11" s="190">
        <v>103501913.72</v>
      </c>
      <c r="AI11" s="190">
        <v>64788133.130000003</v>
      </c>
      <c r="AJ11" s="190">
        <v>35547513.68</v>
      </c>
      <c r="AK11" s="190">
        <v>124447740.73999999</v>
      </c>
      <c r="AL11" s="190">
        <v>93604614.079999998</v>
      </c>
      <c r="AM11" s="190">
        <v>51656900.149999999</v>
      </c>
      <c r="AN11" s="190">
        <v>27595121.879999999</v>
      </c>
      <c r="AO11" s="190">
        <v>107063531.11</v>
      </c>
      <c r="AP11" s="190">
        <v>80582694.760000005</v>
      </c>
      <c r="AQ11" s="190">
        <v>82751132.700000003</v>
      </c>
      <c r="AR11" s="190">
        <v>64474681.060000002</v>
      </c>
      <c r="AS11" s="190">
        <v>0</v>
      </c>
    </row>
    <row r="12" spans="1:45" x14ac:dyDescent="0.25">
      <c r="A12" s="190" t="s">
        <v>228</v>
      </c>
      <c r="B12" s="190">
        <v>4435969675.0200005</v>
      </c>
      <c r="C12" s="190">
        <v>2866076698.6799998</v>
      </c>
      <c r="D12" s="190">
        <v>1413162952.6099999</v>
      </c>
      <c r="E12" s="190">
        <v>5333508807.9399996</v>
      </c>
      <c r="F12" s="190">
        <v>3542336663.5300002</v>
      </c>
      <c r="G12" s="190">
        <v>2336576752.7600002</v>
      </c>
      <c r="H12" s="190">
        <v>1176691955.9300001</v>
      </c>
      <c r="I12" s="190">
        <v>3219495343.46</v>
      </c>
      <c r="J12" s="190">
        <v>2358260381.3899999</v>
      </c>
      <c r="K12" s="190">
        <v>1548818396.0899999</v>
      </c>
      <c r="L12" s="190">
        <v>795629696.35000002</v>
      </c>
      <c r="M12" s="190">
        <v>2997942705.4200001</v>
      </c>
      <c r="N12" s="190">
        <v>2117902563.25</v>
      </c>
      <c r="O12" s="190">
        <v>1351973988.48</v>
      </c>
      <c r="P12" s="190">
        <v>694559285.88999999</v>
      </c>
      <c r="Q12" s="190">
        <v>2838550286.7199998</v>
      </c>
      <c r="R12" s="190">
        <v>1944559579.6400001</v>
      </c>
      <c r="S12" s="190">
        <v>1249354659.75</v>
      </c>
      <c r="T12" s="190">
        <v>654467841.35000002</v>
      </c>
      <c r="U12" s="190">
        <v>2618144110.1399999</v>
      </c>
      <c r="V12" s="190">
        <v>1973859269.1500001</v>
      </c>
      <c r="W12" s="190">
        <v>1395772311</v>
      </c>
      <c r="X12" s="190">
        <v>677105158.87</v>
      </c>
      <c r="Y12" s="190">
        <v>2950853046.25</v>
      </c>
      <c r="Z12" s="190">
        <v>2138496863.53</v>
      </c>
      <c r="AA12" s="190">
        <v>1399726524.9100001</v>
      </c>
      <c r="AB12" s="190">
        <v>693297802.67999995</v>
      </c>
      <c r="AC12" s="190">
        <v>2507240885.75</v>
      </c>
      <c r="AD12" s="190">
        <v>1768144702.5699999</v>
      </c>
      <c r="AE12" s="190">
        <v>1193414022.1099999</v>
      </c>
      <c r="AF12" s="190">
        <v>629074467.52999997</v>
      </c>
      <c r="AG12" s="190">
        <v>1974468193.97</v>
      </c>
      <c r="AH12" s="190">
        <v>1357333447.79</v>
      </c>
      <c r="AI12" s="190">
        <v>829017933.01999998</v>
      </c>
      <c r="AJ12" s="190">
        <v>395320823.61000001</v>
      </c>
      <c r="AK12" s="190">
        <v>1197242428.47</v>
      </c>
      <c r="AL12" s="190">
        <v>747018649.48000002</v>
      </c>
      <c r="AM12" s="190">
        <v>453775829.69999999</v>
      </c>
      <c r="AN12" s="190">
        <v>252436521.90000001</v>
      </c>
      <c r="AO12" s="190">
        <v>945519760.70000005</v>
      </c>
      <c r="AP12" s="190">
        <v>698072526.60000002</v>
      </c>
      <c r="AQ12" s="190">
        <v>705782423.28999996</v>
      </c>
      <c r="AR12" s="190">
        <v>736875332.92999995</v>
      </c>
      <c r="AS12" s="190">
        <v>0</v>
      </c>
    </row>
    <row r="13" spans="1:45" x14ac:dyDescent="0.25">
      <c r="A13" s="190" t="s">
        <v>229</v>
      </c>
      <c r="B13" s="190">
        <v>-204865802.30000001</v>
      </c>
      <c r="C13" s="190">
        <v>-34056397.049999997</v>
      </c>
      <c r="D13" s="190">
        <v>-21880228.300000001</v>
      </c>
      <c r="E13" s="190">
        <v>398329906.70999998</v>
      </c>
      <c r="F13" s="190">
        <v>22057931.399999999</v>
      </c>
      <c r="G13" s="190">
        <v>-108047538.38</v>
      </c>
      <c r="H13" s="190">
        <v>91197203.870000005</v>
      </c>
      <c r="I13" s="190">
        <v>505346104.88999999</v>
      </c>
      <c r="J13" s="190">
        <v>222610853.25999999</v>
      </c>
      <c r="K13" s="190">
        <v>52297990.909999996</v>
      </c>
      <c r="L13" s="190">
        <v>80416090.650000006</v>
      </c>
      <c r="M13" s="190">
        <v>339503977.39999998</v>
      </c>
      <c r="N13" s="190">
        <v>190646009.99000001</v>
      </c>
      <c r="O13" s="190">
        <v>70588324.090000004</v>
      </c>
      <c r="P13" s="190">
        <v>142675186.96000001</v>
      </c>
      <c r="Q13" s="190">
        <v>508017310.10000002</v>
      </c>
      <c r="R13" s="190">
        <v>321017919.66000003</v>
      </c>
      <c r="S13" s="190">
        <v>84241772.310000002</v>
      </c>
      <c r="T13" s="190">
        <v>165971258.36000001</v>
      </c>
      <c r="U13" s="190">
        <v>413669738.88</v>
      </c>
      <c r="V13" s="190">
        <v>176625941.65000001</v>
      </c>
      <c r="W13" s="190">
        <v>-63675890.590000004</v>
      </c>
      <c r="X13" s="190">
        <v>37386371.759999998</v>
      </c>
      <c r="Y13" s="190">
        <v>246398895.37</v>
      </c>
      <c r="Z13" s="190">
        <v>20417199.34</v>
      </c>
      <c r="AA13" s="190">
        <v>-157738332.30000001</v>
      </c>
      <c r="AB13" s="190">
        <v>42416729.969999999</v>
      </c>
      <c r="AC13" s="190">
        <v>306295910.07999998</v>
      </c>
      <c r="AD13" s="190">
        <v>209983030.33000001</v>
      </c>
      <c r="AE13" s="190">
        <v>52398903.630000003</v>
      </c>
      <c r="AF13" s="190">
        <v>124686672.64</v>
      </c>
      <c r="AG13" s="190">
        <v>132187072.02</v>
      </c>
      <c r="AH13" s="190">
        <v>679972.5</v>
      </c>
      <c r="AI13" s="190">
        <v>-34746417.619999997</v>
      </c>
      <c r="AJ13" s="190">
        <v>61533081.909999996</v>
      </c>
      <c r="AK13" s="190">
        <v>134205495.3</v>
      </c>
      <c r="AL13" s="190">
        <v>89952114.109999999</v>
      </c>
      <c r="AM13" s="190">
        <v>23159448.66</v>
      </c>
      <c r="AN13" s="190">
        <v>52529154.340000004</v>
      </c>
      <c r="AO13" s="190">
        <v>108319136.56999999</v>
      </c>
      <c r="AP13" s="190">
        <v>34728334.869999997</v>
      </c>
      <c r="AQ13" s="190">
        <v>44102238.759999998</v>
      </c>
      <c r="AR13" s="190">
        <v>17055404.859999999</v>
      </c>
      <c r="AS13" s="190">
        <v>0</v>
      </c>
    </row>
    <row r="14" spans="1:45" x14ac:dyDescent="0.25">
      <c r="A14" s="190" t="s">
        <v>230</v>
      </c>
    </row>
    <row r="15" spans="1:45" x14ac:dyDescent="0.25">
      <c r="A15" s="190" t="s">
        <v>231</v>
      </c>
      <c r="B15" s="190">
        <v>1804541096.9200001</v>
      </c>
      <c r="C15" s="190">
        <v>1111375176.46</v>
      </c>
      <c r="D15" s="190">
        <v>519453736.31</v>
      </c>
      <c r="E15" s="190">
        <v>160000000</v>
      </c>
      <c r="F15" s="190">
        <v>1215475000</v>
      </c>
      <c r="G15" s="190">
        <v>874575000</v>
      </c>
      <c r="H15" s="190">
        <v>141400000</v>
      </c>
      <c r="I15" s="190">
        <v>1839535840</v>
      </c>
      <c r="J15" s="190">
        <v>1074457920</v>
      </c>
      <c r="K15" s="190">
        <v>974667920</v>
      </c>
      <c r="L15" s="190">
        <v>337267920</v>
      </c>
      <c r="M15" s="190">
        <v>1007062463.98</v>
      </c>
      <c r="N15" s="190">
        <v>698850000</v>
      </c>
      <c r="O15" s="190">
        <v>410950000</v>
      </c>
      <c r="P15" s="190">
        <v>103000000</v>
      </c>
      <c r="Q15" s="190">
        <v>867540000</v>
      </c>
      <c r="R15" s="190">
        <v>644540000</v>
      </c>
      <c r="S15" s="190">
        <v>479000000</v>
      </c>
      <c r="T15" s="190">
        <v>40000000</v>
      </c>
      <c r="U15" s="190">
        <v>801610277.75</v>
      </c>
      <c r="V15" s="190">
        <v>400000000</v>
      </c>
      <c r="W15" s="190">
        <v>300000000</v>
      </c>
      <c r="X15" s="190">
        <v>150000000</v>
      </c>
      <c r="Y15" s="190">
        <v>300000000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5000000</v>
      </c>
      <c r="AP15" s="190">
        <v>196.18</v>
      </c>
      <c r="AQ15" s="190">
        <v>0</v>
      </c>
      <c r="AR15" s="190">
        <v>0</v>
      </c>
      <c r="AS15" s="190">
        <v>0</v>
      </c>
    </row>
    <row r="16" spans="1:45" x14ac:dyDescent="0.25">
      <c r="A16" s="190" t="s">
        <v>232</v>
      </c>
      <c r="B16" s="190">
        <v>38393642.700000003</v>
      </c>
      <c r="C16" s="190">
        <v>28971565.489999998</v>
      </c>
      <c r="D16" s="190">
        <v>10463811.960000001</v>
      </c>
      <c r="E16" s="190">
        <v>24089602.609999999</v>
      </c>
      <c r="F16" s="190">
        <v>39173632.07</v>
      </c>
      <c r="G16" s="190">
        <v>38921356.93</v>
      </c>
      <c r="H16" s="190">
        <v>775003.99</v>
      </c>
      <c r="I16" s="190">
        <v>29280546.920000002</v>
      </c>
      <c r="J16" s="190">
        <v>20610189.93</v>
      </c>
      <c r="K16" s="190">
        <v>14837689.359999999</v>
      </c>
      <c r="L16" s="190">
        <v>11716750.23</v>
      </c>
      <c r="M16" s="190">
        <v>58040123.560000002</v>
      </c>
      <c r="N16" s="190">
        <v>19591213.079999998</v>
      </c>
      <c r="O16" s="190">
        <v>6847066.7599999998</v>
      </c>
      <c r="P16" s="190">
        <v>905742.51</v>
      </c>
      <c r="Q16" s="190">
        <v>17154949.390000001</v>
      </c>
      <c r="R16" s="190">
        <v>12541798.699999999</v>
      </c>
      <c r="S16" s="190">
        <v>8222955.0800000001</v>
      </c>
      <c r="T16" s="190">
        <v>361640</v>
      </c>
      <c r="U16" s="190">
        <v>5457633.1399999997</v>
      </c>
      <c r="V16" s="190">
        <v>4203934.51</v>
      </c>
      <c r="W16" s="190">
        <v>2848888.85</v>
      </c>
      <c r="X16" s="190">
        <v>1078666.6599999999</v>
      </c>
      <c r="Y16" s="190">
        <v>929555.19</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13376.7</v>
      </c>
      <c r="AP16" s="190">
        <v>0</v>
      </c>
      <c r="AQ16" s="190">
        <v>0</v>
      </c>
      <c r="AR16" s="190">
        <v>0</v>
      </c>
      <c r="AS16" s="190">
        <v>0</v>
      </c>
    </row>
    <row r="17" spans="1:45" x14ac:dyDescent="0.25">
      <c r="A17" s="190" t="s">
        <v>233</v>
      </c>
      <c r="B17" s="190">
        <v>10241.66</v>
      </c>
      <c r="C17" s="190">
        <v>600</v>
      </c>
      <c r="D17" s="190">
        <v>0</v>
      </c>
      <c r="E17" s="190">
        <v>4970142.3499999996</v>
      </c>
      <c r="F17" s="190">
        <v>16430.900000000001</v>
      </c>
      <c r="G17" s="190">
        <v>16056.83</v>
      </c>
      <c r="H17" s="190">
        <v>-4906.3999999999996</v>
      </c>
      <c r="I17" s="190">
        <v>1855089.14</v>
      </c>
      <c r="J17" s="190">
        <v>156931.23000000001</v>
      </c>
      <c r="K17" s="190">
        <v>134596.9</v>
      </c>
      <c r="L17" s="190">
        <v>64015.67</v>
      </c>
      <c r="M17" s="190">
        <v>322189.39</v>
      </c>
      <c r="N17" s="190">
        <v>1341303.94</v>
      </c>
      <c r="O17" s="190">
        <v>1140990.74</v>
      </c>
      <c r="P17" s="190">
        <v>201441.39</v>
      </c>
      <c r="Q17" s="190">
        <v>767115.55</v>
      </c>
      <c r="R17" s="190">
        <v>292580</v>
      </c>
      <c r="S17" s="190">
        <v>470402.8</v>
      </c>
      <c r="T17" s="190">
        <v>0</v>
      </c>
      <c r="U17" s="190">
        <v>182405.1</v>
      </c>
      <c r="V17" s="190">
        <v>0</v>
      </c>
      <c r="W17" s="190">
        <v>0</v>
      </c>
      <c r="X17" s="190">
        <v>0</v>
      </c>
      <c r="Y17" s="190">
        <v>1292966.78</v>
      </c>
      <c r="Z17" s="190">
        <v>0</v>
      </c>
      <c r="AA17" s="190">
        <v>0</v>
      </c>
      <c r="AB17" s="190">
        <v>0</v>
      </c>
      <c r="AC17" s="190">
        <v>853849.7</v>
      </c>
      <c r="AD17" s="190">
        <v>482261.34</v>
      </c>
      <c r="AE17" s="190">
        <v>325258.98</v>
      </c>
      <c r="AF17" s="190">
        <v>0</v>
      </c>
      <c r="AG17" s="190">
        <v>399690.97</v>
      </c>
      <c r="AH17" s="190">
        <v>130179.67</v>
      </c>
      <c r="AI17" s="190">
        <v>5000</v>
      </c>
      <c r="AJ17" s="190">
        <v>5000</v>
      </c>
      <c r="AK17" s="190">
        <v>75561.5</v>
      </c>
      <c r="AL17" s="190">
        <v>69681.5</v>
      </c>
      <c r="AM17" s="190">
        <v>69681.5</v>
      </c>
      <c r="AN17" s="190">
        <v>69681.5</v>
      </c>
      <c r="AO17" s="190">
        <v>177708.28</v>
      </c>
      <c r="AP17" s="190">
        <v>146608.28</v>
      </c>
      <c r="AQ17" s="190">
        <v>67600</v>
      </c>
      <c r="AR17" s="190">
        <v>83000</v>
      </c>
      <c r="AS17" s="190">
        <v>0</v>
      </c>
    </row>
    <row r="18" spans="1:45" x14ac:dyDescent="0.25">
      <c r="A18" s="190" t="s">
        <v>234</v>
      </c>
      <c r="B18" s="190">
        <v>0</v>
      </c>
      <c r="C18" s="190">
        <v>0</v>
      </c>
      <c r="D18" s="190">
        <v>0</v>
      </c>
      <c r="E18" s="190">
        <v>24066027.059999999</v>
      </c>
      <c r="F18" s="190">
        <v>-109372.6</v>
      </c>
      <c r="G18" s="190">
        <v>-109372.6</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row>
    <row r="19" spans="1:45" x14ac:dyDescent="0.25">
      <c r="A19" s="190" t="s">
        <v>235</v>
      </c>
      <c r="B19" s="190">
        <v>10139651.189999999</v>
      </c>
      <c r="C19" s="190">
        <v>6334385.0199999996</v>
      </c>
      <c r="D19" s="190">
        <v>1059201.21</v>
      </c>
      <c r="E19" s="190">
        <v>10783199.210000001</v>
      </c>
      <c r="F19" s="190">
        <v>8314394.0099999998</v>
      </c>
      <c r="G19" s="190">
        <v>5128441.34</v>
      </c>
      <c r="H19" s="190">
        <v>3025013.07</v>
      </c>
      <c r="I19" s="190">
        <v>11108095.51</v>
      </c>
      <c r="J19" s="190">
        <v>9075814.5800000001</v>
      </c>
      <c r="K19" s="190">
        <v>5556768.0599999996</v>
      </c>
      <c r="L19" s="190">
        <v>2690893.2</v>
      </c>
      <c r="M19" s="190">
        <v>16376067.49</v>
      </c>
      <c r="N19" s="190">
        <v>11161964.449999999</v>
      </c>
      <c r="O19" s="190">
        <v>7815296.0499999998</v>
      </c>
      <c r="P19" s="190">
        <v>4473532.66</v>
      </c>
      <c r="Q19" s="190">
        <v>22965161.149999999</v>
      </c>
      <c r="R19" s="190">
        <v>18841361.899999999</v>
      </c>
      <c r="S19" s="190">
        <v>13568433.449999999</v>
      </c>
      <c r="T19" s="190">
        <v>8215733.4299999997</v>
      </c>
      <c r="U19" s="190">
        <v>21250799.57</v>
      </c>
      <c r="V19" s="190">
        <v>17242614.030000001</v>
      </c>
      <c r="W19" s="190">
        <v>12232482.35</v>
      </c>
      <c r="X19" s="190">
        <v>41366684.850000001</v>
      </c>
      <c r="Y19" s="190">
        <v>21648438.039999999</v>
      </c>
      <c r="Z19" s="190">
        <v>17031128.18</v>
      </c>
      <c r="AA19" s="190">
        <v>13183197.060000001</v>
      </c>
      <c r="AB19" s="190">
        <v>4640980.83</v>
      </c>
      <c r="AC19" s="190">
        <v>26564136.870000001</v>
      </c>
      <c r="AD19" s="190">
        <v>18192528.210000001</v>
      </c>
      <c r="AE19" s="190">
        <v>7726340.1699999999</v>
      </c>
      <c r="AF19" s="190">
        <v>5736684.4199999999</v>
      </c>
      <c r="AG19" s="190">
        <v>19776413.390000001</v>
      </c>
      <c r="AH19" s="190">
        <v>13370038.789999999</v>
      </c>
      <c r="AI19" s="190">
        <v>3767451.67</v>
      </c>
      <c r="AJ19" s="190">
        <v>2156345.4300000002</v>
      </c>
      <c r="AK19" s="190">
        <v>1569307.04</v>
      </c>
      <c r="AL19" s="190">
        <v>1007556.28</v>
      </c>
      <c r="AM19" s="190">
        <v>332757.83</v>
      </c>
      <c r="AN19" s="190">
        <v>124819.55</v>
      </c>
      <c r="AO19" s="190">
        <v>327307.21999999997</v>
      </c>
      <c r="AP19" s="190">
        <v>200528.54</v>
      </c>
      <c r="AQ19" s="190">
        <v>164177.66</v>
      </c>
      <c r="AR19" s="190">
        <v>110048.98</v>
      </c>
      <c r="AS19" s="190">
        <v>0</v>
      </c>
    </row>
    <row r="20" spans="1:45" x14ac:dyDescent="0.25">
      <c r="A20" s="190" t="s">
        <v>236</v>
      </c>
      <c r="B20" s="190">
        <v>1853084632.47</v>
      </c>
      <c r="C20" s="190">
        <v>1146681726.97</v>
      </c>
      <c r="D20" s="190">
        <v>530976749.48000002</v>
      </c>
      <c r="E20" s="190">
        <v>223908971.22999999</v>
      </c>
      <c r="F20" s="190">
        <v>1262870084.3800001</v>
      </c>
      <c r="G20" s="190">
        <v>918531482.5</v>
      </c>
      <c r="H20" s="190">
        <v>145195110.66</v>
      </c>
      <c r="I20" s="190">
        <v>1881779571.5699999</v>
      </c>
      <c r="J20" s="190">
        <v>1104300855.74</v>
      </c>
      <c r="K20" s="190">
        <v>995196974.32000005</v>
      </c>
      <c r="L20" s="190">
        <v>351739579.10000002</v>
      </c>
      <c r="M20" s="190">
        <v>1081800844.4200001</v>
      </c>
      <c r="N20" s="190">
        <v>730944481.47000003</v>
      </c>
      <c r="O20" s="190">
        <v>426753353.55000001</v>
      </c>
      <c r="P20" s="190">
        <v>108580716.56</v>
      </c>
      <c r="Q20" s="190">
        <v>908427226.09000003</v>
      </c>
      <c r="R20" s="190">
        <v>676215740.60000002</v>
      </c>
      <c r="S20" s="190">
        <v>501261791.32999998</v>
      </c>
      <c r="T20" s="190">
        <v>48577373.43</v>
      </c>
      <c r="U20" s="190">
        <v>828501115.55999994</v>
      </c>
      <c r="V20" s="190">
        <v>421446548.54000002</v>
      </c>
      <c r="W20" s="190">
        <v>315081371.19999999</v>
      </c>
      <c r="X20" s="190">
        <v>192445351.50999999</v>
      </c>
      <c r="Y20" s="190">
        <v>323870960.00999999</v>
      </c>
      <c r="Z20" s="190">
        <v>17031128.18</v>
      </c>
      <c r="AA20" s="190">
        <v>13183197.060000001</v>
      </c>
      <c r="AB20" s="190">
        <v>4640980.83</v>
      </c>
      <c r="AC20" s="190">
        <v>27417986.57</v>
      </c>
      <c r="AD20" s="190">
        <v>18674789.550000001</v>
      </c>
      <c r="AE20" s="190">
        <v>8051599.1500000004</v>
      </c>
      <c r="AF20" s="190">
        <v>5736684.4199999999</v>
      </c>
      <c r="AG20" s="190">
        <v>20176104.359999999</v>
      </c>
      <c r="AH20" s="190">
        <v>13500218.460000001</v>
      </c>
      <c r="AI20" s="190">
        <v>3772451.67</v>
      </c>
      <c r="AJ20" s="190">
        <v>2161345.4300000002</v>
      </c>
      <c r="AK20" s="190">
        <v>1644868.54</v>
      </c>
      <c r="AL20" s="190">
        <v>1077237.78</v>
      </c>
      <c r="AM20" s="190">
        <v>402439.33</v>
      </c>
      <c r="AN20" s="190">
        <v>194501.05</v>
      </c>
      <c r="AO20" s="190">
        <v>5518392.2000000002</v>
      </c>
      <c r="AP20" s="190">
        <v>347333</v>
      </c>
      <c r="AQ20" s="190">
        <v>231777.66</v>
      </c>
      <c r="AR20" s="190">
        <v>193048.98</v>
      </c>
      <c r="AS20" s="190">
        <v>0</v>
      </c>
    </row>
    <row r="21" spans="1:45" x14ac:dyDescent="0.25">
      <c r="A21" s="190" t="s">
        <v>237</v>
      </c>
      <c r="B21" s="190">
        <v>60220811.460000001</v>
      </c>
      <c r="C21" s="190">
        <v>24578275.809999999</v>
      </c>
      <c r="D21" s="190">
        <v>17777812.129999999</v>
      </c>
      <c r="E21" s="190">
        <v>28835553.52</v>
      </c>
      <c r="F21" s="190">
        <v>39181672.270000003</v>
      </c>
      <c r="G21" s="190">
        <v>21317356.91</v>
      </c>
      <c r="H21" s="190">
        <v>12171223.18</v>
      </c>
      <c r="I21" s="190">
        <v>63446137.460000001</v>
      </c>
      <c r="J21" s="190">
        <v>52056893.68</v>
      </c>
      <c r="K21" s="190">
        <v>43674678.600000001</v>
      </c>
      <c r="L21" s="190">
        <v>12840007.220000001</v>
      </c>
      <c r="M21" s="190">
        <v>61224048.009999998</v>
      </c>
      <c r="N21" s="190">
        <v>32123532.359999999</v>
      </c>
      <c r="O21" s="190">
        <v>26300609.809999999</v>
      </c>
      <c r="P21" s="190">
        <v>13845204</v>
      </c>
      <c r="Q21" s="190">
        <v>47393806.950000003</v>
      </c>
      <c r="R21" s="190">
        <v>37578946.32</v>
      </c>
      <c r="S21" s="190">
        <v>20172843.32</v>
      </c>
      <c r="T21" s="190">
        <v>12460552.4</v>
      </c>
      <c r="U21" s="190">
        <v>174980422.69999999</v>
      </c>
      <c r="V21" s="190">
        <v>102571002.12</v>
      </c>
      <c r="W21" s="190">
        <v>40184926.649999999</v>
      </c>
      <c r="X21" s="190">
        <v>9600247.1899999995</v>
      </c>
      <c r="Y21" s="190">
        <v>176241441.44999999</v>
      </c>
      <c r="Z21" s="190">
        <v>96368336.950000003</v>
      </c>
      <c r="AA21" s="190">
        <v>49657024.939999998</v>
      </c>
      <c r="AB21" s="190">
        <v>35348778.57</v>
      </c>
      <c r="AC21" s="190">
        <v>188578926.15000001</v>
      </c>
      <c r="AD21" s="190">
        <v>103961370.38</v>
      </c>
      <c r="AE21" s="190">
        <v>56004281.920000002</v>
      </c>
      <c r="AF21" s="190">
        <v>35697092.039999999</v>
      </c>
      <c r="AG21" s="190">
        <v>51934506.200000003</v>
      </c>
      <c r="AH21" s="190">
        <v>20892529.25</v>
      </c>
      <c r="AI21" s="190">
        <v>5646578.3600000003</v>
      </c>
      <c r="AJ21" s="190">
        <v>2260622.92</v>
      </c>
      <c r="AK21" s="190">
        <v>26471414.289999999</v>
      </c>
      <c r="AL21" s="190">
        <v>3967162.18</v>
      </c>
      <c r="AM21" s="190">
        <v>3541198.67</v>
      </c>
      <c r="AN21" s="190">
        <v>2807412.67</v>
      </c>
      <c r="AO21" s="190">
        <v>32359339.129999999</v>
      </c>
      <c r="AP21" s="190">
        <v>25461777.760000002</v>
      </c>
      <c r="AQ21" s="190">
        <v>19660820.329999998</v>
      </c>
      <c r="AR21" s="190">
        <v>12054338.48</v>
      </c>
      <c r="AS21" s="190">
        <v>0</v>
      </c>
    </row>
    <row r="22" spans="1:45" x14ac:dyDescent="0.25">
      <c r="A22" s="190" t="s">
        <v>238</v>
      </c>
      <c r="B22" s="190">
        <v>1510816263.6800001</v>
      </c>
      <c r="C22" s="190">
        <v>945810263.69000006</v>
      </c>
      <c r="D22" s="190">
        <v>464840000</v>
      </c>
      <c r="E22" s="190">
        <v>541873470.29999995</v>
      </c>
      <c r="F22" s="190">
        <v>1416100000</v>
      </c>
      <c r="G22" s="190">
        <v>716700000</v>
      </c>
      <c r="H22" s="190">
        <v>198515200</v>
      </c>
      <c r="I22" s="190">
        <v>2027111639.0599999</v>
      </c>
      <c r="J22" s="190">
        <v>1438430790</v>
      </c>
      <c r="K22" s="190">
        <v>1056401875</v>
      </c>
      <c r="L22" s="190">
        <v>314340253.99000001</v>
      </c>
      <c r="M22" s="190">
        <v>1177383586.3299999</v>
      </c>
      <c r="N22" s="190">
        <v>526241278.39999998</v>
      </c>
      <c r="O22" s="190">
        <v>222686000</v>
      </c>
      <c r="P22" s="190">
        <v>214631257.19</v>
      </c>
      <c r="Q22" s="190">
        <v>1423250000</v>
      </c>
      <c r="R22" s="190">
        <v>1164750000</v>
      </c>
      <c r="S22" s="190">
        <v>564000000</v>
      </c>
      <c r="T22" s="190">
        <v>249665000</v>
      </c>
      <c r="U22" s="190">
        <v>992150277.75</v>
      </c>
      <c r="V22" s="190">
        <v>450000000</v>
      </c>
      <c r="W22" s="190">
        <v>400000000</v>
      </c>
      <c r="X22" s="190">
        <v>300000000</v>
      </c>
      <c r="Y22" s="190">
        <v>300000000</v>
      </c>
      <c r="Z22" s="190">
        <v>0</v>
      </c>
      <c r="AA22" s="190">
        <v>0</v>
      </c>
      <c r="AB22" s="190">
        <v>0</v>
      </c>
      <c r="AC22" s="190">
        <v>0</v>
      </c>
      <c r="AD22" s="190">
        <v>0</v>
      </c>
      <c r="AE22" s="190">
        <v>0</v>
      </c>
      <c r="AF22" s="190">
        <v>0</v>
      </c>
      <c r="AG22" s="190">
        <v>8640000</v>
      </c>
      <c r="AH22" s="190">
        <v>0</v>
      </c>
      <c r="AI22" s="190">
        <v>0</v>
      </c>
      <c r="AJ22" s="190">
        <v>0</v>
      </c>
      <c r="AK22" s="190">
        <v>328334.73</v>
      </c>
      <c r="AL22" s="190">
        <v>328334.73</v>
      </c>
      <c r="AM22" s="190">
        <v>328334.73</v>
      </c>
      <c r="AN22" s="190">
        <v>328334.73</v>
      </c>
      <c r="AO22" s="190">
        <v>897156</v>
      </c>
      <c r="AP22" s="190">
        <v>897156</v>
      </c>
      <c r="AQ22" s="190">
        <v>5000000</v>
      </c>
      <c r="AR22" s="190">
        <v>0</v>
      </c>
      <c r="AS22" s="190">
        <v>0</v>
      </c>
    </row>
    <row r="23" spans="1:45" x14ac:dyDescent="0.25">
      <c r="A23" s="190" t="s">
        <v>239</v>
      </c>
      <c r="B23" s="190">
        <v>0</v>
      </c>
      <c r="C23" s="190">
        <v>0</v>
      </c>
      <c r="D23" s="190">
        <v>0</v>
      </c>
      <c r="E23" s="190">
        <v>473809034.79000002</v>
      </c>
      <c r="F23" s="190">
        <v>475594004.85000002</v>
      </c>
      <c r="G23" s="190">
        <v>475594004.85000002</v>
      </c>
      <c r="H23" s="190">
        <v>512121087.44999999</v>
      </c>
      <c r="I23" s="190">
        <v>0</v>
      </c>
      <c r="J23" s="190">
        <v>0</v>
      </c>
      <c r="K23" s="190">
        <v>0</v>
      </c>
      <c r="L23" s="190">
        <v>0</v>
      </c>
      <c r="M23" s="190">
        <v>66253681.619999997</v>
      </c>
      <c r="N23" s="190">
        <v>0</v>
      </c>
      <c r="O23" s="190">
        <v>0</v>
      </c>
      <c r="P23" s="190">
        <v>0</v>
      </c>
      <c r="Q23" s="190">
        <v>132325433.64</v>
      </c>
      <c r="R23" s="190">
        <v>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8317411.9100000001</v>
      </c>
      <c r="AL23" s="190">
        <v>0</v>
      </c>
      <c r="AM23" s="190">
        <v>0</v>
      </c>
      <c r="AN23" s="190">
        <v>0</v>
      </c>
      <c r="AO23" s="190">
        <v>0</v>
      </c>
      <c r="AP23" s="190">
        <v>0</v>
      </c>
      <c r="AQ23" s="190">
        <v>0</v>
      </c>
      <c r="AR23" s="190">
        <v>10409344.18</v>
      </c>
      <c r="AS23" s="190">
        <v>0</v>
      </c>
    </row>
    <row r="24" spans="1:45" x14ac:dyDescent="0.25">
      <c r="A24" s="190" t="s">
        <v>240</v>
      </c>
      <c r="B24" s="190">
        <v>0</v>
      </c>
      <c r="C24" s="190">
        <v>0</v>
      </c>
      <c r="D24" s="190">
        <v>0</v>
      </c>
      <c r="E24" s="190">
        <v>0</v>
      </c>
      <c r="F24" s="190">
        <v>0</v>
      </c>
      <c r="G24" s="190">
        <v>0</v>
      </c>
      <c r="H24" s="190">
        <v>4890020.12</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35000000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row>
    <row r="25" spans="1:45" x14ac:dyDescent="0.25">
      <c r="A25" s="190" t="s">
        <v>241</v>
      </c>
      <c r="B25" s="190">
        <v>1571037075.1400001</v>
      </c>
      <c r="C25" s="190">
        <v>970388539.5</v>
      </c>
      <c r="D25" s="190">
        <v>482617812.13</v>
      </c>
      <c r="E25" s="190">
        <v>1044518058.61</v>
      </c>
      <c r="F25" s="190">
        <v>1930875677.1199999</v>
      </c>
      <c r="G25" s="190">
        <v>1213611361.76</v>
      </c>
      <c r="H25" s="190">
        <v>727697530.75</v>
      </c>
      <c r="I25" s="190">
        <v>2090557776.52</v>
      </c>
      <c r="J25" s="190">
        <v>1490487683.6800001</v>
      </c>
      <c r="K25" s="190">
        <v>1100076553.5999999</v>
      </c>
      <c r="L25" s="190">
        <v>327180261.20999998</v>
      </c>
      <c r="M25" s="190">
        <v>1304861315.96</v>
      </c>
      <c r="N25" s="190">
        <v>558364810.75999999</v>
      </c>
      <c r="O25" s="190">
        <v>248986609.81</v>
      </c>
      <c r="P25" s="190">
        <v>228476461.19</v>
      </c>
      <c r="Q25" s="190">
        <v>1602969240.5899999</v>
      </c>
      <c r="R25" s="190">
        <v>1202328946.3199999</v>
      </c>
      <c r="S25" s="190">
        <v>584172843.32000005</v>
      </c>
      <c r="T25" s="190">
        <v>262125552.40000001</v>
      </c>
      <c r="U25" s="190">
        <v>1167130700.45</v>
      </c>
      <c r="V25" s="190">
        <v>552571002.12</v>
      </c>
      <c r="W25" s="190">
        <v>440184926.64999998</v>
      </c>
      <c r="X25" s="190">
        <v>344600247.19</v>
      </c>
      <c r="Y25" s="190">
        <v>476241441.44999999</v>
      </c>
      <c r="Z25" s="190">
        <v>96368336.950000003</v>
      </c>
      <c r="AA25" s="190">
        <v>49657024.939999998</v>
      </c>
      <c r="AB25" s="190">
        <v>35348778.57</v>
      </c>
      <c r="AC25" s="190">
        <v>188578926.15000001</v>
      </c>
      <c r="AD25" s="190">
        <v>103961370.38</v>
      </c>
      <c r="AE25" s="190">
        <v>56004281.920000002</v>
      </c>
      <c r="AF25" s="190">
        <v>35697092.039999999</v>
      </c>
      <c r="AG25" s="190">
        <v>60574506.200000003</v>
      </c>
      <c r="AH25" s="190">
        <v>20892529.25</v>
      </c>
      <c r="AI25" s="190">
        <v>5646578.3600000003</v>
      </c>
      <c r="AJ25" s="190">
        <v>2260622.92</v>
      </c>
      <c r="AK25" s="190">
        <v>35117160.93</v>
      </c>
      <c r="AL25" s="190">
        <v>4295496.91</v>
      </c>
      <c r="AM25" s="190">
        <v>3869533.4</v>
      </c>
      <c r="AN25" s="190">
        <v>3135747.4</v>
      </c>
      <c r="AO25" s="190">
        <v>33256495.129999999</v>
      </c>
      <c r="AP25" s="190">
        <v>26358933.760000002</v>
      </c>
      <c r="AQ25" s="190">
        <v>24660820.329999998</v>
      </c>
      <c r="AR25" s="190">
        <v>22463682.66</v>
      </c>
      <c r="AS25" s="190">
        <v>0</v>
      </c>
    </row>
    <row r="26" spans="1:45" x14ac:dyDescent="0.25">
      <c r="A26" s="190" t="s">
        <v>242</v>
      </c>
      <c r="B26" s="190">
        <v>282047557.32999998</v>
      </c>
      <c r="C26" s="190">
        <v>176293187.47</v>
      </c>
      <c r="D26" s="190">
        <v>48358937.350000001</v>
      </c>
      <c r="E26" s="190">
        <v>-820609087.38</v>
      </c>
      <c r="F26" s="190">
        <v>-668005592.74000001</v>
      </c>
      <c r="G26" s="190">
        <v>-295079879.25999999</v>
      </c>
      <c r="H26" s="190">
        <v>-582502420.09000003</v>
      </c>
      <c r="I26" s="190">
        <v>-208778204.94999999</v>
      </c>
      <c r="J26" s="190">
        <v>-386186827.94</v>
      </c>
      <c r="K26" s="190">
        <v>-104879579.28</v>
      </c>
      <c r="L26" s="190">
        <v>24559317.890000001</v>
      </c>
      <c r="M26" s="190">
        <v>-223060471.53999999</v>
      </c>
      <c r="N26" s="190">
        <v>172579670.71000001</v>
      </c>
      <c r="O26" s="190">
        <v>177766743.74000001</v>
      </c>
      <c r="P26" s="190">
        <v>-119895744.63</v>
      </c>
      <c r="Q26" s="190">
        <v>-694542014.5</v>
      </c>
      <c r="R26" s="190">
        <v>-526113205.72000003</v>
      </c>
      <c r="S26" s="190">
        <v>-82911051.989999995</v>
      </c>
      <c r="T26" s="190">
        <v>-213548178.97</v>
      </c>
      <c r="U26" s="190">
        <v>-338629584.88999999</v>
      </c>
      <c r="V26" s="190">
        <v>-131124453.58</v>
      </c>
      <c r="W26" s="190">
        <v>-125103555.45</v>
      </c>
      <c r="X26" s="190">
        <v>-152154895.68000001</v>
      </c>
      <c r="Y26" s="190">
        <v>-152370481.44</v>
      </c>
      <c r="Z26" s="190">
        <v>-79337208.769999996</v>
      </c>
      <c r="AA26" s="190">
        <v>-36473827.880000003</v>
      </c>
      <c r="AB26" s="190">
        <v>-30707797.739999998</v>
      </c>
      <c r="AC26" s="190">
        <v>-161160939.58000001</v>
      </c>
      <c r="AD26" s="190">
        <v>-85286580.829999998</v>
      </c>
      <c r="AE26" s="190">
        <v>-47952682.770000003</v>
      </c>
      <c r="AF26" s="190">
        <v>-29960407.620000001</v>
      </c>
      <c r="AG26" s="190">
        <v>-40398401.840000004</v>
      </c>
      <c r="AH26" s="190">
        <v>-7392310.79</v>
      </c>
      <c r="AI26" s="190">
        <v>-1874126.69</v>
      </c>
      <c r="AJ26" s="190">
        <v>-99277.49</v>
      </c>
      <c r="AK26" s="190">
        <v>-33472292.390000001</v>
      </c>
      <c r="AL26" s="190">
        <v>-3218259.13</v>
      </c>
      <c r="AM26" s="190">
        <v>-3467094.07</v>
      </c>
      <c r="AN26" s="190">
        <v>-2941246.35</v>
      </c>
      <c r="AO26" s="190">
        <v>-27738102.93</v>
      </c>
      <c r="AP26" s="190">
        <v>-26011600.760000002</v>
      </c>
      <c r="AQ26" s="190">
        <v>-24429042.670000002</v>
      </c>
      <c r="AR26" s="190">
        <v>-22270633.68</v>
      </c>
      <c r="AS26" s="190">
        <v>0</v>
      </c>
    </row>
    <row r="27" spans="1:45" x14ac:dyDescent="0.25">
      <c r="A27" s="190" t="s">
        <v>243</v>
      </c>
    </row>
    <row r="28" spans="1:45" x14ac:dyDescent="0.25">
      <c r="A28" s="190" t="s">
        <v>244</v>
      </c>
      <c r="B28" s="190">
        <v>468058695.66000003</v>
      </c>
      <c r="C28" s="190">
        <v>465145228.47000003</v>
      </c>
      <c r="D28" s="190">
        <v>455644061.94999999</v>
      </c>
      <c r="E28" s="190">
        <v>20118946.59</v>
      </c>
      <c r="F28" s="190">
        <v>20120320</v>
      </c>
      <c r="G28" s="190">
        <v>20120320</v>
      </c>
      <c r="H28" s="190">
        <v>0</v>
      </c>
      <c r="I28" s="190">
        <v>23602222.899999999</v>
      </c>
      <c r="J28" s="190">
        <v>23502222.899999999</v>
      </c>
      <c r="K28" s="190">
        <v>1502222.9</v>
      </c>
      <c r="L28" s="190">
        <v>0</v>
      </c>
      <c r="M28" s="190">
        <v>5686000</v>
      </c>
      <c r="N28" s="190">
        <v>6114227</v>
      </c>
      <c r="O28" s="190">
        <v>5150000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917083360</v>
      </c>
      <c r="AL28" s="190">
        <v>917083360</v>
      </c>
      <c r="AM28" s="190">
        <v>0</v>
      </c>
      <c r="AN28" s="190">
        <v>0</v>
      </c>
      <c r="AO28" s="190">
        <v>0</v>
      </c>
      <c r="AP28" s="190">
        <v>0</v>
      </c>
      <c r="AQ28" s="190">
        <v>20440920.940000001</v>
      </c>
      <c r="AR28" s="190">
        <v>15488720.49</v>
      </c>
      <c r="AS28" s="190">
        <v>0</v>
      </c>
    </row>
    <row r="29" spans="1:45" x14ac:dyDescent="0.25">
      <c r="A29" s="190" t="s">
        <v>245</v>
      </c>
      <c r="B29" s="190">
        <v>0</v>
      </c>
      <c r="C29" s="190">
        <v>0</v>
      </c>
      <c r="D29" s="190">
        <v>0</v>
      </c>
      <c r="E29" s="190">
        <v>158920</v>
      </c>
      <c r="F29" s="190">
        <v>158920</v>
      </c>
      <c r="G29" s="190">
        <v>158920</v>
      </c>
      <c r="H29" s="190">
        <v>0</v>
      </c>
      <c r="I29" s="190">
        <v>23602222.899999999</v>
      </c>
      <c r="J29" s="190">
        <v>23502222.899999999</v>
      </c>
      <c r="K29" s="190">
        <v>1502222.9</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row>
    <row r="30" spans="1:45" x14ac:dyDescent="0.25">
      <c r="A30" s="190" t="s">
        <v>246</v>
      </c>
      <c r="B30" s="190">
        <v>705678113.75999999</v>
      </c>
      <c r="C30" s="190">
        <v>488258116.19</v>
      </c>
      <c r="D30" s="190">
        <v>7086499.4900000002</v>
      </c>
      <c r="E30" s="190">
        <v>247500960</v>
      </c>
      <c r="F30" s="190">
        <v>620688039.99000001</v>
      </c>
      <c r="G30" s="190">
        <v>614687388.02999997</v>
      </c>
      <c r="H30" s="190">
        <v>75892300</v>
      </c>
      <c r="I30" s="190">
        <v>578377380</v>
      </c>
      <c r="J30" s="190">
        <v>324840756</v>
      </c>
      <c r="K30" s="190">
        <v>170000000</v>
      </c>
      <c r="L30" s="190">
        <v>0</v>
      </c>
      <c r="M30" s="190">
        <v>100000000</v>
      </c>
      <c r="N30" s="190">
        <v>0</v>
      </c>
      <c r="O30" s="190">
        <v>0</v>
      </c>
      <c r="P30" s="190">
        <v>0</v>
      </c>
      <c r="Q30" s="190">
        <v>0</v>
      </c>
      <c r="R30" s="190">
        <v>0</v>
      </c>
      <c r="S30" s="190">
        <v>0</v>
      </c>
      <c r="T30" s="190">
        <v>0</v>
      </c>
      <c r="U30" s="190">
        <v>0</v>
      </c>
      <c r="V30" s="190">
        <v>0</v>
      </c>
      <c r="W30" s="190">
        <v>0</v>
      </c>
      <c r="X30" s="190">
        <v>35000000</v>
      </c>
      <c r="Y30" s="190">
        <v>0</v>
      </c>
      <c r="Z30" s="190">
        <v>0</v>
      </c>
      <c r="AA30" s="190">
        <v>0</v>
      </c>
      <c r="AB30" s="190">
        <v>0</v>
      </c>
      <c r="AC30" s="190">
        <v>0</v>
      </c>
      <c r="AD30" s="190">
        <v>0</v>
      </c>
      <c r="AE30" s="190">
        <v>0</v>
      </c>
      <c r="AF30" s="190">
        <v>0</v>
      </c>
      <c r="AG30" s="190">
        <v>20000000</v>
      </c>
      <c r="AH30" s="190">
        <v>20000000</v>
      </c>
      <c r="AI30" s="190">
        <v>0</v>
      </c>
      <c r="AJ30" s="190">
        <v>0</v>
      </c>
      <c r="AK30" s="190">
        <v>0</v>
      </c>
      <c r="AL30" s="190">
        <v>0</v>
      </c>
      <c r="AM30" s="190">
        <v>0</v>
      </c>
      <c r="AN30" s="190">
        <v>0</v>
      </c>
      <c r="AO30" s="190">
        <v>57800000</v>
      </c>
      <c r="AP30" s="190">
        <v>57800000</v>
      </c>
      <c r="AQ30" s="190">
        <v>108000000</v>
      </c>
      <c r="AR30" s="190">
        <v>91000000</v>
      </c>
      <c r="AS30" s="190">
        <v>0</v>
      </c>
    </row>
    <row r="31" spans="1:45" x14ac:dyDescent="0.25">
      <c r="A31" s="190" t="s">
        <v>247</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row>
    <row r="32" spans="1:45" x14ac:dyDescent="0.25">
      <c r="A32" s="190" t="s">
        <v>248</v>
      </c>
      <c r="B32" s="190">
        <v>0</v>
      </c>
      <c r="C32" s="190">
        <v>0</v>
      </c>
      <c r="D32" s="190">
        <v>5818654.6500000004</v>
      </c>
      <c r="E32" s="190">
        <v>91600000</v>
      </c>
      <c r="F32" s="190">
        <v>87100000</v>
      </c>
      <c r="G32" s="190">
        <v>87100000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451971.15</v>
      </c>
      <c r="AR32" s="190">
        <v>24795354.899999999</v>
      </c>
      <c r="AS32" s="190">
        <v>0</v>
      </c>
    </row>
    <row r="33" spans="1:45" x14ac:dyDescent="0.25">
      <c r="A33" s="190" t="s">
        <v>249</v>
      </c>
      <c r="B33" s="190">
        <v>1173736809.4200001</v>
      </c>
      <c r="C33" s="190">
        <v>953403344.65999997</v>
      </c>
      <c r="D33" s="190">
        <v>468549216.08999997</v>
      </c>
      <c r="E33" s="190">
        <v>359219906.58999997</v>
      </c>
      <c r="F33" s="190">
        <v>727908359.99000001</v>
      </c>
      <c r="G33" s="190">
        <v>721907708.02999997</v>
      </c>
      <c r="H33" s="190">
        <v>75892300</v>
      </c>
      <c r="I33" s="190">
        <v>601979602.89999998</v>
      </c>
      <c r="J33" s="190">
        <v>348342978.89999998</v>
      </c>
      <c r="K33" s="190">
        <v>171502222.90000001</v>
      </c>
      <c r="L33" s="190">
        <v>0</v>
      </c>
      <c r="M33" s="190">
        <v>105686000</v>
      </c>
      <c r="N33" s="190">
        <v>6114227</v>
      </c>
      <c r="O33" s="190">
        <v>5150000</v>
      </c>
      <c r="P33" s="190">
        <v>0</v>
      </c>
      <c r="Q33" s="190">
        <v>0</v>
      </c>
      <c r="R33" s="190">
        <v>0</v>
      </c>
      <c r="S33" s="190">
        <v>0</v>
      </c>
      <c r="T33" s="190">
        <v>0</v>
      </c>
      <c r="U33" s="190">
        <v>0</v>
      </c>
      <c r="V33" s="190">
        <v>0</v>
      </c>
      <c r="W33" s="190">
        <v>0</v>
      </c>
      <c r="X33" s="190">
        <v>35000000</v>
      </c>
      <c r="Y33" s="190">
        <v>0</v>
      </c>
      <c r="Z33" s="190">
        <v>0</v>
      </c>
      <c r="AA33" s="190">
        <v>0</v>
      </c>
      <c r="AB33" s="190">
        <v>0</v>
      </c>
      <c r="AC33" s="190">
        <v>0</v>
      </c>
      <c r="AD33" s="190">
        <v>0</v>
      </c>
      <c r="AE33" s="190">
        <v>0</v>
      </c>
      <c r="AF33" s="190">
        <v>0</v>
      </c>
      <c r="AG33" s="190">
        <v>20000000</v>
      </c>
      <c r="AH33" s="190">
        <v>20000000</v>
      </c>
      <c r="AI33" s="190">
        <v>0</v>
      </c>
      <c r="AJ33" s="190">
        <v>0</v>
      </c>
      <c r="AK33" s="190">
        <v>917083360</v>
      </c>
      <c r="AL33" s="190">
        <v>917083360</v>
      </c>
      <c r="AM33" s="190">
        <v>0</v>
      </c>
      <c r="AN33" s="190">
        <v>0</v>
      </c>
      <c r="AO33" s="190">
        <v>57800000</v>
      </c>
      <c r="AP33" s="190">
        <v>57800000</v>
      </c>
      <c r="AQ33" s="190">
        <v>128892892.09</v>
      </c>
      <c r="AR33" s="190">
        <v>131284075.39</v>
      </c>
      <c r="AS33" s="190">
        <v>0</v>
      </c>
    </row>
    <row r="34" spans="1:45" x14ac:dyDescent="0.25">
      <c r="A34" s="190" t="s">
        <v>250</v>
      </c>
      <c r="B34" s="190">
        <v>707483601.80999994</v>
      </c>
      <c r="C34" s="190">
        <v>490369094.81</v>
      </c>
      <c r="D34" s="190">
        <v>0</v>
      </c>
      <c r="E34" s="190">
        <v>400000000</v>
      </c>
      <c r="F34" s="190">
        <v>632765109.16999996</v>
      </c>
      <c r="G34" s="190">
        <v>631851586.58000004</v>
      </c>
      <c r="H34" s="190">
        <v>64471629.520000003</v>
      </c>
      <c r="I34" s="190">
        <v>190000000</v>
      </c>
      <c r="J34" s="190">
        <v>100000000</v>
      </c>
      <c r="K34" s="190">
        <v>0</v>
      </c>
      <c r="L34" s="190">
        <v>0</v>
      </c>
      <c r="M34" s="190">
        <v>0</v>
      </c>
      <c r="N34" s="190">
        <v>0</v>
      </c>
      <c r="O34" s="190">
        <v>0</v>
      </c>
      <c r="P34" s="190">
        <v>0</v>
      </c>
      <c r="Q34" s="190">
        <v>0</v>
      </c>
      <c r="R34" s="190">
        <v>0</v>
      </c>
      <c r="S34" s="190">
        <v>0</v>
      </c>
      <c r="T34" s="190">
        <v>0</v>
      </c>
      <c r="U34" s="190">
        <v>0</v>
      </c>
      <c r="V34" s="190">
        <v>0</v>
      </c>
      <c r="W34" s="190">
        <v>0</v>
      </c>
      <c r="X34" s="190">
        <v>35000000</v>
      </c>
      <c r="Y34" s="190">
        <v>0</v>
      </c>
      <c r="Z34" s="190">
        <v>0</v>
      </c>
      <c r="AA34" s="190">
        <v>0</v>
      </c>
      <c r="AB34" s="190">
        <v>0</v>
      </c>
      <c r="AC34" s="190">
        <v>0</v>
      </c>
      <c r="AD34" s="190">
        <v>0</v>
      </c>
      <c r="AE34" s="190">
        <v>0</v>
      </c>
      <c r="AF34" s="190">
        <v>0</v>
      </c>
      <c r="AG34" s="190">
        <v>20000000</v>
      </c>
      <c r="AH34" s="190">
        <v>20000000</v>
      </c>
      <c r="AI34" s="190">
        <v>0</v>
      </c>
      <c r="AJ34" s="190">
        <v>0</v>
      </c>
      <c r="AK34" s="190">
        <v>0</v>
      </c>
      <c r="AL34" s="190">
        <v>0</v>
      </c>
      <c r="AM34" s="190">
        <v>0</v>
      </c>
      <c r="AN34" s="190">
        <v>0</v>
      </c>
      <c r="AO34" s="190">
        <v>62800000</v>
      </c>
      <c r="AP34" s="190">
        <v>47800000</v>
      </c>
      <c r="AQ34" s="190">
        <v>131000000</v>
      </c>
      <c r="AR34" s="190">
        <v>78000000</v>
      </c>
      <c r="AS34" s="190">
        <v>0</v>
      </c>
    </row>
    <row r="35" spans="1:45" x14ac:dyDescent="0.25">
      <c r="A35" s="190" t="s">
        <v>550</v>
      </c>
      <c r="B35" s="190">
        <v>265255421.55000001</v>
      </c>
      <c r="C35" s="190">
        <v>265187086.09999999</v>
      </c>
      <c r="D35" s="190">
        <v>2487713.88</v>
      </c>
      <c r="E35" s="190">
        <v>167667543.31999999</v>
      </c>
      <c r="F35" s="190">
        <v>158373111.05000001</v>
      </c>
      <c r="G35" s="190">
        <v>147522885.53</v>
      </c>
      <c r="H35" s="190">
        <v>3215992.28</v>
      </c>
      <c r="I35" s="190">
        <v>149279531.94999999</v>
      </c>
      <c r="J35" s="190">
        <v>147006384.78</v>
      </c>
      <c r="K35" s="190">
        <v>143583732.97999999</v>
      </c>
      <c r="L35" s="190">
        <v>1441059</v>
      </c>
      <c r="M35" s="190">
        <v>282184537.02999997</v>
      </c>
      <c r="N35" s="190">
        <v>280726200</v>
      </c>
      <c r="O35" s="190">
        <v>280726200</v>
      </c>
      <c r="P35" s="190">
        <v>0</v>
      </c>
      <c r="Q35" s="190">
        <v>98254170</v>
      </c>
      <c r="R35" s="190">
        <v>98254170</v>
      </c>
      <c r="S35" s="190">
        <v>98254170</v>
      </c>
      <c r="T35" s="190">
        <v>0</v>
      </c>
      <c r="U35" s="190">
        <v>98254170</v>
      </c>
      <c r="V35" s="190">
        <v>98254170</v>
      </c>
      <c r="W35" s="190">
        <v>98254170</v>
      </c>
      <c r="X35" s="190">
        <v>92555.56</v>
      </c>
      <c r="Y35" s="190">
        <v>140363100</v>
      </c>
      <c r="Z35" s="190">
        <v>140363100</v>
      </c>
      <c r="AA35" s="190">
        <v>140363100</v>
      </c>
      <c r="AB35" s="190">
        <v>0</v>
      </c>
      <c r="AC35" s="190">
        <v>199315602</v>
      </c>
      <c r="AD35" s="190">
        <v>199315602</v>
      </c>
      <c r="AE35" s="190">
        <v>199315602</v>
      </c>
      <c r="AF35" s="190">
        <v>0</v>
      </c>
      <c r="AG35" s="190">
        <v>98308305</v>
      </c>
      <c r="AH35" s="190">
        <v>98308305</v>
      </c>
      <c r="AI35" s="190">
        <v>98254170</v>
      </c>
      <c r="AJ35" s="190">
        <v>0</v>
      </c>
      <c r="AK35" s="190">
        <v>21052620</v>
      </c>
      <c r="AL35" s="190">
        <v>21052620</v>
      </c>
      <c r="AM35" s="190">
        <v>21052620</v>
      </c>
      <c r="AN35" s="190">
        <v>21052620</v>
      </c>
      <c r="AO35" s="190">
        <v>43302049.93</v>
      </c>
      <c r="AP35" s="190">
        <v>43210392.990000002</v>
      </c>
      <c r="AQ35" s="190">
        <v>1463210.4</v>
      </c>
      <c r="AR35" s="190">
        <v>1298325.2</v>
      </c>
      <c r="AS35" s="190">
        <v>0</v>
      </c>
    </row>
    <row r="36" spans="1:45" x14ac:dyDescent="0.25">
      <c r="A36" s="190" t="s">
        <v>251</v>
      </c>
      <c r="B36" s="190">
        <v>0</v>
      </c>
      <c r="C36" s="190">
        <v>0</v>
      </c>
      <c r="D36" s="190">
        <v>0</v>
      </c>
      <c r="E36" s="190">
        <v>0</v>
      </c>
      <c r="F36" s="190">
        <v>9048000</v>
      </c>
      <c r="G36" s="190">
        <v>678000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row>
    <row r="37" spans="1:45" x14ac:dyDescent="0.25">
      <c r="A37" s="190" t="s">
        <v>252</v>
      </c>
      <c r="B37" s="190">
        <v>2125256.27</v>
      </c>
      <c r="C37" s="190">
        <v>501000.37</v>
      </c>
      <c r="D37" s="190">
        <v>465732.84</v>
      </c>
      <c r="E37" s="190">
        <v>0</v>
      </c>
      <c r="F37" s="190">
        <v>0</v>
      </c>
      <c r="G37" s="190">
        <v>0</v>
      </c>
      <c r="H37" s="190">
        <v>0</v>
      </c>
      <c r="I37" s="190">
        <v>87100000</v>
      </c>
      <c r="J37" s="190">
        <v>87100000</v>
      </c>
      <c r="K37" s="190">
        <v>0</v>
      </c>
      <c r="L37" s="190">
        <v>0</v>
      </c>
      <c r="M37" s="190">
        <v>0</v>
      </c>
      <c r="N37" s="190">
        <v>0</v>
      </c>
      <c r="O37" s="190">
        <v>0</v>
      </c>
      <c r="P37" s="190">
        <v>0</v>
      </c>
      <c r="Q37" s="190">
        <v>0</v>
      </c>
      <c r="R37" s="190">
        <v>0</v>
      </c>
      <c r="S37" s="190">
        <v>0</v>
      </c>
      <c r="T37" s="190">
        <v>0</v>
      </c>
      <c r="U37" s="190">
        <v>0</v>
      </c>
      <c r="V37" s="190">
        <v>0</v>
      </c>
      <c r="W37" s="190">
        <v>0</v>
      </c>
      <c r="X37" s="190">
        <v>0</v>
      </c>
      <c r="Y37" s="190">
        <v>0</v>
      </c>
      <c r="Z37" s="190">
        <v>0</v>
      </c>
      <c r="AA37" s="190">
        <v>0</v>
      </c>
      <c r="AB37" s="190">
        <v>0</v>
      </c>
      <c r="AC37" s="190">
        <v>0</v>
      </c>
      <c r="AD37" s="190">
        <v>0</v>
      </c>
      <c r="AE37" s="190">
        <v>0</v>
      </c>
      <c r="AF37" s="190">
        <v>0</v>
      </c>
      <c r="AG37" s="190">
        <v>1658996.81</v>
      </c>
      <c r="AH37" s="190">
        <v>0</v>
      </c>
      <c r="AI37" s="190">
        <v>0</v>
      </c>
      <c r="AJ37" s="190">
        <v>0</v>
      </c>
      <c r="AK37" s="190">
        <v>8851936.8300000001</v>
      </c>
      <c r="AL37" s="190">
        <v>3300079.5</v>
      </c>
      <c r="AM37" s="190">
        <v>0</v>
      </c>
      <c r="AN37" s="190">
        <v>0</v>
      </c>
      <c r="AO37" s="190">
        <v>460000</v>
      </c>
      <c r="AP37" s="190">
        <v>380000</v>
      </c>
      <c r="AQ37" s="190">
        <v>24575000</v>
      </c>
      <c r="AR37" s="190">
        <v>0</v>
      </c>
      <c r="AS37" s="190">
        <v>0</v>
      </c>
    </row>
    <row r="38" spans="1:45" x14ac:dyDescent="0.25">
      <c r="A38" s="190" t="s">
        <v>253</v>
      </c>
      <c r="B38" s="190">
        <v>974864279.63</v>
      </c>
      <c r="C38" s="190">
        <v>756057181.27999997</v>
      </c>
      <c r="D38" s="190">
        <v>2953446.72</v>
      </c>
      <c r="E38" s="190">
        <v>567667543.32000005</v>
      </c>
      <c r="F38" s="190">
        <v>791138220.22000003</v>
      </c>
      <c r="G38" s="190">
        <v>779374472.11000001</v>
      </c>
      <c r="H38" s="190">
        <v>67687621.799999997</v>
      </c>
      <c r="I38" s="190">
        <v>426379531.94999999</v>
      </c>
      <c r="J38" s="190">
        <v>334106384.77999997</v>
      </c>
      <c r="K38" s="190">
        <v>143583732.97999999</v>
      </c>
      <c r="L38" s="190">
        <v>1441059</v>
      </c>
      <c r="M38" s="190">
        <v>282184537.02999997</v>
      </c>
      <c r="N38" s="190">
        <v>280726200</v>
      </c>
      <c r="O38" s="190">
        <v>280726200</v>
      </c>
      <c r="P38" s="190">
        <v>0</v>
      </c>
      <c r="Q38" s="190">
        <v>98254170</v>
      </c>
      <c r="R38" s="190">
        <v>98254170</v>
      </c>
      <c r="S38" s="190">
        <v>98254170</v>
      </c>
      <c r="T38" s="190">
        <v>0</v>
      </c>
      <c r="U38" s="190">
        <v>98254170</v>
      </c>
      <c r="V38" s="190">
        <v>98254170</v>
      </c>
      <c r="W38" s="190">
        <v>98254170</v>
      </c>
      <c r="X38" s="190">
        <v>35092555.560000002</v>
      </c>
      <c r="Y38" s="190">
        <v>140363100</v>
      </c>
      <c r="Z38" s="190">
        <v>140363100</v>
      </c>
      <c r="AA38" s="190">
        <v>140363100</v>
      </c>
      <c r="AB38" s="190">
        <v>0</v>
      </c>
      <c r="AC38" s="190">
        <v>199315602</v>
      </c>
      <c r="AD38" s="190">
        <v>199315602</v>
      </c>
      <c r="AE38" s="190">
        <v>199315602</v>
      </c>
      <c r="AF38" s="190">
        <v>0</v>
      </c>
      <c r="AG38" s="190">
        <v>119967301.81</v>
      </c>
      <c r="AH38" s="190">
        <v>118308305</v>
      </c>
      <c r="AI38" s="190">
        <v>98254170</v>
      </c>
      <c r="AJ38" s="190">
        <v>0</v>
      </c>
      <c r="AK38" s="190">
        <v>29904556.829999998</v>
      </c>
      <c r="AL38" s="190">
        <v>24352699.5</v>
      </c>
      <c r="AM38" s="190">
        <v>21052620</v>
      </c>
      <c r="AN38" s="190">
        <v>21052620</v>
      </c>
      <c r="AO38" s="190">
        <v>106562049.93000001</v>
      </c>
      <c r="AP38" s="190">
        <v>91390392.989999995</v>
      </c>
      <c r="AQ38" s="190">
        <v>157038210.40000001</v>
      </c>
      <c r="AR38" s="190">
        <v>79298325.200000003</v>
      </c>
      <c r="AS38" s="190">
        <v>0</v>
      </c>
    </row>
    <row r="39" spans="1:45" x14ac:dyDescent="0.25">
      <c r="A39" s="190" t="s">
        <v>254</v>
      </c>
      <c r="B39" s="190">
        <v>198872529.78999999</v>
      </c>
      <c r="C39" s="190">
        <v>197346163.38</v>
      </c>
      <c r="D39" s="190">
        <v>465595769.37</v>
      </c>
      <c r="E39" s="190">
        <v>-208447636.72999999</v>
      </c>
      <c r="F39" s="190">
        <v>-63229860.229999997</v>
      </c>
      <c r="G39" s="190">
        <v>-57466764.079999998</v>
      </c>
      <c r="H39" s="190">
        <v>8204678.2000000002</v>
      </c>
      <c r="I39" s="190">
        <v>175600070.94999999</v>
      </c>
      <c r="J39" s="190">
        <v>14236594.119999999</v>
      </c>
      <c r="K39" s="190">
        <v>27918489.920000002</v>
      </c>
      <c r="L39" s="190">
        <v>-1441059</v>
      </c>
      <c r="M39" s="190">
        <v>-176498537.03</v>
      </c>
      <c r="N39" s="190">
        <v>-274611973</v>
      </c>
      <c r="O39" s="190">
        <v>-275576200</v>
      </c>
      <c r="P39" s="190">
        <v>0</v>
      </c>
      <c r="Q39" s="190">
        <v>-98254170</v>
      </c>
      <c r="R39" s="190">
        <v>-98254170</v>
      </c>
      <c r="S39" s="190">
        <v>-98254170</v>
      </c>
      <c r="T39" s="190">
        <v>0</v>
      </c>
      <c r="U39" s="190">
        <v>-98254170</v>
      </c>
      <c r="V39" s="190">
        <v>-98254170</v>
      </c>
      <c r="W39" s="190">
        <v>-98254170</v>
      </c>
      <c r="X39" s="190">
        <v>-92555.56</v>
      </c>
      <c r="Y39" s="190">
        <v>-140363100</v>
      </c>
      <c r="Z39" s="190">
        <v>-140363100</v>
      </c>
      <c r="AA39" s="190">
        <v>-140363100</v>
      </c>
      <c r="AB39" s="190">
        <v>0</v>
      </c>
      <c r="AC39" s="190">
        <v>-199315602</v>
      </c>
      <c r="AD39" s="190">
        <v>-199315602</v>
      </c>
      <c r="AE39" s="190">
        <v>-199315602</v>
      </c>
      <c r="AF39" s="190">
        <v>0</v>
      </c>
      <c r="AG39" s="190">
        <v>-99967301.810000002</v>
      </c>
      <c r="AH39" s="190">
        <v>-98308305</v>
      </c>
      <c r="AI39" s="190">
        <v>-98254170</v>
      </c>
      <c r="AJ39" s="190">
        <v>0</v>
      </c>
      <c r="AK39" s="190">
        <v>887178803.16999996</v>
      </c>
      <c r="AL39" s="190">
        <v>892730660.5</v>
      </c>
      <c r="AM39" s="190">
        <v>-21052620</v>
      </c>
      <c r="AN39" s="190">
        <v>-21052620</v>
      </c>
      <c r="AO39" s="190">
        <v>-48762049.93</v>
      </c>
      <c r="AP39" s="190">
        <v>-33590392.990000002</v>
      </c>
      <c r="AQ39" s="190">
        <v>-28145318.309999999</v>
      </c>
      <c r="AR39" s="190">
        <v>51985750.189999998</v>
      </c>
      <c r="AS39" s="190">
        <v>0</v>
      </c>
    </row>
    <row r="40" spans="1:45" x14ac:dyDescent="0.25">
      <c r="A40" s="190" t="s">
        <v>255</v>
      </c>
      <c r="B40" s="190">
        <v>3541035.19</v>
      </c>
      <c r="C40" s="190">
        <v>-55897.29</v>
      </c>
      <c r="D40" s="190">
        <v>-1963769.65</v>
      </c>
      <c r="E40" s="190">
        <v>-10194831.91</v>
      </c>
      <c r="F40" s="190">
        <v>-9759887.6899999995</v>
      </c>
      <c r="G40" s="190">
        <v>-8496150.9199999999</v>
      </c>
      <c r="H40" s="190">
        <v>1229175.94</v>
      </c>
      <c r="I40" s="190">
        <v>9674256.4199999999</v>
      </c>
      <c r="J40" s="190">
        <v>1262886.28</v>
      </c>
      <c r="K40" s="190">
        <v>1079957.8400000001</v>
      </c>
      <c r="L40" s="190">
        <v>-569246.01</v>
      </c>
      <c r="M40" s="190">
        <v>2453146.98</v>
      </c>
      <c r="N40" s="190">
        <v>1109795.2</v>
      </c>
      <c r="O40" s="190">
        <v>11277.5</v>
      </c>
      <c r="P40" s="190">
        <v>150598.34</v>
      </c>
      <c r="Q40" s="190">
        <v>-293154.3</v>
      </c>
      <c r="R40" s="190">
        <v>189804.52</v>
      </c>
      <c r="S40" s="190">
        <v>189465.4</v>
      </c>
      <c r="T40" s="190">
        <v>158276.16</v>
      </c>
      <c r="U40" s="190">
        <v>-553163.07999999996</v>
      </c>
      <c r="V40" s="190">
        <v>-367341.23</v>
      </c>
      <c r="W40" s="190">
        <v>-284306.83</v>
      </c>
      <c r="X40" s="190">
        <v>-89497.67</v>
      </c>
      <c r="Y40" s="190">
        <v>75668.740000000005</v>
      </c>
      <c r="Z40" s="190">
        <v>153829.24</v>
      </c>
      <c r="AA40" s="190">
        <v>101271.58</v>
      </c>
      <c r="AB40" s="190">
        <v>12581.94</v>
      </c>
      <c r="AC40" s="190">
        <v>-708442.38</v>
      </c>
      <c r="AD40" s="190">
        <v>-210437.56</v>
      </c>
      <c r="AE40" s="190">
        <v>-127816.09</v>
      </c>
      <c r="AF40" s="190">
        <v>-43815.17</v>
      </c>
      <c r="AG40" s="190">
        <v>-353565.75</v>
      </c>
      <c r="AH40" s="190">
        <v>-93529.52</v>
      </c>
      <c r="AI40" s="190">
        <v>-58551.09</v>
      </c>
      <c r="AJ40" s="190">
        <v>-23111.08</v>
      </c>
      <c r="AK40" s="190">
        <v>-870.64</v>
      </c>
      <c r="AL40" s="190">
        <v>12842.55</v>
      </c>
      <c r="AM40" s="190">
        <v>-772.37</v>
      </c>
      <c r="AN40" s="190">
        <v>1620.26</v>
      </c>
      <c r="AO40" s="190">
        <v>-151209.82</v>
      </c>
      <c r="AP40" s="190">
        <v>-6633.71</v>
      </c>
      <c r="AQ40" s="190">
        <v>206756.02</v>
      </c>
      <c r="AR40" s="190">
        <v>-55982.34</v>
      </c>
      <c r="AS40" s="190">
        <v>0</v>
      </c>
    </row>
    <row r="41" spans="1:45" x14ac:dyDescent="0.25">
      <c r="A41" s="190" t="s">
        <v>256</v>
      </c>
      <c r="B41" s="190">
        <v>279595320.00999999</v>
      </c>
      <c r="C41" s="190">
        <v>339527056.50999999</v>
      </c>
      <c r="D41" s="190">
        <v>490110708.76999998</v>
      </c>
      <c r="E41" s="190">
        <v>-640921649.30999994</v>
      </c>
      <c r="F41" s="190">
        <v>-718937409.25999999</v>
      </c>
      <c r="G41" s="190">
        <v>-469090332.63999999</v>
      </c>
      <c r="H41" s="190">
        <v>-481871362.07999998</v>
      </c>
      <c r="I41" s="190">
        <v>481842227.31</v>
      </c>
      <c r="J41" s="190">
        <v>-148076494.28</v>
      </c>
      <c r="K41" s="190">
        <v>-23583140.609999999</v>
      </c>
      <c r="L41" s="190">
        <v>102965103.53</v>
      </c>
      <c r="M41" s="190">
        <v>-57601884.189999998</v>
      </c>
      <c r="N41" s="190">
        <v>89723502.900000006</v>
      </c>
      <c r="O41" s="190">
        <v>-27209854.670000002</v>
      </c>
      <c r="P41" s="190">
        <v>22930040.670000002</v>
      </c>
      <c r="Q41" s="190">
        <v>-285072028.69999999</v>
      </c>
      <c r="R41" s="190">
        <v>-303159651.54000002</v>
      </c>
      <c r="S41" s="190">
        <v>-96733984.280000001</v>
      </c>
      <c r="T41" s="190">
        <v>-47418644.450000003</v>
      </c>
      <c r="U41" s="190">
        <v>-23767179.09</v>
      </c>
      <c r="V41" s="190">
        <v>-53120023.159999996</v>
      </c>
      <c r="W41" s="190">
        <v>-287317922.87</v>
      </c>
      <c r="X41" s="190">
        <v>-114950577.15000001</v>
      </c>
      <c r="Y41" s="190">
        <v>-46259017.329999998</v>
      </c>
      <c r="Z41" s="190">
        <v>-199129280.19</v>
      </c>
      <c r="AA41" s="190">
        <v>-334473988.60000002</v>
      </c>
      <c r="AB41" s="190">
        <v>11721514.17</v>
      </c>
      <c r="AC41" s="190">
        <v>-54889073.880000003</v>
      </c>
      <c r="AD41" s="190">
        <v>-74829590.060000002</v>
      </c>
      <c r="AE41" s="190">
        <v>-194997197.22999999</v>
      </c>
      <c r="AF41" s="190">
        <v>94682449.849999994</v>
      </c>
      <c r="AG41" s="190">
        <v>-8532197.3800000008</v>
      </c>
      <c r="AH41" s="190">
        <v>-105114172.81</v>
      </c>
      <c r="AI41" s="190">
        <v>-134933265.40000001</v>
      </c>
      <c r="AJ41" s="190">
        <v>61410693.340000004</v>
      </c>
      <c r="AK41" s="190">
        <v>987911135.44000006</v>
      </c>
      <c r="AL41" s="190">
        <v>979477358.02999997</v>
      </c>
      <c r="AM41" s="190">
        <v>-1361037.78</v>
      </c>
      <c r="AN41" s="190">
        <v>28536908.25</v>
      </c>
      <c r="AO41" s="190">
        <v>31667773.890000001</v>
      </c>
      <c r="AP41" s="190">
        <v>-24880292.59</v>
      </c>
      <c r="AQ41" s="190">
        <v>-8265366.2000000002</v>
      </c>
      <c r="AR41" s="190">
        <v>46714539.030000001</v>
      </c>
      <c r="AS41" s="190">
        <v>0</v>
      </c>
    </row>
    <row r="42" spans="1:45" x14ac:dyDescent="0.25">
      <c r="A42" s="190" t="s">
        <v>257</v>
      </c>
      <c r="B42" s="190">
        <v>430523371.25999999</v>
      </c>
      <c r="C42" s="190">
        <v>430523371.25999999</v>
      </c>
      <c r="D42" s="190">
        <v>430523371.25999999</v>
      </c>
      <c r="E42" s="190">
        <v>1071445020.5700001</v>
      </c>
      <c r="F42" s="190">
        <v>1071445020.5700001</v>
      </c>
      <c r="G42" s="190">
        <v>1071445020.5700001</v>
      </c>
      <c r="H42" s="190">
        <v>1071445020.5700001</v>
      </c>
      <c r="I42" s="190">
        <v>589602793.25999999</v>
      </c>
      <c r="J42" s="190">
        <v>589602793.25999999</v>
      </c>
      <c r="K42" s="190">
        <v>589602793.25999999</v>
      </c>
      <c r="L42" s="190">
        <v>589602793.25999999</v>
      </c>
      <c r="M42" s="190">
        <v>647204677.45000005</v>
      </c>
      <c r="N42" s="190">
        <v>647204677.45000005</v>
      </c>
      <c r="O42" s="190">
        <v>647204677.45000005</v>
      </c>
      <c r="P42" s="190">
        <v>646963716.20000005</v>
      </c>
      <c r="Q42" s="190">
        <v>932276706.14999998</v>
      </c>
      <c r="R42" s="190">
        <v>932276706.14999998</v>
      </c>
      <c r="S42" s="190">
        <v>932276706.14999998</v>
      </c>
      <c r="T42" s="190">
        <v>932276706.14999998</v>
      </c>
      <c r="U42" s="190">
        <v>956043885.24000001</v>
      </c>
      <c r="V42" s="190">
        <v>956043885.24000001</v>
      </c>
      <c r="W42" s="190">
        <v>956043885.25</v>
      </c>
      <c r="X42" s="190">
        <v>956043885.24000001</v>
      </c>
      <c r="Y42" s="190">
        <v>1002302902.5700001</v>
      </c>
      <c r="Z42" s="190">
        <v>1002302902.5700001</v>
      </c>
      <c r="AA42" s="190">
        <v>1002302902.5700001</v>
      </c>
      <c r="AB42" s="190">
        <v>1002302902.5700001</v>
      </c>
      <c r="AC42" s="190">
        <v>1057191976.45</v>
      </c>
      <c r="AD42" s="190">
        <v>1057191976.45</v>
      </c>
      <c r="AE42" s="190">
        <v>1057191976.45</v>
      </c>
      <c r="AF42" s="190">
        <v>1057191976.45</v>
      </c>
      <c r="AG42" s="190">
        <v>1065724173.83</v>
      </c>
      <c r="AH42" s="190">
        <v>1065724173.83</v>
      </c>
      <c r="AI42" s="190">
        <v>1065724173.83</v>
      </c>
      <c r="AJ42" s="190">
        <v>1065724173.83</v>
      </c>
      <c r="AK42" s="190">
        <v>77813038.390000001</v>
      </c>
      <c r="AL42" s="190">
        <v>78505801.079999998</v>
      </c>
      <c r="AM42" s="190">
        <v>76012034.150000006</v>
      </c>
      <c r="AN42" s="190">
        <v>77813038.390000001</v>
      </c>
      <c r="AO42" s="190">
        <v>44344260.259999998</v>
      </c>
      <c r="AP42" s="190">
        <v>45134760.259999998</v>
      </c>
      <c r="AQ42" s="190">
        <v>52609626.460000001</v>
      </c>
      <c r="AR42" s="190">
        <v>5895087.4299999997</v>
      </c>
      <c r="AS42" s="190">
        <v>0</v>
      </c>
    </row>
    <row r="43" spans="1:45" x14ac:dyDescent="0.25">
      <c r="A43" s="190" t="s">
        <v>258</v>
      </c>
      <c r="B43" s="190">
        <v>710118691.26999998</v>
      </c>
      <c r="C43" s="190">
        <v>770050427.76999998</v>
      </c>
      <c r="D43" s="190">
        <v>920634080.02999997</v>
      </c>
      <c r="E43" s="190">
        <v>430523371.25999999</v>
      </c>
      <c r="F43" s="190">
        <v>352507611.31</v>
      </c>
      <c r="G43" s="190">
        <v>602354687.92999995</v>
      </c>
      <c r="H43" s="190">
        <v>589573658.49000001</v>
      </c>
      <c r="I43" s="190">
        <v>1071445020.5700001</v>
      </c>
      <c r="J43" s="190">
        <v>441526298.98000002</v>
      </c>
      <c r="K43" s="190">
        <v>566019652.64999998</v>
      </c>
      <c r="L43" s="190">
        <v>692567896.78999996</v>
      </c>
      <c r="M43" s="190">
        <v>589602793.25999999</v>
      </c>
      <c r="N43" s="190">
        <v>736928180.35000002</v>
      </c>
      <c r="O43" s="190">
        <v>619994822.77999997</v>
      </c>
      <c r="P43" s="190">
        <v>669893756.87</v>
      </c>
      <c r="Q43" s="190">
        <v>647204677.45000005</v>
      </c>
      <c r="R43" s="190">
        <v>629117054.61000001</v>
      </c>
      <c r="S43" s="190">
        <v>835542721.87</v>
      </c>
      <c r="T43" s="190">
        <v>884858061.70000005</v>
      </c>
      <c r="U43" s="190">
        <v>932276706.14999998</v>
      </c>
      <c r="V43" s="190">
        <v>902923862.08000004</v>
      </c>
      <c r="W43" s="190">
        <v>668725962.38</v>
      </c>
      <c r="X43" s="190">
        <v>841093308.09000003</v>
      </c>
      <c r="Y43" s="190">
        <v>956043885.24000001</v>
      </c>
      <c r="Z43" s="190">
        <v>803173622.38</v>
      </c>
      <c r="AA43" s="190">
        <v>667828913.97000003</v>
      </c>
      <c r="AB43" s="190">
        <v>1014024416.74</v>
      </c>
      <c r="AC43" s="190">
        <v>1002302902.5700001</v>
      </c>
      <c r="AD43" s="190">
        <v>982362386.38999999</v>
      </c>
      <c r="AE43" s="190">
        <v>862194779.22000003</v>
      </c>
      <c r="AF43" s="190">
        <v>1151874426.3</v>
      </c>
      <c r="AG43" s="190">
        <v>1057191976.45</v>
      </c>
      <c r="AH43" s="190">
        <v>960610001.01999998</v>
      </c>
      <c r="AI43" s="190">
        <v>930790908.42999995</v>
      </c>
      <c r="AJ43" s="190">
        <v>1127134867.1700001</v>
      </c>
      <c r="AK43" s="190">
        <v>1065724173.83</v>
      </c>
      <c r="AL43" s="190">
        <v>1057983159.11</v>
      </c>
      <c r="AM43" s="190">
        <v>74650996.370000005</v>
      </c>
      <c r="AN43" s="190">
        <v>106349946.64</v>
      </c>
      <c r="AO43" s="190">
        <v>76012034.150000006</v>
      </c>
      <c r="AP43" s="190">
        <v>20254467.670000002</v>
      </c>
      <c r="AQ43" s="190">
        <v>44344260.259999998</v>
      </c>
      <c r="AR43" s="190">
        <v>52609626.460000001</v>
      </c>
      <c r="AS43" s="190">
        <v>0</v>
      </c>
    </row>
    <row r="44" spans="1:45" x14ac:dyDescent="0.25">
      <c r="A44" s="190" t="s">
        <v>259</v>
      </c>
    </row>
    <row r="45" spans="1:45" x14ac:dyDescent="0.25">
      <c r="A45" s="190" t="s">
        <v>260</v>
      </c>
      <c r="B45" s="190">
        <v>0</v>
      </c>
      <c r="C45" s="190">
        <v>225583386.21000001</v>
      </c>
      <c r="D45" s="190">
        <v>0</v>
      </c>
      <c r="E45" s="190">
        <v>453071628.50999999</v>
      </c>
      <c r="F45" s="190">
        <v>0</v>
      </c>
      <c r="G45" s="190">
        <v>175283497.72</v>
      </c>
      <c r="H45" s="190">
        <v>0</v>
      </c>
      <c r="I45" s="190">
        <v>338813260.39999998</v>
      </c>
      <c r="J45" s="190">
        <v>0</v>
      </c>
      <c r="K45" s="190">
        <v>158628555.5</v>
      </c>
      <c r="L45" s="190">
        <v>0</v>
      </c>
      <c r="M45" s="190">
        <v>423089068.51999998</v>
      </c>
      <c r="N45" s="190">
        <v>0</v>
      </c>
      <c r="O45" s="190">
        <v>187225671.66</v>
      </c>
      <c r="P45" s="190">
        <v>0</v>
      </c>
      <c r="Q45" s="190">
        <v>398173688.69</v>
      </c>
      <c r="R45" s="190">
        <v>0</v>
      </c>
      <c r="S45" s="190">
        <v>157367923.56</v>
      </c>
      <c r="T45" s="190">
        <v>0</v>
      </c>
      <c r="U45" s="190">
        <v>332154652.14999998</v>
      </c>
      <c r="V45" s="190">
        <v>0</v>
      </c>
      <c r="W45" s="190">
        <v>137105896.34</v>
      </c>
      <c r="X45" s="190">
        <v>0</v>
      </c>
      <c r="Y45" s="190">
        <v>382086766.75999999</v>
      </c>
      <c r="Z45" s="190">
        <v>0</v>
      </c>
      <c r="AA45" s="190">
        <v>133686094.25</v>
      </c>
      <c r="AB45" s="190">
        <v>0</v>
      </c>
      <c r="AC45" s="190">
        <v>374010138.19</v>
      </c>
      <c r="AD45" s="190">
        <v>0</v>
      </c>
      <c r="AE45" s="190">
        <v>162435481.09999999</v>
      </c>
      <c r="AF45" s="190">
        <v>0</v>
      </c>
      <c r="AG45" s="190">
        <v>211825682.56</v>
      </c>
      <c r="AH45" s="190">
        <v>0</v>
      </c>
      <c r="AI45" s="190">
        <v>77434140.760000005</v>
      </c>
      <c r="AJ45" s="190">
        <v>0</v>
      </c>
      <c r="AK45" s="190">
        <v>146002767.59</v>
      </c>
      <c r="AL45" s="190">
        <v>0</v>
      </c>
      <c r="AM45" s="190">
        <v>51051582.18</v>
      </c>
      <c r="AN45" s="190">
        <v>0</v>
      </c>
      <c r="AO45" s="190">
        <v>111031977.59999999</v>
      </c>
      <c r="AP45" s="190">
        <v>0</v>
      </c>
      <c r="AQ45" s="190">
        <v>85138294.760000005</v>
      </c>
      <c r="AR45" s="190">
        <v>49517218.420000002</v>
      </c>
      <c r="AS45" s="190">
        <v>0</v>
      </c>
    </row>
    <row r="46" spans="1:45"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row>
    <row r="47" spans="1:45"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row>
    <row r="48" spans="1:45" x14ac:dyDescent="0.25">
      <c r="A48" s="190" t="s">
        <v>262</v>
      </c>
      <c r="B48" s="190">
        <v>0</v>
      </c>
      <c r="C48" s="190">
        <v>51597733.710000001</v>
      </c>
      <c r="D48" s="190">
        <v>0</v>
      </c>
      <c r="E48" s="190">
        <v>65575512.200000003</v>
      </c>
      <c r="F48" s="190">
        <v>0</v>
      </c>
      <c r="G48" s="190">
        <v>26957049.120000001</v>
      </c>
      <c r="H48" s="190">
        <v>0</v>
      </c>
      <c r="I48" s="190">
        <v>48551810.390000001</v>
      </c>
      <c r="J48" s="190">
        <v>0</v>
      </c>
      <c r="K48" s="190">
        <v>6649353.46</v>
      </c>
      <c r="L48" s="190">
        <v>0</v>
      </c>
      <c r="M48" s="190">
        <v>31301733.23</v>
      </c>
      <c r="N48" s="190">
        <v>0</v>
      </c>
      <c r="O48" s="190">
        <v>3336644.17</v>
      </c>
      <c r="P48" s="190">
        <v>0</v>
      </c>
      <c r="Q48" s="190">
        <v>16020971.09</v>
      </c>
      <c r="R48" s="190">
        <v>0</v>
      </c>
      <c r="S48" s="190">
        <v>2690680.83</v>
      </c>
      <c r="T48" s="190">
        <v>0</v>
      </c>
      <c r="U48" s="190">
        <v>11326349.439999999</v>
      </c>
      <c r="V48" s="190">
        <v>0</v>
      </c>
      <c r="W48" s="190">
        <v>2314149.34</v>
      </c>
      <c r="X48" s="190">
        <v>0</v>
      </c>
      <c r="Y48" s="190">
        <v>7773704.8799999999</v>
      </c>
      <c r="Z48" s="190">
        <v>0</v>
      </c>
      <c r="AA48" s="190">
        <v>1176562.18</v>
      </c>
      <c r="AB48" s="190">
        <v>0</v>
      </c>
      <c r="AC48" s="190">
        <v>6385375.54</v>
      </c>
      <c r="AD48" s="190">
        <v>0</v>
      </c>
      <c r="AE48" s="190">
        <v>1288432.1299999999</v>
      </c>
      <c r="AF48" s="190">
        <v>0</v>
      </c>
      <c r="AG48" s="190">
        <v>10400653.18</v>
      </c>
      <c r="AH48" s="190">
        <v>0</v>
      </c>
      <c r="AI48" s="190">
        <v>2759387.69</v>
      </c>
      <c r="AJ48" s="190">
        <v>0</v>
      </c>
      <c r="AK48" s="190">
        <v>-348833.67</v>
      </c>
      <c r="AL48" s="190">
        <v>0</v>
      </c>
      <c r="AM48" s="190">
        <v>527836.24</v>
      </c>
      <c r="AN48" s="190">
        <v>0</v>
      </c>
      <c r="AO48" s="190">
        <v>6621635.0700000003</v>
      </c>
      <c r="AP48" s="190">
        <v>0</v>
      </c>
      <c r="AQ48" s="190">
        <v>1747683.12</v>
      </c>
      <c r="AR48" s="190">
        <v>-2139051.2400000002</v>
      </c>
      <c r="AS48" s="190">
        <v>0</v>
      </c>
    </row>
    <row r="49" spans="1:45" x14ac:dyDescent="0.25">
      <c r="A49" s="190" t="s">
        <v>263</v>
      </c>
      <c r="B49" s="190">
        <v>0</v>
      </c>
      <c r="C49" s="190">
        <v>18609479.210000001</v>
      </c>
      <c r="D49" s="190">
        <v>0</v>
      </c>
      <c r="E49" s="190">
        <v>37807652.420000002</v>
      </c>
      <c r="F49" s="190">
        <v>0</v>
      </c>
      <c r="G49" s="190">
        <v>24188662.149999999</v>
      </c>
      <c r="H49" s="190">
        <v>0</v>
      </c>
      <c r="I49" s="190">
        <v>35440637.75</v>
      </c>
      <c r="J49" s="190">
        <v>0</v>
      </c>
      <c r="K49" s="190">
        <v>24114191.109999999</v>
      </c>
      <c r="L49" s="190">
        <v>0</v>
      </c>
      <c r="M49" s="190">
        <v>34959961.5</v>
      </c>
      <c r="N49" s="190">
        <v>0</v>
      </c>
      <c r="O49" s="190">
        <v>17224346.050000001</v>
      </c>
      <c r="P49" s="190">
        <v>0</v>
      </c>
      <c r="Q49" s="190">
        <v>32829402.239999998</v>
      </c>
      <c r="R49" s="190">
        <v>0</v>
      </c>
      <c r="S49" s="190">
        <v>16304147.16</v>
      </c>
      <c r="T49" s="190">
        <v>0</v>
      </c>
      <c r="U49" s="190">
        <v>27484041.66</v>
      </c>
      <c r="V49" s="190">
        <v>0</v>
      </c>
      <c r="W49" s="190">
        <v>13633692.060000001</v>
      </c>
      <c r="X49" s="190">
        <v>0</v>
      </c>
      <c r="Y49" s="190">
        <v>22381991.079999998</v>
      </c>
      <c r="Z49" s="190">
        <v>0</v>
      </c>
      <c r="AA49" s="190">
        <v>10454383.35</v>
      </c>
      <c r="AB49" s="190">
        <v>0</v>
      </c>
      <c r="AC49" s="190">
        <v>11203316.279999999</v>
      </c>
      <c r="AD49" s="190">
        <v>0</v>
      </c>
      <c r="AE49" s="190">
        <v>4861813.6900000004</v>
      </c>
      <c r="AF49" s="190">
        <v>0</v>
      </c>
      <c r="AG49" s="190">
        <v>7957339.1600000001</v>
      </c>
      <c r="AH49" s="190">
        <v>0</v>
      </c>
      <c r="AI49" s="190">
        <v>3978568.6</v>
      </c>
      <c r="AJ49" s="190">
        <v>0</v>
      </c>
      <c r="AK49" s="190">
        <v>7885187.7300000004</v>
      </c>
      <c r="AL49" s="190">
        <v>0</v>
      </c>
      <c r="AM49" s="190">
        <v>3958009.57</v>
      </c>
      <c r="AN49" s="190">
        <v>0</v>
      </c>
      <c r="AO49" s="190">
        <v>6177331.71</v>
      </c>
      <c r="AP49" s="190">
        <v>0</v>
      </c>
      <c r="AQ49" s="190">
        <v>5055507.91</v>
      </c>
      <c r="AR49" s="190">
        <v>5767930.5800000001</v>
      </c>
      <c r="AS49" s="190">
        <v>0</v>
      </c>
    </row>
    <row r="50" spans="1:45" x14ac:dyDescent="0.25">
      <c r="A50" s="190" t="s">
        <v>264</v>
      </c>
      <c r="B50" s="190">
        <v>0</v>
      </c>
      <c r="C50" s="190">
        <v>7943763.7300000004</v>
      </c>
      <c r="D50" s="190">
        <v>0</v>
      </c>
      <c r="E50" s="190">
        <v>25971884.399999999</v>
      </c>
      <c r="F50" s="190">
        <v>0</v>
      </c>
      <c r="G50" s="190">
        <v>8416974.0999999996</v>
      </c>
      <c r="H50" s="190">
        <v>0</v>
      </c>
      <c r="I50" s="190">
        <v>7090984.5700000003</v>
      </c>
      <c r="J50" s="190">
        <v>0</v>
      </c>
      <c r="K50" s="190">
        <v>3264639.28</v>
      </c>
      <c r="L50" s="190">
        <v>0</v>
      </c>
      <c r="M50" s="190">
        <v>5117837.59</v>
      </c>
      <c r="N50" s="190">
        <v>0</v>
      </c>
      <c r="O50" s="190">
        <v>2391488.0299999998</v>
      </c>
      <c r="P50" s="190">
        <v>0</v>
      </c>
      <c r="Q50" s="190">
        <v>5055901.84</v>
      </c>
      <c r="R50" s="190">
        <v>0</v>
      </c>
      <c r="S50" s="190">
        <v>2494246.64</v>
      </c>
      <c r="T50" s="190">
        <v>0</v>
      </c>
      <c r="U50" s="190">
        <v>4350113.88</v>
      </c>
      <c r="V50" s="190">
        <v>0</v>
      </c>
      <c r="W50" s="190">
        <v>2003224.18</v>
      </c>
      <c r="X50" s="190">
        <v>0</v>
      </c>
      <c r="Y50" s="190">
        <v>3599842.27</v>
      </c>
      <c r="Z50" s="190">
        <v>0</v>
      </c>
      <c r="AA50" s="190">
        <v>1780235.23</v>
      </c>
      <c r="AB50" s="190">
        <v>0</v>
      </c>
      <c r="AC50" s="190">
        <v>2025721.79</v>
      </c>
      <c r="AD50" s="190">
        <v>0</v>
      </c>
      <c r="AE50" s="190">
        <v>690884.18</v>
      </c>
      <c r="AF50" s="190">
        <v>0</v>
      </c>
      <c r="AG50" s="190">
        <v>822758.43</v>
      </c>
      <c r="AH50" s="190">
        <v>0</v>
      </c>
      <c r="AI50" s="190">
        <v>344885.94</v>
      </c>
      <c r="AJ50" s="190">
        <v>0</v>
      </c>
      <c r="AK50" s="190">
        <v>516614.44</v>
      </c>
      <c r="AL50" s="190">
        <v>0</v>
      </c>
      <c r="AM50" s="190">
        <v>255674.06</v>
      </c>
      <c r="AN50" s="190">
        <v>0</v>
      </c>
      <c r="AO50" s="190">
        <v>480260.76</v>
      </c>
      <c r="AP50" s="190">
        <v>0</v>
      </c>
      <c r="AQ50" s="190">
        <v>480260.76</v>
      </c>
      <c r="AR50" s="190">
        <v>216882.08</v>
      </c>
      <c r="AS50" s="190">
        <v>0</v>
      </c>
    </row>
    <row r="51" spans="1:45" x14ac:dyDescent="0.25">
      <c r="A51" s="190" t="s">
        <v>265</v>
      </c>
      <c r="B51" s="190">
        <v>0</v>
      </c>
      <c r="C51" s="190">
        <v>18216996.620000001</v>
      </c>
      <c r="D51" s="190">
        <v>0</v>
      </c>
      <c r="E51" s="190">
        <v>44118084.619999997</v>
      </c>
      <c r="F51" s="190">
        <v>0</v>
      </c>
      <c r="G51" s="190">
        <v>18143207.620000001</v>
      </c>
      <c r="H51" s="190">
        <v>0</v>
      </c>
      <c r="I51" s="190">
        <v>31691698.710000001</v>
      </c>
      <c r="J51" s="190">
        <v>0</v>
      </c>
      <c r="K51" s="190">
        <v>16703937.890000001</v>
      </c>
      <c r="L51" s="190">
        <v>0</v>
      </c>
      <c r="M51" s="190">
        <v>27324656.59</v>
      </c>
      <c r="N51" s="190">
        <v>0</v>
      </c>
      <c r="O51" s="190">
        <v>11520338.15</v>
      </c>
      <c r="P51" s="190">
        <v>0</v>
      </c>
      <c r="Q51" s="190">
        <v>23465747.539999999</v>
      </c>
      <c r="R51" s="190">
        <v>0</v>
      </c>
      <c r="S51" s="190">
        <v>11528436.73</v>
      </c>
      <c r="T51" s="190">
        <v>0</v>
      </c>
      <c r="U51" s="190">
        <v>16426474.23</v>
      </c>
      <c r="V51" s="190">
        <v>0</v>
      </c>
      <c r="W51" s="190">
        <v>7062238.1299999999</v>
      </c>
      <c r="X51" s="190">
        <v>0</v>
      </c>
      <c r="Y51" s="190">
        <v>14567104.789999999</v>
      </c>
      <c r="Z51" s="190">
        <v>0</v>
      </c>
      <c r="AA51" s="190">
        <v>5027600.82</v>
      </c>
      <c r="AB51" s="190">
        <v>0</v>
      </c>
      <c r="AC51" s="190">
        <v>4795014.71</v>
      </c>
      <c r="AD51" s="190">
        <v>0</v>
      </c>
      <c r="AE51" s="190">
        <v>391855.77</v>
      </c>
      <c r="AF51" s="190">
        <v>0</v>
      </c>
      <c r="AG51" s="190">
        <v>3267896.07</v>
      </c>
      <c r="AH51" s="190">
        <v>0</v>
      </c>
      <c r="AI51" s="190">
        <v>-291810.57</v>
      </c>
      <c r="AJ51" s="190">
        <v>0</v>
      </c>
      <c r="AK51" s="190">
        <v>-4663144.5199999996</v>
      </c>
      <c r="AL51" s="190">
        <v>0</v>
      </c>
      <c r="AM51" s="190">
        <v>0</v>
      </c>
      <c r="AN51" s="190">
        <v>0</v>
      </c>
      <c r="AO51" s="190">
        <v>0</v>
      </c>
      <c r="AP51" s="190">
        <v>0</v>
      </c>
      <c r="AQ51" s="190">
        <v>0</v>
      </c>
      <c r="AR51" s="190">
        <v>0</v>
      </c>
      <c r="AS51" s="190">
        <v>0</v>
      </c>
    </row>
    <row r="52" spans="1:45"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row>
    <row r="53" spans="1:45"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row>
    <row r="54" spans="1:45" x14ac:dyDescent="0.25">
      <c r="A54" s="190" t="s">
        <v>268</v>
      </c>
      <c r="B54" s="190">
        <v>0</v>
      </c>
      <c r="C54" s="190">
        <v>527845.37</v>
      </c>
      <c r="D54" s="190">
        <v>0</v>
      </c>
      <c r="E54" s="190">
        <v>400460.26</v>
      </c>
      <c r="F54" s="190">
        <v>0</v>
      </c>
      <c r="G54" s="190">
        <v>567133.53</v>
      </c>
      <c r="H54" s="190">
        <v>0</v>
      </c>
      <c r="I54" s="190">
        <v>315541.44</v>
      </c>
      <c r="J54" s="190">
        <v>0</v>
      </c>
      <c r="K54" s="190">
        <v>271326.99</v>
      </c>
      <c r="L54" s="190">
        <v>0</v>
      </c>
      <c r="M54" s="190">
        <v>262905.48</v>
      </c>
      <c r="N54" s="190">
        <v>0</v>
      </c>
      <c r="O54" s="190">
        <v>211459.86</v>
      </c>
      <c r="P54" s="190">
        <v>0</v>
      </c>
      <c r="Q54" s="190">
        <v>708521.66</v>
      </c>
      <c r="R54" s="190">
        <v>0</v>
      </c>
      <c r="S54" s="190">
        <v>-156539.56</v>
      </c>
      <c r="T54" s="190">
        <v>0</v>
      </c>
      <c r="U54" s="190">
        <v>94529.15</v>
      </c>
      <c r="V54" s="190">
        <v>0</v>
      </c>
      <c r="W54" s="190">
        <v>-49124.82</v>
      </c>
      <c r="X54" s="190">
        <v>0</v>
      </c>
      <c r="Y54" s="190">
        <v>442631.58</v>
      </c>
      <c r="Z54" s="190">
        <v>0</v>
      </c>
      <c r="AA54" s="190">
        <v>355433.64</v>
      </c>
      <c r="AB54" s="190">
        <v>0</v>
      </c>
      <c r="AC54" s="190">
        <v>122008.88</v>
      </c>
      <c r="AD54" s="190">
        <v>0</v>
      </c>
      <c r="AE54" s="190">
        <v>-166311.64000000001</v>
      </c>
      <c r="AF54" s="190">
        <v>0</v>
      </c>
      <c r="AG54" s="190">
        <v>92121.38</v>
      </c>
      <c r="AH54" s="190">
        <v>0</v>
      </c>
      <c r="AI54" s="190">
        <v>10876.46</v>
      </c>
      <c r="AJ54" s="190">
        <v>0</v>
      </c>
      <c r="AK54" s="190">
        <v>196954.43</v>
      </c>
      <c r="AL54" s="190">
        <v>0</v>
      </c>
      <c r="AM54" s="190">
        <v>14468.98</v>
      </c>
      <c r="AN54" s="190">
        <v>0</v>
      </c>
      <c r="AO54" s="190">
        <v>90111.08</v>
      </c>
      <c r="AP54" s="190">
        <v>0</v>
      </c>
      <c r="AQ54" s="190">
        <v>0</v>
      </c>
      <c r="AR54" s="190">
        <v>189932.79999999999</v>
      </c>
      <c r="AS54" s="190">
        <v>0</v>
      </c>
    </row>
    <row r="55" spans="1:45" x14ac:dyDescent="0.25">
      <c r="A55" s="190" t="s">
        <v>269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2060.88</v>
      </c>
      <c r="AF55" s="190">
        <v>0</v>
      </c>
      <c r="AG55" s="190">
        <v>0</v>
      </c>
      <c r="AH55" s="190">
        <v>0</v>
      </c>
      <c r="AI55" s="190">
        <v>0</v>
      </c>
      <c r="AJ55" s="190">
        <v>0</v>
      </c>
      <c r="AK55" s="190">
        <v>0</v>
      </c>
      <c r="AL55" s="190">
        <v>0</v>
      </c>
      <c r="AM55" s="190">
        <v>0</v>
      </c>
      <c r="AN55" s="190">
        <v>0</v>
      </c>
      <c r="AO55" s="190">
        <v>0</v>
      </c>
      <c r="AP55" s="190">
        <v>0</v>
      </c>
      <c r="AQ55" s="190">
        <v>1516529.05</v>
      </c>
      <c r="AR55" s="190">
        <v>15552.35</v>
      </c>
      <c r="AS55" s="190">
        <v>0</v>
      </c>
    </row>
    <row r="56" spans="1:45" x14ac:dyDescent="0.25">
      <c r="A56" s="190" t="s">
        <v>270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row>
    <row r="57" spans="1:45"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row>
    <row r="58" spans="1:45"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row>
    <row r="59" spans="1:45" x14ac:dyDescent="0.25">
      <c r="A59" s="190" t="s">
        <v>197</v>
      </c>
      <c r="B59" s="190">
        <v>0</v>
      </c>
      <c r="C59" s="190">
        <v>1307558.08</v>
      </c>
      <c r="D59" s="190">
        <v>0</v>
      </c>
      <c r="E59" s="190">
        <v>25239860.559999999</v>
      </c>
      <c r="F59" s="190">
        <v>0</v>
      </c>
      <c r="G59" s="190">
        <v>6953164.75</v>
      </c>
      <c r="H59" s="190">
        <v>0</v>
      </c>
      <c r="I59" s="190">
        <v>-8730849.1099999994</v>
      </c>
      <c r="J59" s="190">
        <v>0</v>
      </c>
      <c r="K59" s="190">
        <v>-2703142.79</v>
      </c>
      <c r="L59" s="190">
        <v>0</v>
      </c>
      <c r="M59" s="190">
        <v>-15321156.119999999</v>
      </c>
      <c r="N59" s="190">
        <v>0</v>
      </c>
      <c r="O59" s="190">
        <v>-7911647.0199999996</v>
      </c>
      <c r="P59" s="190">
        <v>0</v>
      </c>
      <c r="Q59" s="190">
        <v>-22611244.149999999</v>
      </c>
      <c r="R59" s="190">
        <v>0</v>
      </c>
      <c r="S59" s="190">
        <v>-13426084.09</v>
      </c>
      <c r="T59" s="190">
        <v>0</v>
      </c>
      <c r="U59" s="190">
        <v>-20697636.489999998</v>
      </c>
      <c r="V59" s="190">
        <v>0</v>
      </c>
      <c r="W59" s="190">
        <v>-12245539.949999999</v>
      </c>
      <c r="X59" s="190">
        <v>0</v>
      </c>
      <c r="Y59" s="190">
        <v>-21722176.239999998</v>
      </c>
      <c r="Z59" s="190">
        <v>0</v>
      </c>
      <c r="AA59" s="190">
        <v>-12981393.220000001</v>
      </c>
      <c r="AB59" s="190">
        <v>0</v>
      </c>
      <c r="AC59" s="190">
        <v>-26363710.850000001</v>
      </c>
      <c r="AD59" s="190">
        <v>0</v>
      </c>
      <c r="AE59" s="190">
        <v>-7794407.0999999996</v>
      </c>
      <c r="AF59" s="190">
        <v>0</v>
      </c>
      <c r="AG59" s="190">
        <v>-19731190.82</v>
      </c>
      <c r="AH59" s="190">
        <v>0</v>
      </c>
      <c r="AI59" s="190">
        <v>-3730626.07</v>
      </c>
      <c r="AJ59" s="190">
        <v>0</v>
      </c>
      <c r="AK59" s="190">
        <v>-1563006.14</v>
      </c>
      <c r="AL59" s="190">
        <v>0</v>
      </c>
      <c r="AM59" s="190">
        <v>-312048.69</v>
      </c>
      <c r="AN59" s="190">
        <v>0</v>
      </c>
      <c r="AO59" s="190">
        <v>1134616.1599999999</v>
      </c>
      <c r="AP59" s="190">
        <v>0</v>
      </c>
      <c r="AQ59" s="190">
        <v>2085964.89</v>
      </c>
      <c r="AR59" s="190">
        <v>1281006.17</v>
      </c>
      <c r="AS59" s="190">
        <v>0</v>
      </c>
    </row>
    <row r="60" spans="1:45" x14ac:dyDescent="0.25">
      <c r="A60" s="190" t="s">
        <v>273</v>
      </c>
      <c r="B60" s="190">
        <v>0</v>
      </c>
      <c r="C60" s="190">
        <v>-28971556.489999998</v>
      </c>
      <c r="D60" s="190">
        <v>0</v>
      </c>
      <c r="E60" s="190">
        <v>-46344509.020000003</v>
      </c>
      <c r="F60" s="190">
        <v>0</v>
      </c>
      <c r="G60" s="190">
        <v>-27737580.16</v>
      </c>
      <c r="H60" s="190">
        <v>0</v>
      </c>
      <c r="I60" s="190">
        <v>-30518868.780000001</v>
      </c>
      <c r="J60" s="190">
        <v>0</v>
      </c>
      <c r="K60" s="190">
        <v>-14837689.359999999</v>
      </c>
      <c r="L60" s="190">
        <v>0</v>
      </c>
      <c r="M60" s="190">
        <v>-54802146.340000004</v>
      </c>
      <c r="N60" s="190">
        <v>0</v>
      </c>
      <c r="O60" s="190">
        <v>-18458085.66</v>
      </c>
      <c r="P60" s="190">
        <v>0</v>
      </c>
      <c r="Q60" s="190">
        <v>-17154949.390000001</v>
      </c>
      <c r="R60" s="190">
        <v>0</v>
      </c>
      <c r="S60" s="190">
        <v>-8266763.2999999998</v>
      </c>
      <c r="T60" s="190">
        <v>0</v>
      </c>
      <c r="U60" s="190">
        <v>-5457633.1399999997</v>
      </c>
      <c r="V60" s="190">
        <v>0</v>
      </c>
      <c r="W60" s="190">
        <v>0</v>
      </c>
      <c r="X60" s="190">
        <v>0</v>
      </c>
      <c r="Y60" s="190">
        <v>-929555.19</v>
      </c>
      <c r="Z60" s="190">
        <v>0</v>
      </c>
      <c r="AA60" s="190">
        <v>0</v>
      </c>
      <c r="AB60" s="190">
        <v>0</v>
      </c>
      <c r="AC60" s="190">
        <v>0</v>
      </c>
      <c r="AD60" s="190">
        <v>0</v>
      </c>
      <c r="AE60" s="190">
        <v>0</v>
      </c>
      <c r="AF60" s="190">
        <v>0</v>
      </c>
      <c r="AG60" s="190">
        <v>0</v>
      </c>
      <c r="AH60" s="190">
        <v>0</v>
      </c>
      <c r="AI60" s="190">
        <v>0</v>
      </c>
      <c r="AJ60" s="190">
        <v>0</v>
      </c>
      <c r="AK60" s="190">
        <v>0</v>
      </c>
      <c r="AL60" s="190">
        <v>0</v>
      </c>
      <c r="AM60" s="190">
        <v>0</v>
      </c>
      <c r="AN60" s="190">
        <v>0</v>
      </c>
      <c r="AO60" s="190">
        <v>-3020.54</v>
      </c>
      <c r="AP60" s="190">
        <v>0</v>
      </c>
      <c r="AQ60" s="190">
        <v>-10356.16</v>
      </c>
      <c r="AR60" s="190">
        <v>0</v>
      </c>
      <c r="AS60" s="190">
        <v>0</v>
      </c>
    </row>
    <row r="61" spans="1:45" x14ac:dyDescent="0.25">
      <c r="A61" s="190" t="s">
        <v>274</v>
      </c>
      <c r="B61" s="190">
        <v>0</v>
      </c>
      <c r="C61" s="190">
        <v>9760597.0899999999</v>
      </c>
      <c r="D61" s="190">
        <v>0</v>
      </c>
      <c r="E61" s="190">
        <v>-7491690.3799999999</v>
      </c>
      <c r="F61" s="190">
        <v>0</v>
      </c>
      <c r="G61" s="190">
        <v>-8660996.3399999999</v>
      </c>
      <c r="H61" s="190">
        <v>0</v>
      </c>
      <c r="I61" s="190">
        <v>8476653.6699999999</v>
      </c>
      <c r="J61" s="190">
        <v>0</v>
      </c>
      <c r="K61" s="190">
        <v>6318528.2699999996</v>
      </c>
      <c r="L61" s="190">
        <v>0</v>
      </c>
      <c r="M61" s="190">
        <v>-19135636.699999999</v>
      </c>
      <c r="N61" s="190">
        <v>0</v>
      </c>
      <c r="O61" s="190">
        <v>-1504823.25</v>
      </c>
      <c r="P61" s="190">
        <v>0</v>
      </c>
      <c r="Q61" s="190">
        <v>-25752529.100000001</v>
      </c>
      <c r="R61" s="190">
        <v>0</v>
      </c>
      <c r="S61" s="190">
        <v>-7849267.2699999996</v>
      </c>
      <c r="T61" s="190">
        <v>0</v>
      </c>
      <c r="U61" s="190">
        <v>-4021348.8</v>
      </c>
      <c r="V61" s="190">
        <v>0</v>
      </c>
      <c r="W61" s="190">
        <v>-8217536.0999999996</v>
      </c>
      <c r="X61" s="190">
        <v>0</v>
      </c>
      <c r="Y61" s="190">
        <v>-11069646.289999999</v>
      </c>
      <c r="Z61" s="190">
        <v>0</v>
      </c>
      <c r="AA61" s="190">
        <v>-4953287.91</v>
      </c>
      <c r="AB61" s="190">
        <v>0</v>
      </c>
      <c r="AC61" s="190">
        <v>-3503349.13</v>
      </c>
      <c r="AD61" s="190">
        <v>0</v>
      </c>
      <c r="AE61" s="190">
        <v>-8312010.4000000004</v>
      </c>
      <c r="AF61" s="190">
        <v>0</v>
      </c>
      <c r="AG61" s="190">
        <v>-24159611.800000001</v>
      </c>
      <c r="AH61" s="190">
        <v>0</v>
      </c>
      <c r="AI61" s="190">
        <v>957247.32</v>
      </c>
      <c r="AJ61" s="190">
        <v>0</v>
      </c>
      <c r="AK61" s="190">
        <v>-1165384.22</v>
      </c>
      <c r="AL61" s="190">
        <v>0</v>
      </c>
      <c r="AM61" s="190">
        <v>1594552.3200000001</v>
      </c>
      <c r="AN61" s="190">
        <v>0</v>
      </c>
      <c r="AO61" s="190">
        <v>-2288798.23</v>
      </c>
      <c r="AP61" s="190">
        <v>0</v>
      </c>
      <c r="AQ61" s="190">
        <v>-1083432.95</v>
      </c>
      <c r="AR61" s="190">
        <v>-2066397.91</v>
      </c>
      <c r="AS61" s="190">
        <v>0</v>
      </c>
    </row>
    <row r="62" spans="1:45" x14ac:dyDescent="0.25">
      <c r="A62" s="190" t="s">
        <v>275</v>
      </c>
      <c r="B62" s="190">
        <v>0</v>
      </c>
      <c r="C62" s="190">
        <v>3872843.21</v>
      </c>
      <c r="D62" s="190">
        <v>0</v>
      </c>
      <c r="E62" s="190">
        <v>547967.21</v>
      </c>
      <c r="F62" s="190">
        <v>0</v>
      </c>
      <c r="G62" s="190">
        <v>-5221326.74</v>
      </c>
      <c r="H62" s="190">
        <v>0</v>
      </c>
      <c r="I62" s="190">
        <v>-125000</v>
      </c>
      <c r="J62" s="190">
        <v>0</v>
      </c>
      <c r="K62" s="190">
        <v>0</v>
      </c>
      <c r="L62" s="190">
        <v>0</v>
      </c>
      <c r="M62" s="190">
        <v>0</v>
      </c>
      <c r="N62" s="190">
        <v>0</v>
      </c>
      <c r="O62" s="190">
        <v>0</v>
      </c>
      <c r="P62" s="190">
        <v>0</v>
      </c>
      <c r="Q62" s="190">
        <v>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c r="AS62" s="190">
        <v>0</v>
      </c>
    </row>
    <row r="63" spans="1:45" x14ac:dyDescent="0.25">
      <c r="A63" s="190" t="s">
        <v>276</v>
      </c>
      <c r="B63" s="190">
        <v>0</v>
      </c>
      <c r="C63" s="190">
        <v>-270512347.47000003</v>
      </c>
      <c r="D63" s="190">
        <v>0</v>
      </c>
      <c r="E63" s="190">
        <v>-133028597.31</v>
      </c>
      <c r="F63" s="190">
        <v>0</v>
      </c>
      <c r="G63" s="190">
        <v>-223622068.68000001</v>
      </c>
      <c r="H63" s="190">
        <v>0</v>
      </c>
      <c r="I63" s="190">
        <v>-16098122.91</v>
      </c>
      <c r="J63" s="190">
        <v>0</v>
      </c>
      <c r="K63" s="190">
        <v>77679803.290000007</v>
      </c>
      <c r="L63" s="190">
        <v>0</v>
      </c>
      <c r="M63" s="190">
        <v>-18168112.329999998</v>
      </c>
      <c r="N63" s="190">
        <v>0</v>
      </c>
      <c r="O63" s="190">
        <v>26688508.66</v>
      </c>
      <c r="P63" s="190">
        <v>0</v>
      </c>
      <c r="Q63" s="190">
        <v>89674022.239999995</v>
      </c>
      <c r="R63" s="190">
        <v>0</v>
      </c>
      <c r="S63" s="190">
        <v>-10331105.810000001</v>
      </c>
      <c r="T63" s="190">
        <v>0</v>
      </c>
      <c r="U63" s="190">
        <v>-68732163.459999993</v>
      </c>
      <c r="V63" s="190">
        <v>0</v>
      </c>
      <c r="W63" s="190">
        <v>-60728493.130000003</v>
      </c>
      <c r="X63" s="190">
        <v>0</v>
      </c>
      <c r="Y63" s="190">
        <v>-100666662.39</v>
      </c>
      <c r="Z63" s="190">
        <v>0</v>
      </c>
      <c r="AA63" s="190">
        <v>-250879712.24000001</v>
      </c>
      <c r="AB63" s="190">
        <v>0</v>
      </c>
      <c r="AC63" s="190">
        <v>-56766653.920000002</v>
      </c>
      <c r="AD63" s="190">
        <v>0</v>
      </c>
      <c r="AE63" s="190">
        <v>-61145403.899999999</v>
      </c>
      <c r="AF63" s="190">
        <v>0</v>
      </c>
      <c r="AG63" s="190">
        <v>-206240481.53999999</v>
      </c>
      <c r="AH63" s="190">
        <v>0</v>
      </c>
      <c r="AI63" s="190">
        <v>-135236055.83000001</v>
      </c>
      <c r="AJ63" s="190">
        <v>0</v>
      </c>
      <c r="AK63" s="190">
        <v>-37060712.119999997</v>
      </c>
      <c r="AL63" s="190">
        <v>0</v>
      </c>
      <c r="AM63" s="190">
        <v>-25810732.34</v>
      </c>
      <c r="AN63" s="190">
        <v>0</v>
      </c>
      <c r="AO63" s="190">
        <v>-37539065.030000001</v>
      </c>
      <c r="AP63" s="190">
        <v>0</v>
      </c>
      <c r="AQ63" s="190">
        <v>-28475568.91</v>
      </c>
      <c r="AR63" s="190">
        <v>-65466034.479999997</v>
      </c>
      <c r="AS63" s="190">
        <v>0</v>
      </c>
    </row>
    <row r="64" spans="1:45" x14ac:dyDescent="0.25">
      <c r="A64" s="190" t="s">
        <v>277</v>
      </c>
      <c r="B64" s="190">
        <v>0</v>
      </c>
      <c r="C64" s="190">
        <v>-50951413.270000003</v>
      </c>
      <c r="D64" s="190">
        <v>0</v>
      </c>
      <c r="E64" s="190">
        <v>-143497248.13999999</v>
      </c>
      <c r="F64" s="190">
        <v>0</v>
      </c>
      <c r="G64" s="190">
        <v>2111740.39</v>
      </c>
      <c r="H64" s="190">
        <v>0</v>
      </c>
      <c r="I64" s="190">
        <v>-26146736.719999999</v>
      </c>
      <c r="J64" s="190">
        <v>0</v>
      </c>
      <c r="K64" s="190">
        <v>-127488531.88</v>
      </c>
      <c r="L64" s="190">
        <v>0</v>
      </c>
      <c r="M64" s="190">
        <v>-178507522.28999999</v>
      </c>
      <c r="N64" s="190">
        <v>0</v>
      </c>
      <c r="O64" s="190">
        <v>-1847679.12</v>
      </c>
      <c r="P64" s="190">
        <v>0</v>
      </c>
      <c r="Q64" s="190">
        <v>3051252.69</v>
      </c>
      <c r="R64" s="190">
        <v>0</v>
      </c>
      <c r="S64" s="190">
        <v>-34159943.299999997</v>
      </c>
      <c r="T64" s="190">
        <v>0</v>
      </c>
      <c r="U64" s="190">
        <v>47790581.899999999</v>
      </c>
      <c r="V64" s="190">
        <v>0</v>
      </c>
      <c r="W64" s="190">
        <v>-35009074.149999999</v>
      </c>
      <c r="X64" s="190">
        <v>0</v>
      </c>
      <c r="Y64" s="190">
        <v>-34754370.640000001</v>
      </c>
      <c r="Z64" s="190">
        <v>0</v>
      </c>
      <c r="AA64" s="190">
        <v>-4469284.6900000004</v>
      </c>
      <c r="AB64" s="190">
        <v>0</v>
      </c>
      <c r="AC64" s="190">
        <v>-86065765.989999995</v>
      </c>
      <c r="AD64" s="190">
        <v>0</v>
      </c>
      <c r="AE64" s="190">
        <v>24430046.219999999</v>
      </c>
      <c r="AF64" s="190">
        <v>0</v>
      </c>
      <c r="AG64" s="190">
        <v>-47994233.460000001</v>
      </c>
      <c r="AH64" s="190">
        <v>0</v>
      </c>
      <c r="AI64" s="190">
        <v>14468094.25</v>
      </c>
      <c r="AJ64" s="190">
        <v>0</v>
      </c>
      <c r="AK64" s="190">
        <v>-30018000.300000001</v>
      </c>
      <c r="AL64" s="190">
        <v>0</v>
      </c>
      <c r="AM64" s="190">
        <v>5993070.8799999999</v>
      </c>
      <c r="AN64" s="190">
        <v>0</v>
      </c>
      <c r="AO64" s="190">
        <v>-15163679.859999999</v>
      </c>
      <c r="AP64" s="190">
        <v>0</v>
      </c>
      <c r="AQ64" s="190">
        <v>-20319199.530000001</v>
      </c>
      <c r="AR64" s="190">
        <v>34659798.350000001</v>
      </c>
      <c r="AS64" s="190">
        <v>0</v>
      </c>
    </row>
    <row r="65" spans="1:45" x14ac:dyDescent="0.25">
      <c r="A65" s="190" t="s">
        <v>278</v>
      </c>
      <c r="B65" s="190">
        <v>0</v>
      </c>
      <c r="C65" s="190">
        <v>-21041283.050000001</v>
      </c>
      <c r="D65" s="190">
        <v>0</v>
      </c>
      <c r="E65" s="190">
        <v>71098743.049999997</v>
      </c>
      <c r="F65" s="190">
        <v>0</v>
      </c>
      <c r="G65" s="190">
        <v>-105426995.84</v>
      </c>
      <c r="H65" s="190">
        <v>0</v>
      </c>
      <c r="I65" s="190">
        <v>116585095.48</v>
      </c>
      <c r="J65" s="190">
        <v>0</v>
      </c>
      <c r="K65" s="190">
        <v>-96302980.849999994</v>
      </c>
      <c r="L65" s="190">
        <v>0</v>
      </c>
      <c r="M65" s="190">
        <v>103382388.27</v>
      </c>
      <c r="N65" s="190">
        <v>0</v>
      </c>
      <c r="O65" s="190">
        <v>-148287897.44</v>
      </c>
      <c r="P65" s="190">
        <v>0</v>
      </c>
      <c r="Q65" s="190">
        <v>4556524.75</v>
      </c>
      <c r="R65" s="190">
        <v>0</v>
      </c>
      <c r="S65" s="190">
        <v>-31953959.280000001</v>
      </c>
      <c r="T65" s="190">
        <v>0</v>
      </c>
      <c r="U65" s="190">
        <v>72951778.359999999</v>
      </c>
      <c r="V65" s="190">
        <v>0</v>
      </c>
      <c r="W65" s="190">
        <v>-109545322.48</v>
      </c>
      <c r="X65" s="190">
        <v>0</v>
      </c>
      <c r="Y65" s="190">
        <v>-15310735.24</v>
      </c>
      <c r="Z65" s="190">
        <v>0</v>
      </c>
      <c r="AA65" s="190">
        <v>-36934963.719999999</v>
      </c>
      <c r="AB65" s="190">
        <v>0</v>
      </c>
      <c r="AC65" s="190">
        <v>80453814.579999998</v>
      </c>
      <c r="AD65" s="190">
        <v>0</v>
      </c>
      <c r="AE65" s="190">
        <v>-64283537.299999997</v>
      </c>
      <c r="AF65" s="190">
        <v>0</v>
      </c>
      <c r="AG65" s="190">
        <v>195946138.86000001</v>
      </c>
      <c r="AH65" s="190">
        <v>0</v>
      </c>
      <c r="AI65" s="190">
        <v>4558873.83</v>
      </c>
      <c r="AJ65" s="190">
        <v>0</v>
      </c>
      <c r="AK65" s="190">
        <v>54423052.079999998</v>
      </c>
      <c r="AL65" s="190">
        <v>0</v>
      </c>
      <c r="AM65" s="190">
        <v>-14112964.539999999</v>
      </c>
      <c r="AN65" s="190">
        <v>0</v>
      </c>
      <c r="AO65" s="190">
        <v>37777767.850000001</v>
      </c>
      <c r="AP65" s="190">
        <v>0</v>
      </c>
      <c r="AQ65" s="190">
        <v>-1581473.03</v>
      </c>
      <c r="AR65" s="190">
        <v>-4126077.36</v>
      </c>
      <c r="AS65" s="190">
        <v>0</v>
      </c>
    </row>
    <row r="66" spans="1:45"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row>
    <row r="67" spans="1:45"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row>
    <row r="68" spans="1:45" x14ac:dyDescent="0.25">
      <c r="A68" s="190" t="s">
        <v>281</v>
      </c>
      <c r="B68" s="190">
        <v>0</v>
      </c>
      <c r="C68" s="190">
        <v>0</v>
      </c>
      <c r="D68" s="190">
        <v>0</v>
      </c>
      <c r="E68" s="190">
        <v>4860158.33</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-451971.15</v>
      </c>
      <c r="AR68" s="190">
        <v>-795354.9</v>
      </c>
      <c r="AS68" s="190">
        <v>0</v>
      </c>
    </row>
    <row r="69" spans="1:45" x14ac:dyDescent="0.25">
      <c r="A69" s="190" t="s">
        <v>282</v>
      </c>
      <c r="B69" s="190">
        <v>0</v>
      </c>
      <c r="C69" s="190">
        <v>-34056397.049999997</v>
      </c>
      <c r="D69" s="190">
        <v>0</v>
      </c>
      <c r="E69" s="190">
        <v>398329906.70999998</v>
      </c>
      <c r="F69" s="190">
        <v>0</v>
      </c>
      <c r="G69" s="190">
        <v>-108047538.38</v>
      </c>
      <c r="H69" s="190">
        <v>0</v>
      </c>
      <c r="I69" s="190">
        <v>505346104.88999999</v>
      </c>
      <c r="J69" s="190">
        <v>0</v>
      </c>
      <c r="K69" s="190">
        <v>52297990.909999996</v>
      </c>
      <c r="L69" s="190">
        <v>0</v>
      </c>
      <c r="M69" s="190">
        <v>339503977.39999998</v>
      </c>
      <c r="N69" s="190">
        <v>0</v>
      </c>
      <c r="O69" s="190">
        <v>70588324.090000004</v>
      </c>
      <c r="P69" s="190">
        <v>0</v>
      </c>
      <c r="Q69" s="190">
        <v>508017310.10000002</v>
      </c>
      <c r="R69" s="190">
        <v>0</v>
      </c>
      <c r="S69" s="190">
        <v>84241772.310000002</v>
      </c>
      <c r="T69" s="190">
        <v>0</v>
      </c>
      <c r="U69" s="190">
        <v>413669738.88</v>
      </c>
      <c r="V69" s="190">
        <v>0</v>
      </c>
      <c r="W69" s="190">
        <v>-63675890.590000004</v>
      </c>
      <c r="X69" s="190">
        <v>0</v>
      </c>
      <c r="Y69" s="190">
        <v>246398895.37</v>
      </c>
      <c r="Z69" s="190">
        <v>0</v>
      </c>
      <c r="AA69" s="190">
        <v>-157738332.30000001</v>
      </c>
      <c r="AB69" s="190">
        <v>0</v>
      </c>
      <c r="AC69" s="190">
        <v>306295910.07999998</v>
      </c>
      <c r="AD69" s="190">
        <v>0</v>
      </c>
      <c r="AE69" s="190">
        <v>52398903.630000003</v>
      </c>
      <c r="AF69" s="190">
        <v>0</v>
      </c>
      <c r="AG69" s="190">
        <v>132187072.02</v>
      </c>
      <c r="AH69" s="190">
        <v>0</v>
      </c>
      <c r="AI69" s="190">
        <v>-34746417.619999997</v>
      </c>
      <c r="AJ69" s="190">
        <v>0</v>
      </c>
      <c r="AK69" s="190">
        <v>134205495.3</v>
      </c>
      <c r="AL69" s="190">
        <v>0</v>
      </c>
      <c r="AM69" s="190">
        <v>23159448.66</v>
      </c>
      <c r="AN69" s="190">
        <v>0</v>
      </c>
      <c r="AO69" s="190">
        <v>108319136.56999999</v>
      </c>
      <c r="AP69" s="190">
        <v>0</v>
      </c>
      <c r="AQ69" s="190">
        <v>44102238.759999998</v>
      </c>
      <c r="AR69" s="190">
        <v>17055404.859999999</v>
      </c>
      <c r="AS69" s="190">
        <v>0</v>
      </c>
    </row>
    <row r="70" spans="1:45"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row>
    <row r="71" spans="1:45"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row>
    <row r="72" spans="1:45"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row>
    <row r="73" spans="1:45" x14ac:dyDescent="0.25">
      <c r="A73" s="190" t="s">
        <v>286</v>
      </c>
      <c r="B73" s="190">
        <v>0</v>
      </c>
      <c r="C73" s="190">
        <v>770050427.76999998</v>
      </c>
      <c r="D73" s="190">
        <v>0</v>
      </c>
      <c r="E73" s="190">
        <v>430523371.25999999</v>
      </c>
      <c r="F73" s="190">
        <v>0</v>
      </c>
      <c r="G73" s="190">
        <v>602354687.92999995</v>
      </c>
      <c r="H73" s="190">
        <v>0</v>
      </c>
      <c r="I73" s="190">
        <v>1071445020.5700001</v>
      </c>
      <c r="J73" s="190">
        <v>0</v>
      </c>
      <c r="K73" s="190">
        <v>566019652.64999998</v>
      </c>
      <c r="L73" s="190">
        <v>0</v>
      </c>
      <c r="M73" s="190">
        <v>589602793.25999999</v>
      </c>
      <c r="N73" s="190">
        <v>0</v>
      </c>
      <c r="O73" s="190">
        <v>619994822.77999997</v>
      </c>
      <c r="P73" s="190">
        <v>0</v>
      </c>
      <c r="Q73" s="190">
        <v>647204677.45000005</v>
      </c>
      <c r="R73" s="190">
        <v>0</v>
      </c>
      <c r="S73" s="190">
        <v>835542721.87</v>
      </c>
      <c r="T73" s="190">
        <v>0</v>
      </c>
      <c r="U73" s="190">
        <v>932276706.14999998</v>
      </c>
      <c r="V73" s="190">
        <v>0</v>
      </c>
      <c r="W73" s="190">
        <v>668725962.38</v>
      </c>
      <c r="X73" s="190">
        <v>0</v>
      </c>
      <c r="Y73" s="190">
        <v>956043885.24000001</v>
      </c>
      <c r="Z73" s="190">
        <v>0</v>
      </c>
      <c r="AA73" s="190">
        <v>667828913.97000003</v>
      </c>
      <c r="AB73" s="190">
        <v>0</v>
      </c>
      <c r="AC73" s="190">
        <v>1002302902.5700001</v>
      </c>
      <c r="AD73" s="190">
        <v>0</v>
      </c>
      <c r="AE73" s="190">
        <v>862194779.22000003</v>
      </c>
      <c r="AF73" s="190">
        <v>1151874426.3</v>
      </c>
      <c r="AG73" s="190">
        <v>1057191976.45</v>
      </c>
      <c r="AH73" s="190">
        <v>960610001.01999998</v>
      </c>
      <c r="AI73" s="190">
        <v>930790908.42999995</v>
      </c>
      <c r="AJ73" s="190">
        <v>1127134867.1700001</v>
      </c>
      <c r="AK73" s="190">
        <v>1065724173.83</v>
      </c>
      <c r="AL73" s="190">
        <v>1057983159.11</v>
      </c>
      <c r="AM73" s="190">
        <v>74650996.370000005</v>
      </c>
      <c r="AN73" s="190">
        <v>106349946.64</v>
      </c>
      <c r="AO73" s="190">
        <v>76012034.150000006</v>
      </c>
      <c r="AP73" s="190">
        <v>20254467.670000002</v>
      </c>
      <c r="AQ73" s="190">
        <v>44344260.259999998</v>
      </c>
      <c r="AR73" s="190">
        <v>52609626.460000001</v>
      </c>
      <c r="AS73" s="190">
        <v>0</v>
      </c>
    </row>
    <row r="74" spans="1:45" x14ac:dyDescent="0.25">
      <c r="A74" s="190" t="s">
        <v>287</v>
      </c>
      <c r="B74" s="190">
        <v>0</v>
      </c>
      <c r="C74" s="190">
        <v>430523371.25999999</v>
      </c>
      <c r="D74" s="190">
        <v>0</v>
      </c>
      <c r="E74" s="190">
        <v>1071445020.5700001</v>
      </c>
      <c r="F74" s="190">
        <v>0</v>
      </c>
      <c r="G74" s="190">
        <v>1071445020.5700001</v>
      </c>
      <c r="H74" s="190">
        <v>0</v>
      </c>
      <c r="I74" s="190">
        <v>589602793.25999999</v>
      </c>
      <c r="J74" s="190">
        <v>0</v>
      </c>
      <c r="K74" s="190">
        <v>589602793.25999999</v>
      </c>
      <c r="L74" s="190">
        <v>0</v>
      </c>
      <c r="M74" s="190">
        <v>647204677.45000005</v>
      </c>
      <c r="N74" s="190">
        <v>0</v>
      </c>
      <c r="O74" s="190">
        <v>647204677.45000005</v>
      </c>
      <c r="P74" s="190">
        <v>0</v>
      </c>
      <c r="Q74" s="190">
        <v>932276706.14999998</v>
      </c>
      <c r="R74" s="190">
        <v>0</v>
      </c>
      <c r="S74" s="190">
        <v>932276706.14999998</v>
      </c>
      <c r="T74" s="190">
        <v>0</v>
      </c>
      <c r="U74" s="190">
        <v>956043885.24000001</v>
      </c>
      <c r="V74" s="190">
        <v>0</v>
      </c>
      <c r="W74" s="190">
        <v>956043885.24000001</v>
      </c>
      <c r="X74" s="190">
        <v>0</v>
      </c>
      <c r="Y74" s="190">
        <v>1002302902.5700001</v>
      </c>
      <c r="Z74" s="190">
        <v>0</v>
      </c>
      <c r="AA74" s="190">
        <v>1002302902.5700001</v>
      </c>
      <c r="AB74" s="190">
        <v>0</v>
      </c>
      <c r="AC74" s="190">
        <v>1057191976.45</v>
      </c>
      <c r="AD74" s="190">
        <v>0</v>
      </c>
      <c r="AE74" s="190">
        <v>1057191976.45</v>
      </c>
      <c r="AF74" s="190">
        <v>1057191976.45</v>
      </c>
      <c r="AG74" s="190">
        <v>1065724173.83</v>
      </c>
      <c r="AH74" s="190">
        <v>1065724173.83</v>
      </c>
      <c r="AI74" s="190">
        <v>1065724173.83</v>
      </c>
      <c r="AJ74" s="190">
        <v>1065724173.83</v>
      </c>
      <c r="AK74" s="190">
        <v>77813038.390000001</v>
      </c>
      <c r="AL74" s="190">
        <v>78505801.079999998</v>
      </c>
      <c r="AM74" s="190">
        <v>76012034.150000006</v>
      </c>
      <c r="AN74" s="190">
        <v>77813038.390000001</v>
      </c>
      <c r="AO74" s="190">
        <v>44344260.259999998</v>
      </c>
      <c r="AP74" s="190">
        <v>45134760.259999998</v>
      </c>
      <c r="AQ74" s="190">
        <v>52609626.460000001</v>
      </c>
      <c r="AR74" s="190">
        <v>5895087.4299999997</v>
      </c>
      <c r="AS74" s="190">
        <v>0</v>
      </c>
    </row>
    <row r="75" spans="1:45"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row>
    <row r="76" spans="1:45"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row>
    <row r="77" spans="1:45" x14ac:dyDescent="0.25">
      <c r="A77" s="190" t="s">
        <v>290</v>
      </c>
      <c r="B77" s="190">
        <v>0</v>
      </c>
      <c r="C77" s="190">
        <v>339527056.50999999</v>
      </c>
      <c r="D77" s="190">
        <v>0</v>
      </c>
      <c r="E77" s="190">
        <v>-640921649.30999994</v>
      </c>
      <c r="F77" s="190">
        <v>0</v>
      </c>
      <c r="G77" s="190">
        <v>-469090332.63999999</v>
      </c>
      <c r="H77" s="190">
        <v>0</v>
      </c>
      <c r="I77" s="190">
        <v>481842227.31</v>
      </c>
      <c r="J77" s="190">
        <v>0</v>
      </c>
      <c r="K77" s="190">
        <v>-23583140.609999999</v>
      </c>
      <c r="L77" s="190">
        <v>0</v>
      </c>
      <c r="M77" s="190">
        <v>-57601884.189999998</v>
      </c>
      <c r="N77" s="190">
        <v>0</v>
      </c>
      <c r="O77" s="190">
        <v>-27209854.670000002</v>
      </c>
      <c r="P77" s="190">
        <v>0</v>
      </c>
      <c r="Q77" s="190">
        <v>-285072028.69999999</v>
      </c>
      <c r="R77" s="190">
        <v>0</v>
      </c>
      <c r="S77" s="190">
        <v>-96733984.280000001</v>
      </c>
      <c r="T77" s="190">
        <v>0</v>
      </c>
      <c r="U77" s="190">
        <v>-23767179.09</v>
      </c>
      <c r="V77" s="190">
        <v>0</v>
      </c>
      <c r="W77" s="190">
        <v>-287317922.87</v>
      </c>
      <c r="X77" s="190">
        <v>0</v>
      </c>
      <c r="Y77" s="190">
        <v>-46259017.329999998</v>
      </c>
      <c r="Z77" s="190">
        <v>0</v>
      </c>
      <c r="AA77" s="190">
        <v>-334473988.60000002</v>
      </c>
      <c r="AB77" s="190">
        <v>0</v>
      </c>
      <c r="AC77" s="190">
        <v>-54889073.880000003</v>
      </c>
      <c r="AD77" s="190">
        <v>0</v>
      </c>
      <c r="AE77" s="190">
        <v>-194997197.22999999</v>
      </c>
      <c r="AF77" s="190">
        <v>94682449.849999994</v>
      </c>
      <c r="AG77" s="190">
        <v>-8532197.3800000008</v>
      </c>
      <c r="AH77" s="190">
        <v>-105114172.81</v>
      </c>
      <c r="AI77" s="190">
        <v>-134933265.40000001</v>
      </c>
      <c r="AJ77" s="190">
        <v>61410693.340000004</v>
      </c>
      <c r="AK77" s="190">
        <v>987911135.44000006</v>
      </c>
      <c r="AL77" s="190">
        <v>979477358.02999997</v>
      </c>
      <c r="AM77" s="190">
        <v>-1361037.78</v>
      </c>
      <c r="AN77" s="190">
        <v>28536908.25</v>
      </c>
      <c r="AO77" s="190">
        <v>31667773.890000001</v>
      </c>
      <c r="AP77" s="190">
        <v>-24880292.59</v>
      </c>
      <c r="AQ77" s="190">
        <v>-8265366.2000000002</v>
      </c>
      <c r="AR77" s="190">
        <v>46714539.030000001</v>
      </c>
      <c r="AS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19.332031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38" width="19.33203125" hidden="1" customWidth="1"/>
    <col min="39" max="39" width="17.21875" hidden="1" customWidth="1"/>
    <col min="40" max="41" width="17.21875" bestFit="1" customWidth="1"/>
    <col min="42" max="42" width="17.77734375" bestFit="1" customWidth="1"/>
    <col min="43" max="43" width="9.5546875" hidden="1" customWidth="1"/>
    <col min="44" max="44" width="20.44140625" bestFit="1" customWidth="1"/>
    <col min="45"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2293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20081231</v>
      </c>
      <c r="AO1" s="190">
        <v>20071231</v>
      </c>
      <c r="AP1" s="190">
        <v>20061231</v>
      </c>
      <c r="AQ1" s="190">
        <v>19700101</v>
      </c>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710118691.26999998</v>
      </c>
      <c r="C4" s="190">
        <v>770050427.76999998</v>
      </c>
      <c r="D4" s="190">
        <v>920634080.02999997</v>
      </c>
      <c r="E4" s="190">
        <v>430523371.25999999</v>
      </c>
      <c r="F4" s="190">
        <v>352507611.31</v>
      </c>
      <c r="G4" s="190">
        <v>602354687.92999995</v>
      </c>
      <c r="H4" s="190">
        <v>676673658.49000001</v>
      </c>
      <c r="I4" s="190">
        <v>1158545020.5699999</v>
      </c>
      <c r="J4" s="190">
        <v>528927546.98000002</v>
      </c>
      <c r="K4" s="190">
        <v>566329470.64999998</v>
      </c>
      <c r="L4" s="190">
        <v>692567896.78999996</v>
      </c>
      <c r="M4" s="190">
        <v>589602793.25999999</v>
      </c>
      <c r="N4" s="190">
        <v>736928180.35000002</v>
      </c>
      <c r="O4" s="190">
        <v>619994822.77999997</v>
      </c>
      <c r="P4" s="190">
        <v>669893756.87</v>
      </c>
      <c r="Q4" s="190">
        <v>647204677.45000005</v>
      </c>
      <c r="R4" s="190">
        <v>629117054.61000001</v>
      </c>
      <c r="S4" s="190">
        <v>835542721.87</v>
      </c>
      <c r="T4" s="190">
        <v>884858061.70000005</v>
      </c>
      <c r="U4" s="190">
        <v>932276706.14999998</v>
      </c>
      <c r="V4" s="190">
        <v>902923862.08000004</v>
      </c>
      <c r="W4" s="190">
        <v>668725962.38</v>
      </c>
      <c r="X4" s="190">
        <v>841093308.09000003</v>
      </c>
      <c r="Y4" s="190">
        <v>956043885.24000001</v>
      </c>
      <c r="Z4" s="190">
        <v>803173622.38</v>
      </c>
      <c r="AA4" s="190">
        <v>667828913.97000003</v>
      </c>
      <c r="AB4" s="190">
        <v>1014024416.74</v>
      </c>
      <c r="AC4" s="190">
        <v>1002302902.5700001</v>
      </c>
      <c r="AD4" s="190">
        <v>982362386.38999999</v>
      </c>
      <c r="AE4" s="190">
        <v>862194779.22000003</v>
      </c>
      <c r="AF4" s="190">
        <v>1151874426.3</v>
      </c>
      <c r="AG4" s="190">
        <v>1057191976.45</v>
      </c>
      <c r="AH4" s="190">
        <v>960610001.01999998</v>
      </c>
      <c r="AI4" s="190">
        <v>930790908.42999995</v>
      </c>
      <c r="AJ4" s="190">
        <v>1127355392.73</v>
      </c>
      <c r="AK4" s="190">
        <v>1066884381.7</v>
      </c>
      <c r="AL4" s="190">
        <v>1057983159.11</v>
      </c>
      <c r="AM4" s="190">
        <v>74808751.980000004</v>
      </c>
      <c r="AN4" s="190">
        <v>78505801.079999998</v>
      </c>
      <c r="AO4" s="190">
        <v>45134760.259999998</v>
      </c>
      <c r="AP4" s="190">
        <v>52609626.460000001</v>
      </c>
      <c r="AQ4" s="190">
        <v>0</v>
      </c>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row>
    <row r="5" spans="1:90" x14ac:dyDescent="0.25">
      <c r="A5" s="17" t="s">
        <v>2</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c r="AS5" s="190"/>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c r="CL5" s="190"/>
    </row>
    <row r="6" spans="1:90" x14ac:dyDescent="0.25">
      <c r="A6" s="17" t="s">
        <v>13</v>
      </c>
      <c r="B6" s="190">
        <v>0</v>
      </c>
      <c r="C6" s="190">
        <v>88855671.209999993</v>
      </c>
      <c r="D6" s="190">
        <v>106598759.26000001</v>
      </c>
      <c r="E6" s="190">
        <v>74189874.799999997</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c r="AS6" s="190"/>
      <c r="AT6" s="190"/>
      <c r="AU6" s="190"/>
      <c r="AV6" s="190"/>
      <c r="AW6" s="190"/>
      <c r="AX6" s="190"/>
      <c r="AY6" s="190"/>
      <c r="AZ6" s="190"/>
      <c r="BA6" s="190"/>
      <c r="BB6" s="190"/>
      <c r="BC6" s="190"/>
      <c r="BD6" s="190"/>
      <c r="BE6" s="190"/>
      <c r="BF6" s="190"/>
      <c r="BG6" s="190"/>
      <c r="BH6" s="190"/>
      <c r="BI6" s="190"/>
      <c r="BJ6" s="190"/>
      <c r="BK6" s="190"/>
      <c r="BL6" s="190"/>
      <c r="BM6" s="190"/>
      <c r="BN6" s="190"/>
      <c r="BO6" s="190"/>
      <c r="BP6" s="190"/>
      <c r="BQ6" s="190"/>
      <c r="BR6" s="190"/>
      <c r="BS6" s="190"/>
      <c r="BT6" s="190"/>
      <c r="BU6" s="190"/>
      <c r="BV6" s="190"/>
      <c r="BW6" s="190"/>
      <c r="BX6" s="190"/>
      <c r="BY6" s="190"/>
      <c r="BZ6" s="190"/>
      <c r="CA6" s="190"/>
      <c r="CB6" s="190"/>
      <c r="CC6" s="190"/>
      <c r="CD6" s="190"/>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c r="AS7" s="190"/>
      <c r="AT7" s="190"/>
      <c r="AU7" s="190"/>
      <c r="AV7" s="190"/>
      <c r="AW7" s="190"/>
      <c r="AX7" s="190"/>
      <c r="AY7" s="190"/>
      <c r="AZ7" s="190"/>
      <c r="BA7" s="190"/>
      <c r="BB7" s="190"/>
      <c r="BC7" s="190"/>
      <c r="BD7" s="190"/>
      <c r="BE7" s="190"/>
      <c r="BF7" s="190"/>
      <c r="BG7" s="190"/>
      <c r="BH7" s="190"/>
      <c r="BI7" s="190"/>
      <c r="BJ7" s="190"/>
      <c r="BK7" s="190"/>
      <c r="BL7" s="190"/>
      <c r="BM7" s="190"/>
      <c r="BN7" s="190"/>
      <c r="BO7" s="190"/>
      <c r="BP7" s="190"/>
      <c r="BQ7" s="190"/>
      <c r="BR7" s="190"/>
      <c r="BS7" s="190"/>
      <c r="BT7" s="190"/>
      <c r="BU7" s="190"/>
      <c r="BV7" s="190"/>
      <c r="BW7" s="190"/>
      <c r="BX7" s="190"/>
      <c r="BY7" s="190"/>
      <c r="BZ7" s="190"/>
      <c r="CA7" s="190"/>
      <c r="CB7" s="190"/>
      <c r="CC7" s="190"/>
      <c r="CD7" s="190"/>
      <c r="CE7" s="190"/>
      <c r="CF7" s="190"/>
      <c r="CG7" s="190"/>
      <c r="CH7" s="190"/>
      <c r="CI7" s="190"/>
      <c r="CJ7" s="190"/>
      <c r="CK7" s="190"/>
      <c r="CL7" s="190"/>
    </row>
    <row r="8" spans="1:90" x14ac:dyDescent="0.25">
      <c r="A8" s="17" t="s">
        <v>5</v>
      </c>
      <c r="B8" s="190">
        <v>227475238.28</v>
      </c>
      <c r="C8" s="190">
        <v>224516989.86000001</v>
      </c>
      <c r="D8" s="190">
        <v>204255161.68000001</v>
      </c>
      <c r="E8" s="190">
        <v>228463347.99000001</v>
      </c>
      <c r="F8" s="190">
        <v>189611525</v>
      </c>
      <c r="G8" s="190">
        <v>190034675</v>
      </c>
      <c r="H8" s="190">
        <v>388188950</v>
      </c>
      <c r="I8" s="190">
        <v>388797125</v>
      </c>
      <c r="J8" s="190">
        <v>406326690</v>
      </c>
      <c r="K8" s="190">
        <v>160371775</v>
      </c>
      <c r="L8" s="190">
        <v>103916150</v>
      </c>
      <c r="M8" s="190">
        <v>103985900</v>
      </c>
      <c r="N8" s="190">
        <v>60741278.399999999</v>
      </c>
      <c r="O8" s="190">
        <v>0</v>
      </c>
      <c r="P8" s="190">
        <v>0</v>
      </c>
      <c r="Q8" s="190">
        <v>0</v>
      </c>
      <c r="R8" s="190">
        <v>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50000000</v>
      </c>
      <c r="W9" s="190">
        <v>100431200</v>
      </c>
      <c r="X9" s="190">
        <v>150670577.77000001</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5010356.16</v>
      </c>
      <c r="AP9" s="190">
        <v>0</v>
      </c>
      <c r="AQ9" s="190">
        <v>0</v>
      </c>
      <c r="AR9" s="190"/>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c r="CL9" s="190"/>
    </row>
    <row r="10" spans="1:90" x14ac:dyDescent="0.25">
      <c r="A10" s="19" t="s">
        <v>7</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row>
    <row r="11" spans="1:90" x14ac:dyDescent="0.25">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BN12" s="190"/>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row>
    <row r="13" spans="1:90" x14ac:dyDescent="0.25">
      <c r="A13" s="17" t="s">
        <v>10</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937593929.54999995</v>
      </c>
      <c r="C17" s="33">
        <f t="shared" ref="C17:BN17" si="0">SUM(C4:C13)</f>
        <v>1083423088.8400002</v>
      </c>
      <c r="D17" s="33">
        <f t="shared" si="0"/>
        <v>1231488000.97</v>
      </c>
      <c r="E17" s="33">
        <f t="shared" si="0"/>
        <v>733176594.04999995</v>
      </c>
      <c r="F17" s="33">
        <f t="shared" si="0"/>
        <v>542119136.30999994</v>
      </c>
      <c r="G17" s="33">
        <f t="shared" si="0"/>
        <v>792389362.92999995</v>
      </c>
      <c r="H17" s="33">
        <f t="shared" si="0"/>
        <v>1064862608.49</v>
      </c>
      <c r="I17" s="33">
        <f t="shared" si="0"/>
        <v>1547342145.5699999</v>
      </c>
      <c r="J17" s="33">
        <f t="shared" si="0"/>
        <v>935254236.98000002</v>
      </c>
      <c r="K17" s="33">
        <f t="shared" si="0"/>
        <v>726701245.64999998</v>
      </c>
      <c r="L17" s="33">
        <f t="shared" si="0"/>
        <v>796484046.78999996</v>
      </c>
      <c r="M17" s="33">
        <f t="shared" si="0"/>
        <v>693588693.25999999</v>
      </c>
      <c r="N17" s="33">
        <f t="shared" si="0"/>
        <v>797669458.75</v>
      </c>
      <c r="O17" s="33">
        <f t="shared" si="0"/>
        <v>619994822.77999997</v>
      </c>
      <c r="P17" s="33">
        <f t="shared" si="0"/>
        <v>669893756.87</v>
      </c>
      <c r="Q17" s="33">
        <f t="shared" si="0"/>
        <v>647204677.45000005</v>
      </c>
      <c r="R17" s="33">
        <f t="shared" si="0"/>
        <v>629117054.61000001</v>
      </c>
      <c r="S17" s="33">
        <f t="shared" si="0"/>
        <v>835542721.87</v>
      </c>
      <c r="T17" s="33">
        <f t="shared" si="0"/>
        <v>884858061.70000005</v>
      </c>
      <c r="U17" s="33">
        <f t="shared" si="0"/>
        <v>932276706.14999998</v>
      </c>
      <c r="V17" s="33">
        <f t="shared" si="0"/>
        <v>952923862.08000004</v>
      </c>
      <c r="W17" s="33">
        <f t="shared" si="0"/>
        <v>769157162.38</v>
      </c>
      <c r="X17" s="33">
        <f t="shared" si="0"/>
        <v>991763885.86000001</v>
      </c>
      <c r="Y17" s="33">
        <f t="shared" si="0"/>
        <v>956043885.24000001</v>
      </c>
      <c r="Z17" s="33">
        <f t="shared" si="0"/>
        <v>803173622.38</v>
      </c>
      <c r="AA17" s="33">
        <f t="shared" si="0"/>
        <v>667828913.97000003</v>
      </c>
      <c r="AB17" s="33">
        <f t="shared" si="0"/>
        <v>1014024416.74</v>
      </c>
      <c r="AC17" s="33">
        <f t="shared" si="0"/>
        <v>1002302902.5700001</v>
      </c>
      <c r="AD17" s="33">
        <f t="shared" si="0"/>
        <v>982362386.38999999</v>
      </c>
      <c r="AE17" s="33">
        <f t="shared" si="0"/>
        <v>862194779.22000003</v>
      </c>
      <c r="AF17" s="33">
        <f t="shared" si="0"/>
        <v>1151874426.3</v>
      </c>
      <c r="AG17" s="33">
        <f t="shared" si="0"/>
        <v>1057191976.45</v>
      </c>
      <c r="AH17" s="33">
        <f t="shared" si="0"/>
        <v>960610001.01999998</v>
      </c>
      <c r="AI17" s="33">
        <f t="shared" si="0"/>
        <v>930790908.42999995</v>
      </c>
      <c r="AJ17" s="33">
        <f t="shared" si="0"/>
        <v>1127355392.73</v>
      </c>
      <c r="AK17" s="33">
        <f t="shared" si="0"/>
        <v>1066884381.7</v>
      </c>
      <c r="AL17" s="33">
        <f t="shared" si="0"/>
        <v>1057983159.11</v>
      </c>
      <c r="AM17" s="33">
        <f t="shared" si="0"/>
        <v>74808751.980000004</v>
      </c>
      <c r="AN17" s="33">
        <f t="shared" si="0"/>
        <v>78505801.079999998</v>
      </c>
      <c r="AO17" s="33">
        <f t="shared" si="0"/>
        <v>50145116.420000002</v>
      </c>
      <c r="AP17" s="33">
        <f t="shared" si="0"/>
        <v>52609626.460000001</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2103461.14</v>
      </c>
      <c r="C19" s="190">
        <v>2260588.16</v>
      </c>
      <c r="D19" s="190">
        <v>2681764.62</v>
      </c>
      <c r="E19" s="190">
        <v>2681764.62</v>
      </c>
      <c r="F19" s="190">
        <v>36554845.829999998</v>
      </c>
      <c r="G19" s="190">
        <v>37301246.560000002</v>
      </c>
      <c r="H19" s="190">
        <v>44582193.149999999</v>
      </c>
      <c r="I19" s="190">
        <v>44208476.719999999</v>
      </c>
      <c r="J19" s="190">
        <v>46497065.140000001</v>
      </c>
      <c r="K19" s="190">
        <v>48418056.219999999</v>
      </c>
      <c r="L19" s="190">
        <v>47013607.68</v>
      </c>
      <c r="M19" s="190">
        <v>48378901.780000001</v>
      </c>
      <c r="N19" s="190">
        <v>0</v>
      </c>
      <c r="O19" s="190">
        <v>0</v>
      </c>
      <c r="P19" s="190">
        <v>0</v>
      </c>
      <c r="Q19" s="190">
        <v>0</v>
      </c>
      <c r="R19" s="190">
        <v>0</v>
      </c>
      <c r="S19" s="190">
        <v>0</v>
      </c>
      <c r="T19" s="190">
        <v>0</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c r="AS19" s="190"/>
      <c r="AT19" s="190"/>
      <c r="AU19" s="190"/>
      <c r="AV19" s="190"/>
      <c r="AW19" s="190"/>
      <c r="AX19" s="190"/>
      <c r="AY19" s="190"/>
      <c r="AZ19" s="190"/>
      <c r="BA19" s="190"/>
      <c r="BB19" s="190"/>
      <c r="BC19" s="190"/>
      <c r="BD19" s="190"/>
      <c r="BE19" s="190"/>
      <c r="BF19" s="190"/>
      <c r="BG19" s="190"/>
      <c r="BH19" s="190"/>
      <c r="BI19" s="190"/>
      <c r="BJ19" s="190"/>
      <c r="BK19" s="190"/>
      <c r="BL19" s="190"/>
      <c r="BM19" s="190"/>
      <c r="BN19" s="190"/>
      <c r="BO19" s="190"/>
      <c r="BP19" s="190"/>
      <c r="BQ19" s="190"/>
      <c r="BR19" s="190"/>
      <c r="BS19" s="190"/>
      <c r="BT19" s="190"/>
      <c r="BU19" s="190"/>
      <c r="BV19" s="190"/>
      <c r="BW19" s="190"/>
      <c r="BX19" s="190"/>
      <c r="BY19" s="190"/>
      <c r="BZ19" s="190"/>
      <c r="CA19" s="190"/>
      <c r="CB19" s="190"/>
      <c r="CC19" s="190"/>
      <c r="CD19" s="190"/>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2091940</v>
      </c>
      <c r="C22" s="190">
        <v>12188750.060000001</v>
      </c>
      <c r="D22" s="190">
        <v>12253833.02</v>
      </c>
      <c r="E22" s="190">
        <v>3849740</v>
      </c>
      <c r="F22" s="190">
        <v>2270355</v>
      </c>
      <c r="G22" s="190">
        <v>410000</v>
      </c>
      <c r="H22" s="190">
        <v>260000</v>
      </c>
      <c r="I22" s="190">
        <v>1745397.86</v>
      </c>
      <c r="J22" s="190">
        <v>1670538.45</v>
      </c>
      <c r="K22" s="190">
        <v>1901931.76</v>
      </c>
      <c r="L22" s="190">
        <v>1621023.8</v>
      </c>
      <c r="M22" s="190">
        <v>1172800</v>
      </c>
      <c r="N22" s="190">
        <v>960000</v>
      </c>
      <c r="O22" s="190">
        <v>642464.94999999995</v>
      </c>
      <c r="P22" s="190">
        <v>714615.16</v>
      </c>
      <c r="Q22" s="190">
        <v>989915.78</v>
      </c>
      <c r="R22" s="190">
        <v>1037190.86</v>
      </c>
      <c r="S22" s="190">
        <v>3400644.27</v>
      </c>
      <c r="T22" s="190">
        <v>2306793.2999999998</v>
      </c>
      <c r="U22" s="190">
        <v>1548416.19</v>
      </c>
      <c r="V22" s="190">
        <v>6040809</v>
      </c>
      <c r="W22" s="190">
        <v>564541.11</v>
      </c>
      <c r="X22" s="190">
        <v>1149010.01</v>
      </c>
      <c r="Y22" s="190">
        <v>270236.12</v>
      </c>
      <c r="Z22" s="190">
        <v>409012.88</v>
      </c>
      <c r="AA22" s="190">
        <v>105891.24</v>
      </c>
      <c r="AB22" s="190">
        <v>775288.63</v>
      </c>
      <c r="AC22" s="190">
        <v>193838.98</v>
      </c>
      <c r="AD22" s="190">
        <v>79436.14</v>
      </c>
      <c r="AE22" s="190">
        <v>409616.21</v>
      </c>
      <c r="AF22" s="190">
        <v>4603722.82</v>
      </c>
      <c r="AG22" s="190">
        <v>11958225.689999999</v>
      </c>
      <c r="AH22" s="190">
        <v>0</v>
      </c>
      <c r="AI22" s="190">
        <v>513410.17</v>
      </c>
      <c r="AJ22" s="190">
        <v>572196.31999999995</v>
      </c>
      <c r="AK22" s="190">
        <v>2245820.88</v>
      </c>
      <c r="AL22" s="190">
        <v>661669.98</v>
      </c>
      <c r="AM22" s="190">
        <v>636142.48</v>
      </c>
      <c r="AN22" s="190">
        <v>649386.37</v>
      </c>
      <c r="AO22" s="190">
        <v>0</v>
      </c>
      <c r="AP22" s="190">
        <v>0</v>
      </c>
      <c r="AQ22" s="190">
        <v>0</v>
      </c>
      <c r="AR22" s="190"/>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c r="CL22" s="190"/>
    </row>
    <row r="23" spans="1:90" x14ac:dyDescent="0.25">
      <c r="A23" s="17" t="s">
        <v>15</v>
      </c>
      <c r="B23" s="190">
        <v>580853983.89999998</v>
      </c>
      <c r="C23" s="190">
        <v>438138467.91000003</v>
      </c>
      <c r="D23" s="190">
        <v>460113507.56</v>
      </c>
      <c r="E23" s="190">
        <v>480808686.57999998</v>
      </c>
      <c r="F23" s="190">
        <v>445741889.49000001</v>
      </c>
      <c r="G23" s="190">
        <v>382694965.16000003</v>
      </c>
      <c r="H23" s="190">
        <v>398118229.81</v>
      </c>
      <c r="I23" s="190">
        <v>292689716.82999998</v>
      </c>
      <c r="J23" s="190">
        <v>330087803.26999998</v>
      </c>
      <c r="K23" s="190">
        <v>298798072.86000001</v>
      </c>
      <c r="L23" s="190">
        <v>338224879.04000002</v>
      </c>
      <c r="M23" s="190">
        <v>268050567.55000001</v>
      </c>
      <c r="N23" s="190">
        <v>240127970.28999999</v>
      </c>
      <c r="O23" s="190">
        <v>221055510.58000001</v>
      </c>
      <c r="P23" s="190">
        <v>180887944.47</v>
      </c>
      <c r="Q23" s="190">
        <v>156591378.72</v>
      </c>
      <c r="R23" s="190">
        <v>152840645.81999999</v>
      </c>
      <c r="S23" s="190">
        <v>134532205.19</v>
      </c>
      <c r="T23" s="190">
        <v>130972515.98</v>
      </c>
      <c r="U23" s="190">
        <v>132063513.7</v>
      </c>
      <c r="V23" s="190">
        <v>124871179.90000001</v>
      </c>
      <c r="W23" s="190">
        <v>141457222.31999999</v>
      </c>
      <c r="X23" s="190">
        <v>163110571.53999999</v>
      </c>
      <c r="Y23" s="190">
        <v>159483692.58000001</v>
      </c>
      <c r="Z23" s="190">
        <v>165683910.00999999</v>
      </c>
      <c r="AA23" s="190">
        <v>115874864.73</v>
      </c>
      <c r="AB23" s="190">
        <v>132265022.66</v>
      </c>
      <c r="AC23" s="190">
        <v>153660489.46000001</v>
      </c>
      <c r="AD23" s="190">
        <v>126832137.70999999</v>
      </c>
      <c r="AE23" s="190">
        <v>84022778.739999995</v>
      </c>
      <c r="AF23" s="190">
        <v>86961545.939999998</v>
      </c>
      <c r="AG23" s="190">
        <v>99426063.010000005</v>
      </c>
      <c r="AH23" s="190">
        <v>75509383.540000007</v>
      </c>
      <c r="AI23" s="190">
        <v>52645021.25</v>
      </c>
      <c r="AJ23" s="190">
        <v>55236444.68</v>
      </c>
      <c r="AK23" s="190">
        <v>66426527.350000001</v>
      </c>
      <c r="AL23" s="190">
        <v>60291407.140000001</v>
      </c>
      <c r="AM23" s="190">
        <v>39063226.340000004</v>
      </c>
      <c r="AN23" s="190">
        <v>38675860.380000003</v>
      </c>
      <c r="AO23" s="190">
        <v>28767328.260000002</v>
      </c>
      <c r="AP23" s="190">
        <v>11045312.02</v>
      </c>
      <c r="AQ23" s="190">
        <v>0</v>
      </c>
      <c r="AR23" s="190"/>
      <c r="AS23" s="190"/>
      <c r="AT23" s="190"/>
      <c r="AU23" s="190"/>
      <c r="AV23" s="190"/>
      <c r="AW23" s="190"/>
      <c r="AX23" s="190"/>
      <c r="AY23" s="190"/>
      <c r="AZ23" s="190"/>
      <c r="BA23" s="190"/>
      <c r="BB23" s="190"/>
      <c r="BC23" s="190"/>
      <c r="BD23" s="190"/>
      <c r="BE23" s="190"/>
      <c r="BF23" s="190"/>
      <c r="BG23" s="190"/>
      <c r="BH23" s="190"/>
      <c r="BI23" s="190"/>
      <c r="BJ23" s="190"/>
      <c r="BK23" s="190"/>
      <c r="BL23" s="190"/>
      <c r="BM23" s="190"/>
      <c r="BN23" s="190"/>
      <c r="BO23" s="190"/>
      <c r="BP23" s="190"/>
      <c r="BQ23" s="190"/>
      <c r="BR23" s="190"/>
      <c r="BS23" s="190"/>
      <c r="BT23" s="190"/>
      <c r="BU23" s="190"/>
      <c r="BV23" s="190"/>
      <c r="BW23" s="190"/>
      <c r="BX23" s="190"/>
      <c r="BY23" s="190"/>
      <c r="BZ23" s="190"/>
      <c r="CA23" s="190"/>
      <c r="CB23" s="190"/>
      <c r="CC23" s="190"/>
      <c r="CD23" s="190"/>
      <c r="CE23" s="190"/>
      <c r="CF23" s="190"/>
      <c r="CG23" s="190"/>
      <c r="CH23" s="190"/>
      <c r="CI23" s="190"/>
      <c r="CJ23" s="190"/>
      <c r="CK23" s="190"/>
      <c r="CL23" s="190"/>
    </row>
    <row r="24" spans="1:90" x14ac:dyDescent="0.25">
      <c r="A24" s="17" t="s">
        <v>16</v>
      </c>
      <c r="B24" s="190">
        <v>157071278.47999999</v>
      </c>
      <c r="C24" s="190">
        <v>132211765.58</v>
      </c>
      <c r="D24" s="190">
        <v>134453571.00999999</v>
      </c>
      <c r="E24" s="190">
        <v>73868976.25</v>
      </c>
      <c r="F24" s="190">
        <v>172279007.19999999</v>
      </c>
      <c r="G24" s="190">
        <v>131829615.06999999</v>
      </c>
      <c r="H24" s="190">
        <v>117784622.39</v>
      </c>
      <c r="I24" s="190">
        <v>100072947.19</v>
      </c>
      <c r="J24" s="190">
        <v>103049985.63</v>
      </c>
      <c r="K24" s="190">
        <v>133853356.81999999</v>
      </c>
      <c r="L24" s="190">
        <v>161630190.78</v>
      </c>
      <c r="M24" s="190">
        <v>103972259.95</v>
      </c>
      <c r="N24" s="190">
        <v>109776822.94</v>
      </c>
      <c r="O24" s="190">
        <v>81482699.400000006</v>
      </c>
      <c r="P24" s="190">
        <v>71800718.560000002</v>
      </c>
      <c r="Q24" s="190">
        <v>44531778.509999998</v>
      </c>
      <c r="R24" s="190">
        <v>49124891.990000002</v>
      </c>
      <c r="S24" s="190">
        <v>49707263.079999998</v>
      </c>
      <c r="T24" s="190">
        <v>41434499.039999999</v>
      </c>
      <c r="U24" s="190">
        <v>40227425.159999996</v>
      </c>
      <c r="V24" s="190">
        <v>54840704.670000002</v>
      </c>
      <c r="W24" s="190">
        <v>75498363.569999993</v>
      </c>
      <c r="X24" s="190">
        <v>66621828.310000002</v>
      </c>
      <c r="Y24" s="190">
        <v>65789624.579999998</v>
      </c>
      <c r="Z24" s="190">
        <v>86594855.659999996</v>
      </c>
      <c r="AA24" s="190">
        <v>100884181.02</v>
      </c>
      <c r="AB24" s="190">
        <v>54122787.810000002</v>
      </c>
      <c r="AC24" s="190">
        <v>40548494.140000001</v>
      </c>
      <c r="AD24" s="190">
        <v>46639715</v>
      </c>
      <c r="AE24" s="190">
        <v>36061124.840000004</v>
      </c>
      <c r="AF24" s="190">
        <v>24205182.16</v>
      </c>
      <c r="AG24" s="190">
        <v>25141448.399999999</v>
      </c>
      <c r="AH24" s="190">
        <v>24313994.920000002</v>
      </c>
      <c r="AI24" s="190">
        <v>17714076.780000001</v>
      </c>
      <c r="AJ24" s="190">
        <v>15301435.41</v>
      </c>
      <c r="AK24" s="190">
        <v>17069909.039999999</v>
      </c>
      <c r="AL24" s="190">
        <v>22248730.899999999</v>
      </c>
      <c r="AM24" s="190">
        <v>15215885.380000001</v>
      </c>
      <c r="AN24" s="190">
        <v>19104243.850000001</v>
      </c>
      <c r="AO24" s="190">
        <v>17911488.699999999</v>
      </c>
      <c r="AP24" s="190">
        <v>13983529.800000001</v>
      </c>
      <c r="AQ24" s="190">
        <v>0</v>
      </c>
      <c r="AR24" s="190"/>
      <c r="AS24" s="190"/>
      <c r="AT24" s="190"/>
      <c r="AU24" s="190"/>
      <c r="AV24" s="190"/>
      <c r="AW24" s="190"/>
      <c r="AX24" s="190"/>
      <c r="AY24" s="190"/>
      <c r="AZ24" s="190"/>
      <c r="BA24" s="190"/>
      <c r="BB24" s="190"/>
      <c r="BC24" s="190"/>
      <c r="BD24" s="190"/>
      <c r="BE24" s="190"/>
      <c r="BF24" s="190"/>
      <c r="BG24" s="190"/>
      <c r="BH24" s="190"/>
      <c r="BI24" s="190"/>
      <c r="BJ24" s="190"/>
      <c r="BK24" s="190"/>
      <c r="BL24" s="190"/>
      <c r="BM24" s="190"/>
      <c r="BN24" s="190"/>
      <c r="BO24" s="190"/>
      <c r="BP24" s="190"/>
      <c r="BQ24" s="190"/>
      <c r="BR24" s="190"/>
      <c r="BS24" s="190"/>
      <c r="BT24" s="190"/>
      <c r="BU24" s="190"/>
      <c r="BV24" s="190"/>
      <c r="BW24" s="190"/>
      <c r="BX24" s="190"/>
      <c r="BY24" s="190"/>
      <c r="BZ24" s="190"/>
      <c r="CA24" s="190"/>
      <c r="CB24" s="190"/>
      <c r="CC24" s="190"/>
      <c r="CD24" s="190"/>
      <c r="CE24" s="190"/>
      <c r="CF24" s="190"/>
      <c r="CG24" s="190"/>
      <c r="CH24" s="190"/>
      <c r="CI24" s="190"/>
      <c r="CJ24" s="190"/>
      <c r="CK24" s="190"/>
      <c r="CL24" s="190"/>
    </row>
    <row r="25" spans="1:90" x14ac:dyDescent="0.25">
      <c r="A25" s="17" t="s">
        <v>17</v>
      </c>
      <c r="B25" s="190">
        <v>72333306.409999996</v>
      </c>
      <c r="C25" s="190">
        <v>60571840.270000003</v>
      </c>
      <c r="D25" s="190">
        <v>63883762.060000002</v>
      </c>
      <c r="E25" s="190">
        <v>54915603.759999998</v>
      </c>
      <c r="F25" s="190">
        <v>83254020.299999997</v>
      </c>
      <c r="G25" s="190">
        <v>83958635.420000002</v>
      </c>
      <c r="H25" s="190">
        <v>102139132.78</v>
      </c>
      <c r="I25" s="190">
        <v>135673836.22999999</v>
      </c>
      <c r="J25" s="190">
        <v>107919476.52</v>
      </c>
      <c r="K25" s="190">
        <v>133934201.04000001</v>
      </c>
      <c r="L25" s="190">
        <v>61009903.200000003</v>
      </c>
      <c r="M25" s="190">
        <v>66982741.729999997</v>
      </c>
      <c r="N25" s="190">
        <v>110849517.84999999</v>
      </c>
      <c r="O25" s="190">
        <v>62287042.759999998</v>
      </c>
      <c r="P25" s="190">
        <v>68114577.540000007</v>
      </c>
      <c r="Q25" s="190">
        <v>58085235.229999997</v>
      </c>
      <c r="R25" s="190">
        <v>24182803.25</v>
      </c>
      <c r="S25" s="190">
        <v>19479590.800000001</v>
      </c>
      <c r="T25" s="190">
        <v>21916426.41</v>
      </c>
      <c r="U25" s="190">
        <v>16440066.15</v>
      </c>
      <c r="V25" s="190">
        <v>22928795.800000001</v>
      </c>
      <c r="W25" s="190">
        <v>31991549.640000001</v>
      </c>
      <c r="X25" s="190">
        <v>35229415.829999998</v>
      </c>
      <c r="Y25" s="190">
        <v>25803231.489999998</v>
      </c>
      <c r="Z25" s="190">
        <v>33648357.420000002</v>
      </c>
      <c r="AA25" s="190">
        <v>23013437.010000002</v>
      </c>
      <c r="AB25" s="190">
        <v>21876070.68</v>
      </c>
      <c r="AC25" s="190">
        <v>16417345.25</v>
      </c>
      <c r="AD25" s="190">
        <v>20371747.120000001</v>
      </c>
      <c r="AE25" s="190">
        <v>15835350.300000001</v>
      </c>
      <c r="AF25" s="190">
        <v>18252320.469999999</v>
      </c>
      <c r="AG25" s="190">
        <v>8972504.1400000006</v>
      </c>
      <c r="AH25" s="190">
        <v>9921024.3599999994</v>
      </c>
      <c r="AI25" s="190">
        <v>7619665.3600000003</v>
      </c>
      <c r="AJ25" s="190">
        <v>7176838.0899999999</v>
      </c>
      <c r="AK25" s="190">
        <v>6090918.6699999999</v>
      </c>
      <c r="AL25" s="190">
        <v>5146872.5</v>
      </c>
      <c r="AM25" s="190">
        <v>6439788.0099999998</v>
      </c>
      <c r="AN25" s="190">
        <v>6630938.0499999998</v>
      </c>
      <c r="AO25" s="190">
        <v>3722592.29</v>
      </c>
      <c r="AP25" s="190">
        <v>6173071.8600000003</v>
      </c>
      <c r="AQ25" s="190">
        <v>0</v>
      </c>
      <c r="AR25" s="190"/>
      <c r="AS25" s="190"/>
      <c r="AT25" s="190"/>
      <c r="AU25" s="190"/>
      <c r="AV25" s="190"/>
      <c r="AW25" s="190"/>
      <c r="AX25" s="190"/>
      <c r="AY25" s="190"/>
      <c r="AZ25" s="190"/>
      <c r="BA25" s="190"/>
      <c r="BB25" s="190"/>
      <c r="BC25" s="190"/>
      <c r="BD25" s="190"/>
      <c r="BE25" s="190"/>
      <c r="BF25" s="190"/>
      <c r="BG25" s="190"/>
      <c r="BH25" s="190"/>
      <c r="BI25" s="190"/>
      <c r="BJ25" s="190"/>
      <c r="BK25" s="190"/>
      <c r="BL25" s="190"/>
      <c r="BM25" s="190"/>
      <c r="BN25" s="190"/>
      <c r="BO25" s="190"/>
      <c r="BP25" s="190"/>
      <c r="BQ25" s="190"/>
      <c r="BR25" s="190"/>
      <c r="BS25" s="190"/>
      <c r="BT25" s="190"/>
      <c r="BU25" s="190"/>
      <c r="BV25" s="190"/>
      <c r="BW25" s="190"/>
      <c r="BX25" s="190"/>
      <c r="BY25" s="190"/>
      <c r="BZ25" s="190"/>
      <c r="CA25" s="190"/>
      <c r="CB25" s="190"/>
      <c r="CC25" s="190"/>
      <c r="CD25" s="190"/>
      <c r="CE25" s="190"/>
      <c r="CF25" s="190"/>
      <c r="CG25" s="190"/>
      <c r="CH25" s="190"/>
      <c r="CI25" s="190"/>
      <c r="CJ25" s="190"/>
      <c r="CK25" s="190"/>
      <c r="CL25" s="190"/>
    </row>
    <row r="26" spans="1:90" x14ac:dyDescent="0.25">
      <c r="A26" s="17" t="s">
        <v>18</v>
      </c>
      <c r="B26" s="190">
        <v>1406649814.5999999</v>
      </c>
      <c r="C26" s="190">
        <v>1277481876.6099999</v>
      </c>
      <c r="D26" s="190">
        <v>1039377680.17</v>
      </c>
      <c r="E26" s="190">
        <v>1006969529.14</v>
      </c>
      <c r="F26" s="190">
        <v>1155240446.72</v>
      </c>
      <c r="G26" s="190">
        <v>1079101133.6400001</v>
      </c>
      <c r="H26" s="190">
        <v>955221936.07000005</v>
      </c>
      <c r="I26" s="190">
        <v>658849754.71000004</v>
      </c>
      <c r="J26" s="190">
        <v>648882684.19000006</v>
      </c>
      <c r="K26" s="190">
        <v>584122349.22000003</v>
      </c>
      <c r="L26" s="190">
        <v>561215080.60000002</v>
      </c>
      <c r="M26" s="190">
        <v>659822679.88999999</v>
      </c>
      <c r="N26" s="190">
        <v>596130321.23000002</v>
      </c>
      <c r="O26" s="190">
        <v>609801140.38999999</v>
      </c>
      <c r="P26" s="190">
        <v>560459480.14999998</v>
      </c>
      <c r="Q26" s="190">
        <v>633174159.28999996</v>
      </c>
      <c r="R26" s="190">
        <v>667486290.90999997</v>
      </c>
      <c r="S26" s="190">
        <v>698269102.41999996</v>
      </c>
      <c r="T26" s="190">
        <v>606326560.25999999</v>
      </c>
      <c r="U26" s="190">
        <v>685201506.19000006</v>
      </c>
      <c r="V26" s="190">
        <v>665815546.09000003</v>
      </c>
      <c r="W26" s="190">
        <v>678268671.26999998</v>
      </c>
      <c r="X26" s="190">
        <v>626612547.63</v>
      </c>
      <c r="Y26" s="190">
        <v>617828802.88</v>
      </c>
      <c r="Z26" s="190">
        <v>684421196.61000001</v>
      </c>
      <c r="AA26" s="190">
        <v>767935065.25999999</v>
      </c>
      <c r="AB26" s="190">
        <v>616708419.55999994</v>
      </c>
      <c r="AC26" s="190">
        <v>517115102.25999999</v>
      </c>
      <c r="AD26" s="190">
        <v>498955231.80000001</v>
      </c>
      <c r="AE26" s="190">
        <v>518664663.74000001</v>
      </c>
      <c r="AF26" s="190">
        <v>433392310.58999997</v>
      </c>
      <c r="AG26" s="190">
        <v>458547043.06999999</v>
      </c>
      <c r="AH26" s="190">
        <v>462790607.91000003</v>
      </c>
      <c r="AI26" s="190">
        <v>392900466.92000002</v>
      </c>
      <c r="AJ26" s="190">
        <v>288797940.39999998</v>
      </c>
      <c r="AK26" s="190">
        <v>260446354.96000001</v>
      </c>
      <c r="AL26" s="190">
        <v>228862805.44999999</v>
      </c>
      <c r="AM26" s="190">
        <v>238414526.06999999</v>
      </c>
      <c r="AN26" s="190">
        <v>212903239.86000001</v>
      </c>
      <c r="AO26" s="190">
        <v>179548764.44</v>
      </c>
      <c r="AP26" s="190">
        <v>151966774.36000001</v>
      </c>
      <c r="AQ26" s="190">
        <v>0</v>
      </c>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c r="CL26" s="190"/>
    </row>
    <row r="27" spans="1:90" x14ac:dyDescent="0.25">
      <c r="A27" s="17" t="s">
        <v>19</v>
      </c>
      <c r="B27" s="190">
        <v>814926691.53999996</v>
      </c>
      <c r="C27" s="190">
        <v>916547631.28999996</v>
      </c>
      <c r="D27" s="190">
        <v>1014352444.61</v>
      </c>
      <c r="E27" s="190">
        <v>1095643948.1400001</v>
      </c>
      <c r="F27" s="190">
        <v>925125720.74000001</v>
      </c>
      <c r="G27" s="190">
        <v>593180734.69000006</v>
      </c>
      <c r="H27" s="190">
        <v>637128087.65999997</v>
      </c>
      <c r="I27" s="190">
        <v>584581346.38999999</v>
      </c>
      <c r="J27" s="190">
        <v>813801452.42999995</v>
      </c>
      <c r="K27" s="190">
        <v>775103623.03999996</v>
      </c>
      <c r="L27" s="190">
        <v>746830445.29999995</v>
      </c>
      <c r="M27" s="190">
        <v>767963823.16999996</v>
      </c>
      <c r="N27" s="190">
        <v>506545516.94999999</v>
      </c>
      <c r="O27" s="190">
        <v>568763666.89999998</v>
      </c>
      <c r="P27" s="190">
        <v>803338772.63999999</v>
      </c>
      <c r="Q27" s="190">
        <v>747217859.52999997</v>
      </c>
      <c r="R27" s="190">
        <v>712687015.44000006</v>
      </c>
      <c r="S27" s="190">
        <v>277089955.38</v>
      </c>
      <c r="T27" s="190">
        <v>401756461.29000002</v>
      </c>
      <c r="U27" s="190">
        <v>190540000</v>
      </c>
      <c r="V27" s="190">
        <v>0</v>
      </c>
      <c r="W27" s="190">
        <v>0</v>
      </c>
      <c r="X27" s="190">
        <v>0</v>
      </c>
      <c r="Y27" s="190">
        <v>0</v>
      </c>
      <c r="Z27" s="190">
        <v>0</v>
      </c>
      <c r="AA27" s="190">
        <v>24214750.989999998</v>
      </c>
      <c r="AB27" s="190">
        <v>6661888.6100000003</v>
      </c>
      <c r="AC27" s="190">
        <v>16691542.939999999</v>
      </c>
      <c r="AD27" s="190">
        <v>0</v>
      </c>
      <c r="AE27" s="190">
        <v>0</v>
      </c>
      <c r="AF27" s="190">
        <v>0</v>
      </c>
      <c r="AG27" s="190">
        <v>0</v>
      </c>
      <c r="AH27" s="190">
        <v>0</v>
      </c>
      <c r="AI27" s="190">
        <v>424473.89</v>
      </c>
      <c r="AJ27" s="190">
        <v>477514.43</v>
      </c>
      <c r="AK27" s="190">
        <v>416221.88</v>
      </c>
      <c r="AL27" s="190">
        <v>0</v>
      </c>
      <c r="AM27" s="190">
        <v>0</v>
      </c>
      <c r="AN27" s="190">
        <v>0</v>
      </c>
      <c r="AO27" s="190">
        <v>0</v>
      </c>
      <c r="AP27" s="190">
        <v>0</v>
      </c>
      <c r="AQ27" s="190">
        <v>0</v>
      </c>
      <c r="AR27" s="190"/>
      <c r="AS27" s="190"/>
      <c r="AT27" s="190"/>
      <c r="AU27" s="190"/>
      <c r="AV27" s="190"/>
      <c r="AW27" s="190"/>
      <c r="AX27" s="190"/>
      <c r="AY27" s="190"/>
      <c r="AZ27" s="190"/>
      <c r="BA27" s="190"/>
      <c r="BB27" s="190"/>
      <c r="BC27" s="190"/>
      <c r="BD27" s="190"/>
      <c r="BE27" s="190"/>
      <c r="BF27" s="190"/>
      <c r="BG27" s="190"/>
      <c r="BH27" s="190"/>
      <c r="BI27" s="190"/>
      <c r="BJ27" s="190"/>
      <c r="BK27" s="190"/>
      <c r="BL27" s="190"/>
      <c r="BM27" s="190"/>
      <c r="BN27" s="190"/>
      <c r="BO27" s="190"/>
      <c r="BP27" s="190"/>
      <c r="BQ27" s="190"/>
      <c r="BR27" s="190"/>
      <c r="BS27" s="190"/>
      <c r="BT27" s="190"/>
      <c r="BU27" s="190"/>
      <c r="BV27" s="190"/>
      <c r="BW27" s="190"/>
      <c r="BX27" s="190"/>
      <c r="BY27" s="190"/>
      <c r="BZ27" s="190"/>
      <c r="CA27" s="190"/>
      <c r="CB27" s="190"/>
      <c r="CC27" s="190"/>
      <c r="CD27" s="190"/>
      <c r="CE27" s="190"/>
      <c r="CF27" s="190"/>
      <c r="CG27" s="190"/>
      <c r="CH27" s="190"/>
      <c r="CI27" s="190"/>
      <c r="CJ27" s="190"/>
      <c r="CK27" s="190"/>
      <c r="CL27" s="190"/>
    </row>
    <row r="28" spans="1:90" x14ac:dyDescent="0.25">
      <c r="A28" s="17" t="s">
        <v>76</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c r="AS28" s="190"/>
      <c r="AT28" s="190"/>
      <c r="AU28" s="190"/>
      <c r="AV28" s="190"/>
      <c r="AW28" s="190"/>
      <c r="AX28" s="190"/>
      <c r="AY28" s="190"/>
      <c r="AZ28" s="190"/>
      <c r="BA28" s="190"/>
      <c r="BB28" s="190"/>
      <c r="BC28" s="190"/>
      <c r="BD28" s="190"/>
      <c r="BE28" s="190"/>
      <c r="BF28" s="190"/>
      <c r="BG28" s="190"/>
      <c r="BH28" s="190"/>
      <c r="BI28" s="190"/>
      <c r="BJ28" s="190"/>
      <c r="BK28" s="190"/>
      <c r="BL28" s="190"/>
      <c r="BM28" s="190"/>
      <c r="BN28" s="190"/>
      <c r="BO28" s="190"/>
      <c r="BP28" s="190"/>
      <c r="BQ28" s="190"/>
      <c r="BR28" s="190"/>
      <c r="BS28" s="190"/>
      <c r="BT28" s="190"/>
      <c r="BU28" s="190"/>
      <c r="BV28" s="190"/>
      <c r="BW28" s="190"/>
      <c r="BX28" s="190"/>
      <c r="BY28" s="190"/>
      <c r="BZ28" s="190"/>
      <c r="CA28" s="190"/>
      <c r="CB28" s="190"/>
      <c r="CC28" s="190"/>
      <c r="CD28" s="190"/>
      <c r="CE28" s="190"/>
      <c r="CF28" s="190"/>
      <c r="CG28" s="190"/>
      <c r="CH28" s="190"/>
      <c r="CI28" s="190"/>
      <c r="CJ28" s="190"/>
      <c r="CK28" s="190"/>
      <c r="CL28" s="190"/>
    </row>
    <row r="29" spans="1:90" x14ac:dyDescent="0.25">
      <c r="A29" s="17" t="s">
        <v>3</v>
      </c>
      <c r="B29" s="190">
        <v>0</v>
      </c>
      <c r="C29" s="190">
        <v>0</v>
      </c>
      <c r="D29" s="190">
        <v>0</v>
      </c>
      <c r="E29" s="190">
        <v>0</v>
      </c>
      <c r="F29" s="190">
        <v>3874120.96</v>
      </c>
      <c r="G29" s="190">
        <v>3195054.61</v>
      </c>
      <c r="H29" s="190">
        <v>2781023.33</v>
      </c>
      <c r="I29" s="190">
        <v>3478020.4</v>
      </c>
      <c r="J29" s="190">
        <v>2516777.67</v>
      </c>
      <c r="K29" s="190">
        <v>2516777.67</v>
      </c>
      <c r="L29" s="190">
        <v>2588453.7000000002</v>
      </c>
      <c r="M29" s="190">
        <v>2588453.7000000002</v>
      </c>
      <c r="N29" s="190">
        <v>0</v>
      </c>
      <c r="O29" s="190">
        <v>0</v>
      </c>
      <c r="P29" s="190">
        <v>0</v>
      </c>
      <c r="Q29" s="190">
        <v>1558541.85</v>
      </c>
      <c r="R29" s="190">
        <v>0</v>
      </c>
      <c r="S29" s="190">
        <v>0</v>
      </c>
      <c r="T29" s="190">
        <v>0</v>
      </c>
      <c r="U29" s="190">
        <v>866475.09</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c r="AS29" s="190"/>
      <c r="AT29" s="190"/>
      <c r="AU29" s="190"/>
      <c r="AV29" s="190"/>
      <c r="AW29" s="190"/>
      <c r="AX29" s="190"/>
      <c r="AY29" s="190"/>
      <c r="AZ29" s="190"/>
      <c r="BA29" s="190"/>
      <c r="BB29" s="190"/>
      <c r="BC29" s="190"/>
      <c r="BD29" s="190"/>
      <c r="BE29" s="190"/>
      <c r="BF29" s="190"/>
      <c r="BG29" s="190"/>
      <c r="BH29" s="190"/>
      <c r="BI29" s="190"/>
      <c r="BJ29" s="190"/>
      <c r="BK29" s="190"/>
      <c r="BL29" s="190"/>
      <c r="BM29" s="190"/>
      <c r="BN29" s="190"/>
      <c r="BO29" s="190"/>
      <c r="BP29" s="190"/>
      <c r="BQ29" s="190"/>
      <c r="BR29" s="190"/>
      <c r="BS29" s="190"/>
      <c r="BT29" s="190"/>
      <c r="BU29" s="190"/>
      <c r="BV29" s="190"/>
      <c r="BW29" s="190"/>
      <c r="BX29" s="190"/>
      <c r="BY29" s="190"/>
      <c r="BZ29" s="190"/>
      <c r="CA29" s="190"/>
      <c r="CB29" s="190"/>
      <c r="CC29" s="190"/>
      <c r="CD29" s="190"/>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3033927014.9299998</v>
      </c>
      <c r="C33" s="35">
        <f t="shared" ref="C33:BN33" si="2">SUM(C22:C29)</f>
        <v>2837140331.7199998</v>
      </c>
      <c r="D33" s="35">
        <f t="shared" si="2"/>
        <v>2724434798.4299998</v>
      </c>
      <c r="E33" s="35">
        <f t="shared" si="2"/>
        <v>2716056483.8699999</v>
      </c>
      <c r="F33" s="35">
        <f t="shared" si="2"/>
        <v>2787785560.4099998</v>
      </c>
      <c r="G33" s="35">
        <f t="shared" si="2"/>
        <v>2274370138.5900002</v>
      </c>
      <c r="H33" s="35">
        <f t="shared" si="2"/>
        <v>2213433032.04</v>
      </c>
      <c r="I33" s="35">
        <f t="shared" si="2"/>
        <v>1777091019.6100001</v>
      </c>
      <c r="J33" s="35">
        <f t="shared" si="2"/>
        <v>2007928718.1599998</v>
      </c>
      <c r="K33" s="35">
        <f t="shared" si="2"/>
        <v>1930230312.4100001</v>
      </c>
      <c r="L33" s="35">
        <f t="shared" si="2"/>
        <v>1873119976.4200001</v>
      </c>
      <c r="M33" s="35">
        <f t="shared" si="2"/>
        <v>1870553325.99</v>
      </c>
      <c r="N33" s="35">
        <f t="shared" si="2"/>
        <v>1564390149.26</v>
      </c>
      <c r="O33" s="35">
        <f t="shared" si="2"/>
        <v>1544032524.98</v>
      </c>
      <c r="P33" s="35">
        <f t="shared" si="2"/>
        <v>1685316108.52</v>
      </c>
      <c r="Q33" s="35">
        <f t="shared" si="2"/>
        <v>1642148868.9099998</v>
      </c>
      <c r="R33" s="35">
        <f t="shared" si="2"/>
        <v>1607358838.27</v>
      </c>
      <c r="S33" s="35">
        <f t="shared" si="2"/>
        <v>1182478761.1399999</v>
      </c>
      <c r="T33" s="35">
        <f t="shared" si="2"/>
        <v>1204713256.28</v>
      </c>
      <c r="U33" s="35">
        <f t="shared" si="2"/>
        <v>1066887402.4800001</v>
      </c>
      <c r="V33" s="35">
        <f t="shared" si="2"/>
        <v>874497035.46000004</v>
      </c>
      <c r="W33" s="35">
        <f t="shared" si="2"/>
        <v>927780347.90999997</v>
      </c>
      <c r="X33" s="35">
        <f t="shared" si="2"/>
        <v>892723373.31999993</v>
      </c>
      <c r="Y33" s="35">
        <f t="shared" si="2"/>
        <v>869175587.6500001</v>
      </c>
      <c r="Z33" s="35">
        <f t="shared" si="2"/>
        <v>970757332.57999992</v>
      </c>
      <c r="AA33" s="35">
        <f t="shared" si="2"/>
        <v>1032028190.25</v>
      </c>
      <c r="AB33" s="35">
        <f t="shared" si="2"/>
        <v>832409477.94999993</v>
      </c>
      <c r="AC33" s="35">
        <f t="shared" si="2"/>
        <v>744626813.02999997</v>
      </c>
      <c r="AD33" s="35">
        <f t="shared" si="2"/>
        <v>692878267.76999998</v>
      </c>
      <c r="AE33" s="35">
        <f t="shared" si="2"/>
        <v>654993533.83000004</v>
      </c>
      <c r="AF33" s="35">
        <f t="shared" si="2"/>
        <v>567415081.98000002</v>
      </c>
      <c r="AG33" s="35">
        <f t="shared" si="2"/>
        <v>604045284.30999994</v>
      </c>
      <c r="AH33" s="35">
        <f t="shared" si="2"/>
        <v>572535010.73000002</v>
      </c>
      <c r="AI33" s="35">
        <f t="shared" si="2"/>
        <v>471817114.37</v>
      </c>
      <c r="AJ33" s="35">
        <f t="shared" si="2"/>
        <v>367562369.32999998</v>
      </c>
      <c r="AK33" s="35">
        <f t="shared" si="2"/>
        <v>352695752.78000003</v>
      </c>
      <c r="AL33" s="35">
        <f t="shared" si="2"/>
        <v>317211485.96999997</v>
      </c>
      <c r="AM33" s="35">
        <f t="shared" si="2"/>
        <v>299769568.27999997</v>
      </c>
      <c r="AN33" s="35">
        <f t="shared" si="2"/>
        <v>277963668.50999999</v>
      </c>
      <c r="AO33" s="35">
        <f t="shared" si="2"/>
        <v>229950173.69</v>
      </c>
      <c r="AP33" s="35">
        <f t="shared" si="2"/>
        <v>183168688.04000002</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84226759.390000001</v>
      </c>
      <c r="D35" s="190">
        <v>76500924.930000007</v>
      </c>
      <c r="E35" s="190">
        <v>78023266.099999994</v>
      </c>
      <c r="F35" s="190">
        <v>72564162.640000001</v>
      </c>
      <c r="G35" s="190">
        <v>73348377.950000003</v>
      </c>
      <c r="H35" s="190">
        <v>61195376.789999999</v>
      </c>
      <c r="I35" s="190">
        <v>50783142.990000002</v>
      </c>
      <c r="J35" s="190">
        <v>60054536.219999999</v>
      </c>
      <c r="K35" s="190">
        <v>37699330.850000001</v>
      </c>
      <c r="L35" s="190">
        <v>50967182.450000003</v>
      </c>
      <c r="M35" s="190">
        <v>15129844.289999999</v>
      </c>
      <c r="N35" s="190">
        <v>61247366.950000003</v>
      </c>
      <c r="O35" s="190">
        <v>51070730.969999999</v>
      </c>
      <c r="P35" s="190">
        <v>40869975.25</v>
      </c>
      <c r="Q35" s="190">
        <v>40077508.780000001</v>
      </c>
      <c r="R35" s="190">
        <v>51659930.859999999</v>
      </c>
      <c r="S35" s="190">
        <v>51032185.659999996</v>
      </c>
      <c r="T35" s="190">
        <v>33940991.850000001</v>
      </c>
      <c r="U35" s="190">
        <v>50244501.109999999</v>
      </c>
      <c r="V35" s="190">
        <v>33982268.030000001</v>
      </c>
      <c r="W35" s="190">
        <v>32067281.440000001</v>
      </c>
      <c r="X35" s="190">
        <v>33988610.57</v>
      </c>
      <c r="Y35" s="190">
        <v>32049651.059999999</v>
      </c>
      <c r="Z35" s="190">
        <v>30591922.75</v>
      </c>
      <c r="AA35" s="190">
        <v>38170116.299999997</v>
      </c>
      <c r="AB35" s="190">
        <v>28615139.530000001</v>
      </c>
      <c r="AC35" s="190">
        <v>34862777.979999997</v>
      </c>
      <c r="AD35" s="190">
        <v>20039063.359999999</v>
      </c>
      <c r="AE35" s="190">
        <v>35145214.579999998</v>
      </c>
      <c r="AF35" s="190">
        <v>16758909.880000001</v>
      </c>
      <c r="AG35" s="190">
        <v>23246829.98</v>
      </c>
      <c r="AH35" s="190">
        <v>16106627.73</v>
      </c>
      <c r="AI35" s="190">
        <v>5804375.8300000001</v>
      </c>
      <c r="AJ35" s="190">
        <v>4787213.41</v>
      </c>
      <c r="AK35" s="190">
        <v>4791876.92</v>
      </c>
      <c r="AL35" s="190">
        <v>26027954.710000001</v>
      </c>
      <c r="AM35" s="190">
        <v>29868093.559999999</v>
      </c>
      <c r="AN35" s="190">
        <v>19168816</v>
      </c>
      <c r="AO35" s="190">
        <v>0</v>
      </c>
      <c r="AP35" s="190">
        <v>0</v>
      </c>
      <c r="AQ35" s="190">
        <v>0</v>
      </c>
      <c r="AR35" s="190"/>
      <c r="AS35" s="190"/>
      <c r="AT35" s="190"/>
      <c r="AU35" s="190"/>
      <c r="AV35" s="190"/>
      <c r="AW35" s="190"/>
      <c r="AX35" s="190"/>
      <c r="AY35" s="190"/>
      <c r="AZ35" s="190"/>
      <c r="BA35" s="190"/>
      <c r="BB35" s="190"/>
      <c r="BC35" s="190"/>
      <c r="BD35" s="190"/>
      <c r="BE35" s="190"/>
      <c r="BF35" s="190"/>
      <c r="BG35" s="190"/>
      <c r="BH35" s="190"/>
      <c r="BI35" s="190"/>
      <c r="BJ35" s="190"/>
      <c r="BK35" s="190"/>
      <c r="BL35" s="190"/>
      <c r="BM35" s="190"/>
      <c r="BN35" s="190"/>
      <c r="BO35" s="190"/>
      <c r="BP35" s="190"/>
      <c r="BQ35" s="190"/>
      <c r="BR35" s="190"/>
      <c r="BS35" s="190"/>
      <c r="BT35" s="190"/>
      <c r="BU35" s="190"/>
      <c r="BV35" s="190"/>
      <c r="BW35" s="190"/>
      <c r="BX35" s="190"/>
      <c r="BY35" s="190"/>
      <c r="BZ35" s="190"/>
      <c r="CA35" s="190"/>
      <c r="CB35" s="190"/>
      <c r="CC35" s="190"/>
      <c r="CD35" s="190"/>
      <c r="CE35" s="190"/>
      <c r="CF35" s="190"/>
      <c r="CG35" s="190"/>
      <c r="CH35" s="190"/>
      <c r="CI35" s="190"/>
      <c r="CJ35" s="190"/>
      <c r="CK35" s="190"/>
      <c r="CL35" s="190"/>
    </row>
    <row r="36" spans="1:90" x14ac:dyDescent="0.25">
      <c r="A36" s="17" t="s">
        <v>22</v>
      </c>
      <c r="B36" s="190">
        <v>0</v>
      </c>
      <c r="C36" s="190">
        <v>492622176.07999998</v>
      </c>
      <c r="D36" s="190">
        <v>425389738.02999997</v>
      </c>
      <c r="E36" s="190">
        <v>416408376.41000003</v>
      </c>
      <c r="F36" s="190">
        <v>467584495.98000002</v>
      </c>
      <c r="G36" s="190">
        <v>408007274.42000002</v>
      </c>
      <c r="H36" s="190">
        <v>369147111.12</v>
      </c>
      <c r="I36" s="190">
        <v>337499520.91000003</v>
      </c>
      <c r="J36" s="190">
        <v>284092374.5</v>
      </c>
      <c r="K36" s="190">
        <v>208422647.28999999</v>
      </c>
      <c r="L36" s="190">
        <v>248861390.71000001</v>
      </c>
      <c r="M36" s="190">
        <v>300605223.86000001</v>
      </c>
      <c r="N36" s="190">
        <v>282071544.69</v>
      </c>
      <c r="O36" s="190">
        <v>270614379.23000002</v>
      </c>
      <c r="P36" s="190">
        <v>179275966.55000001</v>
      </c>
      <c r="Q36" s="190">
        <v>252086816.63999999</v>
      </c>
      <c r="R36" s="190">
        <v>346521310.00999999</v>
      </c>
      <c r="S36" s="190">
        <v>261050690.30000001</v>
      </c>
      <c r="T36" s="190">
        <v>239726079.91999999</v>
      </c>
      <c r="U36" s="190">
        <v>281249128.88999999</v>
      </c>
      <c r="V36" s="190">
        <v>199573936.55000001</v>
      </c>
      <c r="W36" s="190">
        <v>166426948.56999999</v>
      </c>
      <c r="X36" s="190">
        <v>187236688.43000001</v>
      </c>
      <c r="Y36" s="190">
        <v>257643763.53999999</v>
      </c>
      <c r="Z36" s="190">
        <v>264734459.97</v>
      </c>
      <c r="AA36" s="190">
        <v>299308562.82999998</v>
      </c>
      <c r="AB36" s="190">
        <v>274168394.76999998</v>
      </c>
      <c r="AC36" s="190">
        <v>298354085.85000002</v>
      </c>
      <c r="AD36" s="190">
        <v>220005852.24000001</v>
      </c>
      <c r="AE36" s="190">
        <v>200850439.75999999</v>
      </c>
      <c r="AF36" s="190">
        <v>194130373.44</v>
      </c>
      <c r="AG36" s="190">
        <v>268714371.08999997</v>
      </c>
      <c r="AH36" s="190">
        <v>128429378.42</v>
      </c>
      <c r="AI36" s="190">
        <v>117828842.56</v>
      </c>
      <c r="AJ36" s="190">
        <v>82202291.599999994</v>
      </c>
      <c r="AK36" s="190">
        <v>94609888.870000005</v>
      </c>
      <c r="AL36" s="190">
        <v>62949499.850000001</v>
      </c>
      <c r="AM36" s="190">
        <v>60735366.170000002</v>
      </c>
      <c r="AN36" s="190">
        <v>70897740.730000004</v>
      </c>
      <c r="AO36" s="190">
        <v>55779746.740000002</v>
      </c>
      <c r="AP36" s="190">
        <v>45415547.68</v>
      </c>
      <c r="AQ36" s="190">
        <v>0</v>
      </c>
      <c r="AR36" s="190"/>
      <c r="AS36" s="190"/>
      <c r="AT36" s="190"/>
      <c r="AU36" s="190"/>
      <c r="AV36" s="190"/>
      <c r="AW36" s="190"/>
      <c r="AX36" s="190"/>
      <c r="AY36" s="190"/>
      <c r="AZ36" s="190"/>
      <c r="BA36" s="190"/>
      <c r="BB36" s="190"/>
      <c r="BC36" s="190"/>
      <c r="BD36" s="190"/>
      <c r="BE36" s="190"/>
      <c r="BF36" s="190"/>
      <c r="BG36" s="190"/>
      <c r="BH36" s="190"/>
      <c r="BI36" s="190"/>
      <c r="BJ36" s="190"/>
      <c r="BK36" s="190"/>
      <c r="BL36" s="190"/>
      <c r="BM36" s="190"/>
      <c r="BN36" s="190"/>
      <c r="BO36" s="190"/>
      <c r="BP36" s="190"/>
      <c r="BQ36" s="190"/>
      <c r="BR36" s="190"/>
      <c r="BS36" s="190"/>
      <c r="BT36" s="190"/>
      <c r="BU36" s="190"/>
      <c r="BV36" s="190"/>
      <c r="BW36" s="190"/>
      <c r="BX36" s="190"/>
      <c r="BY36" s="190"/>
      <c r="BZ36" s="190"/>
      <c r="CA36" s="190"/>
      <c r="CB36" s="190"/>
      <c r="CC36" s="190"/>
      <c r="CD36" s="190"/>
      <c r="CE36" s="190"/>
      <c r="CF36" s="190"/>
      <c r="CG36" s="190"/>
      <c r="CH36" s="190"/>
      <c r="CI36" s="190"/>
      <c r="CJ36" s="190"/>
      <c r="CK36" s="190"/>
      <c r="CL36" s="190"/>
    </row>
    <row r="37" spans="1:90" x14ac:dyDescent="0.25">
      <c r="A37" s="17" t="s">
        <v>23</v>
      </c>
      <c r="B37" s="190">
        <v>83278080.769999996</v>
      </c>
      <c r="C37" s="190">
        <v>85489388.390000001</v>
      </c>
      <c r="D37" s="190">
        <v>80754979.599999994</v>
      </c>
      <c r="E37" s="190">
        <v>89406648.530000001</v>
      </c>
      <c r="F37" s="190">
        <v>66724826.969999999</v>
      </c>
      <c r="G37" s="190">
        <v>71419339.900000006</v>
      </c>
      <c r="H37" s="190">
        <v>126694703.09</v>
      </c>
      <c r="I37" s="190">
        <v>109366676.15000001</v>
      </c>
      <c r="J37" s="190">
        <v>108058264.70999999</v>
      </c>
      <c r="K37" s="190">
        <v>109826640.25</v>
      </c>
      <c r="L37" s="190">
        <v>95622000.510000005</v>
      </c>
      <c r="M37" s="190">
        <v>80881599.680000007</v>
      </c>
      <c r="N37" s="190">
        <v>64036596.079999998</v>
      </c>
      <c r="O37" s="190">
        <v>68431755.129999995</v>
      </c>
      <c r="P37" s="190">
        <v>101102031.11</v>
      </c>
      <c r="Q37" s="190">
        <v>86092671.120000005</v>
      </c>
      <c r="R37" s="190">
        <v>45971429.380000003</v>
      </c>
      <c r="S37" s="190">
        <v>53110942.130000003</v>
      </c>
      <c r="T37" s="190">
        <v>74396737.290000007</v>
      </c>
      <c r="U37" s="190">
        <v>74121513.219999999</v>
      </c>
      <c r="V37" s="190">
        <v>54660257.630000003</v>
      </c>
      <c r="W37" s="190">
        <v>43111362.920000002</v>
      </c>
      <c r="X37" s="190">
        <v>66104440.909999996</v>
      </c>
      <c r="Y37" s="190">
        <v>55619716.280000001</v>
      </c>
      <c r="Z37" s="190">
        <v>55302377.479999997</v>
      </c>
      <c r="AA37" s="190">
        <v>53244998.289999999</v>
      </c>
      <c r="AB37" s="190">
        <v>73085304.019999996</v>
      </c>
      <c r="AC37" s="190">
        <v>83410023.870000005</v>
      </c>
      <c r="AD37" s="190">
        <v>64216356.18</v>
      </c>
      <c r="AE37" s="190">
        <v>62080895.219999999</v>
      </c>
      <c r="AF37" s="190">
        <v>86486174.939999998</v>
      </c>
      <c r="AG37" s="190">
        <v>44715330.340000004</v>
      </c>
      <c r="AH37" s="190">
        <v>48447355.82</v>
      </c>
      <c r="AI37" s="190">
        <v>27729649.68</v>
      </c>
      <c r="AJ37" s="190">
        <v>57222327.399999999</v>
      </c>
      <c r="AK37" s="190">
        <v>34172534.549999997</v>
      </c>
      <c r="AL37" s="190">
        <v>24045552.960000001</v>
      </c>
      <c r="AM37" s="190">
        <v>17196785.210000001</v>
      </c>
      <c r="AN37" s="190">
        <v>22351928.379999999</v>
      </c>
      <c r="AO37" s="190">
        <v>14776370.939999999</v>
      </c>
      <c r="AP37" s="190">
        <v>41165866.700000003</v>
      </c>
      <c r="AQ37" s="190">
        <v>0</v>
      </c>
      <c r="AR37" s="190"/>
      <c r="AS37" s="190"/>
      <c r="AT37" s="190"/>
      <c r="AU37" s="190"/>
      <c r="AV37" s="190"/>
      <c r="AW37" s="190"/>
      <c r="AX37" s="190"/>
      <c r="AY37" s="190"/>
      <c r="AZ37" s="190"/>
      <c r="BA37" s="190"/>
      <c r="BB37" s="190"/>
      <c r="BC37" s="190"/>
      <c r="BD37" s="190"/>
      <c r="BE37" s="190"/>
      <c r="BF37" s="190"/>
      <c r="BG37" s="190"/>
      <c r="BH37" s="190"/>
      <c r="BI37" s="190"/>
      <c r="BJ37" s="190"/>
      <c r="BK37" s="190"/>
      <c r="BL37" s="190"/>
      <c r="BM37" s="190"/>
      <c r="BN37" s="190"/>
      <c r="BO37" s="190"/>
      <c r="BP37" s="190"/>
      <c r="BQ37" s="190"/>
      <c r="BR37" s="190"/>
      <c r="BS37" s="190"/>
      <c r="BT37" s="190"/>
      <c r="BU37" s="190"/>
      <c r="BV37" s="190"/>
      <c r="BW37" s="190"/>
      <c r="BX37" s="190"/>
      <c r="BY37" s="190"/>
      <c r="BZ37" s="190"/>
      <c r="CA37" s="190"/>
      <c r="CB37" s="190"/>
      <c r="CC37" s="190"/>
      <c r="CD37" s="190"/>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c r="AS38" s="190"/>
      <c r="AT38" s="190"/>
      <c r="AU38" s="190"/>
      <c r="AV38" s="190"/>
      <c r="AW38" s="190"/>
      <c r="AX38" s="190"/>
      <c r="AY38" s="190"/>
      <c r="AZ38" s="190"/>
      <c r="BA38" s="190"/>
      <c r="BB38" s="190"/>
      <c r="BC38" s="190"/>
      <c r="BD38" s="190"/>
      <c r="BE38" s="190"/>
      <c r="BF38" s="190"/>
      <c r="BG38" s="190"/>
      <c r="BH38" s="190"/>
      <c r="BI38" s="190"/>
      <c r="BJ38" s="190"/>
      <c r="BK38" s="190"/>
      <c r="BL38" s="190"/>
      <c r="BM38" s="190"/>
      <c r="BN38" s="190"/>
      <c r="BO38" s="190"/>
      <c r="BP38" s="190"/>
      <c r="BQ38" s="190"/>
      <c r="BR38" s="190"/>
      <c r="BS38" s="190"/>
      <c r="BT38" s="190"/>
      <c r="BU38" s="190"/>
      <c r="BV38" s="190"/>
      <c r="BW38" s="190"/>
      <c r="BX38" s="190"/>
      <c r="BY38" s="190"/>
      <c r="BZ38" s="190"/>
      <c r="CA38" s="190"/>
      <c r="CB38" s="190"/>
      <c r="CC38" s="190"/>
      <c r="CD38" s="190"/>
      <c r="CE38" s="190"/>
      <c r="CF38" s="190"/>
      <c r="CG38" s="190"/>
      <c r="CH38" s="190"/>
      <c r="CI38" s="190"/>
      <c r="CJ38" s="190"/>
      <c r="CK38" s="190"/>
      <c r="CL38" s="190"/>
    </row>
    <row r="39" spans="1:90" x14ac:dyDescent="0.25">
      <c r="A39" s="17" t="s">
        <v>25</v>
      </c>
      <c r="B39" s="190">
        <v>104130213.66</v>
      </c>
      <c r="C39" s="190">
        <v>97147973.239999995</v>
      </c>
      <c r="D39" s="190">
        <v>93912128.540000007</v>
      </c>
      <c r="E39" s="190">
        <v>135547115.13</v>
      </c>
      <c r="F39" s="190">
        <v>100544218.75</v>
      </c>
      <c r="G39" s="190">
        <v>93461848.829999998</v>
      </c>
      <c r="H39" s="190">
        <v>86808048.439999998</v>
      </c>
      <c r="I39" s="190">
        <v>80932813</v>
      </c>
      <c r="J39" s="190">
        <v>68768972.730000004</v>
      </c>
      <c r="K39" s="190">
        <v>55714609.840000004</v>
      </c>
      <c r="L39" s="190">
        <v>58263035.460000001</v>
      </c>
      <c r="M39" s="190">
        <v>76185233.560000002</v>
      </c>
      <c r="N39" s="190">
        <v>49758768.649999999</v>
      </c>
      <c r="O39" s="190">
        <v>46661668.469999999</v>
      </c>
      <c r="P39" s="190">
        <v>60107491.990000002</v>
      </c>
      <c r="Q39" s="190">
        <v>79111287.549999997</v>
      </c>
      <c r="R39" s="190">
        <v>39617969.299999997</v>
      </c>
      <c r="S39" s="190">
        <v>39278805.990000002</v>
      </c>
      <c r="T39" s="190">
        <v>40689188.799999997</v>
      </c>
      <c r="U39" s="190">
        <v>51711912.359999999</v>
      </c>
      <c r="V39" s="190">
        <v>35628761.850000001</v>
      </c>
      <c r="W39" s="190">
        <v>36679253.609999999</v>
      </c>
      <c r="X39" s="190">
        <v>37666978.210000001</v>
      </c>
      <c r="Y39" s="190">
        <v>38118554.369999997</v>
      </c>
      <c r="Z39" s="190">
        <v>35005535.740000002</v>
      </c>
      <c r="AA39" s="190">
        <v>33044291.079999998</v>
      </c>
      <c r="AB39" s="190">
        <v>44217530.359999999</v>
      </c>
      <c r="AC39" s="190">
        <v>27448505.84</v>
      </c>
      <c r="AD39" s="190">
        <v>32205329.43</v>
      </c>
      <c r="AE39" s="190">
        <v>28266261.68</v>
      </c>
      <c r="AF39" s="190">
        <v>26236854.23</v>
      </c>
      <c r="AG39" s="190">
        <v>26515652.41</v>
      </c>
      <c r="AH39" s="190">
        <v>23367527.800000001</v>
      </c>
      <c r="AI39" s="190">
        <v>23133468.34</v>
      </c>
      <c r="AJ39" s="190">
        <v>22235477.079999998</v>
      </c>
      <c r="AK39" s="190">
        <v>21491475.84</v>
      </c>
      <c r="AL39" s="190">
        <v>18336221.640000001</v>
      </c>
      <c r="AM39" s="190">
        <v>18160939.329999998</v>
      </c>
      <c r="AN39" s="190">
        <v>17922939.960000001</v>
      </c>
      <c r="AO39" s="190">
        <v>11511182.060000001</v>
      </c>
      <c r="AP39" s="190">
        <v>9490197.3499999996</v>
      </c>
      <c r="AQ39" s="190">
        <v>0</v>
      </c>
      <c r="AR39" s="190"/>
      <c r="AS39" s="190"/>
      <c r="AT39" s="190"/>
      <c r="AU39" s="190"/>
      <c r="AV39" s="190"/>
      <c r="AW39" s="190"/>
      <c r="AX39" s="190"/>
      <c r="AY39" s="190"/>
      <c r="AZ39" s="190"/>
      <c r="BA39" s="190"/>
      <c r="BB39" s="190"/>
      <c r="BC39" s="190"/>
      <c r="BD39" s="190"/>
      <c r="BE39" s="190"/>
      <c r="BF39" s="190"/>
      <c r="BG39" s="190"/>
      <c r="BH39" s="190"/>
      <c r="BI39" s="190"/>
      <c r="BJ39" s="190"/>
      <c r="BK39" s="190"/>
      <c r="BL39" s="190"/>
      <c r="BM39" s="190"/>
      <c r="BN39" s="190"/>
      <c r="BO39" s="190"/>
      <c r="BP39" s="190"/>
      <c r="BQ39" s="190"/>
      <c r="BR39" s="190"/>
      <c r="BS39" s="190"/>
      <c r="BT39" s="190"/>
      <c r="BU39" s="190"/>
      <c r="BV39" s="190"/>
      <c r="BW39" s="190"/>
      <c r="BX39" s="190"/>
      <c r="BY39" s="190"/>
      <c r="BZ39" s="190"/>
      <c r="CA39" s="190"/>
      <c r="CB39" s="190"/>
      <c r="CC39" s="190"/>
      <c r="CD39" s="190"/>
      <c r="CE39" s="190"/>
      <c r="CF39" s="190"/>
      <c r="CG39" s="190"/>
      <c r="CH39" s="190"/>
      <c r="CI39" s="190"/>
      <c r="CJ39" s="190"/>
      <c r="CK39" s="190"/>
      <c r="CL39" s="190"/>
    </row>
    <row r="40" spans="1:90" x14ac:dyDescent="0.25">
      <c r="A40" s="17" t="s">
        <v>26</v>
      </c>
      <c r="B40" s="190">
        <v>49256570.710000001</v>
      </c>
      <c r="C40" s="190">
        <v>17783746.57</v>
      </c>
      <c r="D40" s="190">
        <v>60808421.219999999</v>
      </c>
      <c r="E40" s="190">
        <v>131691760.77</v>
      </c>
      <c r="F40" s="190">
        <v>101470001.01000001</v>
      </c>
      <c r="G40" s="190">
        <v>49689860.100000001</v>
      </c>
      <c r="H40" s="190">
        <v>99807050.629999995</v>
      </c>
      <c r="I40" s="190">
        <v>85532965.549999997</v>
      </c>
      <c r="J40" s="190">
        <v>29874534.41</v>
      </c>
      <c r="K40" s="190">
        <v>35734010.189999998</v>
      </c>
      <c r="L40" s="190">
        <v>73108978.579999998</v>
      </c>
      <c r="M40" s="190">
        <v>71462721.680000007</v>
      </c>
      <c r="N40" s="190">
        <v>48669585.399999999</v>
      </c>
      <c r="O40" s="190">
        <v>16038021.939999999</v>
      </c>
      <c r="P40" s="190">
        <v>53331382.43</v>
      </c>
      <c r="Q40" s="190">
        <v>30321686.989999998</v>
      </c>
      <c r="R40" s="190">
        <v>24257149.670000002</v>
      </c>
      <c r="S40" s="190">
        <v>-9157544.9900000002</v>
      </c>
      <c r="T40" s="190">
        <v>41703844.950000003</v>
      </c>
      <c r="U40" s="190">
        <v>-10207223.199999999</v>
      </c>
      <c r="V40" s="190">
        <v>40001809.07</v>
      </c>
      <c r="W40" s="190">
        <v>-21850069.050000001</v>
      </c>
      <c r="X40" s="190">
        <v>44482766.740000002</v>
      </c>
      <c r="Y40" s="190">
        <v>2729424.25</v>
      </c>
      <c r="Z40" s="190">
        <v>53764057.170000002</v>
      </c>
      <c r="AA40" s="190">
        <v>21253800.059999999</v>
      </c>
      <c r="AB40" s="190">
        <v>40855204.450000003</v>
      </c>
      <c r="AC40" s="190">
        <v>12959396.76</v>
      </c>
      <c r="AD40" s="190">
        <v>39239445.759999998</v>
      </c>
      <c r="AE40" s="190">
        <v>-48668986.020000003</v>
      </c>
      <c r="AF40" s="190">
        <v>54805025.219999999</v>
      </c>
      <c r="AG40" s="190">
        <v>2720795.11</v>
      </c>
      <c r="AH40" s="190">
        <v>35918893</v>
      </c>
      <c r="AI40" s="190">
        <v>6870827.6100000003</v>
      </c>
      <c r="AJ40" s="190">
        <v>42105458.289999999</v>
      </c>
      <c r="AK40" s="190">
        <v>30683200.640000001</v>
      </c>
      <c r="AL40" s="190">
        <v>26515087.09</v>
      </c>
      <c r="AM40" s="190">
        <v>-2708796.52</v>
      </c>
      <c r="AN40" s="190">
        <v>8780899.7200000007</v>
      </c>
      <c r="AO40" s="190">
        <v>20337137.77</v>
      </c>
      <c r="AP40" s="190">
        <v>3308743.89</v>
      </c>
      <c r="AQ40" s="190">
        <v>0</v>
      </c>
      <c r="AR40" s="190"/>
      <c r="AS40" s="190"/>
      <c r="AT40" s="190"/>
      <c r="AU40" s="190"/>
      <c r="AV40" s="190"/>
      <c r="AW40" s="190"/>
      <c r="AX40" s="190"/>
      <c r="AY40" s="190"/>
      <c r="AZ40" s="190"/>
      <c r="BA40" s="190"/>
      <c r="BB40" s="190"/>
      <c r="BC40" s="190"/>
      <c r="BD40" s="190"/>
      <c r="BE40" s="190"/>
      <c r="BF40" s="190"/>
      <c r="BG40" s="190"/>
      <c r="BH40" s="190"/>
      <c r="BI40" s="190"/>
      <c r="BJ40" s="190"/>
      <c r="BK40" s="190"/>
      <c r="BL40" s="190"/>
      <c r="BM40" s="190"/>
      <c r="BN40" s="190"/>
      <c r="BO40" s="190"/>
      <c r="BP40" s="190"/>
      <c r="BQ40" s="190"/>
      <c r="BR40" s="190"/>
      <c r="BS40" s="190"/>
      <c r="BT40" s="190"/>
      <c r="BU40" s="190"/>
      <c r="BV40" s="190"/>
      <c r="BW40" s="190"/>
      <c r="BX40" s="190"/>
      <c r="BY40" s="190"/>
      <c r="BZ40" s="190"/>
      <c r="CA40" s="190"/>
      <c r="CB40" s="190"/>
      <c r="CC40" s="190"/>
      <c r="CD40" s="190"/>
      <c r="CE40" s="190"/>
      <c r="CF40" s="190"/>
      <c r="CG40" s="190"/>
      <c r="CH40" s="190"/>
      <c r="CI40" s="190"/>
      <c r="CJ40" s="190"/>
      <c r="CK40" s="190"/>
      <c r="CL40" s="190"/>
    </row>
    <row r="41" spans="1:90" x14ac:dyDescent="0.25">
      <c r="A41" s="17" t="s">
        <v>27</v>
      </c>
      <c r="B41" s="190">
        <v>174174387.56</v>
      </c>
      <c r="C41" s="190">
        <v>267720764.88999999</v>
      </c>
      <c r="D41" s="190">
        <v>183636152.00999999</v>
      </c>
      <c r="E41" s="190">
        <v>155387998.97999999</v>
      </c>
      <c r="F41" s="190">
        <v>167096257.28</v>
      </c>
      <c r="G41" s="190">
        <v>166326681.74000001</v>
      </c>
      <c r="H41" s="190">
        <v>108461313.58</v>
      </c>
      <c r="I41" s="190">
        <v>119459262.78</v>
      </c>
      <c r="J41" s="190">
        <v>129096474.2</v>
      </c>
      <c r="K41" s="190">
        <v>111889529.72</v>
      </c>
      <c r="L41" s="190">
        <v>121785876.54000001</v>
      </c>
      <c r="M41" s="190">
        <v>119385398.15000001</v>
      </c>
      <c r="N41" s="190">
        <v>100043179.77</v>
      </c>
      <c r="O41" s="190">
        <v>96573186.959999993</v>
      </c>
      <c r="P41" s="190">
        <v>104737772.03</v>
      </c>
      <c r="Q41" s="190">
        <v>109431899.19</v>
      </c>
      <c r="R41" s="190">
        <v>58058523.149999999</v>
      </c>
      <c r="S41" s="190">
        <v>54359344.32</v>
      </c>
      <c r="T41" s="190">
        <v>54478386.140000001</v>
      </c>
      <c r="U41" s="190">
        <v>54160633.229999997</v>
      </c>
      <c r="V41" s="190">
        <v>50845067.060000002</v>
      </c>
      <c r="W41" s="190">
        <v>48802486.119999997</v>
      </c>
      <c r="X41" s="190">
        <v>50456499.079999998</v>
      </c>
      <c r="Y41" s="190">
        <v>49101698.909999996</v>
      </c>
      <c r="Z41" s="190">
        <v>57593452.100000001</v>
      </c>
      <c r="AA41" s="190">
        <v>45895756.600000001</v>
      </c>
      <c r="AB41" s="190">
        <v>44705798.020000003</v>
      </c>
      <c r="AC41" s="190">
        <v>36922110.979999997</v>
      </c>
      <c r="AD41" s="190">
        <v>36867844.240000002</v>
      </c>
      <c r="AE41" s="190">
        <v>35010155.009999998</v>
      </c>
      <c r="AF41" s="190">
        <v>30047017.890000001</v>
      </c>
      <c r="AG41" s="190">
        <v>27006431.969999999</v>
      </c>
      <c r="AH41" s="190">
        <v>28097199.600000001</v>
      </c>
      <c r="AI41" s="190">
        <v>32160007.850000001</v>
      </c>
      <c r="AJ41" s="190">
        <v>26460314</v>
      </c>
      <c r="AK41" s="190">
        <v>23631955.23</v>
      </c>
      <c r="AL41" s="190">
        <v>24340520.57</v>
      </c>
      <c r="AM41" s="190">
        <v>17204835.57</v>
      </c>
      <c r="AN41" s="190">
        <v>15642743.189999999</v>
      </c>
      <c r="AO41" s="190">
        <v>14240405.210000001</v>
      </c>
      <c r="AP41" s="190">
        <v>43058601.479999997</v>
      </c>
      <c r="AQ41" s="190">
        <v>0</v>
      </c>
      <c r="AR41" s="190"/>
      <c r="AS41" s="190"/>
      <c r="AT41" s="190"/>
      <c r="AU41" s="190"/>
      <c r="AV41" s="190"/>
      <c r="AW41" s="190"/>
      <c r="AX41" s="190"/>
      <c r="AY41" s="190"/>
      <c r="AZ41" s="190"/>
      <c r="BA41" s="190"/>
      <c r="BB41" s="190"/>
      <c r="BC41" s="190"/>
      <c r="BD41" s="190"/>
      <c r="BE41" s="190"/>
      <c r="BF41" s="190"/>
      <c r="BG41" s="190"/>
      <c r="BH41" s="190"/>
      <c r="BI41" s="190"/>
      <c r="BJ41" s="190"/>
      <c r="BK41" s="190"/>
      <c r="BL41" s="190"/>
      <c r="BM41" s="190"/>
      <c r="BN41" s="190"/>
      <c r="BO41" s="190"/>
      <c r="BP41" s="190"/>
      <c r="BQ41" s="190"/>
      <c r="BR41" s="190"/>
      <c r="BS41" s="190"/>
      <c r="BT41" s="190"/>
      <c r="BU41" s="190"/>
      <c r="BV41" s="190"/>
      <c r="BW41" s="190"/>
      <c r="BX41" s="190"/>
      <c r="BY41" s="190"/>
      <c r="BZ41" s="190"/>
      <c r="CA41" s="190"/>
      <c r="CB41" s="190"/>
      <c r="CC41" s="190"/>
      <c r="CD41" s="190"/>
      <c r="CE41" s="190"/>
      <c r="CF41" s="190"/>
      <c r="CG41" s="190"/>
      <c r="CH41" s="190"/>
      <c r="CI41" s="190"/>
      <c r="CJ41" s="190"/>
      <c r="CK41" s="190"/>
      <c r="CL41" s="190"/>
    </row>
    <row r="42" spans="1:90" s="39" customFormat="1" x14ac:dyDescent="0.25">
      <c r="A42" s="124" t="s">
        <v>28</v>
      </c>
      <c r="B42" s="190">
        <v>15765867.51</v>
      </c>
      <c r="C42" s="190">
        <v>16554964.779999999</v>
      </c>
      <c r="D42" s="190">
        <v>15733046.279999999</v>
      </c>
      <c r="E42" s="190">
        <v>16782981.620000001</v>
      </c>
      <c r="F42" s="190">
        <v>18750304.399999999</v>
      </c>
      <c r="G42" s="190">
        <v>20425933.780000001</v>
      </c>
      <c r="H42" s="190">
        <v>20242601.390000001</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c r="AS42" s="190"/>
      <c r="AT42" s="190"/>
      <c r="AU42" s="190"/>
      <c r="AV42" s="190"/>
      <c r="AW42" s="190"/>
      <c r="AX42" s="190"/>
      <c r="AY42" s="190"/>
      <c r="AZ42" s="190"/>
      <c r="BA42" s="190"/>
      <c r="BB42" s="190"/>
      <c r="BC42" s="190"/>
      <c r="BD42" s="190"/>
      <c r="BE42" s="190"/>
      <c r="BF42" s="190"/>
      <c r="BG42" s="190"/>
      <c r="BH42" s="190"/>
      <c r="BI42" s="190"/>
      <c r="BJ42" s="190"/>
      <c r="BK42" s="190"/>
      <c r="BL42" s="190"/>
      <c r="BM42" s="190"/>
      <c r="BN42" s="190"/>
      <c r="BO42" s="190"/>
      <c r="BP42" s="190"/>
      <c r="BQ42" s="190"/>
      <c r="BR42" s="190"/>
      <c r="BS42" s="190"/>
      <c r="BT42" s="190"/>
      <c r="BU42" s="190"/>
      <c r="BV42" s="190"/>
      <c r="BW42" s="190"/>
      <c r="BX42" s="190"/>
      <c r="BY42" s="190"/>
      <c r="BZ42" s="190"/>
      <c r="CA42" s="190"/>
      <c r="CB42" s="190"/>
      <c r="CC42" s="190"/>
      <c r="CD42" s="190"/>
      <c r="CE42" s="190"/>
      <c r="CF42" s="190"/>
      <c r="CG42" s="190"/>
      <c r="CH42" s="190"/>
      <c r="CI42" s="190"/>
      <c r="CJ42" s="190"/>
      <c r="CK42" s="190"/>
      <c r="CL42" s="190"/>
    </row>
    <row r="43" spans="1:90" x14ac:dyDescent="0.25">
      <c r="A43" s="17" t="s">
        <v>29</v>
      </c>
      <c r="B43" s="190">
        <v>12000000</v>
      </c>
      <c r="C43" s="190">
        <v>12000000</v>
      </c>
      <c r="D43" s="190">
        <v>11500000</v>
      </c>
      <c r="E43" s="190">
        <v>11500000</v>
      </c>
      <c r="F43" s="190">
        <v>10500000</v>
      </c>
      <c r="G43" s="190">
        <v>10500000</v>
      </c>
      <c r="H43" s="190">
        <v>7000000</v>
      </c>
      <c r="I43" s="190">
        <v>7000000</v>
      </c>
      <c r="J43" s="190">
        <v>0</v>
      </c>
      <c r="K43" s="190">
        <v>0</v>
      </c>
      <c r="L43" s="190">
        <v>0</v>
      </c>
      <c r="M43" s="190">
        <v>0</v>
      </c>
      <c r="N43" s="190">
        <v>0</v>
      </c>
      <c r="O43" s="190">
        <v>0</v>
      </c>
      <c r="P43" s="190">
        <v>0</v>
      </c>
      <c r="Q43" s="190">
        <v>0</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c r="AS43" s="190"/>
      <c r="AT43" s="190"/>
      <c r="AU43" s="190"/>
      <c r="AV43" s="190"/>
      <c r="AW43" s="190"/>
      <c r="AX43" s="190"/>
      <c r="AY43" s="190"/>
      <c r="AZ43" s="190"/>
      <c r="BA43" s="190"/>
      <c r="BB43" s="190"/>
      <c r="BC43" s="190"/>
      <c r="BD43" s="190"/>
      <c r="BE43" s="190"/>
      <c r="BF43" s="190"/>
      <c r="BG43" s="190"/>
      <c r="BH43" s="190"/>
      <c r="BI43" s="190"/>
      <c r="BJ43" s="190"/>
      <c r="BK43" s="190"/>
      <c r="BL43" s="190"/>
      <c r="BM43" s="190"/>
      <c r="BN43" s="190"/>
      <c r="BO43" s="190"/>
      <c r="BP43" s="190"/>
      <c r="BQ43" s="190"/>
      <c r="BR43" s="190"/>
      <c r="BS43" s="190"/>
      <c r="BT43" s="190"/>
      <c r="BU43" s="190"/>
      <c r="BV43" s="190"/>
      <c r="BW43" s="190"/>
      <c r="BX43" s="190"/>
      <c r="BY43" s="190"/>
      <c r="BZ43" s="190"/>
      <c r="CA43" s="190"/>
      <c r="CB43" s="190"/>
      <c r="CC43" s="190"/>
      <c r="CD43" s="190"/>
      <c r="CE43" s="190"/>
      <c r="CF43" s="190"/>
      <c r="CG43" s="190"/>
      <c r="CH43" s="190"/>
      <c r="CI43" s="190"/>
      <c r="CJ43" s="190"/>
      <c r="CK43" s="190"/>
      <c r="CL43" s="19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c r="AS44" s="190"/>
      <c r="AT44" s="190"/>
      <c r="AU44" s="190"/>
      <c r="AV44" s="190"/>
      <c r="AW44" s="190"/>
      <c r="AX44" s="190"/>
      <c r="AY44" s="190"/>
      <c r="AZ44" s="190"/>
      <c r="BA44" s="190"/>
      <c r="BB44" s="190"/>
      <c r="BC44" s="190"/>
      <c r="BD44" s="190"/>
      <c r="BE44" s="190"/>
      <c r="BF44" s="190"/>
      <c r="BG44" s="190"/>
      <c r="BH44" s="190"/>
      <c r="BI44" s="190"/>
      <c r="BJ44" s="190"/>
      <c r="BK44" s="190"/>
      <c r="BL44" s="190"/>
      <c r="BM44" s="190"/>
      <c r="BN44" s="190"/>
      <c r="BO44" s="190"/>
      <c r="BP44" s="190"/>
      <c r="BQ44" s="190"/>
      <c r="BR44" s="190"/>
      <c r="BS44" s="190"/>
      <c r="BT44" s="190"/>
      <c r="BU44" s="190"/>
      <c r="BV44" s="190"/>
      <c r="BW44" s="190"/>
      <c r="BX44" s="190"/>
      <c r="BY44" s="190"/>
      <c r="BZ44" s="190"/>
      <c r="CA44" s="190"/>
      <c r="CB44" s="190"/>
      <c r="CC44" s="190"/>
      <c r="CD44" s="190"/>
      <c r="CE44" s="190"/>
      <c r="CF44" s="190"/>
      <c r="CG44" s="190"/>
      <c r="CH44" s="190"/>
      <c r="CI44" s="190"/>
      <c r="CJ44" s="190"/>
      <c r="CK44" s="190"/>
      <c r="CL44" s="190"/>
    </row>
    <row r="45" spans="1:90" x14ac:dyDescent="0.25">
      <c r="A45" s="17" t="s">
        <v>31</v>
      </c>
      <c r="B45" s="190">
        <v>75095008.400000006</v>
      </c>
      <c r="C45" s="190">
        <v>64834268.609999999</v>
      </c>
      <c r="D45" s="190">
        <v>67258993.180000007</v>
      </c>
      <c r="E45" s="190">
        <v>84207625.390000001</v>
      </c>
      <c r="F45" s="190">
        <v>27900982.940000001</v>
      </c>
      <c r="G45" s="190">
        <v>32053640.420000002</v>
      </c>
      <c r="H45" s="190">
        <v>55326668.07</v>
      </c>
      <c r="I45" s="190">
        <v>37467238.380000003</v>
      </c>
      <c r="J45" s="190">
        <v>27487049.420000002</v>
      </c>
      <c r="K45" s="190">
        <v>35839293.82</v>
      </c>
      <c r="L45" s="190">
        <v>54584831.789999999</v>
      </c>
      <c r="M45" s="190">
        <v>49807448.399999999</v>
      </c>
      <c r="N45" s="190">
        <v>39211393</v>
      </c>
      <c r="O45" s="190">
        <v>33895804.149999999</v>
      </c>
      <c r="P45" s="190">
        <v>32714815.600000001</v>
      </c>
      <c r="Q45" s="190">
        <v>24818085.18</v>
      </c>
      <c r="R45" s="190">
        <v>20643154.260000002</v>
      </c>
      <c r="S45" s="190">
        <v>18885327.989999998</v>
      </c>
      <c r="T45" s="190">
        <v>13061850.189999999</v>
      </c>
      <c r="U45" s="190">
        <v>10863390.52</v>
      </c>
      <c r="V45" s="190">
        <v>19792689.98</v>
      </c>
      <c r="W45" s="190">
        <v>16985933.010000002</v>
      </c>
      <c r="X45" s="190">
        <v>11694968.01</v>
      </c>
      <c r="Y45" s="190">
        <v>12287200.359999999</v>
      </c>
      <c r="Z45" s="190">
        <v>10307350.710000001</v>
      </c>
      <c r="AA45" s="190">
        <v>3066819.13</v>
      </c>
      <c r="AB45" s="190">
        <v>8512379.5099999998</v>
      </c>
      <c r="AC45" s="190">
        <v>8728575.6999999993</v>
      </c>
      <c r="AD45" s="190">
        <v>19071215.530000001</v>
      </c>
      <c r="AE45" s="190">
        <v>20889846.449999999</v>
      </c>
      <c r="AF45" s="190">
        <v>10930391.85</v>
      </c>
      <c r="AG45" s="190">
        <v>6627962.0499999998</v>
      </c>
      <c r="AH45" s="190">
        <v>10161251.76</v>
      </c>
      <c r="AI45" s="190">
        <v>5455317.2000000002</v>
      </c>
      <c r="AJ45" s="190">
        <v>5626052.2000000002</v>
      </c>
      <c r="AK45" s="190">
        <v>5891067.8200000003</v>
      </c>
      <c r="AL45" s="190">
        <v>1387908.21</v>
      </c>
      <c r="AM45" s="190">
        <v>1365946.28</v>
      </c>
      <c r="AN45" s="190">
        <v>2339075.14</v>
      </c>
      <c r="AO45" s="190">
        <v>3039475.51</v>
      </c>
      <c r="AP45" s="190">
        <v>1778889.15</v>
      </c>
      <c r="AQ45" s="190">
        <v>0</v>
      </c>
      <c r="AR45" s="190"/>
      <c r="AS45" s="190"/>
      <c r="AT45" s="190"/>
      <c r="AU45" s="190"/>
      <c r="AV45" s="190"/>
      <c r="AW45" s="190"/>
      <c r="AX45" s="190"/>
      <c r="AY45" s="190"/>
      <c r="AZ45" s="190"/>
      <c r="BA45" s="190"/>
      <c r="BB45" s="190"/>
      <c r="BC45" s="190"/>
      <c r="BD45" s="190"/>
      <c r="BE45" s="190"/>
      <c r="BF45" s="190"/>
      <c r="BG45" s="190"/>
      <c r="BH45" s="190"/>
      <c r="BI45" s="190"/>
      <c r="BJ45" s="190"/>
      <c r="BK45" s="190"/>
      <c r="BL45" s="190"/>
      <c r="BM45" s="190"/>
      <c r="BN45" s="190"/>
      <c r="BO45" s="190"/>
      <c r="BP45" s="190"/>
      <c r="BQ45" s="190"/>
      <c r="BR45" s="190"/>
      <c r="BS45" s="190"/>
      <c r="BT45" s="190"/>
      <c r="BU45" s="190"/>
      <c r="BV45" s="190"/>
      <c r="BW45" s="190"/>
      <c r="BX45" s="190"/>
      <c r="BY45" s="190"/>
      <c r="BZ45" s="190"/>
      <c r="CA45" s="190"/>
      <c r="CB45" s="190"/>
      <c r="CC45" s="190"/>
      <c r="CD45" s="190"/>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497934261.10000002</v>
      </c>
      <c r="C49" s="35">
        <f>SUM(C35:C41)+SUM(C43:C45)</f>
        <v>1121825077.1700001</v>
      </c>
      <c r="D49" s="35">
        <f>SUM(D35:D41)+SUM(D43:D45)</f>
        <v>999761337.50999999</v>
      </c>
      <c r="E49" s="35">
        <f>SUM(E35:E45)</f>
        <v>1118955772.9300001</v>
      </c>
      <c r="F49" s="35">
        <f t="shared" ref="F49:BQ49" si="4">SUM(F35:F45)</f>
        <v>1033135249.97</v>
      </c>
      <c r="G49" s="35">
        <f t="shared" si="4"/>
        <v>925232957.13999999</v>
      </c>
      <c r="H49" s="35">
        <f t="shared" si="4"/>
        <v>934682873.11000013</v>
      </c>
      <c r="I49" s="35">
        <f t="shared" si="4"/>
        <v>828041619.75999999</v>
      </c>
      <c r="J49" s="35">
        <f t="shared" si="4"/>
        <v>707432206.19000006</v>
      </c>
      <c r="K49" s="35">
        <f t="shared" si="4"/>
        <v>595126061.96000004</v>
      </c>
      <c r="L49" s="35">
        <f t="shared" si="4"/>
        <v>703193296.03999996</v>
      </c>
      <c r="M49" s="35">
        <f t="shared" si="4"/>
        <v>713457469.62</v>
      </c>
      <c r="N49" s="35">
        <f t="shared" si="4"/>
        <v>645038434.53999996</v>
      </c>
      <c r="O49" s="35">
        <f t="shared" si="4"/>
        <v>583285546.85000002</v>
      </c>
      <c r="P49" s="35">
        <f t="shared" si="4"/>
        <v>572139434.96000004</v>
      </c>
      <c r="Q49" s="35">
        <f t="shared" si="4"/>
        <v>621939955.44999993</v>
      </c>
      <c r="R49" s="35">
        <f t="shared" si="4"/>
        <v>586729466.63</v>
      </c>
      <c r="S49" s="35">
        <f t="shared" si="4"/>
        <v>468559751.40000004</v>
      </c>
      <c r="T49" s="35">
        <f t="shared" si="4"/>
        <v>497997079.13999999</v>
      </c>
      <c r="U49" s="35">
        <f t="shared" si="4"/>
        <v>512143856.13000005</v>
      </c>
      <c r="V49" s="35">
        <f t="shared" si="4"/>
        <v>434484790.17000008</v>
      </c>
      <c r="W49" s="35">
        <f t="shared" si="4"/>
        <v>322223196.62</v>
      </c>
      <c r="X49" s="35">
        <f t="shared" si="4"/>
        <v>431630951.94999993</v>
      </c>
      <c r="Y49" s="35">
        <f t="shared" si="4"/>
        <v>447550008.76999998</v>
      </c>
      <c r="Z49" s="35">
        <f t="shared" si="4"/>
        <v>507299155.92000008</v>
      </c>
      <c r="AA49" s="35">
        <f t="shared" si="4"/>
        <v>493984344.29000002</v>
      </c>
      <c r="AB49" s="35">
        <f t="shared" si="4"/>
        <v>514159750.65999991</v>
      </c>
      <c r="AC49" s="35">
        <f t="shared" si="4"/>
        <v>502685476.98000002</v>
      </c>
      <c r="AD49" s="35">
        <f t="shared" si="4"/>
        <v>431645106.74000001</v>
      </c>
      <c r="AE49" s="35">
        <f t="shared" si="4"/>
        <v>333573826.67999995</v>
      </c>
      <c r="AF49" s="35">
        <f t="shared" si="4"/>
        <v>419394747.45000005</v>
      </c>
      <c r="AG49" s="35">
        <f t="shared" si="4"/>
        <v>399547372.94999999</v>
      </c>
      <c r="AH49" s="35">
        <f t="shared" si="4"/>
        <v>290528234.13</v>
      </c>
      <c r="AI49" s="35">
        <f t="shared" si="4"/>
        <v>218982489.06999999</v>
      </c>
      <c r="AJ49" s="35">
        <f t="shared" si="4"/>
        <v>240639133.97999999</v>
      </c>
      <c r="AK49" s="35">
        <f t="shared" si="4"/>
        <v>215271999.86999997</v>
      </c>
      <c r="AL49" s="35">
        <f t="shared" si="4"/>
        <v>183602745.03</v>
      </c>
      <c r="AM49" s="35">
        <f t="shared" si="4"/>
        <v>141823169.59999999</v>
      </c>
      <c r="AN49" s="35">
        <f t="shared" si="4"/>
        <v>157104143.11999997</v>
      </c>
      <c r="AO49" s="35">
        <f t="shared" si="4"/>
        <v>119684318.23</v>
      </c>
      <c r="AP49" s="35">
        <f t="shared" si="4"/>
        <v>144217846.25</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2535992753.8299999</v>
      </c>
      <c r="C50" s="36">
        <f t="shared" ref="C50:BN50" si="6">C33-C49</f>
        <v>1715315254.5499997</v>
      </c>
      <c r="D50" s="36">
        <f t="shared" si="6"/>
        <v>1724673460.9199998</v>
      </c>
      <c r="E50" s="36">
        <f t="shared" si="6"/>
        <v>1597100710.9399998</v>
      </c>
      <c r="F50" s="36">
        <f t="shared" si="6"/>
        <v>1754650310.4399998</v>
      </c>
      <c r="G50" s="36">
        <f t="shared" si="6"/>
        <v>1349137181.4500003</v>
      </c>
      <c r="H50" s="36">
        <f t="shared" si="6"/>
        <v>1278750158.9299998</v>
      </c>
      <c r="I50" s="36">
        <f t="shared" si="6"/>
        <v>949049399.85000014</v>
      </c>
      <c r="J50" s="36">
        <f t="shared" si="6"/>
        <v>1300496511.9699998</v>
      </c>
      <c r="K50" s="36">
        <f t="shared" si="6"/>
        <v>1335104250.45</v>
      </c>
      <c r="L50" s="36">
        <f t="shared" si="6"/>
        <v>1169926680.3800001</v>
      </c>
      <c r="M50" s="36">
        <f t="shared" si="6"/>
        <v>1157095856.3699999</v>
      </c>
      <c r="N50" s="36">
        <f t="shared" si="6"/>
        <v>919351714.72000003</v>
      </c>
      <c r="O50" s="36">
        <f t="shared" si="6"/>
        <v>960746978.13</v>
      </c>
      <c r="P50" s="36">
        <f t="shared" si="6"/>
        <v>1113176673.5599999</v>
      </c>
      <c r="Q50" s="36">
        <f t="shared" si="6"/>
        <v>1020208913.4599999</v>
      </c>
      <c r="R50" s="36">
        <f t="shared" si="6"/>
        <v>1020629371.64</v>
      </c>
      <c r="S50" s="36">
        <f t="shared" si="6"/>
        <v>713919009.73999977</v>
      </c>
      <c r="T50" s="36">
        <f t="shared" si="6"/>
        <v>706716177.13999999</v>
      </c>
      <c r="U50" s="36">
        <f t="shared" si="6"/>
        <v>554743546.35000014</v>
      </c>
      <c r="V50" s="36">
        <f t="shared" si="6"/>
        <v>440012245.28999996</v>
      </c>
      <c r="W50" s="36">
        <f t="shared" si="6"/>
        <v>605557151.28999996</v>
      </c>
      <c r="X50" s="36">
        <f t="shared" si="6"/>
        <v>461092421.37</v>
      </c>
      <c r="Y50" s="36">
        <f t="shared" si="6"/>
        <v>421625578.88000011</v>
      </c>
      <c r="Z50" s="36">
        <f t="shared" si="6"/>
        <v>463458176.65999985</v>
      </c>
      <c r="AA50" s="36">
        <f t="shared" si="6"/>
        <v>538043845.96000004</v>
      </c>
      <c r="AB50" s="36">
        <f t="shared" si="6"/>
        <v>318249727.29000002</v>
      </c>
      <c r="AC50" s="36">
        <f t="shared" si="6"/>
        <v>241941336.04999995</v>
      </c>
      <c r="AD50" s="36">
        <f t="shared" si="6"/>
        <v>261233161.02999997</v>
      </c>
      <c r="AE50" s="36">
        <f t="shared" si="6"/>
        <v>321419707.1500001</v>
      </c>
      <c r="AF50" s="36">
        <f t="shared" si="6"/>
        <v>148020334.52999997</v>
      </c>
      <c r="AG50" s="36">
        <f t="shared" si="6"/>
        <v>204497911.35999995</v>
      </c>
      <c r="AH50" s="36">
        <f t="shared" si="6"/>
        <v>282006776.60000002</v>
      </c>
      <c r="AI50" s="36">
        <f t="shared" si="6"/>
        <v>252834625.30000001</v>
      </c>
      <c r="AJ50" s="36">
        <f t="shared" si="6"/>
        <v>126923235.34999999</v>
      </c>
      <c r="AK50" s="36">
        <f t="shared" si="6"/>
        <v>137423752.91000006</v>
      </c>
      <c r="AL50" s="36">
        <f t="shared" si="6"/>
        <v>133608740.93999997</v>
      </c>
      <c r="AM50" s="36">
        <f t="shared" si="6"/>
        <v>157946398.67999998</v>
      </c>
      <c r="AN50" s="36">
        <f t="shared" si="6"/>
        <v>120859525.39000002</v>
      </c>
      <c r="AO50" s="36">
        <f t="shared" si="6"/>
        <v>110265855.45999999</v>
      </c>
      <c r="AP50" s="36">
        <f t="shared" si="6"/>
        <v>38950841.790000021</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372172620.89999998</v>
      </c>
      <c r="C52" s="190">
        <v>367124049.68000001</v>
      </c>
      <c r="D52" s="190">
        <v>371395847.38999999</v>
      </c>
      <c r="E52" s="190">
        <v>381088077.97000003</v>
      </c>
      <c r="F52" s="190">
        <v>381539162.49000001</v>
      </c>
      <c r="G52" s="190">
        <v>390950110.38999999</v>
      </c>
      <c r="H52" s="190">
        <v>397152171</v>
      </c>
      <c r="I52" s="190">
        <v>386784475.27999997</v>
      </c>
      <c r="J52" s="190">
        <v>392012152.26999998</v>
      </c>
      <c r="K52" s="190">
        <v>381374642.98000002</v>
      </c>
      <c r="L52" s="190">
        <v>388749418.19999999</v>
      </c>
      <c r="M52" s="190">
        <v>393127990.83999997</v>
      </c>
      <c r="N52" s="190">
        <v>390402293.52999997</v>
      </c>
      <c r="O52" s="190">
        <v>395693007.80000001</v>
      </c>
      <c r="P52" s="190">
        <v>390946237.61000001</v>
      </c>
      <c r="Q52" s="190">
        <v>397503360.81999999</v>
      </c>
      <c r="R52" s="190">
        <v>392443251.63</v>
      </c>
      <c r="S52" s="190">
        <v>397521952.61000001</v>
      </c>
      <c r="T52" s="190">
        <v>403387978.83999997</v>
      </c>
      <c r="U52" s="190">
        <v>407928568.80000001</v>
      </c>
      <c r="V52" s="190">
        <v>325765584.14999998</v>
      </c>
      <c r="W52" s="190">
        <v>328137977.91000003</v>
      </c>
      <c r="X52" s="190">
        <v>328664938.44999999</v>
      </c>
      <c r="Y52" s="190">
        <v>334824871.51999998</v>
      </c>
      <c r="Z52" s="190">
        <v>332916373.94</v>
      </c>
      <c r="AA52" s="190">
        <v>248829080.34</v>
      </c>
      <c r="AB52" s="190">
        <v>248914102.15000001</v>
      </c>
      <c r="AC52" s="190">
        <v>249966842.94</v>
      </c>
      <c r="AD52" s="190">
        <v>125511902.36</v>
      </c>
      <c r="AE52" s="190">
        <v>86220540.829999998</v>
      </c>
      <c r="AF52" s="190">
        <v>84605227.299999997</v>
      </c>
      <c r="AG52" s="190">
        <v>84235402.629999995</v>
      </c>
      <c r="AH52" s="190">
        <v>77945026.120000005</v>
      </c>
      <c r="AI52" s="190">
        <v>77504194.579999998</v>
      </c>
      <c r="AJ52" s="190">
        <v>77668880.290000007</v>
      </c>
      <c r="AK52" s="190">
        <v>78949390.819999993</v>
      </c>
      <c r="AL52" s="190">
        <v>79720945.200000003</v>
      </c>
      <c r="AM52" s="190">
        <v>80968896.030000001</v>
      </c>
      <c r="AN52" s="190">
        <v>82222263.489999995</v>
      </c>
      <c r="AO52" s="190">
        <v>60766014.450000003</v>
      </c>
      <c r="AP52" s="190">
        <v>47596871.630000003</v>
      </c>
      <c r="AQ52" s="190">
        <v>0</v>
      </c>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c r="BW52" s="190"/>
      <c r="BX52" s="190"/>
      <c r="BY52" s="190"/>
      <c r="BZ52" s="190"/>
      <c r="CA52" s="190"/>
      <c r="CB52" s="190"/>
      <c r="CC52" s="190"/>
      <c r="CD52" s="190"/>
      <c r="CE52" s="190"/>
      <c r="CF52" s="190"/>
      <c r="CG52" s="190"/>
      <c r="CH52" s="190"/>
      <c r="CI52" s="190"/>
      <c r="CJ52" s="190"/>
      <c r="CK52" s="190"/>
      <c r="CL52" s="190"/>
    </row>
    <row r="53" spans="1:90" s="193" customFormat="1" x14ac:dyDescent="0.25">
      <c r="A53" s="193" t="s">
        <v>35</v>
      </c>
      <c r="B53" s="190">
        <v>23682948.329999998</v>
      </c>
      <c r="C53" s="190">
        <v>26006424.219999999</v>
      </c>
      <c r="D53" s="190">
        <v>15601822.970000001</v>
      </c>
      <c r="E53" s="190">
        <v>8989773.8000000007</v>
      </c>
      <c r="F53" s="190">
        <v>25669698.649999999</v>
      </c>
      <c r="G53" s="190">
        <v>21599109.84</v>
      </c>
      <c r="H53" s="190">
        <v>20240701.100000001</v>
      </c>
      <c r="I53" s="190">
        <v>7884796.1200000001</v>
      </c>
      <c r="J53" s="190">
        <v>15397381.529999999</v>
      </c>
      <c r="K53" s="190">
        <v>13701536.6</v>
      </c>
      <c r="L53" s="190">
        <v>12874743.26</v>
      </c>
      <c r="M53" s="190">
        <v>11604165.609999999</v>
      </c>
      <c r="N53" s="190">
        <v>20430685.149999999</v>
      </c>
      <c r="O53" s="190">
        <v>12776418.76</v>
      </c>
      <c r="P53" s="190">
        <v>21241440.440000001</v>
      </c>
      <c r="Q53" s="190">
        <v>9578658.2200000007</v>
      </c>
      <c r="R53" s="190">
        <v>15817383.17</v>
      </c>
      <c r="S53" s="190">
        <v>6650276.6200000001</v>
      </c>
      <c r="T53" s="190">
        <v>2547847.0499999998</v>
      </c>
      <c r="U53" s="190">
        <v>2050000</v>
      </c>
      <c r="V53" s="190">
        <v>82286664.459999993</v>
      </c>
      <c r="W53" s="190">
        <v>49111965.100000001</v>
      </c>
      <c r="X53" s="190">
        <v>38208937.420000002</v>
      </c>
      <c r="Y53" s="190">
        <v>29105269.140000001</v>
      </c>
      <c r="Z53" s="190">
        <v>17622460.850000001</v>
      </c>
      <c r="AA53" s="190">
        <v>49511361.219999999</v>
      </c>
      <c r="AB53" s="190">
        <v>42077971.189999998</v>
      </c>
      <c r="AC53" s="190">
        <v>23413300.07</v>
      </c>
      <c r="AD53" s="190">
        <v>70618503.939999998</v>
      </c>
      <c r="AE53" s="190">
        <v>64998837.409999996</v>
      </c>
      <c r="AF53" s="190">
        <v>59754084.57</v>
      </c>
      <c r="AG53" s="190">
        <v>46221172.68</v>
      </c>
      <c r="AH53" s="190">
        <v>10074928</v>
      </c>
      <c r="AI53" s="190">
        <v>3126577.64</v>
      </c>
      <c r="AJ53" s="190">
        <v>1725129.21</v>
      </c>
      <c r="AK53" s="190">
        <v>24062856.719999999</v>
      </c>
      <c r="AL53" s="190">
        <v>0</v>
      </c>
      <c r="AM53" s="190">
        <v>0</v>
      </c>
      <c r="AN53" s="190">
        <v>799996.06</v>
      </c>
      <c r="AO53" s="190">
        <v>0</v>
      </c>
      <c r="AP53" s="190">
        <v>442457.92</v>
      </c>
      <c r="AQ53" s="190">
        <v>0</v>
      </c>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c r="BW53" s="190"/>
      <c r="BX53" s="190"/>
      <c r="BY53" s="190"/>
      <c r="BZ53" s="190"/>
      <c r="CA53" s="190"/>
      <c r="CB53" s="190"/>
      <c r="CC53" s="190"/>
      <c r="CD53" s="190"/>
      <c r="CE53" s="190"/>
      <c r="CF53" s="190"/>
      <c r="CG53" s="190"/>
      <c r="CH53" s="190"/>
      <c r="CI53" s="190"/>
      <c r="CJ53" s="190"/>
      <c r="CK53" s="190"/>
      <c r="CL53" s="190"/>
    </row>
    <row r="54" spans="1:90"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c r="BW54" s="190"/>
      <c r="BX54" s="190"/>
      <c r="BY54" s="190"/>
      <c r="BZ54" s="190"/>
      <c r="CA54" s="190"/>
      <c r="CB54" s="190"/>
      <c r="CC54" s="190"/>
      <c r="CD54" s="190"/>
      <c r="CE54" s="190"/>
      <c r="CF54" s="190"/>
      <c r="CG54" s="190"/>
      <c r="CH54" s="190"/>
      <c r="CI54" s="190"/>
      <c r="CJ54" s="190"/>
      <c r="CK54" s="190"/>
      <c r="CL54" s="190"/>
    </row>
    <row r="55" spans="1:90" s="193" customFormat="1" x14ac:dyDescent="0.25">
      <c r="A55" s="193" t="s">
        <v>37</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c r="AS55" s="190"/>
      <c r="AT55" s="190"/>
      <c r="AU55" s="190"/>
      <c r="AV55" s="190"/>
      <c r="AW55" s="190"/>
      <c r="AX55" s="190"/>
      <c r="AY55" s="190"/>
      <c r="AZ55" s="190"/>
      <c r="BA55" s="190"/>
      <c r="BB55" s="190"/>
      <c r="BC55" s="190"/>
      <c r="BD55" s="190"/>
      <c r="BE55" s="190"/>
      <c r="BF55" s="190"/>
      <c r="BG55" s="190"/>
      <c r="BH55" s="190"/>
      <c r="BI55" s="190"/>
      <c r="BJ55" s="190"/>
      <c r="BK55" s="190"/>
      <c r="BL55" s="190"/>
      <c r="BM55" s="190"/>
      <c r="BN55" s="190"/>
      <c r="BO55" s="190"/>
      <c r="BP55" s="190"/>
      <c r="BQ55" s="190"/>
      <c r="BR55" s="190"/>
      <c r="BS55" s="190"/>
      <c r="BT55" s="190"/>
      <c r="BU55" s="190"/>
      <c r="BV55" s="190"/>
      <c r="BW55" s="190"/>
      <c r="BX55" s="190"/>
      <c r="BY55" s="190"/>
      <c r="BZ55" s="190"/>
      <c r="CA55" s="190"/>
      <c r="CB55" s="190"/>
      <c r="CC55" s="190"/>
      <c r="CD55" s="190"/>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c r="AS56" s="190"/>
      <c r="AT56" s="190"/>
      <c r="AU56" s="190"/>
      <c r="AV56" s="190"/>
      <c r="AW56" s="190"/>
      <c r="AX56" s="190"/>
      <c r="AY56" s="190"/>
      <c r="AZ56" s="190"/>
      <c r="BA56" s="190"/>
      <c r="BB56" s="190"/>
      <c r="BC56" s="190"/>
      <c r="BD56" s="190"/>
      <c r="BE56" s="190"/>
      <c r="BF56" s="190"/>
      <c r="BG56" s="190"/>
      <c r="BH56" s="190"/>
      <c r="BI56" s="190"/>
      <c r="BJ56" s="190"/>
      <c r="BK56" s="190"/>
      <c r="BL56" s="190"/>
      <c r="BM56" s="190"/>
      <c r="BN56" s="190"/>
      <c r="BO56" s="190"/>
      <c r="BP56" s="190"/>
      <c r="BQ56" s="190"/>
      <c r="BR56" s="190"/>
      <c r="BS56" s="190"/>
      <c r="BT56" s="190"/>
      <c r="BU56" s="190"/>
      <c r="BV56" s="190"/>
      <c r="BW56" s="190"/>
      <c r="BX56" s="190"/>
      <c r="BY56" s="190"/>
      <c r="BZ56" s="190"/>
      <c r="CA56" s="190"/>
      <c r="CB56" s="190"/>
      <c r="CC56" s="190"/>
      <c r="CD56" s="190"/>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c r="AS57" s="190"/>
      <c r="AT57" s="190"/>
      <c r="AU57" s="190"/>
      <c r="AV57" s="190"/>
      <c r="AW57" s="190"/>
      <c r="AX57" s="190"/>
      <c r="AY57" s="190"/>
      <c r="AZ57" s="190"/>
      <c r="BA57" s="190"/>
      <c r="BB57" s="190"/>
      <c r="BC57" s="190"/>
      <c r="BD57" s="190"/>
      <c r="BE57" s="190"/>
      <c r="BF57" s="190"/>
      <c r="BG57" s="190"/>
      <c r="BH57" s="190"/>
      <c r="BI57" s="190"/>
      <c r="BJ57" s="190"/>
      <c r="BK57" s="190"/>
      <c r="BL57" s="190"/>
      <c r="BM57" s="190"/>
      <c r="BN57" s="190"/>
      <c r="BO57" s="190"/>
      <c r="BP57" s="190"/>
      <c r="BQ57" s="190"/>
      <c r="BR57" s="190"/>
      <c r="BS57" s="190"/>
      <c r="BT57" s="190"/>
      <c r="BU57" s="190"/>
      <c r="BV57" s="190"/>
      <c r="BW57" s="190"/>
      <c r="BX57" s="190"/>
      <c r="BY57" s="190"/>
      <c r="BZ57" s="190"/>
      <c r="CA57" s="190"/>
      <c r="CB57" s="190"/>
      <c r="CC57" s="190"/>
      <c r="CD57" s="190"/>
      <c r="CE57" s="190"/>
      <c r="CF57" s="190"/>
      <c r="CG57" s="190"/>
      <c r="CH57" s="190"/>
      <c r="CI57" s="190"/>
      <c r="CJ57" s="190"/>
      <c r="CK57" s="190"/>
      <c r="CL57" s="190"/>
    </row>
    <row r="58" spans="1:90" s="193" customFormat="1" x14ac:dyDescent="0.25">
      <c r="A58" s="193" t="s">
        <v>40</v>
      </c>
      <c r="B58" s="190">
        <v>308191331.69</v>
      </c>
      <c r="C58" s="190">
        <v>302341982.07999998</v>
      </c>
      <c r="D58" s="190">
        <v>295395421.49000001</v>
      </c>
      <c r="E58" s="190">
        <v>306530006.25</v>
      </c>
      <c r="F58" s="190">
        <v>323481827.06</v>
      </c>
      <c r="G58" s="190">
        <v>332029194.92000002</v>
      </c>
      <c r="H58" s="190">
        <v>331416349.85000002</v>
      </c>
      <c r="I58" s="190">
        <v>118170720.79000001</v>
      </c>
      <c r="J58" s="190">
        <v>111435999.70999999</v>
      </c>
      <c r="K58" s="190">
        <v>113087078.09</v>
      </c>
      <c r="L58" s="190">
        <v>114290815.06999999</v>
      </c>
      <c r="M58" s="190">
        <v>115277269.56999999</v>
      </c>
      <c r="N58" s="190">
        <v>101655338.19</v>
      </c>
      <c r="O58" s="190">
        <v>102732342.14</v>
      </c>
      <c r="P58" s="190">
        <v>103485214.91</v>
      </c>
      <c r="Q58" s="190">
        <v>104149223.65000001</v>
      </c>
      <c r="R58" s="190">
        <v>104006611.81999999</v>
      </c>
      <c r="S58" s="190">
        <v>104953963.73999999</v>
      </c>
      <c r="T58" s="190">
        <v>105966556.81999999</v>
      </c>
      <c r="U58" s="190">
        <v>107131650.09</v>
      </c>
      <c r="V58" s="190">
        <v>105477980.48999999</v>
      </c>
      <c r="W58" s="190">
        <v>76697891.120000005</v>
      </c>
      <c r="X58" s="190">
        <v>77512018.849999994</v>
      </c>
      <c r="Y58" s="190">
        <v>78511748.140000001</v>
      </c>
      <c r="Z58" s="190">
        <v>75008661.75</v>
      </c>
      <c r="AA58" s="190">
        <v>75533792.769999996</v>
      </c>
      <c r="AB58" s="190">
        <v>76417045.849999994</v>
      </c>
      <c r="AC58" s="190">
        <v>77223131.420000002</v>
      </c>
      <c r="AD58" s="190">
        <v>49561700.560000002</v>
      </c>
      <c r="AE58" s="190">
        <v>48784322.049999997</v>
      </c>
      <c r="AF58" s="190">
        <v>37756780.240000002</v>
      </c>
      <c r="AG58" s="190">
        <v>37874398.460000001</v>
      </c>
      <c r="AH58" s="190">
        <v>35041483.909999996</v>
      </c>
      <c r="AI58" s="190">
        <v>35254621.369999997</v>
      </c>
      <c r="AJ58" s="190">
        <v>35448231.049999997</v>
      </c>
      <c r="AK58" s="190">
        <v>12441501.48</v>
      </c>
      <c r="AL58" s="190">
        <v>12567010.58</v>
      </c>
      <c r="AM58" s="190">
        <v>12702441.859999999</v>
      </c>
      <c r="AN58" s="190">
        <v>12773722.76</v>
      </c>
      <c r="AO58" s="190">
        <v>13253983.52</v>
      </c>
      <c r="AP58" s="190">
        <v>13373966.359999999</v>
      </c>
      <c r="AQ58" s="190">
        <v>0</v>
      </c>
      <c r="AR58" s="190"/>
      <c r="AS58" s="190"/>
      <c r="AT58" s="190"/>
      <c r="AU58" s="190"/>
      <c r="AV58" s="190"/>
      <c r="AW58" s="190"/>
      <c r="AX58" s="190"/>
      <c r="AY58" s="190"/>
      <c r="AZ58" s="190"/>
      <c r="BA58" s="190"/>
      <c r="BB58" s="190"/>
      <c r="BC58" s="190"/>
      <c r="BD58" s="190"/>
      <c r="BE58" s="190"/>
      <c r="BF58" s="190"/>
      <c r="BG58" s="190"/>
      <c r="BH58" s="190"/>
      <c r="BI58" s="190"/>
      <c r="BJ58" s="190"/>
      <c r="BK58" s="190"/>
      <c r="BL58" s="190"/>
      <c r="BM58" s="190"/>
      <c r="BN58" s="190"/>
      <c r="BO58" s="190"/>
      <c r="BP58" s="190"/>
      <c r="BQ58" s="190"/>
      <c r="BR58" s="190"/>
      <c r="BS58" s="190"/>
      <c r="BT58" s="190"/>
      <c r="BU58" s="190"/>
      <c r="BV58" s="190"/>
      <c r="BW58" s="190"/>
      <c r="BX58" s="190"/>
      <c r="BY58" s="190"/>
      <c r="BZ58" s="190"/>
      <c r="CA58" s="190"/>
      <c r="CB58" s="190"/>
      <c r="CC58" s="190"/>
      <c r="CD58" s="190"/>
      <c r="CE58" s="190"/>
      <c r="CF58" s="190"/>
      <c r="CG58" s="190"/>
      <c r="CH58" s="190"/>
      <c r="CI58" s="190"/>
      <c r="CJ58" s="190"/>
      <c r="CK58" s="190"/>
      <c r="CL58" s="190"/>
    </row>
    <row r="59" spans="1:90" s="193" customFormat="1" x14ac:dyDescent="0.25">
      <c r="A59" s="193" t="s">
        <v>41</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c r="AS59" s="190"/>
      <c r="AT59" s="190"/>
      <c r="AU59" s="190"/>
      <c r="AV59" s="190"/>
      <c r="AW59" s="190"/>
      <c r="AX59" s="190"/>
      <c r="AY59" s="190"/>
      <c r="AZ59" s="190"/>
      <c r="BA59" s="190"/>
      <c r="BB59" s="190"/>
      <c r="BC59" s="190"/>
      <c r="BD59" s="190"/>
      <c r="BE59" s="190"/>
      <c r="BF59" s="190"/>
      <c r="BG59" s="190"/>
      <c r="BH59" s="190"/>
      <c r="BI59" s="190"/>
      <c r="BJ59" s="190"/>
      <c r="BK59" s="190"/>
      <c r="BL59" s="190"/>
      <c r="BM59" s="190"/>
      <c r="BN59" s="190"/>
      <c r="BO59" s="190"/>
      <c r="BP59" s="190"/>
      <c r="BQ59" s="190"/>
      <c r="BR59" s="190"/>
      <c r="BS59" s="190"/>
      <c r="BT59" s="190"/>
      <c r="BU59" s="190"/>
      <c r="BV59" s="190"/>
      <c r="BW59" s="190"/>
      <c r="BX59" s="190"/>
      <c r="BY59" s="190"/>
      <c r="BZ59" s="190"/>
      <c r="CA59" s="190"/>
      <c r="CB59" s="190"/>
      <c r="CC59" s="190"/>
      <c r="CD59" s="190"/>
      <c r="CE59" s="190"/>
      <c r="CF59" s="190"/>
      <c r="CG59" s="190"/>
      <c r="CH59" s="190"/>
      <c r="CI59" s="190"/>
      <c r="CJ59" s="190"/>
      <c r="CK59" s="190"/>
      <c r="CL59" s="190"/>
    </row>
    <row r="60" spans="1:90" s="193" customFormat="1" x14ac:dyDescent="0.25">
      <c r="A60" s="193" t="s">
        <v>42</v>
      </c>
      <c r="B60" s="190">
        <v>243655266.56</v>
      </c>
      <c r="C60" s="190">
        <v>243655266.56</v>
      </c>
      <c r="D60" s="190">
        <v>235212831.53</v>
      </c>
      <c r="E60" s="190">
        <v>242110082.27000001</v>
      </c>
      <c r="F60" s="190">
        <v>316329792.22000003</v>
      </c>
      <c r="G60" s="190">
        <v>319336551.69</v>
      </c>
      <c r="H60" s="190">
        <v>321700134.58999997</v>
      </c>
      <c r="I60" s="190">
        <v>171198432.88999999</v>
      </c>
      <c r="J60" s="190">
        <v>196618493.28999999</v>
      </c>
      <c r="K60" s="190">
        <v>196618493.28999999</v>
      </c>
      <c r="L60" s="190">
        <v>196618493.28999999</v>
      </c>
      <c r="M60" s="190">
        <v>196618493.28999999</v>
      </c>
      <c r="N60" s="190">
        <v>169278079.88999999</v>
      </c>
      <c r="O60" s="190">
        <v>167731606.88999999</v>
      </c>
      <c r="P60" s="190">
        <v>167731606.88999999</v>
      </c>
      <c r="Q60" s="190">
        <v>167731606.88999999</v>
      </c>
      <c r="R60" s="190">
        <v>0</v>
      </c>
      <c r="S60" s="190">
        <v>0</v>
      </c>
      <c r="T60" s="190">
        <v>0</v>
      </c>
      <c r="U60" s="190">
        <v>0</v>
      </c>
      <c r="V60" s="190">
        <v>0</v>
      </c>
      <c r="W60" s="190">
        <v>0</v>
      </c>
      <c r="X60" s="190">
        <v>0</v>
      </c>
      <c r="Y60" s="190">
        <v>0</v>
      </c>
      <c r="Z60" s="190">
        <v>0</v>
      </c>
      <c r="AA60" s="190">
        <v>0</v>
      </c>
      <c r="AB60" s="190">
        <v>0</v>
      </c>
      <c r="AC60" s="190">
        <v>0</v>
      </c>
      <c r="AD60" s="190">
        <v>0</v>
      </c>
      <c r="AE60" s="190">
        <v>0</v>
      </c>
      <c r="AF60" s="190">
        <v>0</v>
      </c>
      <c r="AG60" s="190">
        <v>0</v>
      </c>
      <c r="AH60" s="190">
        <v>21180.67</v>
      </c>
      <c r="AI60" s="190">
        <v>21180.67</v>
      </c>
      <c r="AJ60" s="190">
        <v>21180.67</v>
      </c>
      <c r="AK60" s="190">
        <v>21180.67</v>
      </c>
      <c r="AL60" s="190">
        <v>21180.67</v>
      </c>
      <c r="AM60" s="190">
        <v>21180.67</v>
      </c>
      <c r="AN60" s="190">
        <v>21180.67</v>
      </c>
      <c r="AO60" s="190">
        <v>0</v>
      </c>
      <c r="AP60" s="190">
        <v>0</v>
      </c>
      <c r="AQ60" s="190">
        <v>0</v>
      </c>
      <c r="AR60" s="190"/>
      <c r="AS60" s="190"/>
      <c r="AT60" s="190"/>
      <c r="AU60" s="190"/>
      <c r="AV60" s="190"/>
      <c r="AW60" s="190"/>
      <c r="AX60" s="190"/>
      <c r="AY60" s="190"/>
      <c r="AZ60" s="190"/>
      <c r="BA60" s="190"/>
      <c r="BB60" s="190"/>
      <c r="BC60" s="190"/>
      <c r="BD60" s="190"/>
      <c r="BE60" s="190"/>
      <c r="BF60" s="190"/>
      <c r="BG60" s="190"/>
      <c r="BH60" s="190"/>
      <c r="BI60" s="190"/>
      <c r="BJ60" s="190"/>
      <c r="BK60" s="190"/>
      <c r="BL60" s="190"/>
      <c r="BM60" s="190"/>
      <c r="BN60" s="190"/>
      <c r="BO60" s="190"/>
      <c r="BP60" s="190"/>
      <c r="BQ60" s="190"/>
      <c r="BR60" s="190"/>
      <c r="BS60" s="190"/>
      <c r="BT60" s="190"/>
      <c r="BU60" s="190"/>
      <c r="BV60" s="190"/>
      <c r="BW60" s="190"/>
      <c r="BX60" s="190"/>
      <c r="BY60" s="190"/>
      <c r="BZ60" s="190"/>
      <c r="CA60" s="190"/>
      <c r="CB60" s="190"/>
      <c r="CC60" s="190"/>
      <c r="CD60" s="190"/>
      <c r="CE60" s="190"/>
      <c r="CF60" s="190"/>
      <c r="CG60" s="190"/>
      <c r="CH60" s="190"/>
      <c r="CI60" s="190"/>
      <c r="CJ60" s="190"/>
      <c r="CK60" s="190"/>
      <c r="CL60" s="190"/>
    </row>
    <row r="61" spans="1:90" s="193" customFormat="1" x14ac:dyDescent="0.25">
      <c r="A61" s="193" t="s">
        <v>43</v>
      </c>
      <c r="B61" s="190">
        <v>43475749.869999997</v>
      </c>
      <c r="C61" s="190">
        <v>33872230.049999997</v>
      </c>
      <c r="D61" s="190">
        <v>44410205.869999997</v>
      </c>
      <c r="E61" s="190">
        <v>45947172.509999998</v>
      </c>
      <c r="F61" s="190">
        <v>29544182.129999999</v>
      </c>
      <c r="G61" s="190">
        <v>33023768.449999999</v>
      </c>
      <c r="H61" s="190">
        <v>41923633.200000003</v>
      </c>
      <c r="I61" s="190">
        <v>43253422.079999998</v>
      </c>
      <c r="J61" s="190">
        <v>48680532.130000003</v>
      </c>
      <c r="K61" s="190">
        <v>51199288.490000002</v>
      </c>
      <c r="L61" s="190">
        <v>50568500.950000003</v>
      </c>
      <c r="M61" s="190">
        <v>50655055.060000002</v>
      </c>
      <c r="N61" s="190">
        <v>53577405.07</v>
      </c>
      <c r="O61" s="190">
        <v>55914826.670000002</v>
      </c>
      <c r="P61" s="190">
        <v>59083791.030000001</v>
      </c>
      <c r="Q61" s="190">
        <v>60762776.060000002</v>
      </c>
      <c r="R61" s="190">
        <v>63982086.710000001</v>
      </c>
      <c r="S61" s="190">
        <v>67359719.879999995</v>
      </c>
      <c r="T61" s="190">
        <v>69801468.840000004</v>
      </c>
      <c r="U61" s="190">
        <v>70760454.409999996</v>
      </c>
      <c r="V61" s="190">
        <v>56419955.990000002</v>
      </c>
      <c r="W61" s="190">
        <v>39435138.039999999</v>
      </c>
      <c r="X61" s="190">
        <v>29161215.899999999</v>
      </c>
      <c r="Y61" s="190">
        <v>17715115.059999999</v>
      </c>
      <c r="Z61" s="190">
        <v>17778744.809999999</v>
      </c>
      <c r="AA61" s="190">
        <v>15884098.449999999</v>
      </c>
      <c r="AB61" s="190">
        <v>14905670.91</v>
      </c>
      <c r="AC61" s="190">
        <v>12321576.76</v>
      </c>
      <c r="AD61" s="190">
        <v>10256905.619999999</v>
      </c>
      <c r="AE61" s="190">
        <v>7566624.9100000001</v>
      </c>
      <c r="AF61" s="190">
        <v>7658282.04</v>
      </c>
      <c r="AG61" s="190">
        <v>6663584</v>
      </c>
      <c r="AH61" s="190">
        <v>5604783.4100000001</v>
      </c>
      <c r="AI61" s="190">
        <v>5014467.38</v>
      </c>
      <c r="AJ61" s="190">
        <v>5238906.71</v>
      </c>
      <c r="AK61" s="190">
        <v>4722656.8099999996</v>
      </c>
      <c r="AL61" s="190">
        <v>0</v>
      </c>
      <c r="AM61" s="190">
        <v>0</v>
      </c>
      <c r="AN61" s="190">
        <v>0</v>
      </c>
      <c r="AO61" s="190">
        <v>0</v>
      </c>
      <c r="AP61" s="190">
        <v>0</v>
      </c>
      <c r="AQ61" s="190">
        <v>0</v>
      </c>
      <c r="AR61" s="190"/>
      <c r="AS61" s="190"/>
      <c r="AT61" s="190"/>
      <c r="AU61" s="190"/>
      <c r="AV61" s="190"/>
      <c r="AW61" s="190"/>
      <c r="AX61" s="190"/>
      <c r="AY61" s="190"/>
      <c r="AZ61" s="190"/>
      <c r="BA61" s="190"/>
      <c r="BB61" s="190"/>
      <c r="BC61" s="190"/>
      <c r="BD61" s="190"/>
      <c r="BE61" s="190"/>
      <c r="BF61" s="190"/>
      <c r="BG61" s="190"/>
      <c r="BH61" s="190"/>
      <c r="BI61" s="190"/>
      <c r="BJ61" s="190"/>
      <c r="BK61" s="190"/>
      <c r="BL61" s="190"/>
      <c r="BM61" s="190"/>
      <c r="BN61" s="190"/>
      <c r="BO61" s="190"/>
      <c r="BP61" s="190"/>
      <c r="BQ61" s="190"/>
      <c r="BR61" s="190"/>
      <c r="BS61" s="190"/>
      <c r="BT61" s="190"/>
      <c r="BU61" s="190"/>
      <c r="BV61" s="190"/>
      <c r="BW61" s="190"/>
      <c r="BX61" s="190"/>
      <c r="BY61" s="190"/>
      <c r="BZ61" s="190"/>
      <c r="CA61" s="190"/>
      <c r="CB61" s="190"/>
      <c r="CC61" s="190"/>
      <c r="CD61" s="190"/>
      <c r="CE61" s="190"/>
      <c r="CF61" s="190"/>
      <c r="CG61" s="190"/>
      <c r="CH61" s="190"/>
      <c r="CI61" s="190"/>
      <c r="CJ61" s="190"/>
      <c r="CK61" s="190"/>
      <c r="CL61" s="190"/>
    </row>
    <row r="62" spans="1:90" s="193" customFormat="1" x14ac:dyDescent="0.25">
      <c r="A62" s="193" t="s">
        <v>44</v>
      </c>
      <c r="B62" s="190">
        <v>123180603.91</v>
      </c>
      <c r="C62" s="190">
        <v>121891447.79000001</v>
      </c>
      <c r="D62" s="190">
        <v>113050132.55</v>
      </c>
      <c r="E62" s="190">
        <v>131652044.88</v>
      </c>
      <c r="F62" s="190">
        <v>128957242.54000001</v>
      </c>
      <c r="G62" s="190">
        <v>132821350.84</v>
      </c>
      <c r="H62" s="190">
        <v>124728664.06999999</v>
      </c>
      <c r="I62" s="190">
        <v>96568754.730000004</v>
      </c>
      <c r="J62" s="190">
        <v>97988507.489999995</v>
      </c>
      <c r="K62" s="190">
        <v>98726880.129999995</v>
      </c>
      <c r="L62" s="190">
        <v>106206337.41</v>
      </c>
      <c r="M62" s="190">
        <v>105045408.40000001</v>
      </c>
      <c r="N62" s="190">
        <v>94036413.329999998</v>
      </c>
      <c r="O62" s="190">
        <v>87281212.469999999</v>
      </c>
      <c r="P62" s="190">
        <v>82842026.349999994</v>
      </c>
      <c r="Q62" s="190">
        <v>85776389.219999999</v>
      </c>
      <c r="R62" s="190">
        <v>82492392.150000006</v>
      </c>
      <c r="S62" s="190">
        <v>66264750.82</v>
      </c>
      <c r="T62" s="190">
        <v>56403144.689999998</v>
      </c>
      <c r="U62" s="190">
        <v>58415483.549999997</v>
      </c>
      <c r="V62" s="190">
        <v>67799202.469999999</v>
      </c>
      <c r="W62" s="190">
        <v>62611670.850000001</v>
      </c>
      <c r="X62" s="190">
        <v>51492596.219999999</v>
      </c>
      <c r="Y62" s="190">
        <v>54394134.75</v>
      </c>
      <c r="Z62" s="190">
        <v>53462105.979999997</v>
      </c>
      <c r="AA62" s="190">
        <v>48277776.359999999</v>
      </c>
      <c r="AB62" s="190">
        <v>42246032.509999998</v>
      </c>
      <c r="AC62" s="190">
        <v>43324488.460000001</v>
      </c>
      <c r="AD62" s="190">
        <v>57206608.259999998</v>
      </c>
      <c r="AE62" s="190">
        <v>48133149.729999997</v>
      </c>
      <c r="AF62" s="190">
        <v>44207607.390000001</v>
      </c>
      <c r="AG62" s="190">
        <v>39821139.329999998</v>
      </c>
      <c r="AH62" s="190">
        <v>6938403.5800000001</v>
      </c>
      <c r="AI62" s="190">
        <v>6785539.7000000002</v>
      </c>
      <c r="AJ62" s="190">
        <v>8018973.6100000003</v>
      </c>
      <c r="AK62" s="190">
        <v>7742787.0199999996</v>
      </c>
      <c r="AL62" s="190">
        <v>4851029.58</v>
      </c>
      <c r="AM62" s="190">
        <v>4560809.71</v>
      </c>
      <c r="AN62" s="190">
        <v>6155362.0300000003</v>
      </c>
      <c r="AO62" s="190">
        <v>3866563.8</v>
      </c>
      <c r="AP62" s="190">
        <v>2783130.85</v>
      </c>
      <c r="AQ62" s="190">
        <v>0</v>
      </c>
      <c r="AR62" s="190"/>
      <c r="AS62" s="190"/>
      <c r="AT62" s="190"/>
      <c r="AU62" s="190"/>
      <c r="AV62" s="190"/>
      <c r="AW62" s="190"/>
      <c r="AX62" s="190"/>
      <c r="AY62" s="190"/>
      <c r="AZ62" s="190"/>
      <c r="BA62" s="190"/>
      <c r="BB62" s="190"/>
      <c r="BC62" s="190"/>
      <c r="BD62" s="190"/>
      <c r="BE62" s="190"/>
      <c r="BF62" s="190"/>
      <c r="BG62" s="190"/>
      <c r="BH62" s="190"/>
      <c r="BI62" s="190"/>
      <c r="BJ62" s="190"/>
      <c r="BK62" s="190"/>
      <c r="BL62" s="190"/>
      <c r="BM62" s="190"/>
      <c r="BN62" s="190"/>
      <c r="BO62" s="190"/>
      <c r="BP62" s="190"/>
      <c r="BQ62" s="190"/>
      <c r="BR62" s="190"/>
      <c r="BS62" s="190"/>
      <c r="BT62" s="190"/>
      <c r="BU62" s="190"/>
      <c r="BV62" s="190"/>
      <c r="BW62" s="190"/>
      <c r="BX62" s="190"/>
      <c r="BY62" s="190"/>
      <c r="BZ62" s="190"/>
      <c r="CA62" s="190"/>
      <c r="CB62" s="190"/>
      <c r="CC62" s="190"/>
      <c r="CD62" s="190"/>
      <c r="CE62" s="190"/>
      <c r="CF62" s="190"/>
      <c r="CG62" s="190"/>
      <c r="CH62" s="190"/>
      <c r="CI62" s="190"/>
      <c r="CJ62" s="190"/>
      <c r="CK62" s="190"/>
      <c r="CL62" s="190"/>
    </row>
    <row r="63" spans="1:90" s="193" customFormat="1" x14ac:dyDescent="0.25">
      <c r="A63" s="193" t="s">
        <v>45</v>
      </c>
      <c r="B63" s="190">
        <v>59138703.289999999</v>
      </c>
      <c r="C63" s="190">
        <v>57105693.060000002</v>
      </c>
      <c r="D63" s="190">
        <v>53020453.700000003</v>
      </c>
      <c r="E63" s="190">
        <v>53232849.850000001</v>
      </c>
      <c r="F63" s="190">
        <v>81163867.950000003</v>
      </c>
      <c r="G63" s="190">
        <v>86052130.519999996</v>
      </c>
      <c r="H63" s="190">
        <v>88037017.060000002</v>
      </c>
      <c r="I63" s="190">
        <v>1125000</v>
      </c>
      <c r="J63" s="190">
        <v>1250000</v>
      </c>
      <c r="K63" s="190">
        <v>1250000</v>
      </c>
      <c r="L63" s="190">
        <v>1250000</v>
      </c>
      <c r="M63" s="190">
        <v>1250000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c r="AS63" s="190"/>
      <c r="AT63" s="190"/>
      <c r="AU63" s="190"/>
      <c r="AV63" s="190"/>
      <c r="AW63" s="190"/>
      <c r="AX63" s="190"/>
      <c r="AY63" s="190"/>
      <c r="AZ63" s="190"/>
      <c r="BA63" s="190"/>
      <c r="BB63" s="190"/>
      <c r="BC63" s="190"/>
      <c r="BD63" s="190"/>
      <c r="BE63" s="190"/>
      <c r="BF63" s="190"/>
      <c r="BG63" s="190"/>
      <c r="BH63" s="190"/>
      <c r="BI63" s="190"/>
      <c r="BJ63" s="190"/>
      <c r="BK63" s="190"/>
      <c r="BL63" s="190"/>
      <c r="BM63" s="190"/>
      <c r="BN63" s="190"/>
      <c r="BO63" s="190"/>
      <c r="BP63" s="190"/>
      <c r="BQ63" s="190"/>
      <c r="BR63" s="190"/>
      <c r="BS63" s="190"/>
      <c r="BT63" s="190"/>
      <c r="BU63" s="190"/>
      <c r="BV63" s="190"/>
      <c r="BW63" s="190"/>
      <c r="BX63" s="190"/>
      <c r="BY63" s="190"/>
      <c r="BZ63" s="190"/>
      <c r="CA63" s="190"/>
      <c r="CB63" s="190"/>
      <c r="CC63" s="190"/>
      <c r="CD63" s="190"/>
      <c r="CE63" s="190"/>
      <c r="CF63" s="190"/>
      <c r="CG63" s="190"/>
      <c r="CH63" s="190"/>
      <c r="CI63" s="190"/>
      <c r="CJ63" s="190"/>
      <c r="CK63" s="190"/>
      <c r="CL63" s="190"/>
    </row>
    <row r="64" spans="1:90" s="193" customFormat="1" x14ac:dyDescent="0.25">
      <c r="A64" s="193" t="s">
        <v>46</v>
      </c>
      <c r="B64" s="190">
        <v>11472387.039999999</v>
      </c>
      <c r="C64" s="190">
        <v>11399767.140000001</v>
      </c>
      <c r="D64" s="190">
        <v>11985893.65</v>
      </c>
      <c r="E64" s="190">
        <v>19932301.280000001</v>
      </c>
      <c r="F64" s="190">
        <v>11551859.84</v>
      </c>
      <c r="G64" s="190">
        <v>11592919.029999999</v>
      </c>
      <c r="H64" s="190">
        <v>15785000</v>
      </c>
      <c r="I64" s="190">
        <v>15785000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c r="AS64" s="190"/>
      <c r="AT64" s="190"/>
      <c r="AU64" s="190"/>
      <c r="AV64" s="190"/>
      <c r="AW64" s="190"/>
      <c r="AX64" s="190"/>
      <c r="AY64" s="190"/>
      <c r="AZ64" s="190"/>
      <c r="BA64" s="190"/>
      <c r="BB64" s="190"/>
      <c r="BC64" s="190"/>
      <c r="BD64" s="190"/>
      <c r="BE64" s="190"/>
      <c r="BF64" s="190"/>
      <c r="BG64" s="190"/>
      <c r="BH64" s="190"/>
      <c r="BI64" s="190"/>
      <c r="BJ64" s="190"/>
      <c r="BK64" s="190"/>
      <c r="BL64" s="190"/>
      <c r="BM64" s="190"/>
      <c r="BN64" s="190"/>
      <c r="BO64" s="190"/>
      <c r="BP64" s="190"/>
      <c r="BQ64" s="190"/>
      <c r="BR64" s="190"/>
      <c r="BS64" s="190"/>
      <c r="BT64" s="190"/>
      <c r="BU64" s="190"/>
      <c r="BV64" s="190"/>
      <c r="BW64" s="190"/>
      <c r="BX64" s="190"/>
      <c r="BY64" s="190"/>
      <c r="BZ64" s="190"/>
      <c r="CA64" s="190"/>
      <c r="CB64" s="190"/>
      <c r="CC64" s="190"/>
      <c r="CD64" s="190"/>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1066692205.0099999</v>
      </c>
      <c r="C68" s="36">
        <f t="shared" ref="C68:BN68" si="8">SUM(C52:C64)-2*C63</f>
        <v>1049185474.4599999</v>
      </c>
      <c r="D68" s="36">
        <f t="shared" si="8"/>
        <v>1034031701.7500001</v>
      </c>
      <c r="E68" s="36">
        <f t="shared" si="8"/>
        <v>1083016609.1099997</v>
      </c>
      <c r="F68" s="36">
        <f t="shared" si="8"/>
        <v>1135909896.98</v>
      </c>
      <c r="G68" s="36">
        <f t="shared" si="8"/>
        <v>1155300874.6399999</v>
      </c>
      <c r="H68" s="36">
        <f t="shared" si="8"/>
        <v>1164909636.75</v>
      </c>
      <c r="I68" s="36">
        <f t="shared" si="8"/>
        <v>838520601.88999999</v>
      </c>
      <c r="J68" s="36">
        <f t="shared" si="8"/>
        <v>860883066.41999996</v>
      </c>
      <c r="K68" s="36">
        <f t="shared" si="8"/>
        <v>853457919.58000004</v>
      </c>
      <c r="L68" s="36">
        <f t="shared" si="8"/>
        <v>868058308.17999995</v>
      </c>
      <c r="M68" s="36">
        <f t="shared" si="8"/>
        <v>871078382.76999986</v>
      </c>
      <c r="N68" s="36">
        <f t="shared" si="8"/>
        <v>829380215.16000009</v>
      </c>
      <c r="O68" s="36">
        <f t="shared" si="8"/>
        <v>822129414.7299999</v>
      </c>
      <c r="P68" s="36">
        <f t="shared" si="8"/>
        <v>825330317.23000002</v>
      </c>
      <c r="Q68" s="36">
        <f t="shared" si="8"/>
        <v>825502014.86000013</v>
      </c>
      <c r="R68" s="36">
        <f t="shared" si="8"/>
        <v>658741725.48000002</v>
      </c>
      <c r="S68" s="36">
        <f t="shared" si="8"/>
        <v>642750663.67000008</v>
      </c>
      <c r="T68" s="36">
        <f t="shared" si="8"/>
        <v>638106996.24000001</v>
      </c>
      <c r="U68" s="36">
        <f t="shared" si="8"/>
        <v>646286156.8499999</v>
      </c>
      <c r="V68" s="36">
        <f t="shared" si="8"/>
        <v>637749387.55999994</v>
      </c>
      <c r="W68" s="36">
        <f t="shared" si="8"/>
        <v>555994643.0200001</v>
      </c>
      <c r="X68" s="36">
        <f t="shared" si="8"/>
        <v>525039706.84000003</v>
      </c>
      <c r="Y68" s="36">
        <f t="shared" si="8"/>
        <v>514551138.60999995</v>
      </c>
      <c r="Z68" s="36">
        <f t="shared" si="8"/>
        <v>496788347.33000004</v>
      </c>
      <c r="AA68" s="36">
        <f t="shared" si="8"/>
        <v>438036109.13999999</v>
      </c>
      <c r="AB68" s="36">
        <f t="shared" si="8"/>
        <v>424560822.61000007</v>
      </c>
      <c r="AC68" s="36">
        <f t="shared" si="8"/>
        <v>406249339.64999998</v>
      </c>
      <c r="AD68" s="36">
        <f t="shared" si="8"/>
        <v>313155620.74000001</v>
      </c>
      <c r="AE68" s="36">
        <f t="shared" si="8"/>
        <v>255703474.93000001</v>
      </c>
      <c r="AF68" s="36">
        <f t="shared" si="8"/>
        <v>233981981.54000002</v>
      </c>
      <c r="AG68" s="36">
        <f t="shared" si="8"/>
        <v>214815697.10000002</v>
      </c>
      <c r="AH68" s="36">
        <f t="shared" si="8"/>
        <v>135625805.69</v>
      </c>
      <c r="AI68" s="36">
        <f t="shared" si="8"/>
        <v>127706581.34</v>
      </c>
      <c r="AJ68" s="36">
        <f t="shared" si="8"/>
        <v>128121301.53999999</v>
      </c>
      <c r="AK68" s="36">
        <f t="shared" si="8"/>
        <v>127940373.52</v>
      </c>
      <c r="AL68" s="36">
        <f t="shared" si="8"/>
        <v>97160166.030000001</v>
      </c>
      <c r="AM68" s="36">
        <f t="shared" si="8"/>
        <v>98253328.269999996</v>
      </c>
      <c r="AN68" s="36">
        <f t="shared" si="8"/>
        <v>101972525.01000001</v>
      </c>
      <c r="AO68" s="36">
        <f t="shared" si="8"/>
        <v>77886561.769999996</v>
      </c>
      <c r="AP68" s="36">
        <f t="shared" si="8"/>
        <v>64196426.760000005</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3602684958.8399997</v>
      </c>
      <c r="C69" s="33">
        <f t="shared" ref="C69:BN69" si="10">C50+C68</f>
        <v>2764500729.0099998</v>
      </c>
      <c r="D69" s="33">
        <f t="shared" si="10"/>
        <v>2758705162.6700001</v>
      </c>
      <c r="E69" s="33">
        <f t="shared" si="10"/>
        <v>2680117320.0499992</v>
      </c>
      <c r="F69" s="33">
        <f t="shared" si="10"/>
        <v>2890560207.4200001</v>
      </c>
      <c r="G69" s="33">
        <f t="shared" si="10"/>
        <v>2504438056.0900002</v>
      </c>
      <c r="H69" s="33">
        <f t="shared" si="10"/>
        <v>2443659795.6799998</v>
      </c>
      <c r="I69" s="33">
        <f t="shared" si="10"/>
        <v>1787570001.7400002</v>
      </c>
      <c r="J69" s="33">
        <f t="shared" si="10"/>
        <v>2161379578.3899999</v>
      </c>
      <c r="K69" s="33">
        <f t="shared" si="10"/>
        <v>2188562170.0300002</v>
      </c>
      <c r="L69" s="33">
        <f t="shared" si="10"/>
        <v>2037984988.5599999</v>
      </c>
      <c r="M69" s="33">
        <f t="shared" si="10"/>
        <v>2028174239.1399999</v>
      </c>
      <c r="N69" s="33">
        <f t="shared" si="10"/>
        <v>1748731929.8800001</v>
      </c>
      <c r="O69" s="33">
        <f t="shared" si="10"/>
        <v>1782876392.8599999</v>
      </c>
      <c r="P69" s="33">
        <f t="shared" si="10"/>
        <v>1938506990.79</v>
      </c>
      <c r="Q69" s="33">
        <f t="shared" si="10"/>
        <v>1845710928.3200002</v>
      </c>
      <c r="R69" s="33">
        <f t="shared" si="10"/>
        <v>1679371097.1199999</v>
      </c>
      <c r="S69" s="33">
        <f t="shared" si="10"/>
        <v>1356669673.4099998</v>
      </c>
      <c r="T69" s="33">
        <f t="shared" si="10"/>
        <v>1344823173.3800001</v>
      </c>
      <c r="U69" s="33">
        <f t="shared" si="10"/>
        <v>1201029703.2</v>
      </c>
      <c r="V69" s="33">
        <f t="shared" si="10"/>
        <v>1077761632.8499999</v>
      </c>
      <c r="W69" s="33">
        <f t="shared" si="10"/>
        <v>1161551794.3099999</v>
      </c>
      <c r="X69" s="33">
        <f t="shared" si="10"/>
        <v>986132128.21000004</v>
      </c>
      <c r="Y69" s="33">
        <f t="shared" si="10"/>
        <v>936176717.49000001</v>
      </c>
      <c r="Z69" s="33">
        <f t="shared" si="10"/>
        <v>960246523.98999989</v>
      </c>
      <c r="AA69" s="33">
        <f t="shared" si="10"/>
        <v>976079955.10000002</v>
      </c>
      <c r="AB69" s="33">
        <f t="shared" si="10"/>
        <v>742810549.9000001</v>
      </c>
      <c r="AC69" s="33">
        <f t="shared" si="10"/>
        <v>648190675.69999993</v>
      </c>
      <c r="AD69" s="33">
        <f t="shared" si="10"/>
        <v>574388781.76999998</v>
      </c>
      <c r="AE69" s="33">
        <f t="shared" si="10"/>
        <v>577123182.08000016</v>
      </c>
      <c r="AF69" s="33">
        <f t="shared" si="10"/>
        <v>382002316.06999999</v>
      </c>
      <c r="AG69" s="33">
        <f t="shared" si="10"/>
        <v>419313608.45999998</v>
      </c>
      <c r="AH69" s="33">
        <f t="shared" si="10"/>
        <v>417632582.29000002</v>
      </c>
      <c r="AI69" s="33">
        <f t="shared" si="10"/>
        <v>380541206.63999999</v>
      </c>
      <c r="AJ69" s="33">
        <f t="shared" si="10"/>
        <v>255044536.88999999</v>
      </c>
      <c r="AK69" s="33">
        <f t="shared" si="10"/>
        <v>265364126.43000007</v>
      </c>
      <c r="AL69" s="33">
        <f t="shared" si="10"/>
        <v>230768906.96999997</v>
      </c>
      <c r="AM69" s="33">
        <f t="shared" si="10"/>
        <v>256199726.94999999</v>
      </c>
      <c r="AN69" s="33">
        <f t="shared" si="10"/>
        <v>222832050.40000004</v>
      </c>
      <c r="AO69" s="33">
        <f t="shared" si="10"/>
        <v>188152417.22999999</v>
      </c>
      <c r="AP69" s="33">
        <f t="shared" si="10"/>
        <v>103147268.55000003</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4542382349.5299997</v>
      </c>
      <c r="C70" s="37">
        <f t="shared" ref="C70:BN70" si="12">C17+C19+C69</f>
        <v>3850184406.0100002</v>
      </c>
      <c r="D70" s="37">
        <f t="shared" si="12"/>
        <v>3992874928.2600002</v>
      </c>
      <c r="E70" s="37">
        <f t="shared" si="12"/>
        <v>3415975678.7199993</v>
      </c>
      <c r="F70" s="37">
        <f t="shared" si="12"/>
        <v>3469234189.5599999</v>
      </c>
      <c r="G70" s="37">
        <f t="shared" si="12"/>
        <v>3334128665.5799999</v>
      </c>
      <c r="H70" s="37">
        <f t="shared" si="12"/>
        <v>3553104597.3199997</v>
      </c>
      <c r="I70" s="37">
        <f t="shared" si="12"/>
        <v>3379120624.0300002</v>
      </c>
      <c r="J70" s="37">
        <f t="shared" si="12"/>
        <v>3143130880.5099998</v>
      </c>
      <c r="K70" s="37">
        <f t="shared" si="12"/>
        <v>2963681471.9000001</v>
      </c>
      <c r="L70" s="37">
        <f t="shared" si="12"/>
        <v>2881482643.0299997</v>
      </c>
      <c r="M70" s="37">
        <f t="shared" si="12"/>
        <v>2770141834.1799998</v>
      </c>
      <c r="N70" s="37">
        <f t="shared" si="12"/>
        <v>2546401388.6300001</v>
      </c>
      <c r="O70" s="37">
        <f t="shared" si="12"/>
        <v>2402871215.6399999</v>
      </c>
      <c r="P70" s="37">
        <f t="shared" si="12"/>
        <v>2608400747.6599998</v>
      </c>
      <c r="Q70" s="37">
        <f t="shared" si="12"/>
        <v>2492915605.7700005</v>
      </c>
      <c r="R70" s="37">
        <f t="shared" si="12"/>
        <v>2308488151.73</v>
      </c>
      <c r="S70" s="37">
        <f t="shared" si="12"/>
        <v>2192212395.2799997</v>
      </c>
      <c r="T70" s="37">
        <f t="shared" si="12"/>
        <v>2229681235.0799999</v>
      </c>
      <c r="U70" s="37">
        <f t="shared" si="12"/>
        <v>2133306409.3499999</v>
      </c>
      <c r="V70" s="37">
        <f t="shared" si="12"/>
        <v>2030685494.9299998</v>
      </c>
      <c r="W70" s="37">
        <f t="shared" si="12"/>
        <v>1930708956.6900001</v>
      </c>
      <c r="X70" s="37">
        <f t="shared" si="12"/>
        <v>1977896014.0700002</v>
      </c>
      <c r="Y70" s="37">
        <f t="shared" si="12"/>
        <v>1892220602.73</v>
      </c>
      <c r="Z70" s="37">
        <f t="shared" si="12"/>
        <v>1763420146.3699999</v>
      </c>
      <c r="AA70" s="37">
        <f t="shared" si="12"/>
        <v>1643908869.0700002</v>
      </c>
      <c r="AB70" s="37">
        <f t="shared" si="12"/>
        <v>1756834966.6400001</v>
      </c>
      <c r="AC70" s="37">
        <f t="shared" si="12"/>
        <v>1650493578.27</v>
      </c>
      <c r="AD70" s="37">
        <f t="shared" si="12"/>
        <v>1556751168.1599998</v>
      </c>
      <c r="AE70" s="37">
        <f t="shared" si="12"/>
        <v>1439317961.3000002</v>
      </c>
      <c r="AF70" s="37">
        <f t="shared" si="12"/>
        <v>1533876742.3699999</v>
      </c>
      <c r="AG70" s="37">
        <f t="shared" si="12"/>
        <v>1476505584.9100001</v>
      </c>
      <c r="AH70" s="37">
        <f t="shared" si="12"/>
        <v>1378242583.3099999</v>
      </c>
      <c r="AI70" s="37">
        <f t="shared" si="12"/>
        <v>1311332115.0699999</v>
      </c>
      <c r="AJ70" s="37">
        <f t="shared" si="12"/>
        <v>1382399929.6199999</v>
      </c>
      <c r="AK70" s="37">
        <f t="shared" si="12"/>
        <v>1332248508.1300001</v>
      </c>
      <c r="AL70" s="37">
        <f t="shared" si="12"/>
        <v>1288752066.0799999</v>
      </c>
      <c r="AM70" s="37">
        <f t="shared" si="12"/>
        <v>331008478.93000001</v>
      </c>
      <c r="AN70" s="37">
        <f t="shared" si="12"/>
        <v>301337851.48000002</v>
      </c>
      <c r="AO70" s="37">
        <f t="shared" si="12"/>
        <v>238297533.64999998</v>
      </c>
      <c r="AP70" s="37">
        <f t="shared" si="12"/>
        <v>155756895.01000002</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197566288.30000001</v>
      </c>
      <c r="F72" s="28">
        <f t="shared" ref="F72:BQ72" si="14">SUM(F73:F77)</f>
        <v>362613245.42000002</v>
      </c>
      <c r="G72" s="28">
        <f t="shared" si="14"/>
        <v>361565942.50999999</v>
      </c>
      <c r="H72" s="28">
        <f t="shared" si="14"/>
        <v>391766634.35000002</v>
      </c>
      <c r="I72" s="28">
        <f t="shared" si="14"/>
        <v>400690979.23000002</v>
      </c>
      <c r="J72" s="28">
        <f t="shared" si="14"/>
        <v>240000000</v>
      </c>
      <c r="K72" s="28">
        <f t="shared" si="14"/>
        <v>270000000</v>
      </c>
      <c r="L72" s="28">
        <f t="shared" si="14"/>
        <v>100000000</v>
      </c>
      <c r="M72" s="28">
        <f t="shared" si="14"/>
        <v>100302083.33</v>
      </c>
      <c r="N72" s="28">
        <f t="shared" si="14"/>
        <v>0</v>
      </c>
      <c r="O72" s="28">
        <f t="shared" si="14"/>
        <v>0</v>
      </c>
      <c r="P72" s="28">
        <f t="shared" si="14"/>
        <v>0</v>
      </c>
      <c r="Q72" s="28">
        <f t="shared" si="14"/>
        <v>0</v>
      </c>
      <c r="R72" s="28">
        <f t="shared" si="14"/>
        <v>0</v>
      </c>
      <c r="S72" s="28">
        <f t="shared" si="14"/>
        <v>0</v>
      </c>
      <c r="T72" s="28">
        <f t="shared" si="14"/>
        <v>0</v>
      </c>
      <c r="U72" s="28">
        <f t="shared" si="14"/>
        <v>0</v>
      </c>
      <c r="V72" s="28">
        <f t="shared" si="14"/>
        <v>0</v>
      </c>
      <c r="W72" s="28">
        <f t="shared" si="14"/>
        <v>0</v>
      </c>
      <c r="X72" s="28">
        <f t="shared" si="14"/>
        <v>0</v>
      </c>
      <c r="Y72" s="28">
        <f t="shared" si="14"/>
        <v>0</v>
      </c>
      <c r="Z72" s="28">
        <f t="shared" si="14"/>
        <v>0</v>
      </c>
      <c r="AA72" s="28">
        <f t="shared" si="14"/>
        <v>0</v>
      </c>
      <c r="AB72" s="28">
        <f t="shared" si="14"/>
        <v>0</v>
      </c>
      <c r="AC72" s="28">
        <f t="shared" si="14"/>
        <v>0</v>
      </c>
      <c r="AD72" s="28">
        <f t="shared" si="14"/>
        <v>0</v>
      </c>
      <c r="AE72" s="28">
        <f t="shared" si="14"/>
        <v>0</v>
      </c>
      <c r="AF72" s="28">
        <f t="shared" si="14"/>
        <v>0</v>
      </c>
      <c r="AG72" s="28">
        <f t="shared" si="14"/>
        <v>0</v>
      </c>
      <c r="AH72" s="28">
        <f t="shared" si="14"/>
        <v>0</v>
      </c>
      <c r="AI72" s="28">
        <f t="shared" si="14"/>
        <v>0</v>
      </c>
      <c r="AJ72" s="28">
        <f t="shared" si="14"/>
        <v>0</v>
      </c>
      <c r="AK72" s="28">
        <f t="shared" si="14"/>
        <v>0</v>
      </c>
      <c r="AL72" s="28">
        <f t="shared" si="14"/>
        <v>0</v>
      </c>
      <c r="AM72" s="28">
        <f t="shared" si="14"/>
        <v>0</v>
      </c>
      <c r="AN72" s="28">
        <f t="shared" si="14"/>
        <v>0</v>
      </c>
      <c r="AO72" s="28">
        <f t="shared" si="14"/>
        <v>5010444.4400000004</v>
      </c>
      <c r="AP72" s="28">
        <f t="shared" si="14"/>
        <v>28049021.5</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188948864.02000001</v>
      </c>
      <c r="C73" s="190">
        <v>188460025.30000001</v>
      </c>
      <c r="D73" s="190">
        <v>197086499.49000001</v>
      </c>
      <c r="E73" s="190">
        <v>190000000</v>
      </c>
      <c r="F73" s="190">
        <v>347918379.06999999</v>
      </c>
      <c r="G73" s="190">
        <v>346399456.67000002</v>
      </c>
      <c r="H73" s="190">
        <v>376062024.37</v>
      </c>
      <c r="I73" s="190">
        <v>400000000</v>
      </c>
      <c r="J73" s="190">
        <v>240000000</v>
      </c>
      <c r="K73" s="190">
        <v>270000000</v>
      </c>
      <c r="L73" s="190">
        <v>100000000</v>
      </c>
      <c r="M73" s="190">
        <v>100000000</v>
      </c>
      <c r="N73" s="190">
        <v>0</v>
      </c>
      <c r="O73" s="190">
        <v>0</v>
      </c>
      <c r="P73" s="190">
        <v>0</v>
      </c>
      <c r="Q73" s="190">
        <v>0</v>
      </c>
      <c r="R73" s="190">
        <v>0</v>
      </c>
      <c r="S73" s="190">
        <v>0</v>
      </c>
      <c r="T73" s="190">
        <v>0</v>
      </c>
      <c r="U73" s="190">
        <v>0</v>
      </c>
      <c r="V73" s="190">
        <v>0</v>
      </c>
      <c r="W73" s="190">
        <v>0</v>
      </c>
      <c r="X73" s="190">
        <v>0</v>
      </c>
      <c r="Y73" s="190">
        <v>0</v>
      </c>
      <c r="Z73" s="190">
        <v>0</v>
      </c>
      <c r="AA73" s="190">
        <v>0</v>
      </c>
      <c r="AB73" s="190">
        <v>0</v>
      </c>
      <c r="AC73" s="190">
        <v>0</v>
      </c>
      <c r="AD73" s="190">
        <v>0</v>
      </c>
      <c r="AE73" s="190">
        <v>0</v>
      </c>
      <c r="AF73" s="190">
        <v>0</v>
      </c>
      <c r="AG73" s="190">
        <v>0</v>
      </c>
      <c r="AH73" s="190">
        <v>0</v>
      </c>
      <c r="AI73" s="190">
        <v>0</v>
      </c>
      <c r="AJ73" s="190">
        <v>0</v>
      </c>
      <c r="AK73" s="190">
        <v>0</v>
      </c>
      <c r="AL73" s="190">
        <v>0</v>
      </c>
      <c r="AM73" s="190">
        <v>0</v>
      </c>
      <c r="AN73" s="190">
        <v>0</v>
      </c>
      <c r="AO73" s="190">
        <v>5000000</v>
      </c>
      <c r="AP73" s="190">
        <v>28000000</v>
      </c>
      <c r="AQ73" s="190">
        <v>0</v>
      </c>
      <c r="AR73" s="190"/>
      <c r="AS73" s="190"/>
      <c r="AT73" s="190"/>
      <c r="AU73" s="190"/>
      <c r="AV73" s="190"/>
      <c r="AW73" s="190"/>
      <c r="AX73" s="190"/>
      <c r="AY73" s="190"/>
      <c r="AZ73" s="190"/>
      <c r="BA73" s="190"/>
      <c r="BB73" s="190"/>
      <c r="BC73" s="190"/>
      <c r="BD73" s="190"/>
      <c r="BE73" s="190"/>
      <c r="BF73" s="190"/>
      <c r="BG73" s="190"/>
      <c r="BH73" s="190"/>
      <c r="BI73" s="190"/>
      <c r="BJ73" s="190"/>
      <c r="BK73" s="190"/>
      <c r="BL73" s="190"/>
      <c r="BM73" s="190"/>
      <c r="BN73" s="190"/>
      <c r="BO73" s="190"/>
      <c r="BP73" s="190"/>
      <c r="BQ73" s="190"/>
      <c r="BR73" s="190"/>
      <c r="BS73" s="190"/>
      <c r="BT73" s="190"/>
      <c r="BU73" s="190"/>
      <c r="BV73" s="190"/>
      <c r="BW73" s="190"/>
      <c r="BX73" s="190"/>
      <c r="BY73" s="190"/>
      <c r="BZ73" s="190"/>
      <c r="CA73" s="190"/>
      <c r="CB73" s="190"/>
      <c r="CC73" s="190"/>
      <c r="CD73" s="190"/>
      <c r="CE73" s="190"/>
      <c r="CF73" s="190"/>
      <c r="CG73" s="190"/>
      <c r="CH73" s="190"/>
      <c r="CI73" s="190"/>
      <c r="CJ73" s="190"/>
      <c r="CK73" s="190"/>
      <c r="CL73" s="190"/>
    </row>
    <row r="74" spans="1:90" x14ac:dyDescent="0.25">
      <c r="A74" s="128" t="s">
        <v>77</v>
      </c>
      <c r="B74" s="190">
        <v>0</v>
      </c>
      <c r="C74" s="190">
        <v>120284.89</v>
      </c>
      <c r="D74" s="190">
        <v>92918.44</v>
      </c>
      <c r="E74" s="190">
        <v>378668.3</v>
      </c>
      <c r="F74" s="190">
        <v>93686.35</v>
      </c>
      <c r="G74" s="190">
        <v>262805.84000000003</v>
      </c>
      <c r="H74" s="190">
        <v>526149.98</v>
      </c>
      <c r="I74" s="190">
        <v>690979.23</v>
      </c>
      <c r="J74" s="190">
        <v>0</v>
      </c>
      <c r="K74" s="190">
        <v>0</v>
      </c>
      <c r="L74" s="190">
        <v>0</v>
      </c>
      <c r="M74" s="190">
        <v>302083.33</v>
      </c>
      <c r="N74" s="190">
        <v>0</v>
      </c>
      <c r="O74" s="190">
        <v>0</v>
      </c>
      <c r="P74" s="190">
        <v>0</v>
      </c>
      <c r="Q74" s="190">
        <v>0</v>
      </c>
      <c r="R74" s="190">
        <v>0</v>
      </c>
      <c r="S74" s="190">
        <v>0</v>
      </c>
      <c r="T74" s="190">
        <v>0</v>
      </c>
      <c r="U74" s="190">
        <v>0</v>
      </c>
      <c r="V74" s="190">
        <v>0</v>
      </c>
      <c r="W74" s="190">
        <v>0</v>
      </c>
      <c r="X74" s="190">
        <v>0</v>
      </c>
      <c r="Y74" s="190">
        <v>0</v>
      </c>
      <c r="Z74" s="190">
        <v>0</v>
      </c>
      <c r="AA74" s="190">
        <v>0</v>
      </c>
      <c r="AB74" s="190">
        <v>0</v>
      </c>
      <c r="AC74" s="190">
        <v>0</v>
      </c>
      <c r="AD74" s="190">
        <v>0</v>
      </c>
      <c r="AE74" s="190">
        <v>0</v>
      </c>
      <c r="AF74" s="190">
        <v>0</v>
      </c>
      <c r="AG74" s="190">
        <v>0</v>
      </c>
      <c r="AH74" s="190">
        <v>0</v>
      </c>
      <c r="AI74" s="190">
        <v>0</v>
      </c>
      <c r="AJ74" s="190">
        <v>0</v>
      </c>
      <c r="AK74" s="190">
        <v>0</v>
      </c>
      <c r="AL74" s="190">
        <v>0</v>
      </c>
      <c r="AM74" s="190">
        <v>0</v>
      </c>
      <c r="AN74" s="190">
        <v>0</v>
      </c>
      <c r="AO74" s="190">
        <v>10444.44</v>
      </c>
      <c r="AP74" s="190">
        <v>49021.5</v>
      </c>
      <c r="AQ74" s="190">
        <v>0</v>
      </c>
      <c r="AR74" s="190"/>
      <c r="AS74" s="190"/>
      <c r="AT74" s="190"/>
      <c r="AU74" s="190"/>
      <c r="AV74" s="190"/>
      <c r="AW74" s="190"/>
      <c r="AX74" s="190"/>
      <c r="AY74" s="190"/>
      <c r="AZ74" s="190"/>
      <c r="BA74" s="190"/>
      <c r="BB74" s="190"/>
      <c r="BC74" s="190"/>
      <c r="BD74" s="190"/>
      <c r="BE74" s="190"/>
      <c r="BF74" s="190"/>
      <c r="BG74" s="190"/>
      <c r="BH74" s="190"/>
      <c r="BI74" s="190"/>
      <c r="BJ74" s="190"/>
      <c r="BK74" s="190"/>
      <c r="BL74" s="190"/>
      <c r="BM74" s="190"/>
      <c r="BN74" s="190"/>
      <c r="BO74" s="190"/>
      <c r="BP74" s="190"/>
      <c r="BQ74" s="190"/>
      <c r="BR74" s="190"/>
      <c r="BS74" s="190"/>
      <c r="BT74" s="190"/>
      <c r="BU74" s="190"/>
      <c r="BV74" s="190"/>
      <c r="BW74" s="190"/>
      <c r="BX74" s="190"/>
      <c r="BY74" s="190"/>
      <c r="BZ74" s="190"/>
      <c r="CA74" s="190"/>
      <c r="CB74" s="190"/>
      <c r="CC74" s="190"/>
      <c r="CD74" s="190"/>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c r="AS75" s="190"/>
      <c r="AT75" s="190"/>
      <c r="AU75" s="190"/>
      <c r="AV75" s="190"/>
      <c r="AW75" s="190"/>
      <c r="AX75" s="190"/>
      <c r="AY75" s="190"/>
      <c r="AZ75" s="190"/>
      <c r="BA75" s="190"/>
      <c r="BB75" s="190"/>
      <c r="BC75" s="190"/>
      <c r="BD75" s="190"/>
      <c r="BE75" s="190"/>
      <c r="BF75" s="190"/>
      <c r="BG75" s="190"/>
      <c r="BH75" s="190"/>
      <c r="BI75" s="190"/>
      <c r="BJ75" s="190"/>
      <c r="BK75" s="190"/>
      <c r="BL75" s="190"/>
      <c r="BM75" s="190"/>
      <c r="BN75" s="190"/>
      <c r="BO75" s="190"/>
      <c r="BP75" s="190"/>
      <c r="BQ75" s="190"/>
      <c r="BR75" s="190"/>
      <c r="BS75" s="190"/>
      <c r="BT75" s="190"/>
      <c r="BU75" s="190"/>
      <c r="BV75" s="190"/>
      <c r="BW75" s="190"/>
      <c r="BX75" s="190"/>
      <c r="BY75" s="190"/>
      <c r="BZ75" s="190"/>
      <c r="CA75" s="190"/>
      <c r="CB75" s="190"/>
      <c r="CC75" s="190"/>
      <c r="CD75" s="190"/>
      <c r="CE75" s="190"/>
      <c r="CF75" s="190"/>
      <c r="CG75" s="190"/>
      <c r="CH75" s="190"/>
      <c r="CI75" s="190"/>
      <c r="CJ75" s="190"/>
      <c r="CK75" s="190"/>
      <c r="CL75" s="190"/>
    </row>
    <row r="76" spans="1:90" x14ac:dyDescent="0.25">
      <c r="A76" s="128" t="s">
        <v>54</v>
      </c>
      <c r="B76" s="190">
        <v>0</v>
      </c>
      <c r="C76" s="190">
        <v>7278260</v>
      </c>
      <c r="D76" s="190">
        <v>6916910</v>
      </c>
      <c r="E76" s="190">
        <v>7187620</v>
      </c>
      <c r="F76" s="190">
        <v>14601180</v>
      </c>
      <c r="G76" s="190">
        <v>14903680</v>
      </c>
      <c r="H76" s="190">
        <v>15178460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c r="AS76" s="190"/>
      <c r="AT76" s="190"/>
      <c r="AU76" s="190"/>
      <c r="AV76" s="190"/>
      <c r="AW76" s="190"/>
      <c r="AX76" s="190"/>
      <c r="AY76" s="190"/>
      <c r="AZ76" s="190"/>
      <c r="BA76" s="190"/>
      <c r="BB76" s="190"/>
      <c r="BC76" s="190"/>
      <c r="BD76" s="190"/>
      <c r="BE76" s="190"/>
      <c r="BF76" s="190"/>
      <c r="BG76" s="190"/>
      <c r="BH76" s="190"/>
      <c r="BI76" s="190"/>
      <c r="BJ76" s="190"/>
      <c r="BK76" s="190"/>
      <c r="BL76" s="190"/>
      <c r="BM76" s="190"/>
      <c r="BN76" s="190"/>
      <c r="BO76" s="190"/>
      <c r="BP76" s="190"/>
      <c r="BQ76" s="190"/>
      <c r="BR76" s="190"/>
      <c r="BS76" s="190"/>
      <c r="BT76" s="190"/>
      <c r="BU76" s="190"/>
      <c r="BV76" s="190"/>
      <c r="BW76" s="190"/>
      <c r="BX76" s="190"/>
      <c r="BY76" s="190"/>
      <c r="BZ76" s="190"/>
      <c r="CA76" s="190"/>
      <c r="CB76" s="190"/>
      <c r="CC76" s="190"/>
      <c r="CD76" s="190"/>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c r="AS77" s="190"/>
      <c r="AT77" s="190"/>
      <c r="AU77" s="190"/>
      <c r="AV77" s="190"/>
      <c r="AW77" s="190"/>
      <c r="AX77" s="190"/>
      <c r="AY77" s="190"/>
      <c r="AZ77" s="190"/>
      <c r="BA77" s="190"/>
      <c r="BB77" s="190"/>
      <c r="BC77" s="190"/>
      <c r="BD77" s="190"/>
      <c r="BE77" s="190"/>
      <c r="BF77" s="190"/>
      <c r="BG77" s="190"/>
      <c r="BH77" s="190"/>
      <c r="BI77" s="190"/>
      <c r="BJ77" s="190"/>
      <c r="BK77" s="190"/>
      <c r="BL77" s="190"/>
      <c r="BM77" s="190"/>
      <c r="BN77" s="190"/>
      <c r="BO77" s="190"/>
      <c r="BP77" s="190"/>
      <c r="BQ77" s="190"/>
      <c r="BR77" s="190"/>
      <c r="BS77" s="190"/>
      <c r="BT77" s="190"/>
      <c r="BU77" s="190"/>
      <c r="BV77" s="190"/>
      <c r="BW77" s="190"/>
      <c r="BX77" s="190"/>
      <c r="BY77" s="190"/>
      <c r="BZ77" s="190"/>
      <c r="CA77" s="190"/>
      <c r="CB77" s="190"/>
      <c r="CC77" s="190"/>
      <c r="CD77" s="190"/>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55836774.140000001</v>
      </c>
      <c r="F81" s="28">
        <f t="shared" ref="F81:BQ81" si="16">SUM(F82:F85)</f>
        <v>63071031.310000002</v>
      </c>
      <c r="G81" s="28">
        <f t="shared" si="16"/>
        <v>67620216.969999999</v>
      </c>
      <c r="H81" s="28">
        <f t="shared" si="16"/>
        <v>155295199.61000001</v>
      </c>
      <c r="I81" s="28">
        <f t="shared" si="16"/>
        <v>98171473.140000001</v>
      </c>
      <c r="J81" s="28">
        <f t="shared" si="16"/>
        <v>93090977.900000006</v>
      </c>
      <c r="K81" s="28">
        <f t="shared" si="16"/>
        <v>17439146.66</v>
      </c>
      <c r="L81" s="28">
        <f t="shared" si="16"/>
        <v>10690043.33</v>
      </c>
      <c r="M81" s="28">
        <f t="shared" si="16"/>
        <v>14380137.460000001</v>
      </c>
      <c r="N81" s="28">
        <f t="shared" si="16"/>
        <v>0</v>
      </c>
      <c r="O81" s="28">
        <f t="shared" si="16"/>
        <v>3913327.12</v>
      </c>
      <c r="P81" s="28">
        <f t="shared" si="16"/>
        <v>2666935.96</v>
      </c>
      <c r="Q81" s="28">
        <f t="shared" si="16"/>
        <v>5587351.7300000004</v>
      </c>
      <c r="R81" s="28">
        <f t="shared" si="16"/>
        <v>4419412.5999999996</v>
      </c>
      <c r="S81" s="28">
        <f t="shared" si="16"/>
        <v>7430086.4699999997</v>
      </c>
      <c r="T81" s="28">
        <f t="shared" si="16"/>
        <v>5284150.0999999996</v>
      </c>
      <c r="U81" s="28">
        <f t="shared" si="16"/>
        <v>7877039.8899999997</v>
      </c>
      <c r="V81" s="28">
        <f t="shared" si="16"/>
        <v>0</v>
      </c>
      <c r="W81" s="28">
        <f t="shared" si="16"/>
        <v>0</v>
      </c>
      <c r="X81" s="28">
        <f t="shared" si="16"/>
        <v>0</v>
      </c>
      <c r="Y81" s="28">
        <f t="shared" si="16"/>
        <v>0</v>
      </c>
      <c r="Z81" s="28">
        <f t="shared" si="16"/>
        <v>0</v>
      </c>
      <c r="AA81" s="28">
        <f t="shared" si="16"/>
        <v>0</v>
      </c>
      <c r="AB81" s="28">
        <f t="shared" si="16"/>
        <v>0</v>
      </c>
      <c r="AC81" s="28">
        <f t="shared" si="16"/>
        <v>0</v>
      </c>
      <c r="AD81" s="28">
        <f t="shared" si="16"/>
        <v>0</v>
      </c>
      <c r="AE81" s="28">
        <f t="shared" si="16"/>
        <v>0</v>
      </c>
      <c r="AF81" s="28">
        <f t="shared" si="16"/>
        <v>0</v>
      </c>
      <c r="AG81" s="28">
        <f t="shared" si="16"/>
        <v>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0</v>
      </c>
      <c r="C82" s="190">
        <v>43669560</v>
      </c>
      <c r="D82" s="190">
        <v>48418370</v>
      </c>
      <c r="E82" s="190">
        <v>50313340</v>
      </c>
      <c r="F82" s="190">
        <v>58404720</v>
      </c>
      <c r="G82" s="190">
        <v>59614720</v>
      </c>
      <c r="H82" s="190">
        <v>148610922</v>
      </c>
      <c r="I82" s="190">
        <v>88377380</v>
      </c>
      <c r="J82" s="190">
        <v>84840756</v>
      </c>
      <c r="K82" s="190">
        <v>0</v>
      </c>
      <c r="L82" s="190">
        <v>0</v>
      </c>
      <c r="M82" s="190">
        <v>0</v>
      </c>
      <c r="N82" s="190">
        <v>0</v>
      </c>
      <c r="O82" s="190">
        <v>0</v>
      </c>
      <c r="P82" s="190">
        <v>0</v>
      </c>
      <c r="Q82" s="190">
        <v>0</v>
      </c>
      <c r="R82" s="190">
        <v>0</v>
      </c>
      <c r="S82" s="190">
        <v>0</v>
      </c>
      <c r="T82" s="190">
        <v>0</v>
      </c>
      <c r="U82" s="190">
        <v>0</v>
      </c>
      <c r="V82" s="190">
        <v>0</v>
      </c>
      <c r="W82" s="190">
        <v>0</v>
      </c>
      <c r="X82" s="190">
        <v>0</v>
      </c>
      <c r="Y82" s="190">
        <v>0</v>
      </c>
      <c r="Z82" s="190">
        <v>0</v>
      </c>
      <c r="AA82" s="190">
        <v>0</v>
      </c>
      <c r="AB82" s="190">
        <v>0</v>
      </c>
      <c r="AC82" s="190">
        <v>0</v>
      </c>
      <c r="AD82" s="190">
        <v>0</v>
      </c>
      <c r="AE82" s="190">
        <v>0</v>
      </c>
      <c r="AF82" s="190">
        <v>0</v>
      </c>
      <c r="AG82" s="190">
        <v>0</v>
      </c>
      <c r="AH82" s="190">
        <v>0</v>
      </c>
      <c r="AI82" s="190">
        <v>0</v>
      </c>
      <c r="AJ82" s="190">
        <v>0</v>
      </c>
      <c r="AK82" s="190">
        <v>0</v>
      </c>
      <c r="AL82" s="190">
        <v>0</v>
      </c>
      <c r="AM82" s="190">
        <v>0</v>
      </c>
      <c r="AN82" s="190">
        <v>0</v>
      </c>
      <c r="AO82" s="190">
        <v>0</v>
      </c>
      <c r="AP82" s="190">
        <v>0</v>
      </c>
      <c r="AQ82" s="190">
        <v>0</v>
      </c>
      <c r="AR82" s="190"/>
      <c r="AS82" s="190"/>
      <c r="AT82" s="190"/>
      <c r="AU82" s="190"/>
      <c r="AV82" s="190"/>
      <c r="AW82" s="190"/>
      <c r="AX82" s="190"/>
      <c r="AY82" s="190"/>
      <c r="AZ82" s="190"/>
      <c r="BA82" s="190"/>
      <c r="BB82" s="190"/>
      <c r="BC82" s="190"/>
      <c r="BD82" s="190"/>
      <c r="BE82" s="190"/>
      <c r="BF82" s="190"/>
      <c r="BG82" s="190"/>
      <c r="BH82" s="190"/>
      <c r="BI82" s="190"/>
      <c r="BJ82" s="190"/>
      <c r="BK82" s="190"/>
      <c r="BL82" s="190"/>
      <c r="BM82" s="190"/>
      <c r="BN82" s="190"/>
      <c r="BO82" s="190"/>
      <c r="BP82" s="190"/>
      <c r="BQ82" s="190"/>
      <c r="BR82" s="190"/>
      <c r="BS82" s="190"/>
      <c r="BT82" s="190"/>
      <c r="BU82" s="190"/>
      <c r="BV82" s="190"/>
      <c r="BW82" s="190"/>
      <c r="BX82" s="190"/>
      <c r="BY82" s="190"/>
      <c r="BZ82" s="190"/>
      <c r="CA82" s="190"/>
      <c r="CB82" s="190"/>
      <c r="CC82" s="190"/>
      <c r="CD82" s="190"/>
      <c r="CE82" s="190"/>
      <c r="CF82" s="190"/>
      <c r="CG82" s="190"/>
      <c r="CH82" s="190"/>
      <c r="CI82" s="190"/>
      <c r="CJ82" s="190"/>
      <c r="CK82" s="190"/>
      <c r="CL82" s="190"/>
    </row>
    <row r="83" spans="1:90" x14ac:dyDescent="0.25">
      <c r="A83" s="128" t="s">
        <v>58</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v>0</v>
      </c>
      <c r="AP83" s="190">
        <v>0</v>
      </c>
      <c r="AQ83" s="190">
        <v>0</v>
      </c>
      <c r="AR83" s="190"/>
      <c r="AS83" s="190"/>
      <c r="AT83" s="190"/>
      <c r="AU83" s="190"/>
      <c r="AV83" s="190"/>
      <c r="AW83" s="190"/>
      <c r="AX83" s="190"/>
      <c r="AY83" s="190"/>
      <c r="AZ83" s="190"/>
      <c r="BA83" s="190"/>
      <c r="BB83" s="190"/>
      <c r="BC83" s="190"/>
      <c r="BD83" s="190"/>
      <c r="BE83" s="190"/>
      <c r="BF83" s="190"/>
      <c r="BG83" s="190"/>
      <c r="BH83" s="190"/>
      <c r="BI83" s="190"/>
      <c r="BJ83" s="190"/>
      <c r="BK83" s="190"/>
      <c r="BL83" s="190"/>
      <c r="BM83" s="190"/>
      <c r="BN83" s="190"/>
      <c r="BO83" s="190"/>
      <c r="BP83" s="190"/>
      <c r="BQ83" s="190"/>
      <c r="BR83" s="190"/>
      <c r="BS83" s="190"/>
      <c r="BT83" s="190"/>
      <c r="BU83" s="190"/>
      <c r="BV83" s="190"/>
      <c r="BW83" s="190"/>
      <c r="BX83" s="190"/>
      <c r="BY83" s="190"/>
      <c r="BZ83" s="190"/>
      <c r="CA83" s="190"/>
      <c r="CB83" s="190"/>
      <c r="CC83" s="190"/>
      <c r="CD83" s="190"/>
      <c r="CE83" s="190"/>
      <c r="CF83" s="190"/>
      <c r="CG83" s="190"/>
      <c r="CH83" s="190"/>
      <c r="CI83" s="190"/>
      <c r="CJ83" s="190"/>
      <c r="CK83" s="190"/>
      <c r="CL83" s="190"/>
    </row>
    <row r="84" spans="1:90" x14ac:dyDescent="0.25">
      <c r="A84" s="128" t="s">
        <v>59</v>
      </c>
      <c r="B84" s="190">
        <v>0</v>
      </c>
      <c r="C84" s="190">
        <v>0</v>
      </c>
      <c r="D84" s="190">
        <v>0</v>
      </c>
      <c r="E84" s="190">
        <v>0</v>
      </c>
      <c r="F84" s="190">
        <v>0</v>
      </c>
      <c r="G84" s="190">
        <v>0</v>
      </c>
      <c r="H84" s="190">
        <v>0</v>
      </c>
      <c r="I84" s="190">
        <v>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0</v>
      </c>
      <c r="AN84" s="190">
        <v>0</v>
      </c>
      <c r="AO84" s="190">
        <v>0</v>
      </c>
      <c r="AP84" s="190">
        <v>0</v>
      </c>
      <c r="AQ84" s="190">
        <v>0</v>
      </c>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row>
    <row r="85" spans="1:90" x14ac:dyDescent="0.25">
      <c r="A85" s="128" t="s">
        <v>83</v>
      </c>
      <c r="B85" s="190">
        <v>753429.11</v>
      </c>
      <c r="C85" s="190">
        <v>3245885.74</v>
      </c>
      <c r="D85" s="190">
        <v>2932846.91</v>
      </c>
      <c r="E85" s="190">
        <v>5523434.1399999997</v>
      </c>
      <c r="F85" s="190">
        <v>4666311.3099999996</v>
      </c>
      <c r="G85" s="190">
        <v>8005496.9699999997</v>
      </c>
      <c r="H85" s="190">
        <v>6684277.6100000003</v>
      </c>
      <c r="I85" s="190">
        <v>9794093.1400000006</v>
      </c>
      <c r="J85" s="190">
        <v>8250221.9000000004</v>
      </c>
      <c r="K85" s="190">
        <v>17439146.66</v>
      </c>
      <c r="L85" s="190">
        <v>10690043.33</v>
      </c>
      <c r="M85" s="190">
        <v>14380137.460000001</v>
      </c>
      <c r="N85" s="190">
        <v>0</v>
      </c>
      <c r="O85" s="190">
        <v>3913327.12</v>
      </c>
      <c r="P85" s="190">
        <v>2666935.96</v>
      </c>
      <c r="Q85" s="190">
        <v>5587351.7300000004</v>
      </c>
      <c r="R85" s="190">
        <v>4419412.5999999996</v>
      </c>
      <c r="S85" s="190">
        <v>7430086.4699999997</v>
      </c>
      <c r="T85" s="190">
        <v>5284150.0999999996</v>
      </c>
      <c r="U85" s="190">
        <v>7877039.8899999997</v>
      </c>
      <c r="V85" s="190">
        <v>0</v>
      </c>
      <c r="W85" s="190">
        <v>0</v>
      </c>
      <c r="X85" s="190">
        <v>0</v>
      </c>
      <c r="Y85" s="190">
        <v>0</v>
      </c>
      <c r="Z85" s="190">
        <v>0</v>
      </c>
      <c r="AA85" s="190">
        <v>0</v>
      </c>
      <c r="AB85" s="190">
        <v>0</v>
      </c>
      <c r="AC85" s="190">
        <v>0</v>
      </c>
      <c r="AD85" s="190">
        <v>0</v>
      </c>
      <c r="AE85" s="190">
        <v>0</v>
      </c>
      <c r="AF85" s="190">
        <v>0</v>
      </c>
      <c r="AG85" s="190">
        <v>0</v>
      </c>
      <c r="AH85" s="190">
        <v>0</v>
      </c>
      <c r="AI85" s="190">
        <v>0</v>
      </c>
      <c r="AJ85" s="190">
        <v>0</v>
      </c>
      <c r="AK85" s="190">
        <v>0</v>
      </c>
      <c r="AL85" s="190">
        <v>0</v>
      </c>
      <c r="AM85" s="190">
        <v>0</v>
      </c>
      <c r="AN85" s="190">
        <v>0</v>
      </c>
      <c r="AO85" s="190">
        <v>0</v>
      </c>
      <c r="AP85" s="190">
        <v>0</v>
      </c>
      <c r="AQ85" s="190">
        <v>0</v>
      </c>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189702293.13000003</v>
      </c>
      <c r="C89" s="33">
        <f>SUM(C73:C85)</f>
        <v>242774015.93000001</v>
      </c>
      <c r="D89" s="33">
        <f>SUM(D73:D85)</f>
        <v>255447544.84</v>
      </c>
      <c r="E89" s="33">
        <f>E72+E81</f>
        <v>253403062.44</v>
      </c>
      <c r="F89" s="33">
        <f t="shared" ref="F89:BQ89" si="18">F72+F81</f>
        <v>425684276.73000002</v>
      </c>
      <c r="G89" s="33">
        <f t="shared" si="18"/>
        <v>429186159.48000002</v>
      </c>
      <c r="H89" s="33">
        <f t="shared" si="18"/>
        <v>547061833.96000004</v>
      </c>
      <c r="I89" s="33">
        <f t="shared" si="18"/>
        <v>498862452.37</v>
      </c>
      <c r="J89" s="33">
        <f t="shared" si="18"/>
        <v>333090977.89999998</v>
      </c>
      <c r="K89" s="33">
        <f t="shared" si="18"/>
        <v>287439146.66000003</v>
      </c>
      <c r="L89" s="33">
        <f t="shared" si="18"/>
        <v>110690043.33</v>
      </c>
      <c r="M89" s="33">
        <f t="shared" si="18"/>
        <v>114682220.78999999</v>
      </c>
      <c r="N89" s="33">
        <f t="shared" si="18"/>
        <v>0</v>
      </c>
      <c r="O89" s="33">
        <f t="shared" si="18"/>
        <v>3913327.12</v>
      </c>
      <c r="P89" s="33">
        <f t="shared" si="18"/>
        <v>2666935.96</v>
      </c>
      <c r="Q89" s="33">
        <f t="shared" si="18"/>
        <v>5587351.7300000004</v>
      </c>
      <c r="R89" s="33">
        <f t="shared" si="18"/>
        <v>4419412.5999999996</v>
      </c>
      <c r="S89" s="33">
        <f t="shared" si="18"/>
        <v>7430086.4699999997</v>
      </c>
      <c r="T89" s="33">
        <f t="shared" si="18"/>
        <v>5284150.0999999996</v>
      </c>
      <c r="U89" s="33">
        <f t="shared" si="18"/>
        <v>7877039.8899999997</v>
      </c>
      <c r="V89" s="33">
        <f t="shared" si="18"/>
        <v>0</v>
      </c>
      <c r="W89" s="33">
        <f t="shared" si="18"/>
        <v>0</v>
      </c>
      <c r="X89" s="33">
        <f t="shared" si="18"/>
        <v>0</v>
      </c>
      <c r="Y89" s="33">
        <f t="shared" si="18"/>
        <v>0</v>
      </c>
      <c r="Z89" s="33">
        <f t="shared" si="18"/>
        <v>0</v>
      </c>
      <c r="AA89" s="33">
        <f t="shared" si="18"/>
        <v>0</v>
      </c>
      <c r="AB89" s="33">
        <f t="shared" si="18"/>
        <v>0</v>
      </c>
      <c r="AC89" s="33">
        <f t="shared" si="18"/>
        <v>0</v>
      </c>
      <c r="AD89" s="33">
        <f t="shared" si="18"/>
        <v>0</v>
      </c>
      <c r="AE89" s="33">
        <f t="shared" si="18"/>
        <v>0</v>
      </c>
      <c r="AF89" s="33">
        <f t="shared" si="18"/>
        <v>0</v>
      </c>
      <c r="AG89" s="33">
        <f t="shared" si="18"/>
        <v>0</v>
      </c>
      <c r="AH89" s="33">
        <f t="shared" si="18"/>
        <v>0</v>
      </c>
      <c r="AI89" s="33">
        <f t="shared" si="18"/>
        <v>0</v>
      </c>
      <c r="AJ89" s="33">
        <f t="shared" si="18"/>
        <v>0</v>
      </c>
      <c r="AK89" s="33">
        <f t="shared" si="18"/>
        <v>0</v>
      </c>
      <c r="AL89" s="33">
        <f t="shared" si="18"/>
        <v>0</v>
      </c>
      <c r="AM89" s="33">
        <f t="shared" si="18"/>
        <v>0</v>
      </c>
      <c r="AN89" s="33">
        <f t="shared" si="18"/>
        <v>0</v>
      </c>
      <c r="AO89" s="33">
        <f t="shared" si="18"/>
        <v>5010444.4400000004</v>
      </c>
      <c r="AP89" s="33">
        <f t="shared" si="18"/>
        <v>28049021.5</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744729147</v>
      </c>
      <c r="C91" s="190">
        <v>744729147</v>
      </c>
      <c r="D91" s="190">
        <v>744919147</v>
      </c>
      <c r="E91" s="190">
        <v>704905500</v>
      </c>
      <c r="F91" s="190">
        <v>704905500</v>
      </c>
      <c r="G91" s="190">
        <v>704905500</v>
      </c>
      <c r="H91" s="190">
        <v>701815500</v>
      </c>
      <c r="I91" s="190">
        <v>701815500</v>
      </c>
      <c r="J91" s="190">
        <v>701815500</v>
      </c>
      <c r="K91" s="190">
        <v>701815500</v>
      </c>
      <c r="L91" s="190">
        <v>701815500</v>
      </c>
      <c r="M91" s="190">
        <v>701815500</v>
      </c>
      <c r="N91" s="190">
        <v>701815500</v>
      </c>
      <c r="O91" s="190">
        <v>701815500</v>
      </c>
      <c r="P91" s="190">
        <v>280726200</v>
      </c>
      <c r="Q91" s="190">
        <v>280726200</v>
      </c>
      <c r="R91" s="190">
        <v>280726200</v>
      </c>
      <c r="S91" s="190">
        <v>280726200</v>
      </c>
      <c r="T91" s="190">
        <v>280726200</v>
      </c>
      <c r="U91" s="190">
        <v>280726200</v>
      </c>
      <c r="V91" s="190">
        <v>280726200</v>
      </c>
      <c r="W91" s="190">
        <v>280726200</v>
      </c>
      <c r="X91" s="190">
        <v>140363100</v>
      </c>
      <c r="Y91" s="190">
        <v>140363100</v>
      </c>
      <c r="Z91" s="190">
        <v>140363100</v>
      </c>
      <c r="AA91" s="190">
        <v>140363100</v>
      </c>
      <c r="AB91" s="190">
        <v>140363100</v>
      </c>
      <c r="AC91" s="190">
        <v>140363100</v>
      </c>
      <c r="AD91" s="190">
        <v>140363100</v>
      </c>
      <c r="AE91" s="190">
        <v>140363100</v>
      </c>
      <c r="AF91" s="190">
        <v>140363100</v>
      </c>
      <c r="AG91" s="190">
        <v>140363100</v>
      </c>
      <c r="AH91" s="190">
        <v>140363100</v>
      </c>
      <c r="AI91" s="190">
        <v>140363100</v>
      </c>
      <c r="AJ91" s="190">
        <v>140363100</v>
      </c>
      <c r="AK91" s="190">
        <v>140363100</v>
      </c>
      <c r="AL91" s="190">
        <v>140363100</v>
      </c>
      <c r="AM91" s="190">
        <v>105263100</v>
      </c>
      <c r="AN91" s="190">
        <v>105263100</v>
      </c>
      <c r="AO91" s="190">
        <v>105263100</v>
      </c>
      <c r="AP91" s="190">
        <v>14943456</v>
      </c>
      <c r="AQ91" s="190">
        <v>0</v>
      </c>
      <c r="AR91" s="190"/>
      <c r="AS91" s="190"/>
      <c r="AT91" s="190"/>
      <c r="AU91" s="190"/>
      <c r="AV91" s="190"/>
      <c r="AW91" s="190"/>
      <c r="AX91" s="190"/>
      <c r="AY91" s="190"/>
      <c r="AZ91" s="190"/>
      <c r="BA91" s="190"/>
      <c r="BB91" s="190"/>
      <c r="BC91" s="190"/>
      <c r="BD91" s="190"/>
      <c r="BE91" s="190"/>
      <c r="BF91" s="190"/>
      <c r="BG91" s="190"/>
      <c r="BH91" s="190"/>
      <c r="BI91" s="190"/>
      <c r="BJ91" s="190"/>
      <c r="BK91" s="190"/>
      <c r="BL91" s="190"/>
      <c r="BM91" s="190"/>
      <c r="BN91" s="190"/>
      <c r="BO91" s="190"/>
      <c r="BP91" s="190"/>
      <c r="BQ91" s="190"/>
      <c r="BR91" s="190"/>
      <c r="BS91" s="190"/>
      <c r="BT91" s="190"/>
      <c r="BU91" s="190"/>
      <c r="BV91" s="190"/>
      <c r="BW91" s="190"/>
      <c r="BX91" s="190"/>
      <c r="BY91" s="190"/>
      <c r="BZ91" s="190"/>
      <c r="CA91" s="190"/>
      <c r="CB91" s="190"/>
      <c r="CC91" s="190"/>
      <c r="CD91" s="190"/>
      <c r="CE91" s="190"/>
      <c r="CF91" s="190"/>
      <c r="CG91" s="190"/>
      <c r="CH91" s="190"/>
      <c r="CI91" s="190"/>
      <c r="CJ91" s="190"/>
      <c r="CK91" s="190"/>
      <c r="CL91" s="190"/>
    </row>
    <row r="92" spans="1:90" x14ac:dyDescent="0.25">
      <c r="A92" s="128" t="s">
        <v>63</v>
      </c>
      <c r="B92" s="190">
        <v>799073930.01999998</v>
      </c>
      <c r="C92" s="190">
        <v>796160462.83000004</v>
      </c>
      <c r="D92" s="190">
        <v>770521940.25</v>
      </c>
      <c r="E92" s="190">
        <v>370838881.36000001</v>
      </c>
      <c r="F92" s="190">
        <v>367084618.66000003</v>
      </c>
      <c r="G92" s="190">
        <v>365372843.69</v>
      </c>
      <c r="H92" s="190">
        <v>343661998.69999999</v>
      </c>
      <c r="I92" s="190">
        <v>348501443.69</v>
      </c>
      <c r="J92" s="190">
        <v>348501443.69</v>
      </c>
      <c r="K92" s="190">
        <v>348237589.52999997</v>
      </c>
      <c r="L92" s="190">
        <v>345579812.58999997</v>
      </c>
      <c r="M92" s="190">
        <v>345579812.58999997</v>
      </c>
      <c r="N92" s="190">
        <v>345579812.58999997</v>
      </c>
      <c r="O92" s="190">
        <v>345579812.58999997</v>
      </c>
      <c r="P92" s="190">
        <v>766669112.59000003</v>
      </c>
      <c r="Q92" s="190">
        <v>766669112.59000003</v>
      </c>
      <c r="R92" s="190">
        <v>766669112.59000003</v>
      </c>
      <c r="S92" s="190">
        <v>766669112.59000003</v>
      </c>
      <c r="T92" s="190">
        <v>766669112.59000003</v>
      </c>
      <c r="U92" s="190">
        <v>766669112.59000003</v>
      </c>
      <c r="V92" s="190">
        <v>766669112.59000003</v>
      </c>
      <c r="W92" s="190">
        <v>766669112.59000003</v>
      </c>
      <c r="X92" s="190">
        <v>907032212.59000003</v>
      </c>
      <c r="Y92" s="190">
        <v>907032212.59000003</v>
      </c>
      <c r="Z92" s="190">
        <v>907032212.59000003</v>
      </c>
      <c r="AA92" s="190">
        <v>907032212.59000003</v>
      </c>
      <c r="AB92" s="190">
        <v>907032212.59000003</v>
      </c>
      <c r="AC92" s="190">
        <v>907032212.59000003</v>
      </c>
      <c r="AD92" s="190">
        <v>907032212.59000003</v>
      </c>
      <c r="AE92" s="190">
        <v>907032212.59000003</v>
      </c>
      <c r="AF92" s="190">
        <v>907032212.59000003</v>
      </c>
      <c r="AG92" s="190">
        <v>907032212.59000003</v>
      </c>
      <c r="AH92" s="190">
        <v>909088421.73000002</v>
      </c>
      <c r="AI92" s="190">
        <v>909088421.73000002</v>
      </c>
      <c r="AJ92" s="190">
        <v>909088421.73000002</v>
      </c>
      <c r="AK92" s="190">
        <v>909088421.73000002</v>
      </c>
      <c r="AL92" s="190">
        <v>908208321.07000005</v>
      </c>
      <c r="AM92" s="190">
        <v>36175321.07</v>
      </c>
      <c r="AN92" s="190">
        <v>36175321.07</v>
      </c>
      <c r="AO92" s="190">
        <v>36175321.07</v>
      </c>
      <c r="AP92" s="190">
        <v>1758251.73</v>
      </c>
      <c r="AQ92" s="190">
        <v>0</v>
      </c>
      <c r="AR92" s="190"/>
      <c r="AS92" s="190"/>
      <c r="AT92" s="190"/>
      <c r="AU92" s="190"/>
      <c r="AV92" s="190"/>
      <c r="AW92" s="190"/>
      <c r="AX92" s="190"/>
      <c r="AY92" s="190"/>
      <c r="AZ92" s="190"/>
      <c r="BA92" s="190"/>
      <c r="BB92" s="190"/>
      <c r="BC92" s="190"/>
      <c r="BD92" s="190"/>
      <c r="BE92" s="190"/>
      <c r="BF92" s="190"/>
      <c r="BG92" s="190"/>
      <c r="BH92" s="190"/>
      <c r="BI92" s="190"/>
      <c r="BJ92" s="190"/>
      <c r="BK92" s="190"/>
      <c r="BL92" s="190"/>
      <c r="BM92" s="190"/>
      <c r="BN92" s="190"/>
      <c r="BO92" s="190"/>
      <c r="BP92" s="190"/>
      <c r="BQ92" s="190"/>
      <c r="BR92" s="190"/>
      <c r="BS92" s="190"/>
      <c r="BT92" s="190"/>
      <c r="BU92" s="190"/>
      <c r="BV92" s="190"/>
      <c r="BW92" s="190"/>
      <c r="BX92" s="190"/>
      <c r="BY92" s="190"/>
      <c r="BZ92" s="190"/>
      <c r="CA92" s="190"/>
      <c r="CB92" s="190"/>
      <c r="CC92" s="190"/>
      <c r="CD92" s="190"/>
      <c r="CE92" s="190"/>
      <c r="CF92" s="190"/>
      <c r="CG92" s="190"/>
      <c r="CH92" s="190"/>
      <c r="CI92" s="190"/>
      <c r="CJ92" s="190"/>
      <c r="CK92" s="190"/>
      <c r="CL92" s="190"/>
    </row>
    <row r="93" spans="1:90" x14ac:dyDescent="0.25">
      <c r="A93" s="128" t="s">
        <v>64</v>
      </c>
      <c r="B93" s="190">
        <v>25622400</v>
      </c>
      <c r="C93" s="190">
        <v>25622400</v>
      </c>
      <c r="D93" s="190">
        <v>25622400</v>
      </c>
      <c r="E93" s="190">
        <v>19961400</v>
      </c>
      <c r="F93" s="190">
        <v>19961400</v>
      </c>
      <c r="G93" s="190">
        <v>19961400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2034023.42</v>
      </c>
      <c r="C94" s="190">
        <v>-15462040.77</v>
      </c>
      <c r="D94" s="190">
        <v>-47760818.689999998</v>
      </c>
      <c r="E94" s="190">
        <v>-24230454.379999999</v>
      </c>
      <c r="F94" s="190">
        <v>-18217345.870000001</v>
      </c>
      <c r="G94" s="190">
        <v>-6939857.9900000002</v>
      </c>
      <c r="H94" s="190">
        <v>8285101.3700000001</v>
      </c>
      <c r="I94" s="190">
        <v>2775399.74</v>
      </c>
      <c r="J94" s="190">
        <v>1347499.98</v>
      </c>
      <c r="K94" s="190">
        <v>1044258.23</v>
      </c>
      <c r="L94" s="190">
        <v>25377.54</v>
      </c>
      <c r="M94" s="190">
        <v>29224.77</v>
      </c>
      <c r="N94" s="190">
        <v>-350887.55</v>
      </c>
      <c r="O94" s="190">
        <v>-1738250.4</v>
      </c>
      <c r="P94" s="190">
        <v>-1596939.08</v>
      </c>
      <c r="Q94" s="190">
        <v>-1718413.22</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333942631.27999997</v>
      </c>
      <c r="C96" s="190">
        <v>333942631.27999997</v>
      </c>
      <c r="D96" s="190">
        <v>333942631.27999997</v>
      </c>
      <c r="E96" s="190">
        <v>333942631.27999997</v>
      </c>
      <c r="F96" s="190">
        <v>286181596.91000003</v>
      </c>
      <c r="G96" s="190">
        <v>286181596.91000003</v>
      </c>
      <c r="H96" s="190">
        <v>286181596.91000003</v>
      </c>
      <c r="I96" s="190">
        <v>286181596.91000003</v>
      </c>
      <c r="J96" s="190">
        <v>258069600.65000001</v>
      </c>
      <c r="K96" s="190">
        <v>258069600.65000001</v>
      </c>
      <c r="L96" s="190">
        <v>258069600.65000001</v>
      </c>
      <c r="M96" s="190">
        <v>258069600.65000001</v>
      </c>
      <c r="N96" s="190">
        <v>214396957.88</v>
      </c>
      <c r="O96" s="190">
        <v>214396957.88</v>
      </c>
      <c r="P96" s="190">
        <v>214396957.88</v>
      </c>
      <c r="Q96" s="190">
        <v>214396957.88</v>
      </c>
      <c r="R96" s="190">
        <v>170059530.44999999</v>
      </c>
      <c r="S96" s="190">
        <v>170059530.44999999</v>
      </c>
      <c r="T96" s="190">
        <v>170059530.44999999</v>
      </c>
      <c r="U96" s="190">
        <v>170059530.44999999</v>
      </c>
      <c r="V96" s="190">
        <v>134414074.22999999</v>
      </c>
      <c r="W96" s="190">
        <v>134414074.22999999</v>
      </c>
      <c r="X96" s="190">
        <v>134414074.22999999</v>
      </c>
      <c r="Y96" s="190">
        <v>134414074.22999999</v>
      </c>
      <c r="Z96" s="190">
        <v>93959960.069999993</v>
      </c>
      <c r="AA96" s="190">
        <v>93959960.069999993</v>
      </c>
      <c r="AB96" s="190">
        <v>93959960.069999993</v>
      </c>
      <c r="AC96" s="190">
        <v>93959960.069999993</v>
      </c>
      <c r="AD96" s="190">
        <v>58711023.469999999</v>
      </c>
      <c r="AE96" s="190">
        <v>58711023.469999999</v>
      </c>
      <c r="AF96" s="190">
        <v>55755062.170000002</v>
      </c>
      <c r="AG96" s="190">
        <v>58711023.469999999</v>
      </c>
      <c r="AH96" s="190">
        <v>33367477.82</v>
      </c>
      <c r="AI96" s="190">
        <v>33367477.82</v>
      </c>
      <c r="AJ96" s="190">
        <v>33367477.82</v>
      </c>
      <c r="AK96" s="190">
        <v>33367477.82</v>
      </c>
      <c r="AL96" s="190">
        <v>22190473.329999998</v>
      </c>
      <c r="AM96" s="190">
        <v>22190473.329999998</v>
      </c>
      <c r="AN96" s="190">
        <v>22190473.329999998</v>
      </c>
      <c r="AO96" s="190">
        <v>10637841.689999999</v>
      </c>
      <c r="AP96" s="190">
        <v>17556289.039999999</v>
      </c>
      <c r="AQ96" s="190">
        <v>0</v>
      </c>
      <c r="AR96" s="190">
        <v>1904071967.1600001</v>
      </c>
      <c r="AS96" s="190">
        <v>1803743654.97</v>
      </c>
      <c r="AT96" s="190">
        <v>1784842154.0899999</v>
      </c>
      <c r="AU96" s="190">
        <v>1769499231.54</v>
      </c>
      <c r="AV96" s="190">
        <v>1728597077.04</v>
      </c>
      <c r="AW96" s="190">
        <v>1656111478.8599999</v>
      </c>
      <c r="AX96" s="190">
        <v>1605045274.6500001</v>
      </c>
      <c r="AY96" s="190">
        <v>1586050475.99</v>
      </c>
      <c r="AZ96" s="190">
        <v>1503840551.3499999</v>
      </c>
      <c r="BA96" s="190">
        <v>1421686339.5</v>
      </c>
      <c r="BB96" s="190">
        <v>1389360858.45</v>
      </c>
      <c r="BC96" s="190">
        <v>1382274938.1900001</v>
      </c>
      <c r="BD96" s="190">
        <v>1254574026.6800001</v>
      </c>
      <c r="BE96" s="190">
        <v>1187372649.6400001</v>
      </c>
      <c r="BF96" s="190">
        <v>1118260147.0599999</v>
      </c>
      <c r="BG96" s="190">
        <v>1098510367.5599999</v>
      </c>
      <c r="BH96" s="190">
        <v>994296939.84000003</v>
      </c>
      <c r="BI96" s="190">
        <v>939688251.88</v>
      </c>
      <c r="BJ96" s="190">
        <v>870801644.83000004</v>
      </c>
      <c r="BK96" s="190">
        <v>854086763.44000006</v>
      </c>
      <c r="BL96" s="190">
        <v>772450547.37</v>
      </c>
      <c r="BM96" s="190">
        <v>719760715.63</v>
      </c>
      <c r="BN96" s="190">
        <v>664546335.02999997</v>
      </c>
      <c r="BO96" s="190">
        <v>643227764.61000001</v>
      </c>
      <c r="BP96" s="190">
        <v>576048176.03999996</v>
      </c>
      <c r="BQ96" s="190">
        <v>532864074.19999999</v>
      </c>
      <c r="BR96" s="190">
        <v>0</v>
      </c>
      <c r="BS96" s="190">
        <v>381752149.10000002</v>
      </c>
      <c r="BT96" s="190">
        <v>352223969.88999999</v>
      </c>
      <c r="BU96" s="190">
        <v>309989497.47000003</v>
      </c>
      <c r="BV96" s="190">
        <v>259244599.52000001</v>
      </c>
      <c r="BW96" s="190">
        <v>194772679.46000001</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1756122910.02</v>
      </c>
      <c r="C98" s="190">
        <v>1597456143.1700001</v>
      </c>
      <c r="D98" s="190">
        <v>1796004757.3</v>
      </c>
      <c r="E98" s="190">
        <v>1639515988.21</v>
      </c>
      <c r="F98" s="190">
        <v>1569927010.5999999</v>
      </c>
      <c r="G98" s="190">
        <v>1421034201.5899999</v>
      </c>
      <c r="H98" s="190">
        <v>1516602206.3699999</v>
      </c>
      <c r="I98" s="190">
        <v>1399763125.4400001</v>
      </c>
      <c r="J98" s="190">
        <v>1370033724.22</v>
      </c>
      <c r="K98" s="190">
        <v>1261415134.47</v>
      </c>
      <c r="L98" s="190">
        <v>1359753909.76</v>
      </c>
      <c r="M98" s="190">
        <v>1250941350.79</v>
      </c>
      <c r="N98" s="190">
        <v>1208347465.52</v>
      </c>
      <c r="O98" s="190">
        <v>1068295724.63</v>
      </c>
      <c r="P98" s="190">
        <v>1281431019.3199999</v>
      </c>
      <c r="Q98" s="190">
        <v>1165251874.99</v>
      </c>
      <c r="R98" s="190">
        <v>1088200440.6300001</v>
      </c>
      <c r="S98" s="190">
        <v>968867455.89999998</v>
      </c>
      <c r="T98" s="190">
        <v>1008503054.0599999</v>
      </c>
      <c r="U98" s="190">
        <v>909753702.34000003</v>
      </c>
      <c r="V98" s="190">
        <v>850428398.08000004</v>
      </c>
      <c r="W98" s="190">
        <v>750350402.75</v>
      </c>
      <c r="X98" s="190">
        <v>797255248.05999994</v>
      </c>
      <c r="Y98" s="190">
        <v>711498676.40999997</v>
      </c>
      <c r="Z98" s="190">
        <v>623008496.62</v>
      </c>
      <c r="AA98" s="190">
        <v>503552118.06</v>
      </c>
      <c r="AB98" s="190">
        <v>616572912.17999995</v>
      </c>
      <c r="AC98" s="190">
        <v>510229123.81</v>
      </c>
      <c r="AD98" s="190">
        <v>451626737.39999998</v>
      </c>
      <c r="AE98" s="190">
        <v>333903403.31999999</v>
      </c>
      <c r="AF98" s="190">
        <v>431242525.72000003</v>
      </c>
      <c r="AG98" s="190">
        <v>370783524.22000003</v>
      </c>
      <c r="AH98" s="190">
        <v>289614593.99000001</v>
      </c>
      <c r="AI98" s="190">
        <v>223495470.13999999</v>
      </c>
      <c r="AJ98" s="190">
        <v>294620676.75</v>
      </c>
      <c r="AK98" s="190">
        <v>244953989.93000001</v>
      </c>
      <c r="AL98" s="190">
        <v>214216081.68000001</v>
      </c>
      <c r="AM98" s="190">
        <v>164238846.41999999</v>
      </c>
      <c r="AN98" s="190">
        <v>134425609.84</v>
      </c>
      <c r="AO98" s="190">
        <v>78016353.280000001</v>
      </c>
      <c r="AP98" s="190">
        <v>93449876.739999995</v>
      </c>
      <c r="AQ98" s="190">
        <v>0</v>
      </c>
      <c r="AR98" s="190">
        <v>3939446493.21</v>
      </c>
      <c r="AS98" s="190">
        <v>3016465972.27</v>
      </c>
      <c r="AT98" s="190">
        <v>2895687323</v>
      </c>
      <c r="AU98" s="190">
        <v>2731195492.8200002</v>
      </c>
      <c r="AV98" s="190">
        <v>3619192723.04</v>
      </c>
      <c r="AW98" s="190">
        <v>2936492710.1799998</v>
      </c>
      <c r="AX98" s="190">
        <v>2836202850</v>
      </c>
      <c r="AY98" s="190">
        <v>2655440755.9699998</v>
      </c>
      <c r="AZ98" s="190">
        <v>2735881568.3699999</v>
      </c>
      <c r="BA98" s="190">
        <v>2271940792.2399998</v>
      </c>
      <c r="BB98" s="190">
        <v>2281862701.6399999</v>
      </c>
      <c r="BC98" s="190">
        <v>2108410721.51</v>
      </c>
      <c r="BD98" s="190">
        <v>2060554311.6199999</v>
      </c>
      <c r="BE98" s="190">
        <v>1714905685.0599999</v>
      </c>
      <c r="BF98" s="190">
        <v>1634285513.4000001</v>
      </c>
      <c r="BG98" s="190">
        <v>1512716042.76</v>
      </c>
      <c r="BH98" s="190">
        <v>2819154405.8699999</v>
      </c>
      <c r="BI98" s="190">
        <v>2490295331.4000001</v>
      </c>
      <c r="BJ98" s="190">
        <v>2403776470.8899999</v>
      </c>
      <c r="BK98" s="190">
        <v>2262549503.6999998</v>
      </c>
      <c r="BL98" s="190">
        <v>2243103077.8499999</v>
      </c>
      <c r="BM98" s="190">
        <v>2007248389.73</v>
      </c>
      <c r="BN98" s="190">
        <v>1951462497.3</v>
      </c>
      <c r="BO98" s="190">
        <v>1830539949.02</v>
      </c>
      <c r="BP98" s="190">
        <v>1872926600.26</v>
      </c>
      <c r="BQ98" s="190">
        <v>1667814393.3199999</v>
      </c>
      <c r="BR98" s="190">
        <v>0</v>
      </c>
      <c r="BS98" s="190">
        <v>1712342274.8299999</v>
      </c>
      <c r="BT98" s="190">
        <v>1595935829.22</v>
      </c>
      <c r="BU98" s="190">
        <v>1356607152.1700001</v>
      </c>
      <c r="BV98" s="190">
        <v>1069052730.5</v>
      </c>
      <c r="BW98" s="190">
        <v>703711850.11000001</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0</v>
      </c>
      <c r="C99" s="190">
        <v>0</v>
      </c>
      <c r="D99" s="190">
        <v>0</v>
      </c>
      <c r="E99" s="190">
        <v>0</v>
      </c>
      <c r="F99" s="190">
        <v>0</v>
      </c>
      <c r="G99" s="190">
        <v>0</v>
      </c>
      <c r="H99" s="190">
        <v>0</v>
      </c>
      <c r="I99" s="190">
        <v>0</v>
      </c>
      <c r="J99" s="190">
        <v>0</v>
      </c>
      <c r="K99" s="190">
        <v>0</v>
      </c>
      <c r="L99" s="190">
        <v>0</v>
      </c>
      <c r="M99" s="190">
        <v>0</v>
      </c>
      <c r="N99" s="190">
        <v>0</v>
      </c>
      <c r="O99" s="190">
        <v>0</v>
      </c>
      <c r="P99" s="190">
        <v>0</v>
      </c>
      <c r="Q99" s="190">
        <v>0</v>
      </c>
      <c r="R99" s="190">
        <v>0</v>
      </c>
      <c r="S99" s="190">
        <v>0</v>
      </c>
      <c r="T99" s="190">
        <v>0</v>
      </c>
      <c r="U99" s="190">
        <v>0</v>
      </c>
      <c r="V99" s="190">
        <v>0</v>
      </c>
      <c r="W99" s="190">
        <v>0</v>
      </c>
      <c r="X99" s="190">
        <v>0</v>
      </c>
      <c r="Y99" s="190">
        <v>0</v>
      </c>
      <c r="Z99" s="190">
        <v>0</v>
      </c>
      <c r="AA99" s="190">
        <v>0</v>
      </c>
      <c r="AB99" s="190">
        <v>0</v>
      </c>
      <c r="AC99" s="190">
        <v>0</v>
      </c>
      <c r="AD99" s="190">
        <v>0</v>
      </c>
      <c r="AE99" s="190">
        <v>0</v>
      </c>
      <c r="AF99" s="190">
        <v>0</v>
      </c>
      <c r="AG99" s="190">
        <v>0</v>
      </c>
      <c r="AH99" s="190">
        <v>0</v>
      </c>
      <c r="AI99" s="190">
        <v>0</v>
      </c>
      <c r="AJ99" s="190">
        <v>0</v>
      </c>
      <c r="AK99" s="190">
        <v>0</v>
      </c>
      <c r="AL99" s="190">
        <v>0</v>
      </c>
      <c r="AM99" s="190">
        <v>0</v>
      </c>
      <c r="AN99" s="190">
        <v>0</v>
      </c>
      <c r="AO99" s="190">
        <v>0</v>
      </c>
      <c r="AP99" s="190">
        <v>0</v>
      </c>
      <c r="AQ99" s="190">
        <v>0</v>
      </c>
      <c r="AR99" s="190">
        <v>0</v>
      </c>
      <c r="AS99" s="190">
        <v>0</v>
      </c>
      <c r="AT99" s="190">
        <v>100000000</v>
      </c>
      <c r="AU99" s="190">
        <v>100000000</v>
      </c>
      <c r="AV99" s="190">
        <v>0</v>
      </c>
      <c r="AW99" s="190">
        <v>0</v>
      </c>
      <c r="AX99" s="190">
        <v>0</v>
      </c>
      <c r="AY99" s="190">
        <v>41778688</v>
      </c>
      <c r="AZ99" s="190">
        <v>0</v>
      </c>
      <c r="BA99" s="190">
        <v>0</v>
      </c>
      <c r="BB99" s="190">
        <v>0</v>
      </c>
      <c r="BC99" s="190">
        <v>0</v>
      </c>
      <c r="BD99" s="190">
        <v>0</v>
      </c>
      <c r="BE99" s="190">
        <v>0</v>
      </c>
      <c r="BF99" s="190">
        <v>0</v>
      </c>
      <c r="BG99" s="190">
        <v>0</v>
      </c>
      <c r="BH99" s="190">
        <v>0</v>
      </c>
      <c r="BI99" s="190">
        <v>0</v>
      </c>
      <c r="BJ99" s="190">
        <v>15606000</v>
      </c>
      <c r="BK99" s="190">
        <v>15606000</v>
      </c>
      <c r="BL99" s="190">
        <v>15606000</v>
      </c>
      <c r="BM99" s="190">
        <v>15606000</v>
      </c>
      <c r="BN99" s="190">
        <v>15606000</v>
      </c>
      <c r="BO99" s="190">
        <v>15606000</v>
      </c>
      <c r="BP99" s="190">
        <v>21726000</v>
      </c>
      <c r="BQ99" s="190">
        <v>21726000</v>
      </c>
      <c r="BR99" s="190">
        <v>0</v>
      </c>
      <c r="BS99" s="190">
        <v>51120000</v>
      </c>
      <c r="BT99" s="190">
        <v>0</v>
      </c>
      <c r="BU99" s="190">
        <v>0</v>
      </c>
      <c r="BV99" s="190">
        <v>0</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3610280241.7399998</v>
      </c>
      <c r="C102" s="190">
        <v>3431203943.5100002</v>
      </c>
      <c r="D102" s="190">
        <v>3572005257.1399999</v>
      </c>
      <c r="E102" s="190">
        <v>3005011146.4699998</v>
      </c>
      <c r="F102" s="190">
        <v>2889919980.3000002</v>
      </c>
      <c r="G102" s="190">
        <v>2750592884.1999998</v>
      </c>
      <c r="H102" s="190">
        <v>2856546403.3499999</v>
      </c>
      <c r="I102" s="190">
        <v>2739037065.7800002</v>
      </c>
      <c r="J102" s="190">
        <v>2679767768.54</v>
      </c>
      <c r="K102" s="190">
        <v>2570582082.8800001</v>
      </c>
      <c r="L102" s="190">
        <v>2665244200.54</v>
      </c>
      <c r="M102" s="190">
        <v>2556435488.8000002</v>
      </c>
      <c r="N102" s="190">
        <v>2469788848.4400001</v>
      </c>
      <c r="O102" s="190">
        <v>2328349744.6999998</v>
      </c>
      <c r="P102" s="190">
        <v>2541626350.71</v>
      </c>
      <c r="Q102" s="190">
        <v>2425325732.2399998</v>
      </c>
      <c r="R102" s="190">
        <v>2304068739.1300001</v>
      </c>
      <c r="S102" s="190">
        <v>2184782308.8099999</v>
      </c>
      <c r="T102" s="190">
        <v>2224397084.98</v>
      </c>
      <c r="U102" s="190">
        <v>2125429369.46</v>
      </c>
      <c r="V102" s="190">
        <v>2030685494.9300001</v>
      </c>
      <c r="W102" s="190">
        <v>1930708956.6900001</v>
      </c>
      <c r="X102" s="190">
        <v>1977896014.0699999</v>
      </c>
      <c r="Y102" s="190">
        <v>1892220602.73</v>
      </c>
      <c r="Z102" s="190">
        <v>1763420146.3699999</v>
      </c>
      <c r="AA102" s="190">
        <v>1643908869.0699999</v>
      </c>
      <c r="AB102" s="190">
        <v>1756834966.6400001</v>
      </c>
      <c r="AC102" s="190">
        <v>1650493578.27</v>
      </c>
      <c r="AD102" s="190">
        <v>1556751168.1600001</v>
      </c>
      <c r="AE102" s="190">
        <v>1439317961.3</v>
      </c>
      <c r="AF102" s="190">
        <v>1533876742.3699999</v>
      </c>
      <c r="AG102" s="190">
        <v>1476505584.9100001</v>
      </c>
      <c r="AH102" s="190">
        <v>1372213383.73</v>
      </c>
      <c r="AI102" s="190">
        <v>1306209020</v>
      </c>
      <c r="AJ102" s="190">
        <v>1377416891.96</v>
      </c>
      <c r="AK102" s="190">
        <v>1327763903.6099999</v>
      </c>
      <c r="AL102" s="190">
        <v>1284977976.0799999</v>
      </c>
      <c r="AM102" s="190">
        <v>327867740.81999999</v>
      </c>
      <c r="AN102" s="190">
        <v>298054504.24000001</v>
      </c>
      <c r="AO102" s="190">
        <v>230092616.03999999</v>
      </c>
      <c r="AP102" s="190">
        <v>127707873.51000001</v>
      </c>
      <c r="AQ102" s="190">
        <v>0</v>
      </c>
      <c r="AR102" s="190">
        <v>10592688648.690001</v>
      </c>
      <c r="AS102" s="190">
        <v>9569379815.5599995</v>
      </c>
      <c r="AT102" s="190">
        <v>9444699665.4099998</v>
      </c>
      <c r="AU102" s="190">
        <v>9264864912.6800003</v>
      </c>
      <c r="AV102" s="190">
        <v>9012398068.3999996</v>
      </c>
      <c r="AW102" s="190">
        <v>8257212457.3599997</v>
      </c>
      <c r="AX102" s="190">
        <v>8106355261.6899996</v>
      </c>
      <c r="AY102" s="190">
        <v>7906099500.2799997</v>
      </c>
      <c r="AZ102" s="190">
        <v>7904330388.04</v>
      </c>
      <c r="BA102" s="190">
        <v>7358235400.0600004</v>
      </c>
      <c r="BB102" s="190">
        <v>7335831828.4099998</v>
      </c>
      <c r="BC102" s="190">
        <v>7155293928.0200005</v>
      </c>
      <c r="BD102" s="190">
        <v>6979736606.6199999</v>
      </c>
      <c r="BE102" s="190">
        <v>6566886603.0200005</v>
      </c>
      <c r="BF102" s="190">
        <v>6417153928.7799997</v>
      </c>
      <c r="BG102" s="190">
        <v>6275834678.6400003</v>
      </c>
      <c r="BH102" s="190">
        <v>6393497694.0299997</v>
      </c>
      <c r="BI102" s="190">
        <v>6010029931.6000004</v>
      </c>
      <c r="BJ102" s="190">
        <v>5854624464.04</v>
      </c>
      <c r="BK102" s="190">
        <v>5696682615.46</v>
      </c>
      <c r="BL102" s="190">
        <v>5595599973.54</v>
      </c>
      <c r="BM102" s="190">
        <v>5307055453.6800003</v>
      </c>
      <c r="BN102" s="190">
        <v>5196040467.4899998</v>
      </c>
      <c r="BO102" s="190">
        <v>5053742967.6300001</v>
      </c>
      <c r="BP102" s="190">
        <v>4942046030.3000002</v>
      </c>
      <c r="BQ102" s="190">
        <v>4693749721.5200005</v>
      </c>
      <c r="BR102" s="190">
        <v>4554380000</v>
      </c>
      <c r="BS102" s="190">
        <v>4382685677.9300003</v>
      </c>
      <c r="BT102" s="190">
        <v>4235751053.1100001</v>
      </c>
      <c r="BU102" s="190">
        <v>3188611486.52</v>
      </c>
      <c r="BV102" s="190">
        <v>2850312166.9000001</v>
      </c>
      <c r="BW102" s="190">
        <v>2420499366.4499998</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104518374.09999999</v>
      </c>
      <c r="C103" s="190">
        <v>149466388.61000001</v>
      </c>
      <c r="D103" s="190">
        <v>149689080</v>
      </c>
      <c r="E103" s="190">
        <v>147714110.66</v>
      </c>
      <c r="F103" s="190">
        <v>153629932.53</v>
      </c>
      <c r="G103" s="190">
        <v>154349621.90000001</v>
      </c>
      <c r="H103" s="190">
        <v>149496360.00999999</v>
      </c>
      <c r="I103" s="190">
        <v>141221105.88</v>
      </c>
      <c r="J103" s="190">
        <v>130272134.06999999</v>
      </c>
      <c r="K103" s="190">
        <v>105660242.36</v>
      </c>
      <c r="L103" s="190">
        <v>105548399.16</v>
      </c>
      <c r="M103" s="190">
        <v>99024124.590000004</v>
      </c>
      <c r="N103" s="190">
        <v>76612540.189999998</v>
      </c>
      <c r="O103" s="190">
        <v>70608143.819999993</v>
      </c>
      <c r="P103" s="190">
        <v>64107460.990000002</v>
      </c>
      <c r="Q103" s="190">
        <v>62002521.799999997</v>
      </c>
      <c r="R103" s="190">
        <v>0</v>
      </c>
      <c r="S103" s="190">
        <v>0</v>
      </c>
      <c r="T103" s="190">
        <v>0</v>
      </c>
      <c r="U103" s="190">
        <v>0</v>
      </c>
      <c r="V103" s="190">
        <v>0</v>
      </c>
      <c r="W103" s="190">
        <v>0</v>
      </c>
      <c r="X103" s="190">
        <v>0</v>
      </c>
      <c r="Y103" s="190">
        <v>0</v>
      </c>
      <c r="Z103" s="190">
        <v>0</v>
      </c>
      <c r="AA103" s="190">
        <v>0</v>
      </c>
      <c r="AB103" s="190">
        <v>0</v>
      </c>
      <c r="AC103" s="190">
        <v>0</v>
      </c>
      <c r="AD103" s="190">
        <v>0</v>
      </c>
      <c r="AE103" s="190">
        <v>0</v>
      </c>
      <c r="AF103" s="190">
        <v>0</v>
      </c>
      <c r="AG103" s="190">
        <v>0</v>
      </c>
      <c r="AH103" s="190">
        <v>6029199.5800000001</v>
      </c>
      <c r="AI103" s="190">
        <v>5123095.07</v>
      </c>
      <c r="AJ103" s="190">
        <v>4983037.66</v>
      </c>
      <c r="AK103" s="190">
        <v>4484604.5199999996</v>
      </c>
      <c r="AL103" s="190">
        <v>3774090</v>
      </c>
      <c r="AM103" s="190">
        <v>3140738.11</v>
      </c>
      <c r="AN103" s="190">
        <v>3283347.24</v>
      </c>
      <c r="AO103" s="190">
        <v>3194473.17</v>
      </c>
      <c r="AP103" s="190">
        <v>0</v>
      </c>
      <c r="AQ103" s="190">
        <v>0</v>
      </c>
      <c r="AR103" s="190">
        <v>49256028.789999999</v>
      </c>
      <c r="AS103" s="190">
        <v>56857168.609999999</v>
      </c>
      <c r="AT103" s="190">
        <v>40888487.079999998</v>
      </c>
      <c r="AU103" s="190">
        <v>39150237.640000001</v>
      </c>
      <c r="AV103" s="190">
        <v>39251320.369999997</v>
      </c>
      <c r="AW103" s="190">
        <v>37956057.280000001</v>
      </c>
      <c r="AX103" s="190">
        <v>33329921.27</v>
      </c>
      <c r="AY103" s="190">
        <v>32650863.870000001</v>
      </c>
      <c r="AZ103" s="190">
        <v>30454120.460000001</v>
      </c>
      <c r="BA103" s="190">
        <v>27733578.48</v>
      </c>
      <c r="BB103" s="190">
        <v>24884323.18</v>
      </c>
      <c r="BC103" s="190">
        <v>24132037.629999999</v>
      </c>
      <c r="BD103" s="190">
        <v>23728982.75</v>
      </c>
      <c r="BE103" s="190">
        <v>20075298.75</v>
      </c>
      <c r="BF103" s="190">
        <v>16762352.4</v>
      </c>
      <c r="BG103" s="190">
        <v>16880188.02</v>
      </c>
      <c r="BH103" s="190">
        <v>15789115.83</v>
      </c>
      <c r="BI103" s="190">
        <v>15862755.060000001</v>
      </c>
      <c r="BJ103" s="190">
        <v>15780686.800000001</v>
      </c>
      <c r="BK103" s="190">
        <v>15072018.689999999</v>
      </c>
      <c r="BL103" s="190">
        <v>16011767.529999999</v>
      </c>
      <c r="BM103" s="190">
        <v>15044502.029999999</v>
      </c>
      <c r="BN103" s="190">
        <v>18252665.030000001</v>
      </c>
      <c r="BO103" s="190">
        <v>21619133.460000001</v>
      </c>
      <c r="BP103" s="190">
        <v>12934639.26</v>
      </c>
      <c r="BQ103" s="190">
        <v>8493411.2799999993</v>
      </c>
      <c r="BR103" s="190">
        <v>7400000</v>
      </c>
      <c r="BS103" s="190">
        <v>2970143.71</v>
      </c>
      <c r="BT103" s="190">
        <v>2872138.39</v>
      </c>
      <c r="BU103" s="190">
        <v>2604712.4300000002</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3714798615.8399997</v>
      </c>
      <c r="C107" s="33">
        <f>C102+C103</f>
        <v>3580670332.1200004</v>
      </c>
      <c r="D107" s="33">
        <f>D102+D103</f>
        <v>3721694337.1399999</v>
      </c>
      <c r="E107" s="33">
        <f>E102+E103</f>
        <v>3152725257.1299996</v>
      </c>
      <c r="F107" s="33">
        <f t="shared" ref="F107:BQ107" si="20">F102+F103</f>
        <v>3043549912.8300004</v>
      </c>
      <c r="G107" s="33">
        <f t="shared" si="20"/>
        <v>2904942506.0999999</v>
      </c>
      <c r="H107" s="33">
        <f t="shared" si="20"/>
        <v>3006042763.3599997</v>
      </c>
      <c r="I107" s="33">
        <f t="shared" si="20"/>
        <v>2880258171.6600003</v>
      </c>
      <c r="J107" s="33">
        <f t="shared" si="20"/>
        <v>2810039902.6100001</v>
      </c>
      <c r="K107" s="33">
        <f t="shared" si="20"/>
        <v>2676242325.2400002</v>
      </c>
      <c r="L107" s="33">
        <f t="shared" si="20"/>
        <v>2770792599.6999998</v>
      </c>
      <c r="M107" s="33">
        <f t="shared" si="20"/>
        <v>2655459613.3900003</v>
      </c>
      <c r="N107" s="33">
        <f t="shared" si="20"/>
        <v>2546401388.6300001</v>
      </c>
      <c r="O107" s="33">
        <f t="shared" si="20"/>
        <v>2398957888.52</v>
      </c>
      <c r="P107" s="33">
        <f t="shared" si="20"/>
        <v>2605733811.6999998</v>
      </c>
      <c r="Q107" s="33">
        <f t="shared" si="20"/>
        <v>2487328254.04</v>
      </c>
      <c r="R107" s="33">
        <f t="shared" si="20"/>
        <v>2304068739.1300001</v>
      </c>
      <c r="S107" s="33">
        <f t="shared" si="20"/>
        <v>2184782308.8099999</v>
      </c>
      <c r="T107" s="33">
        <f t="shared" si="20"/>
        <v>2224397084.98</v>
      </c>
      <c r="U107" s="33">
        <f t="shared" si="20"/>
        <v>2125429369.46</v>
      </c>
      <c r="V107" s="33">
        <f t="shared" si="20"/>
        <v>2030685494.9300001</v>
      </c>
      <c r="W107" s="33">
        <f t="shared" si="20"/>
        <v>1930708956.6900001</v>
      </c>
      <c r="X107" s="33">
        <f t="shared" si="20"/>
        <v>1977896014.0699999</v>
      </c>
      <c r="Y107" s="33">
        <f t="shared" si="20"/>
        <v>1892220602.73</v>
      </c>
      <c r="Z107" s="33">
        <f t="shared" si="20"/>
        <v>1763420146.3699999</v>
      </c>
      <c r="AA107" s="33">
        <f t="shared" si="20"/>
        <v>1643908869.0699999</v>
      </c>
      <c r="AB107" s="33">
        <f t="shared" si="20"/>
        <v>1756834966.6400001</v>
      </c>
      <c r="AC107" s="33">
        <f t="shared" si="20"/>
        <v>1650493578.27</v>
      </c>
      <c r="AD107" s="33">
        <f t="shared" si="20"/>
        <v>1556751168.1600001</v>
      </c>
      <c r="AE107" s="33">
        <f t="shared" si="20"/>
        <v>1439317961.3</v>
      </c>
      <c r="AF107" s="33">
        <f t="shared" si="20"/>
        <v>1533876742.3699999</v>
      </c>
      <c r="AG107" s="33">
        <f t="shared" si="20"/>
        <v>1476505584.9100001</v>
      </c>
      <c r="AH107" s="33">
        <f t="shared" si="20"/>
        <v>1378242583.3099999</v>
      </c>
      <c r="AI107" s="33">
        <f t="shared" si="20"/>
        <v>1311332115.0699999</v>
      </c>
      <c r="AJ107" s="33">
        <f t="shared" si="20"/>
        <v>1382399929.6200001</v>
      </c>
      <c r="AK107" s="33">
        <f t="shared" si="20"/>
        <v>1332248508.1299999</v>
      </c>
      <c r="AL107" s="33">
        <f t="shared" si="20"/>
        <v>1288752066.0799999</v>
      </c>
      <c r="AM107" s="33">
        <f t="shared" si="20"/>
        <v>331008478.93000001</v>
      </c>
      <c r="AN107" s="33">
        <f t="shared" si="20"/>
        <v>301337851.48000002</v>
      </c>
      <c r="AO107" s="33">
        <f t="shared" si="20"/>
        <v>233287089.20999998</v>
      </c>
      <c r="AP107" s="33">
        <f t="shared" si="20"/>
        <v>127707873.51000001</v>
      </c>
      <c r="AQ107" s="33">
        <f t="shared" si="20"/>
        <v>0</v>
      </c>
      <c r="AR107" s="33">
        <f t="shared" si="20"/>
        <v>10641944677.480001</v>
      </c>
      <c r="AS107" s="33">
        <f t="shared" si="20"/>
        <v>9626236984.1700001</v>
      </c>
      <c r="AT107" s="33">
        <f t="shared" si="20"/>
        <v>9485588152.4899998</v>
      </c>
      <c r="AU107" s="33">
        <f t="shared" si="20"/>
        <v>9304015150.3199997</v>
      </c>
      <c r="AV107" s="33">
        <f t="shared" si="20"/>
        <v>9051649388.7700005</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3904500908.9699998</v>
      </c>
      <c r="C108" s="38">
        <f t="shared" ref="C108:BN108" si="22">SUM(C89+C107)</f>
        <v>3823444348.0500002</v>
      </c>
      <c r="D108" s="38">
        <f t="shared" si="22"/>
        <v>3977141881.98</v>
      </c>
      <c r="E108" s="38">
        <f>SUM(E107+E89)</f>
        <v>3406128319.5699997</v>
      </c>
      <c r="F108" s="38">
        <f t="shared" si="22"/>
        <v>3469234189.5600004</v>
      </c>
      <c r="G108" s="38">
        <f t="shared" si="22"/>
        <v>3334128665.5799999</v>
      </c>
      <c r="H108" s="38">
        <f t="shared" si="22"/>
        <v>3553104597.3199997</v>
      </c>
      <c r="I108" s="38">
        <f t="shared" si="22"/>
        <v>3379120624.0300002</v>
      </c>
      <c r="J108" s="38">
        <f t="shared" si="22"/>
        <v>3143130880.5100002</v>
      </c>
      <c r="K108" s="38">
        <f t="shared" si="22"/>
        <v>2963681471.9000001</v>
      </c>
      <c r="L108" s="38">
        <f t="shared" si="22"/>
        <v>2881482643.0299997</v>
      </c>
      <c r="M108" s="38">
        <f t="shared" si="22"/>
        <v>2770141834.1800003</v>
      </c>
      <c r="N108" s="38">
        <f t="shared" si="22"/>
        <v>2546401388.6300001</v>
      </c>
      <c r="O108" s="38">
        <f t="shared" si="22"/>
        <v>2402871215.6399999</v>
      </c>
      <c r="P108" s="38">
        <f t="shared" si="22"/>
        <v>2608400747.6599998</v>
      </c>
      <c r="Q108" s="38">
        <f t="shared" si="22"/>
        <v>2492915605.77</v>
      </c>
      <c r="R108" s="38">
        <f t="shared" si="22"/>
        <v>2308488151.73</v>
      </c>
      <c r="S108" s="38">
        <f t="shared" si="22"/>
        <v>2192212395.2799997</v>
      </c>
      <c r="T108" s="38">
        <f t="shared" si="22"/>
        <v>2229681235.0799999</v>
      </c>
      <c r="U108" s="38">
        <f t="shared" si="22"/>
        <v>2133306409.3500001</v>
      </c>
      <c r="V108" s="38">
        <f t="shared" si="22"/>
        <v>2030685494.9300001</v>
      </c>
      <c r="W108" s="38">
        <f t="shared" si="22"/>
        <v>1930708956.6900001</v>
      </c>
      <c r="X108" s="38">
        <f t="shared" si="22"/>
        <v>1977896014.0699999</v>
      </c>
      <c r="Y108" s="38">
        <f t="shared" si="22"/>
        <v>1892220602.73</v>
      </c>
      <c r="Z108" s="38">
        <f t="shared" si="22"/>
        <v>1763420146.3699999</v>
      </c>
      <c r="AA108" s="38">
        <f t="shared" si="22"/>
        <v>1643908869.0699999</v>
      </c>
      <c r="AB108" s="38">
        <f t="shared" si="22"/>
        <v>1756834966.6400001</v>
      </c>
      <c r="AC108" s="38">
        <f t="shared" si="22"/>
        <v>1650493578.27</v>
      </c>
      <c r="AD108" s="38">
        <f t="shared" si="22"/>
        <v>1556751168.1600001</v>
      </c>
      <c r="AE108" s="38">
        <f t="shared" si="22"/>
        <v>1439317961.3</v>
      </c>
      <c r="AF108" s="38">
        <f t="shared" si="22"/>
        <v>1533876742.3699999</v>
      </c>
      <c r="AG108" s="38">
        <f t="shared" si="22"/>
        <v>1476505584.9100001</v>
      </c>
      <c r="AH108" s="38">
        <f t="shared" si="22"/>
        <v>1378242583.3099999</v>
      </c>
      <c r="AI108" s="38">
        <f t="shared" si="22"/>
        <v>1311332115.0699999</v>
      </c>
      <c r="AJ108" s="38">
        <f t="shared" si="22"/>
        <v>1382399929.6200001</v>
      </c>
      <c r="AK108" s="38">
        <f t="shared" si="22"/>
        <v>1332248508.1299999</v>
      </c>
      <c r="AL108" s="38">
        <f t="shared" si="22"/>
        <v>1288752066.0799999</v>
      </c>
      <c r="AM108" s="38">
        <f t="shared" si="22"/>
        <v>331008478.93000001</v>
      </c>
      <c r="AN108" s="38">
        <f t="shared" si="22"/>
        <v>301337851.48000002</v>
      </c>
      <c r="AO108" s="38">
        <f t="shared" si="22"/>
        <v>238297533.64999998</v>
      </c>
      <c r="AP108" s="38">
        <f t="shared" si="22"/>
        <v>155756895.00999999</v>
      </c>
      <c r="AQ108" s="38">
        <f t="shared" si="22"/>
        <v>0</v>
      </c>
      <c r="AR108" s="38">
        <f t="shared" si="22"/>
        <v>10641944677.480001</v>
      </c>
      <c r="AS108" s="38">
        <f t="shared" si="22"/>
        <v>9626236984.1700001</v>
      </c>
      <c r="AT108" s="38">
        <f t="shared" si="22"/>
        <v>9485588152.4899998</v>
      </c>
      <c r="AU108" s="38">
        <f t="shared" si="22"/>
        <v>9304015150.3199997</v>
      </c>
      <c r="AV108" s="38">
        <f t="shared" si="22"/>
        <v>9051649388.7700005</v>
      </c>
      <c r="AW108" s="38">
        <f t="shared" si="22"/>
        <v>8295168514.6399994</v>
      </c>
      <c r="AX108" s="38">
        <f t="shared" si="22"/>
        <v>8139685182.96</v>
      </c>
      <c r="AY108" s="38">
        <f t="shared" si="22"/>
        <v>7938750364.1499996</v>
      </c>
      <c r="AZ108" s="38">
        <f t="shared" si="22"/>
        <v>7934784508.5</v>
      </c>
      <c r="BA108" s="38">
        <f t="shared" si="22"/>
        <v>7385968978.54</v>
      </c>
      <c r="BB108" s="38">
        <f t="shared" si="22"/>
        <v>7360716151.5900002</v>
      </c>
      <c r="BC108" s="38">
        <f t="shared" si="22"/>
        <v>7179425965.6500006</v>
      </c>
      <c r="BD108" s="38">
        <f t="shared" si="22"/>
        <v>7003465589.3699999</v>
      </c>
      <c r="BE108" s="38">
        <f t="shared" si="22"/>
        <v>6586961901.7700005</v>
      </c>
      <c r="BF108" s="38">
        <f t="shared" si="22"/>
        <v>6433916281.1799994</v>
      </c>
      <c r="BG108" s="38">
        <f t="shared" si="22"/>
        <v>6292714866.6600008</v>
      </c>
      <c r="BH108" s="38">
        <f t="shared" si="22"/>
        <v>6409286809.8599997</v>
      </c>
      <c r="BI108" s="38">
        <f t="shared" si="22"/>
        <v>6025892686.6600008</v>
      </c>
      <c r="BJ108" s="38">
        <f t="shared" si="22"/>
        <v>5870405150.8400002</v>
      </c>
      <c r="BK108" s="38">
        <f t="shared" si="22"/>
        <v>5711754634.1499996</v>
      </c>
      <c r="BL108" s="38">
        <f t="shared" si="22"/>
        <v>5611611741.0699997</v>
      </c>
      <c r="BM108" s="38">
        <f t="shared" si="22"/>
        <v>5322099955.71</v>
      </c>
      <c r="BN108" s="38">
        <f t="shared" si="22"/>
        <v>5214293132.5199995</v>
      </c>
      <c r="BO108" s="38">
        <f t="shared" ref="BO108:CK108" si="23">SUM(BO89+BO107)</f>
        <v>5075362101.0900002</v>
      </c>
      <c r="BP108" s="38">
        <f t="shared" si="23"/>
        <v>4954980669.5600004</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U41" workbookViewId="0">
      <selection activeCell="AO55" sqref="AO55"/>
    </sheetView>
  </sheetViews>
  <sheetFormatPr defaultRowHeight="14.4" x14ac:dyDescent="0.25"/>
  <cols>
    <col min="1" max="1" width="57.21875" style="17" bestFit="1" customWidth="1"/>
    <col min="2" max="2" width="19.33203125" hidden="1" customWidth="1"/>
    <col min="3" max="3" width="19" hidden="1" customWidth="1"/>
    <col min="4" max="4" width="20.21875" hidden="1" customWidth="1"/>
    <col min="5" max="5" width="19.33203125" bestFit="1" customWidth="1"/>
    <col min="6" max="6" width="19.33203125" hidden="1" customWidth="1"/>
    <col min="7" max="7" width="19" hidden="1" customWidth="1"/>
    <col min="8" max="8" width="20.21875" hidden="1" customWidth="1"/>
    <col min="9" max="9" width="19.33203125" bestFit="1" customWidth="1"/>
    <col min="10" max="10" width="19.33203125" hidden="1" customWidth="1"/>
    <col min="11" max="11" width="19" hidden="1" customWidth="1"/>
    <col min="12" max="12" width="20.21875" hidden="1" customWidth="1"/>
    <col min="13" max="13" width="19.33203125" bestFit="1" customWidth="1"/>
    <col min="14" max="16" width="19" hidden="1" customWidth="1"/>
    <col min="17" max="17" width="19.33203125" bestFit="1" customWidth="1"/>
    <col min="18" max="20" width="19" hidden="1" customWidth="1"/>
    <col min="21" max="21" width="19.33203125" bestFit="1" customWidth="1"/>
    <col min="22" max="24" width="19" hidden="1" customWidth="1"/>
    <col min="25" max="25" width="19.33203125" bestFit="1" customWidth="1"/>
    <col min="26" max="28" width="19" hidden="1" customWidth="1"/>
    <col min="29" max="29" width="19.33203125" bestFit="1" customWidth="1"/>
    <col min="30" max="32" width="19" hidden="1" customWidth="1"/>
    <col min="33" max="33" width="19" bestFit="1" customWidth="1"/>
    <col min="34" max="36" width="19" hidden="1" customWidth="1"/>
    <col min="37" max="37" width="19" bestFit="1" customWidth="1"/>
    <col min="38" max="38" width="19" hidden="1" customWidth="1"/>
    <col min="39" max="40" width="17.77734375" hidden="1" customWidth="1"/>
    <col min="41" max="41" width="19" bestFit="1" customWidth="1"/>
    <col min="42" max="42" width="19" hidden="1" customWidth="1"/>
    <col min="43" max="43" width="19" bestFit="1" customWidth="1"/>
    <col min="44" max="44" width="17.77734375" bestFit="1" customWidth="1"/>
    <col min="45" max="45" width="9.5546875" hidden="1" customWidth="1"/>
    <col min="46" max="51" width="22.6640625" bestFit="1" customWidth="1"/>
    <col min="52"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2293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90">
        <v>3451681484.4400001</v>
      </c>
      <c r="C4" s="190">
        <v>2196906569.27</v>
      </c>
      <c r="D4" s="190">
        <v>1171508749.5999999</v>
      </c>
      <c r="E4" s="190">
        <v>4661850865.5100002</v>
      </c>
      <c r="F4" s="190">
        <v>3182670009.3200002</v>
      </c>
      <c r="G4" s="190">
        <v>1981435890.6199999</v>
      </c>
      <c r="H4" s="190">
        <v>1057767260.42</v>
      </c>
      <c r="I4" s="190">
        <v>3152216442.1500001</v>
      </c>
      <c r="J4" s="190">
        <v>2155264290.48</v>
      </c>
      <c r="K4" s="190">
        <v>1343083310.6500001</v>
      </c>
      <c r="L4" s="190">
        <v>762846279.96000004</v>
      </c>
      <c r="M4" s="190">
        <v>2915633891.98</v>
      </c>
      <c r="N4" s="190">
        <v>2046094586.02</v>
      </c>
      <c r="O4" s="190">
        <v>1249976092.8499999</v>
      </c>
      <c r="P4" s="190">
        <v>705394935.15999997</v>
      </c>
      <c r="Q4" s="190">
        <v>2761400573.5100002</v>
      </c>
      <c r="R4" s="190">
        <v>1879993912.9100001</v>
      </c>
      <c r="S4" s="190">
        <v>1112279848.48</v>
      </c>
      <c r="T4" s="190">
        <v>657308577.96000004</v>
      </c>
      <c r="U4" s="190">
        <v>2524209416.4000001</v>
      </c>
      <c r="V4" s="190">
        <v>1722646961.76</v>
      </c>
      <c r="W4" s="190">
        <v>1078073329.79</v>
      </c>
      <c r="X4" s="190">
        <v>615351177.55999994</v>
      </c>
      <c r="Y4" s="190">
        <v>2724953861.21</v>
      </c>
      <c r="Z4" s="190">
        <v>1847721787.6600001</v>
      </c>
      <c r="AA4" s="190">
        <v>1036490112.66</v>
      </c>
      <c r="AB4" s="190">
        <v>614320304.89999998</v>
      </c>
      <c r="AC4" s="190">
        <v>2382434788.48</v>
      </c>
      <c r="AD4" s="190">
        <v>1633896787.0999999</v>
      </c>
      <c r="AE4" s="190">
        <v>1003246147.98</v>
      </c>
      <c r="AF4" s="190">
        <v>583149853.35000002</v>
      </c>
      <c r="AG4" s="190">
        <v>1818814620.1400001</v>
      </c>
      <c r="AH4" s="190">
        <v>1145669244.4200001</v>
      </c>
      <c r="AI4" s="190">
        <v>661829336.29999995</v>
      </c>
      <c r="AJ4" s="190">
        <v>359335837.14999998</v>
      </c>
      <c r="AK4" s="190">
        <v>1145306750.3299999</v>
      </c>
      <c r="AL4" s="190">
        <v>723914564.5</v>
      </c>
      <c r="AM4" s="190">
        <v>407570538.00999999</v>
      </c>
      <c r="AN4" s="190">
        <v>255192022.33000001</v>
      </c>
      <c r="AO4" s="190">
        <v>902684684.88</v>
      </c>
      <c r="AP4" s="190">
        <v>632875455.57000005</v>
      </c>
      <c r="AQ4" s="190">
        <v>755362629.51999998</v>
      </c>
      <c r="AR4" s="190">
        <v>552487592.55999994</v>
      </c>
      <c r="AS4" s="190">
        <v>0</v>
      </c>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row>
    <row r="5" spans="1:89" x14ac:dyDescent="0.25">
      <c r="A5" s="19" t="s">
        <v>385</v>
      </c>
      <c r="B5" s="190">
        <v>1953613952.27</v>
      </c>
      <c r="C5" s="190">
        <v>1200957199.22</v>
      </c>
      <c r="D5" s="190">
        <v>666621300.82000005</v>
      </c>
      <c r="E5" s="190">
        <v>2635590846.21</v>
      </c>
      <c r="F5" s="190">
        <v>1773993047.99</v>
      </c>
      <c r="G5" s="190">
        <v>1090223199.48</v>
      </c>
      <c r="H5" s="190">
        <v>586351416.38999999</v>
      </c>
      <c r="I5" s="190">
        <v>1624554797.76</v>
      </c>
      <c r="J5" s="190">
        <v>1105706598.52</v>
      </c>
      <c r="K5" s="190">
        <v>676890906.00999999</v>
      </c>
      <c r="L5" s="190">
        <v>382181848.41000003</v>
      </c>
      <c r="M5" s="190">
        <v>1488077938.76</v>
      </c>
      <c r="N5" s="190">
        <v>1070685858.4</v>
      </c>
      <c r="O5" s="190">
        <v>646044667.88</v>
      </c>
      <c r="P5" s="190">
        <v>368353515.80000001</v>
      </c>
      <c r="Q5" s="190">
        <v>1522590313.74</v>
      </c>
      <c r="R5" s="190">
        <v>1049502064.09</v>
      </c>
      <c r="S5" s="190">
        <v>614113615.22000003</v>
      </c>
      <c r="T5" s="190">
        <v>364584481.94</v>
      </c>
      <c r="U5" s="190">
        <v>1414058164.54</v>
      </c>
      <c r="V5" s="190">
        <v>987390552.35000002</v>
      </c>
      <c r="W5" s="190">
        <v>613641321.99000001</v>
      </c>
      <c r="X5" s="190">
        <v>354907772.18000001</v>
      </c>
      <c r="Y5" s="190">
        <v>1574584274.8199999</v>
      </c>
      <c r="Z5" s="190">
        <v>1075633938.99</v>
      </c>
      <c r="AA5" s="190">
        <v>583133528.04999995</v>
      </c>
      <c r="AB5" s="190">
        <v>327439565.81</v>
      </c>
      <c r="AC5" s="190">
        <v>1377436916.3499999</v>
      </c>
      <c r="AD5" s="190">
        <v>987289834.52999997</v>
      </c>
      <c r="AE5" s="190">
        <v>593673817.29999995</v>
      </c>
      <c r="AF5" s="190">
        <v>349417553.02999997</v>
      </c>
      <c r="AG5" s="190">
        <v>1131280282.5999999</v>
      </c>
      <c r="AH5" s="190">
        <v>712739208.15999997</v>
      </c>
      <c r="AI5" s="190">
        <v>401643789.75</v>
      </c>
      <c r="AJ5" s="190">
        <v>217129319.08000001</v>
      </c>
      <c r="AK5" s="190">
        <v>697436260.83000004</v>
      </c>
      <c r="AL5" s="190">
        <v>441509914.73000002</v>
      </c>
      <c r="AM5" s="190">
        <v>245422172.28</v>
      </c>
      <c r="AN5" s="190">
        <v>160507029.72999999</v>
      </c>
      <c r="AO5" s="190">
        <v>568121133.83000004</v>
      </c>
      <c r="AP5" s="190">
        <v>392963008.33999997</v>
      </c>
      <c r="AQ5" s="190">
        <v>492404923.29000002</v>
      </c>
      <c r="AR5" s="190">
        <v>410889235.10000002</v>
      </c>
      <c r="AS5" s="190">
        <v>0</v>
      </c>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row>
    <row r="6" spans="1:89" s="3" customFormat="1" x14ac:dyDescent="0.25">
      <c r="A6" s="20" t="s">
        <v>386</v>
      </c>
      <c r="B6" s="27">
        <f>B4-B5</f>
        <v>1498067532.1700001</v>
      </c>
      <c r="C6" s="27">
        <f t="shared" ref="C6:BN6" si="0">C4-C5</f>
        <v>995949370.04999995</v>
      </c>
      <c r="D6" s="27">
        <f t="shared" si="0"/>
        <v>504887448.77999985</v>
      </c>
      <c r="E6" s="27">
        <f t="shared" si="0"/>
        <v>2026260019.3000002</v>
      </c>
      <c r="F6" s="27">
        <f t="shared" si="0"/>
        <v>1408676961.3300002</v>
      </c>
      <c r="G6" s="27">
        <f t="shared" si="0"/>
        <v>891212691.13999987</v>
      </c>
      <c r="H6" s="27">
        <f t="shared" si="0"/>
        <v>471415844.02999997</v>
      </c>
      <c r="I6" s="27">
        <f t="shared" si="0"/>
        <v>1527661644.3900001</v>
      </c>
      <c r="J6" s="27">
        <f t="shared" si="0"/>
        <v>1049557691.96</v>
      </c>
      <c r="K6" s="27">
        <f t="shared" si="0"/>
        <v>666192404.6400001</v>
      </c>
      <c r="L6" s="27">
        <f t="shared" si="0"/>
        <v>380664431.55000001</v>
      </c>
      <c r="M6" s="27">
        <f t="shared" si="0"/>
        <v>1427555953.22</v>
      </c>
      <c r="N6" s="27">
        <f t="shared" si="0"/>
        <v>975408727.62</v>
      </c>
      <c r="O6" s="27">
        <f t="shared" si="0"/>
        <v>603931424.96999991</v>
      </c>
      <c r="P6" s="27">
        <f t="shared" si="0"/>
        <v>337041419.35999995</v>
      </c>
      <c r="Q6" s="27">
        <f t="shared" si="0"/>
        <v>1238810259.7700002</v>
      </c>
      <c r="R6" s="27">
        <f t="shared" si="0"/>
        <v>830491848.82000005</v>
      </c>
      <c r="S6" s="27">
        <f t="shared" si="0"/>
        <v>498166233.25999999</v>
      </c>
      <c r="T6" s="27">
        <f t="shared" si="0"/>
        <v>292724096.02000004</v>
      </c>
      <c r="U6" s="27">
        <f t="shared" si="0"/>
        <v>1110151251.8600001</v>
      </c>
      <c r="V6" s="27">
        <f t="shared" si="0"/>
        <v>735256409.40999997</v>
      </c>
      <c r="W6" s="27">
        <f t="shared" si="0"/>
        <v>464432007.79999995</v>
      </c>
      <c r="X6" s="27">
        <f t="shared" si="0"/>
        <v>260443405.37999994</v>
      </c>
      <c r="Y6" s="27">
        <f t="shared" si="0"/>
        <v>1150369586.3900001</v>
      </c>
      <c r="Z6" s="27">
        <f t="shared" si="0"/>
        <v>772087848.67000008</v>
      </c>
      <c r="AA6" s="27">
        <f t="shared" si="0"/>
        <v>453356584.61000001</v>
      </c>
      <c r="AB6" s="27">
        <f t="shared" si="0"/>
        <v>286880739.08999997</v>
      </c>
      <c r="AC6" s="27">
        <f t="shared" si="0"/>
        <v>1004997872.1300001</v>
      </c>
      <c r="AD6" s="27">
        <f t="shared" si="0"/>
        <v>646606952.56999993</v>
      </c>
      <c r="AE6" s="27">
        <f t="shared" si="0"/>
        <v>409572330.68000007</v>
      </c>
      <c r="AF6" s="27">
        <f t="shared" si="0"/>
        <v>233732300.32000005</v>
      </c>
      <c r="AG6" s="27">
        <f t="shared" si="0"/>
        <v>687534337.5400002</v>
      </c>
      <c r="AH6" s="27">
        <f t="shared" si="0"/>
        <v>432930036.26000011</v>
      </c>
      <c r="AI6" s="27">
        <f t="shared" si="0"/>
        <v>260185546.54999995</v>
      </c>
      <c r="AJ6" s="27">
        <f t="shared" si="0"/>
        <v>142206518.06999996</v>
      </c>
      <c r="AK6" s="27">
        <f t="shared" si="0"/>
        <v>447870489.49999988</v>
      </c>
      <c r="AL6" s="27">
        <f t="shared" si="0"/>
        <v>282404649.76999998</v>
      </c>
      <c r="AM6" s="27">
        <f t="shared" si="0"/>
        <v>162148365.72999999</v>
      </c>
      <c r="AN6" s="27">
        <f t="shared" si="0"/>
        <v>94684992.600000024</v>
      </c>
      <c r="AO6" s="27">
        <f t="shared" si="0"/>
        <v>334563551.04999995</v>
      </c>
      <c r="AP6" s="27">
        <f t="shared" si="0"/>
        <v>239912447.23000008</v>
      </c>
      <c r="AQ6" s="27">
        <f t="shared" si="0"/>
        <v>262957706.22999996</v>
      </c>
      <c r="AR6" s="27">
        <f t="shared" si="0"/>
        <v>141598357.45999992</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43.401094189113628</v>
      </c>
      <c r="C7" s="57">
        <f t="shared" ref="C7:D7" si="2">C6/C4*100</f>
        <v>45.334170509624336</v>
      </c>
      <c r="D7" s="57">
        <f t="shared" si="2"/>
        <v>43.097198288308874</v>
      </c>
      <c r="E7" s="57">
        <f>E6/E4</f>
        <v>0.43464711286475916</v>
      </c>
      <c r="F7" s="57">
        <f t="shared" ref="F7:BQ7" si="3">F6/F4</f>
        <v>0.44260855106086661</v>
      </c>
      <c r="G7" s="57">
        <f t="shared" si="3"/>
        <v>0.44978123963482641</v>
      </c>
      <c r="H7" s="57">
        <f t="shared" si="3"/>
        <v>0.4456706703540988</v>
      </c>
      <c r="I7" s="57">
        <f t="shared" si="3"/>
        <v>0.4846309485487118</v>
      </c>
      <c r="J7" s="57">
        <f t="shared" si="3"/>
        <v>0.48697400898627263</v>
      </c>
      <c r="K7" s="57">
        <f t="shared" si="3"/>
        <v>0.49601718624408259</v>
      </c>
      <c r="L7" s="57">
        <f t="shared" si="3"/>
        <v>0.49900542422512728</v>
      </c>
      <c r="M7" s="57">
        <f t="shared" si="3"/>
        <v>0.48962112738048541</v>
      </c>
      <c r="N7" s="57">
        <f t="shared" si="3"/>
        <v>0.47671732005182366</v>
      </c>
      <c r="O7" s="57">
        <f t="shared" si="3"/>
        <v>0.48315438065140109</v>
      </c>
      <c r="P7" s="57">
        <f t="shared" si="3"/>
        <v>0.47780527270663081</v>
      </c>
      <c r="Q7" s="57">
        <f t="shared" si="3"/>
        <v>0.44861664463093659</v>
      </c>
      <c r="R7" s="57">
        <f t="shared" si="3"/>
        <v>0.44175241372696811</v>
      </c>
      <c r="S7" s="57">
        <f t="shared" si="3"/>
        <v>0.44787850282532343</v>
      </c>
      <c r="T7" s="57">
        <f t="shared" si="3"/>
        <v>0.44533740443261571</v>
      </c>
      <c r="U7" s="57">
        <f t="shared" si="3"/>
        <v>0.43980156505528201</v>
      </c>
      <c r="V7" s="57">
        <f t="shared" si="3"/>
        <v>0.42681781336020275</v>
      </c>
      <c r="W7" s="57">
        <f t="shared" si="3"/>
        <v>0.43079816091032286</v>
      </c>
      <c r="X7" s="57">
        <f t="shared" si="3"/>
        <v>0.42324353129982489</v>
      </c>
      <c r="Y7" s="57">
        <f t="shared" si="3"/>
        <v>0.42216112454806304</v>
      </c>
      <c r="Z7" s="57">
        <f t="shared" si="3"/>
        <v>0.41785936271704138</v>
      </c>
      <c r="AA7" s="57">
        <f t="shared" si="3"/>
        <v>0.43739595686689842</v>
      </c>
      <c r="AB7" s="57">
        <f t="shared" si="3"/>
        <v>0.46698886037422915</v>
      </c>
      <c r="AC7" s="57">
        <f t="shared" si="3"/>
        <v>0.42183646620237253</v>
      </c>
      <c r="AD7" s="57">
        <f t="shared" si="3"/>
        <v>0.39574528677399584</v>
      </c>
      <c r="AE7" s="57">
        <f t="shared" si="3"/>
        <v>0.40824710018040855</v>
      </c>
      <c r="AF7" s="57">
        <f t="shared" si="3"/>
        <v>0.40081001303058983</v>
      </c>
      <c r="AG7" s="57">
        <f t="shared" si="3"/>
        <v>0.37801232183139061</v>
      </c>
      <c r="AH7" s="57">
        <f t="shared" si="3"/>
        <v>0.37788396465087337</v>
      </c>
      <c r="AI7" s="57">
        <f t="shared" si="3"/>
        <v>0.39313087570971728</v>
      </c>
      <c r="AJ7" s="57">
        <f t="shared" si="3"/>
        <v>0.39574822037757884</v>
      </c>
      <c r="AK7" s="57">
        <f t="shared" si="3"/>
        <v>0.39104850239549704</v>
      </c>
      <c r="AL7" s="57">
        <f t="shared" si="3"/>
        <v>0.39010770554817314</v>
      </c>
      <c r="AM7" s="57">
        <f t="shared" si="3"/>
        <v>0.39784123386764914</v>
      </c>
      <c r="AN7" s="57">
        <f t="shared" si="3"/>
        <v>0.37103429697954549</v>
      </c>
      <c r="AO7" s="57">
        <f t="shared" si="3"/>
        <v>0.37063169083728914</v>
      </c>
      <c r="AP7" s="57">
        <f t="shared" si="3"/>
        <v>0.37908319104257671</v>
      </c>
      <c r="AQ7" s="57">
        <f t="shared" si="3"/>
        <v>0.34812114864233901</v>
      </c>
      <c r="AR7" s="57">
        <f t="shared" si="3"/>
        <v>0.2562923753706241</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90">
        <v>29093419.890000001</v>
      </c>
      <c r="C8" s="190">
        <v>19260305.050000001</v>
      </c>
      <c r="D8" s="190">
        <v>13849213.380000001</v>
      </c>
      <c r="E8" s="190">
        <v>32932432.359999999</v>
      </c>
      <c r="F8" s="190">
        <v>24728521.48</v>
      </c>
      <c r="G8" s="190">
        <v>14894526.470000001</v>
      </c>
      <c r="H8" s="190">
        <v>9865506.8200000003</v>
      </c>
      <c r="I8" s="190">
        <v>32879503.960000001</v>
      </c>
      <c r="J8" s="190">
        <v>20342783.280000001</v>
      </c>
      <c r="K8" s="190">
        <v>13315984.83</v>
      </c>
      <c r="L8" s="190">
        <v>7704992.5800000001</v>
      </c>
      <c r="M8" s="190">
        <v>30934802.02</v>
      </c>
      <c r="N8" s="190">
        <v>20220350.57</v>
      </c>
      <c r="O8" s="190">
        <v>12017562.199999999</v>
      </c>
      <c r="P8" s="190">
        <v>7554547.1799999997</v>
      </c>
      <c r="Q8" s="190">
        <v>27435568.34</v>
      </c>
      <c r="R8" s="190">
        <v>17807929.550000001</v>
      </c>
      <c r="S8" s="190">
        <v>11308254.77</v>
      </c>
      <c r="T8" s="190">
        <v>5527106.5300000003</v>
      </c>
      <c r="U8" s="190">
        <v>23672166.359999999</v>
      </c>
      <c r="V8" s="190">
        <v>12926448.15</v>
      </c>
      <c r="W8" s="190">
        <v>9723886.5899999999</v>
      </c>
      <c r="X8" s="190">
        <v>5275688.63</v>
      </c>
      <c r="Y8" s="190">
        <v>22326739.899999999</v>
      </c>
      <c r="Z8" s="190">
        <v>13533150.76</v>
      </c>
      <c r="AA8" s="190">
        <v>7258365.5199999996</v>
      </c>
      <c r="AB8" s="190">
        <v>5066982.6900000004</v>
      </c>
      <c r="AC8" s="190">
        <v>19437504.949999999</v>
      </c>
      <c r="AD8" s="190">
        <v>12671718.359999999</v>
      </c>
      <c r="AE8" s="190">
        <v>7795564.7300000004</v>
      </c>
      <c r="AF8" s="190">
        <v>5459671.6500000004</v>
      </c>
      <c r="AG8" s="190">
        <v>3629038.82</v>
      </c>
      <c r="AH8" s="190">
        <v>1551522</v>
      </c>
      <c r="AI8" s="190">
        <v>1301715.54</v>
      </c>
      <c r="AJ8" s="190">
        <v>769782.76</v>
      </c>
      <c r="AK8" s="190">
        <v>4176943.63</v>
      </c>
      <c r="AL8" s="190">
        <v>2354174.79</v>
      </c>
      <c r="AM8" s="190">
        <v>1255018.1100000001</v>
      </c>
      <c r="AN8" s="190">
        <v>1133909.1599999999</v>
      </c>
      <c r="AO8" s="190">
        <v>2255947.33</v>
      </c>
      <c r="AP8" s="190">
        <v>1536038.19</v>
      </c>
      <c r="AQ8" s="190">
        <v>1488397.64</v>
      </c>
      <c r="AR8" s="190">
        <v>355681.75</v>
      </c>
      <c r="AS8" s="190">
        <v>0</v>
      </c>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row>
    <row r="9" spans="1:89" x14ac:dyDescent="0.25">
      <c r="A9" s="17" t="s">
        <v>389</v>
      </c>
      <c r="B9" s="190">
        <v>755046524.91999996</v>
      </c>
      <c r="C9" s="190">
        <v>502691033.01999998</v>
      </c>
      <c r="D9" s="190">
        <v>226395056.80000001</v>
      </c>
      <c r="E9" s="190">
        <v>1007425379.27</v>
      </c>
      <c r="F9" s="190">
        <v>642493739.66999996</v>
      </c>
      <c r="G9" s="190">
        <v>417544038.85000002</v>
      </c>
      <c r="H9" s="190">
        <v>189585387.75999999</v>
      </c>
      <c r="I9" s="190">
        <v>786045478.57000005</v>
      </c>
      <c r="J9" s="190">
        <v>518638726.98000002</v>
      </c>
      <c r="K9" s="190">
        <v>333015243.95999998</v>
      </c>
      <c r="L9" s="190">
        <v>166825730.5</v>
      </c>
      <c r="M9" s="190">
        <v>702088845.51999998</v>
      </c>
      <c r="N9" s="190">
        <v>462448442.44999999</v>
      </c>
      <c r="O9" s="190">
        <v>299124416.25999999</v>
      </c>
      <c r="P9" s="190">
        <v>151757162.58000001</v>
      </c>
      <c r="Q9" s="190">
        <v>602729979.85000002</v>
      </c>
      <c r="R9" s="190">
        <v>405825925.36000001</v>
      </c>
      <c r="S9" s="190">
        <v>244311835.50999999</v>
      </c>
      <c r="T9" s="190">
        <v>144974860.56999999</v>
      </c>
      <c r="U9" s="190">
        <v>555013206.99000001</v>
      </c>
      <c r="V9" s="190">
        <v>365059735.88999999</v>
      </c>
      <c r="W9" s="190">
        <v>236966282.15000001</v>
      </c>
      <c r="X9" s="190">
        <v>117960513.40000001</v>
      </c>
      <c r="Y9" s="190">
        <v>566653559.66999996</v>
      </c>
      <c r="Z9" s="190">
        <v>392084110.52999997</v>
      </c>
      <c r="AA9" s="190">
        <v>240286794.72</v>
      </c>
      <c r="AB9" s="190">
        <v>122620158.45999999</v>
      </c>
      <c r="AC9" s="190">
        <v>441418204.77999997</v>
      </c>
      <c r="AD9" s="190">
        <v>252776641.69999999</v>
      </c>
      <c r="AE9" s="190">
        <v>190131843.62</v>
      </c>
      <c r="AF9" s="190">
        <v>100718712.59</v>
      </c>
      <c r="AG9" s="190">
        <v>342283901.14999998</v>
      </c>
      <c r="AH9" s="190">
        <v>186370356</v>
      </c>
      <c r="AI9" s="190">
        <v>123963819.84999999</v>
      </c>
      <c r="AJ9" s="190">
        <v>59543448.259999998</v>
      </c>
      <c r="AK9" s="190">
        <v>201046926.90000001</v>
      </c>
      <c r="AL9" s="190">
        <v>114316617.67</v>
      </c>
      <c r="AM9" s="190">
        <v>73363262.760000005</v>
      </c>
      <c r="AN9" s="190">
        <v>37534225.119999997</v>
      </c>
      <c r="AO9" s="190">
        <v>136129878.31</v>
      </c>
      <c r="AP9" s="190">
        <v>92577271.849999994</v>
      </c>
      <c r="AQ9" s="190">
        <v>105794634.05</v>
      </c>
      <c r="AR9" s="190">
        <v>63423441.579999998</v>
      </c>
      <c r="AS9" s="190">
        <v>0</v>
      </c>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row>
    <row r="10" spans="1:89" x14ac:dyDescent="0.25">
      <c r="A10" s="17" t="s">
        <v>390</v>
      </c>
      <c r="B10" s="190">
        <v>304103117.33999997</v>
      </c>
      <c r="C10" s="190">
        <v>188159567.47</v>
      </c>
      <c r="D10" s="190">
        <v>90367590.790000007</v>
      </c>
      <c r="E10" s="190">
        <v>412185796.76999998</v>
      </c>
      <c r="F10" s="190">
        <v>305179569.81</v>
      </c>
      <c r="G10" s="190">
        <v>217049153.30000001</v>
      </c>
      <c r="H10" s="190">
        <v>126733545.47</v>
      </c>
      <c r="I10" s="190">
        <v>306957023.29000002</v>
      </c>
      <c r="J10" s="190">
        <v>200845799.02000001</v>
      </c>
      <c r="K10" s="190">
        <v>135839900.40000001</v>
      </c>
      <c r="L10" s="190">
        <v>80503404.650000006</v>
      </c>
      <c r="M10" s="190">
        <v>250439497.83000001</v>
      </c>
      <c r="N10" s="190">
        <v>167560243.09</v>
      </c>
      <c r="O10" s="190">
        <v>109574535.88</v>
      </c>
      <c r="P10" s="190">
        <v>44760306.32</v>
      </c>
      <c r="Q10" s="190">
        <v>199260636.24000001</v>
      </c>
      <c r="R10" s="190">
        <v>126303234.48999999</v>
      </c>
      <c r="S10" s="190">
        <v>83119643.409999996</v>
      </c>
      <c r="T10" s="190">
        <v>43236491.380000003</v>
      </c>
      <c r="U10" s="190">
        <v>172813849.13999999</v>
      </c>
      <c r="V10" s="190">
        <v>114401332.89</v>
      </c>
      <c r="W10" s="190">
        <v>78974700.060000002</v>
      </c>
      <c r="X10" s="190">
        <v>42789633.460000001</v>
      </c>
      <c r="Y10" s="190">
        <v>155585073.68000001</v>
      </c>
      <c r="Z10" s="190">
        <v>107818106.62</v>
      </c>
      <c r="AA10" s="190">
        <v>70303997.909999996</v>
      </c>
      <c r="AB10" s="190">
        <v>36267100.840000004</v>
      </c>
      <c r="AC10" s="190">
        <v>145851485.24000001</v>
      </c>
      <c r="AD10" s="190">
        <v>95195047.700000003</v>
      </c>
      <c r="AE10" s="190">
        <v>52930645.890000001</v>
      </c>
      <c r="AF10" s="190">
        <v>22465149.68</v>
      </c>
      <c r="AG10" s="190">
        <v>76624889.430000007</v>
      </c>
      <c r="AH10" s="190">
        <v>49568897</v>
      </c>
      <c r="AI10" s="190">
        <v>31523521.989999998</v>
      </c>
      <c r="AJ10" s="190">
        <v>14004284.33</v>
      </c>
      <c r="AK10" s="190">
        <v>54529063.93</v>
      </c>
      <c r="AL10" s="190">
        <v>36218004.359999999</v>
      </c>
      <c r="AM10" s="190">
        <v>24891093.989999998</v>
      </c>
      <c r="AN10" s="190">
        <v>13710230.73</v>
      </c>
      <c r="AO10" s="190">
        <v>50602456.740000002</v>
      </c>
      <c r="AP10" s="190">
        <v>36383370.460000001</v>
      </c>
      <c r="AQ10" s="190">
        <v>39988361.549999997</v>
      </c>
      <c r="AR10" s="190">
        <v>26062197.600000001</v>
      </c>
      <c r="AS10" s="190">
        <v>0</v>
      </c>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row>
    <row r="11" spans="1:89" x14ac:dyDescent="0.25">
      <c r="A11" s="17" t="s">
        <v>391</v>
      </c>
      <c r="B11" s="190">
        <v>56819551.770000003</v>
      </c>
      <c r="C11" s="190">
        <v>51597733.710000001</v>
      </c>
      <c r="D11" s="190">
        <v>-445060.44</v>
      </c>
      <c r="E11" s="190">
        <v>65575512.200000003</v>
      </c>
      <c r="F11" s="190">
        <v>29317797.829999998</v>
      </c>
      <c r="G11" s="190">
        <v>26957049.120000001</v>
      </c>
      <c r="H11" s="190">
        <v>-89647.65</v>
      </c>
      <c r="I11" s="190">
        <v>48551810.390000001</v>
      </c>
      <c r="J11" s="190">
        <v>11019699.98</v>
      </c>
      <c r="K11" s="190">
        <v>6649353.46</v>
      </c>
      <c r="L11" s="190">
        <v>85801.17</v>
      </c>
      <c r="M11" s="190">
        <v>31301733.23</v>
      </c>
      <c r="N11" s="190">
        <v>8445470.3900000006</v>
      </c>
      <c r="O11" s="190">
        <v>3336644.17</v>
      </c>
      <c r="P11" s="190">
        <v>0</v>
      </c>
      <c r="Q11" s="190">
        <v>16020971.09</v>
      </c>
      <c r="R11" s="190">
        <v>6427163.0099999998</v>
      </c>
      <c r="S11" s="190">
        <v>2690680.83</v>
      </c>
      <c r="T11" s="190">
        <v>-3177958.92</v>
      </c>
      <c r="U11" s="190">
        <v>11326349.439999999</v>
      </c>
      <c r="V11" s="190">
        <v>7270320.96</v>
      </c>
      <c r="W11" s="190">
        <v>2314149.34</v>
      </c>
      <c r="X11" s="190">
        <v>-3118573.26</v>
      </c>
      <c r="Y11" s="190">
        <v>7773704.8799999999</v>
      </c>
      <c r="Z11" s="190">
        <v>1176562.18</v>
      </c>
      <c r="AA11" s="190">
        <v>1176562.18</v>
      </c>
      <c r="AB11" s="190">
        <v>-1424905.41</v>
      </c>
      <c r="AC11" s="190">
        <v>6385375.54</v>
      </c>
      <c r="AD11" s="190">
        <v>-1478775.53</v>
      </c>
      <c r="AE11" s="190">
        <v>1288432.1299999999</v>
      </c>
      <c r="AF11" s="190">
        <v>1743020.67</v>
      </c>
      <c r="AG11" s="190">
        <v>11604270.25</v>
      </c>
      <c r="AH11" s="190">
        <v>3376746.29</v>
      </c>
      <c r="AI11" s="190">
        <v>2759387.69</v>
      </c>
      <c r="AJ11" s="190">
        <v>1105608.6299999999</v>
      </c>
      <c r="AK11" s="190">
        <v>-348833.67</v>
      </c>
      <c r="AL11" s="190">
        <v>2011126.59</v>
      </c>
      <c r="AM11" s="190">
        <v>527836.24</v>
      </c>
      <c r="AN11" s="190">
        <v>2092025.91</v>
      </c>
      <c r="AO11" s="190">
        <v>6621635.0700000003</v>
      </c>
      <c r="AP11" s="190">
        <v>2127303.25</v>
      </c>
      <c r="AQ11" s="190">
        <v>1747683.12</v>
      </c>
      <c r="AR11" s="190">
        <v>-2139051.2400000002</v>
      </c>
      <c r="AS11" s="190">
        <v>0</v>
      </c>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row>
    <row r="12" spans="1:89" s="7" customFormat="1" x14ac:dyDescent="0.25">
      <c r="A12" s="21" t="s">
        <v>392</v>
      </c>
      <c r="B12" s="29">
        <f>B55</f>
        <v>463</v>
      </c>
      <c r="C12" s="29">
        <f t="shared" ref="C12:BN12" si="5">C55</f>
        <v>603</v>
      </c>
      <c r="D12" s="29">
        <f t="shared" si="5"/>
        <v>653</v>
      </c>
      <c r="E12" s="29">
        <f t="shared" si="5"/>
        <v>2436461.2000000002</v>
      </c>
      <c r="F12" s="29">
        <f t="shared" si="5"/>
        <v>1204</v>
      </c>
      <c r="G12" s="29">
        <f t="shared" si="5"/>
        <v>868</v>
      </c>
      <c r="H12" s="29">
        <f t="shared" si="5"/>
        <v>644</v>
      </c>
      <c r="I12" s="29">
        <f t="shared" si="5"/>
        <v>1454244.2</v>
      </c>
      <c r="J12" s="29">
        <f t="shared" si="5"/>
        <v>0</v>
      </c>
      <c r="K12" s="29">
        <f t="shared" si="5"/>
        <v>0</v>
      </c>
      <c r="L12" s="29">
        <f t="shared" si="5"/>
        <v>0</v>
      </c>
      <c r="M12" s="29">
        <f t="shared" si="5"/>
        <v>1094925.45</v>
      </c>
      <c r="N12" s="29">
        <f t="shared" si="5"/>
        <v>0</v>
      </c>
      <c r="O12" s="29">
        <f t="shared" si="5"/>
        <v>0</v>
      </c>
      <c r="P12" s="29">
        <f t="shared" si="5"/>
        <v>0</v>
      </c>
      <c r="Q12" s="29">
        <f t="shared" si="5"/>
        <v>1029644.95</v>
      </c>
      <c r="R12" s="29">
        <f t="shared" si="5"/>
        <v>0</v>
      </c>
      <c r="S12" s="29">
        <f t="shared" si="5"/>
        <v>0</v>
      </c>
      <c r="T12" s="29">
        <f t="shared" si="5"/>
        <v>0</v>
      </c>
      <c r="U12" s="29">
        <f t="shared" si="5"/>
        <v>1034258.26</v>
      </c>
      <c r="V12" s="29">
        <f t="shared" si="5"/>
        <v>0</v>
      </c>
      <c r="W12" s="29">
        <f t="shared" si="5"/>
        <v>0</v>
      </c>
      <c r="X12" s="29">
        <f t="shared" si="5"/>
        <v>0</v>
      </c>
      <c r="Y12" s="29">
        <f t="shared" si="5"/>
        <v>1085164.3500000001</v>
      </c>
      <c r="Z12" s="29">
        <f t="shared" si="5"/>
        <v>0</v>
      </c>
      <c r="AA12" s="29">
        <f t="shared" si="5"/>
        <v>0</v>
      </c>
      <c r="AB12" s="29">
        <f t="shared" si="5"/>
        <v>0</v>
      </c>
      <c r="AC12" s="29">
        <f t="shared" si="5"/>
        <v>1026408.6</v>
      </c>
      <c r="AD12" s="29">
        <f t="shared" si="5"/>
        <v>0</v>
      </c>
      <c r="AE12" s="29">
        <f t="shared" si="5"/>
        <v>0</v>
      </c>
      <c r="AF12" s="29">
        <f t="shared" si="5"/>
        <v>0</v>
      </c>
      <c r="AG12" s="29">
        <f t="shared" si="5"/>
        <v>718382.01</v>
      </c>
      <c r="AH12" s="29">
        <f t="shared" si="5"/>
        <v>0</v>
      </c>
      <c r="AI12" s="29">
        <f t="shared" si="5"/>
        <v>0</v>
      </c>
      <c r="AJ12" s="29">
        <f t="shared" si="5"/>
        <v>0</v>
      </c>
      <c r="AK12" s="29">
        <f t="shared" si="5"/>
        <v>542733.84</v>
      </c>
      <c r="AL12" s="29">
        <f t="shared" si="5"/>
        <v>0</v>
      </c>
      <c r="AM12" s="29">
        <f t="shared" si="5"/>
        <v>0</v>
      </c>
      <c r="AN12" s="29">
        <f t="shared" si="5"/>
        <v>0</v>
      </c>
      <c r="AO12" s="29">
        <f t="shared" si="5"/>
        <v>561409.23</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90">
        <v>39929318.539999999</v>
      </c>
      <c r="C13" s="190">
        <v>23790936.760000002</v>
      </c>
      <c r="D13" s="190">
        <v>17736596.469999999</v>
      </c>
      <c r="E13" s="190">
        <v>28741647.739999998</v>
      </c>
      <c r="F13" s="190">
        <v>16434561.65</v>
      </c>
      <c r="G13" s="190">
        <v>2835337.11</v>
      </c>
      <c r="H13" s="190">
        <v>1357217.05</v>
      </c>
      <c r="I13" s="190">
        <v>31515785.460000001</v>
      </c>
      <c r="J13" s="190">
        <v>15293382.17</v>
      </c>
      <c r="K13" s="190">
        <v>10253156.76</v>
      </c>
      <c r="L13" s="190">
        <v>1711428.02</v>
      </c>
      <c r="M13" s="190">
        <v>31200038.579999998</v>
      </c>
      <c r="N13" s="190">
        <v>21022194.91</v>
      </c>
      <c r="O13" s="190">
        <v>12411077.710000001</v>
      </c>
      <c r="P13" s="190">
        <v>1262648.01</v>
      </c>
      <c r="Q13" s="190">
        <v>27679898.23</v>
      </c>
      <c r="R13" s="190">
        <v>15925152.66</v>
      </c>
      <c r="S13" s="190">
        <v>5979681.0099999998</v>
      </c>
      <c r="T13" s="190">
        <v>5396342.3499999996</v>
      </c>
      <c r="U13" s="190">
        <v>23036917.629999999</v>
      </c>
      <c r="V13" s="190">
        <v>20315275.600000001</v>
      </c>
      <c r="W13" s="190">
        <v>12402328.41</v>
      </c>
      <c r="X13" s="190">
        <v>1236909.1599999999</v>
      </c>
      <c r="Y13" s="190">
        <v>25725825.120000001</v>
      </c>
      <c r="Z13" s="190">
        <v>22572257.73</v>
      </c>
      <c r="AA13" s="190">
        <v>12541591.51</v>
      </c>
      <c r="AB13" s="190">
        <v>736991.53</v>
      </c>
      <c r="AC13" s="190">
        <v>28791959.940000001</v>
      </c>
      <c r="AD13" s="190">
        <v>23673545.809999999</v>
      </c>
      <c r="AE13" s="190">
        <v>23195170.879999999</v>
      </c>
      <c r="AF13" s="190">
        <v>9335826.3499999996</v>
      </c>
      <c r="AG13" s="190">
        <v>11502189.32</v>
      </c>
      <c r="AH13" s="190">
        <v>11081732.949999999</v>
      </c>
      <c r="AI13" s="190">
        <v>10506330.810000001</v>
      </c>
      <c r="AJ13" s="190">
        <v>306738.96999999997</v>
      </c>
      <c r="AK13" s="190">
        <v>8216882.4100000001</v>
      </c>
      <c r="AL13" s="190">
        <v>5622129.3799999999</v>
      </c>
      <c r="AM13" s="190">
        <v>5011250.08</v>
      </c>
      <c r="AN13" s="190">
        <v>4726096.46</v>
      </c>
      <c r="AO13" s="190">
        <v>2143208.62</v>
      </c>
      <c r="AP13" s="190">
        <v>1094137.28</v>
      </c>
      <c r="AQ13" s="190">
        <v>1305351.04</v>
      </c>
      <c r="AR13" s="190">
        <v>1464492.06</v>
      </c>
      <c r="AS13" s="190">
        <v>0</v>
      </c>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row>
    <row r="14" spans="1:89" x14ac:dyDescent="0.25">
      <c r="A14" s="17" t="s">
        <v>394</v>
      </c>
      <c r="B14" s="190">
        <v>3022696.12</v>
      </c>
      <c r="C14" s="190">
        <v>1350430.7</v>
      </c>
      <c r="D14" s="190">
        <v>355095.52</v>
      </c>
      <c r="E14" s="190">
        <v>11267737.029999999</v>
      </c>
      <c r="F14" s="190">
        <v>4310011.5199999996</v>
      </c>
      <c r="G14" s="190">
        <v>3057133.68</v>
      </c>
      <c r="H14" s="190">
        <v>1396838.08</v>
      </c>
      <c r="I14" s="190">
        <v>3016145.22</v>
      </c>
      <c r="J14" s="190">
        <v>2984350.44</v>
      </c>
      <c r="K14" s="190">
        <v>1908565.68</v>
      </c>
      <c r="L14" s="190">
        <v>1375277.48</v>
      </c>
      <c r="M14" s="190">
        <v>1318449.7</v>
      </c>
      <c r="N14" s="190">
        <v>1176236.1599999999</v>
      </c>
      <c r="O14" s="190">
        <v>817793.88</v>
      </c>
      <c r="P14" s="190">
        <v>35695.550000000003</v>
      </c>
      <c r="Q14" s="190">
        <v>7973745.25</v>
      </c>
      <c r="R14" s="190">
        <v>3519236.48</v>
      </c>
      <c r="S14" s="190">
        <v>1197350.04</v>
      </c>
      <c r="T14" s="190">
        <v>837081.26</v>
      </c>
      <c r="U14" s="190">
        <v>4159297.35</v>
      </c>
      <c r="V14" s="190">
        <v>1612090.29</v>
      </c>
      <c r="W14" s="190">
        <v>1509843.43</v>
      </c>
      <c r="X14" s="190">
        <v>1135977.08</v>
      </c>
      <c r="Y14" s="190">
        <v>1285680.17</v>
      </c>
      <c r="Z14" s="190">
        <v>953092.61</v>
      </c>
      <c r="AA14" s="190">
        <v>538791.31000000006</v>
      </c>
      <c r="AB14" s="190">
        <v>181978.5</v>
      </c>
      <c r="AC14" s="190">
        <v>1476315.36</v>
      </c>
      <c r="AD14" s="190">
        <v>433577.68</v>
      </c>
      <c r="AE14" s="190">
        <v>239452.44</v>
      </c>
      <c r="AF14" s="190">
        <v>50942.7</v>
      </c>
      <c r="AG14" s="190">
        <v>715739.19</v>
      </c>
      <c r="AH14" s="190">
        <v>1753115.35</v>
      </c>
      <c r="AI14" s="190">
        <v>1131050.3500000001</v>
      </c>
      <c r="AJ14" s="190">
        <v>12505.05</v>
      </c>
      <c r="AK14" s="190">
        <v>774457.16</v>
      </c>
      <c r="AL14" s="190">
        <v>91949.52</v>
      </c>
      <c r="AM14" s="190">
        <v>22292.07</v>
      </c>
      <c r="AN14" s="190">
        <v>16277.21</v>
      </c>
      <c r="AO14" s="190">
        <v>2531709.37</v>
      </c>
      <c r="AP14" s="190">
        <v>2594789.69</v>
      </c>
      <c r="AQ14" s="190">
        <v>1639750.96</v>
      </c>
      <c r="AR14" s="190">
        <v>339356.86</v>
      </c>
      <c r="AS14" s="190">
        <v>0</v>
      </c>
      <c r="AT14" s="190"/>
      <c r="AU14" s="190"/>
      <c r="AV14" s="190"/>
      <c r="AW14" s="190"/>
      <c r="AX14" s="190"/>
      <c r="AY14" s="190"/>
      <c r="AZ14" s="190"/>
      <c r="BA14" s="190"/>
      <c r="BB14" s="190"/>
      <c r="BC14" s="190"/>
      <c r="BD14" s="190"/>
      <c r="BE14" s="190"/>
      <c r="BF14" s="190"/>
      <c r="BG14" s="190"/>
      <c r="BH14" s="190"/>
      <c r="BI14" s="190"/>
      <c r="BJ14" s="190"/>
      <c r="BK14" s="190"/>
      <c r="BL14" s="190"/>
      <c r="BM14" s="190"/>
      <c r="BN14" s="190"/>
      <c r="BO14" s="190"/>
      <c r="BP14" s="190"/>
      <c r="BQ14" s="190"/>
      <c r="BR14" s="190"/>
      <c r="BS14" s="190"/>
      <c r="BT14" s="190"/>
      <c r="BU14" s="190"/>
      <c r="BV14" s="190"/>
      <c r="BW14" s="190"/>
      <c r="BX14" s="190"/>
      <c r="BY14" s="190"/>
      <c r="BZ14" s="190"/>
      <c r="CA14" s="190"/>
      <c r="CB14" s="190"/>
      <c r="CC14" s="190"/>
      <c r="CD14" s="190"/>
      <c r="CE14" s="190"/>
      <c r="CF14" s="190"/>
      <c r="CG14" s="190"/>
      <c r="CH14" s="190"/>
      <c r="CI14" s="190"/>
      <c r="CJ14" s="190"/>
      <c r="CK14" s="190"/>
    </row>
    <row r="15" spans="1:89" s="2" customFormat="1" x14ac:dyDescent="0.25">
      <c r="A15" s="20" t="s">
        <v>397</v>
      </c>
      <c r="B15" s="28">
        <f>B6-(B8+B9+B10+B11+B12)+B13-B14</f>
        <v>389911077.67000026</v>
      </c>
      <c r="C15" s="28">
        <f t="shared" ref="C15:BN15" si="7">C6-(C8+C9+C10+C11+C12)+C13-C14</f>
        <v>256680633.85999995</v>
      </c>
      <c r="D15" s="28">
        <f t="shared" si="7"/>
        <v>192101496.19999981</v>
      </c>
      <c r="E15" s="28">
        <f t="shared" si="7"/>
        <v>523178348.21000004</v>
      </c>
      <c r="F15" s="28">
        <f t="shared" si="7"/>
        <v>419080678.67000008</v>
      </c>
      <c r="G15" s="28">
        <f t="shared" si="7"/>
        <v>214545258.82999974</v>
      </c>
      <c r="H15" s="28">
        <f t="shared" si="7"/>
        <v>145280786.59999999</v>
      </c>
      <c r="I15" s="28">
        <f t="shared" si="7"/>
        <v>380273224.21999973</v>
      </c>
      <c r="J15" s="28">
        <f t="shared" si="7"/>
        <v>311019714.43000007</v>
      </c>
      <c r="K15" s="28">
        <f t="shared" si="7"/>
        <v>185716513.07000017</v>
      </c>
      <c r="L15" s="28">
        <f t="shared" si="7"/>
        <v>125880653.19</v>
      </c>
      <c r="M15" s="28">
        <f t="shared" si="7"/>
        <v>441577738.04999995</v>
      </c>
      <c r="N15" s="28">
        <f t="shared" si="7"/>
        <v>336580179.87</v>
      </c>
      <c r="O15" s="28">
        <f t="shared" si="7"/>
        <v>191471550.28999993</v>
      </c>
      <c r="P15" s="28">
        <f t="shared" si="7"/>
        <v>134196355.73999994</v>
      </c>
      <c r="Q15" s="28">
        <f t="shared" si="7"/>
        <v>412039612.28000009</v>
      </c>
      <c r="R15" s="28">
        <f t="shared" si="7"/>
        <v>286533512.59000009</v>
      </c>
      <c r="S15" s="28">
        <f t="shared" si="7"/>
        <v>161518149.71000001</v>
      </c>
      <c r="T15" s="28">
        <f t="shared" si="7"/>
        <v>106722857.55000003</v>
      </c>
      <c r="U15" s="28">
        <f t="shared" si="7"/>
        <v>365169041.95000005</v>
      </c>
      <c r="V15" s="28">
        <f t="shared" si="7"/>
        <v>254301756.83000004</v>
      </c>
      <c r="W15" s="28">
        <f t="shared" si="7"/>
        <v>147345474.63999996</v>
      </c>
      <c r="X15" s="28">
        <f t="shared" si="7"/>
        <v>97637075.229999915</v>
      </c>
      <c r="Y15" s="28">
        <f t="shared" si="7"/>
        <v>421385488.86000007</v>
      </c>
      <c r="Z15" s="28">
        <f t="shared" si="7"/>
        <v>279095083.70000011</v>
      </c>
      <c r="AA15" s="28">
        <f t="shared" si="7"/>
        <v>146333664.48000002</v>
      </c>
      <c r="AB15" s="28">
        <f t="shared" si="7"/>
        <v>124906415.53999996</v>
      </c>
      <c r="AC15" s="28">
        <f t="shared" si="7"/>
        <v>418194537.60000008</v>
      </c>
      <c r="AD15" s="28">
        <f t="shared" si="7"/>
        <v>310682288.46999991</v>
      </c>
      <c r="AE15" s="28">
        <f t="shared" si="7"/>
        <v>180381562.75000006</v>
      </c>
      <c r="AF15" s="28">
        <f t="shared" si="7"/>
        <v>112630629.38000003</v>
      </c>
      <c r="AG15" s="28">
        <f t="shared" si="7"/>
        <v>263460306.01000023</v>
      </c>
      <c r="AH15" s="28">
        <f t="shared" si="7"/>
        <v>201391132.57000011</v>
      </c>
      <c r="AI15" s="28">
        <f t="shared" si="7"/>
        <v>110012381.93999997</v>
      </c>
      <c r="AJ15" s="28">
        <f t="shared" si="7"/>
        <v>67077628.009999976</v>
      </c>
      <c r="AK15" s="28">
        <f t="shared" si="7"/>
        <v>195366080.11999986</v>
      </c>
      <c r="AL15" s="28">
        <f t="shared" si="7"/>
        <v>133034906.21999998</v>
      </c>
      <c r="AM15" s="28">
        <f t="shared" si="7"/>
        <v>67100112.639999993</v>
      </c>
      <c r="AN15" s="28">
        <f t="shared" si="7"/>
        <v>44924420.930000037</v>
      </c>
      <c r="AO15" s="28">
        <f t="shared" si="7"/>
        <v>138003723.61999995</v>
      </c>
      <c r="AP15" s="28">
        <f t="shared" si="7"/>
        <v>105787811.07000008</v>
      </c>
      <c r="AQ15" s="28">
        <f t="shared" si="7"/>
        <v>113604229.94999996</v>
      </c>
      <c r="AR15" s="28">
        <f t="shared" si="7"/>
        <v>55021222.969999909</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68955156.073877648</v>
      </c>
      <c r="C16" s="26">
        <f t="shared" ref="C16:BN16" si="9">C15*C41</f>
        <v>50995575.160360552</v>
      </c>
      <c r="D16" s="26">
        <f t="shared" si="9"/>
        <v>46475113.393334545</v>
      </c>
      <c r="E16" s="26">
        <f t="shared" si="9"/>
        <v>95034318.146975026</v>
      </c>
      <c r="F16" s="26">
        <f t="shared" si="9"/>
        <v>94488878.078041852</v>
      </c>
      <c r="G16" s="26">
        <f t="shared" si="9"/>
        <v>45313561.332130015</v>
      </c>
      <c r="H16" s="26">
        <f t="shared" si="9"/>
        <v>21674596.805198077</v>
      </c>
      <c r="I16" s="26">
        <f t="shared" si="9"/>
        <v>71752744.443695158</v>
      </c>
      <c r="J16" s="26">
        <f t="shared" si="9"/>
        <v>58873452.215714134</v>
      </c>
      <c r="K16" s="26">
        <f t="shared" si="9"/>
        <v>40183713.495351292</v>
      </c>
      <c r="L16" s="26">
        <f t="shared" si="9"/>
        <v>21258194.538308334</v>
      </c>
      <c r="M16" s="26">
        <f t="shared" si="9"/>
        <v>76266188.042120382</v>
      </c>
      <c r="N16" s="26">
        <f t="shared" si="9"/>
        <v>43170996.650859125</v>
      </c>
      <c r="O16" s="26">
        <f t="shared" si="9"/>
        <v>26492443.183289044</v>
      </c>
      <c r="P16" s="26">
        <f t="shared" si="9"/>
        <v>20361705.18984174</v>
      </c>
      <c r="Q16" s="26">
        <f t="shared" si="9"/>
        <v>49055250.532667719</v>
      </c>
      <c r="R16" s="26">
        <f t="shared" si="9"/>
        <v>36417710.252916194</v>
      </c>
      <c r="S16" s="26">
        <f t="shared" si="9"/>
        <v>22367416.4101987</v>
      </c>
      <c r="T16" s="26">
        <f t="shared" si="9"/>
        <v>16193246.621311184</v>
      </c>
      <c r="U16" s="26">
        <f t="shared" si="9"/>
        <v>55988522.83590211</v>
      </c>
      <c r="V16" s="26">
        <f t="shared" si="9"/>
        <v>35124837.250707895</v>
      </c>
      <c r="W16" s="26">
        <f t="shared" si="9"/>
        <v>22969280.582162954</v>
      </c>
      <c r="X16" s="26">
        <f t="shared" si="9"/>
        <v>18115745.489392314</v>
      </c>
      <c r="Y16" s="26">
        <f t="shared" si="9"/>
        <v>58923937.707976364</v>
      </c>
      <c r="Z16" s="26">
        <f t="shared" si="9"/>
        <v>39878678.592192866</v>
      </c>
      <c r="AA16" s="26">
        <f t="shared" si="9"/>
        <v>23101184.221265651</v>
      </c>
      <c r="AB16" s="26">
        <f t="shared" si="9"/>
        <v>22202494.348475456</v>
      </c>
      <c r="AC16" s="26">
        <f t="shared" si="9"/>
        <v>66654262.518236391</v>
      </c>
      <c r="AD16" s="26">
        <f t="shared" si="9"/>
        <v>45473969.512606449</v>
      </c>
      <c r="AE16" s="26">
        <f t="shared" si="9"/>
        <v>24333794.728860296</v>
      </c>
      <c r="AF16" s="26">
        <f t="shared" si="9"/>
        <v>28083435.001055382</v>
      </c>
      <c r="AG16" s="26">
        <f t="shared" si="9"/>
        <v>66648718.677599736</v>
      </c>
      <c r="AH16" s="26">
        <f t="shared" si="9"/>
        <v>65685611.227290325</v>
      </c>
      <c r="AI16" s="26">
        <f t="shared" si="9"/>
        <v>34924247.200675659</v>
      </c>
      <c r="AJ16" s="26">
        <f t="shared" si="9"/>
        <v>18688617.131495982</v>
      </c>
      <c r="AK16" s="26">
        <f t="shared" si="9"/>
        <v>50666777.357483424</v>
      </c>
      <c r="AL16" s="26">
        <f t="shared" si="9"/>
        <v>31985636.285663821</v>
      </c>
      <c r="AM16" s="26">
        <f t="shared" si="9"/>
        <v>16194987.634757372</v>
      </c>
      <c r="AN16" s="26">
        <f t="shared" si="9"/>
        <v>11149366.305394353</v>
      </c>
      <c r="AO16" s="26">
        <f t="shared" si="9"/>
        <v>26470590.210119717</v>
      </c>
      <c r="AP16" s="26">
        <f t="shared" si="9"/>
        <v>20993290.5402788</v>
      </c>
      <c r="AQ16" s="26">
        <f t="shared" si="9"/>
        <v>26595920.011928406</v>
      </c>
      <c r="AR16" s="26">
        <f t="shared" si="9"/>
        <v>4164123.4336855947</v>
      </c>
      <c r="AS16" s="26" t="e">
        <f t="shared" si="9"/>
        <v>#DIV/0!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320955921.59612262</v>
      </c>
      <c r="C17" s="27">
        <f t="shared" ref="C17:BN17" si="11">C15-C16</f>
        <v>205685058.69963941</v>
      </c>
      <c r="D17" s="27">
        <f t="shared" si="11"/>
        <v>145626382.80666527</v>
      </c>
      <c r="E17" s="27">
        <f t="shared" si="11"/>
        <v>428144030.063025</v>
      </c>
      <c r="F17" s="27">
        <f t="shared" si="11"/>
        <v>324591800.59195822</v>
      </c>
      <c r="G17" s="27">
        <f t="shared" si="11"/>
        <v>169231697.49786973</v>
      </c>
      <c r="H17" s="27">
        <f t="shared" si="11"/>
        <v>123606189.79480192</v>
      </c>
      <c r="I17" s="27">
        <f t="shared" si="11"/>
        <v>308520479.7763046</v>
      </c>
      <c r="J17" s="27">
        <f t="shared" si="11"/>
        <v>252146262.21428594</v>
      </c>
      <c r="K17" s="27">
        <f t="shared" si="11"/>
        <v>145532799.57464889</v>
      </c>
      <c r="L17" s="27">
        <f t="shared" si="11"/>
        <v>104622458.65169166</v>
      </c>
      <c r="M17" s="27">
        <f t="shared" si="11"/>
        <v>365311550.00787956</v>
      </c>
      <c r="N17" s="27">
        <f t="shared" si="11"/>
        <v>293409183.21914089</v>
      </c>
      <c r="O17" s="27">
        <f t="shared" si="11"/>
        <v>164979107.10671088</v>
      </c>
      <c r="P17" s="27">
        <f t="shared" si="11"/>
        <v>113834650.5501582</v>
      </c>
      <c r="Q17" s="27">
        <f t="shared" si="11"/>
        <v>362984361.74733239</v>
      </c>
      <c r="R17" s="27">
        <f t="shared" si="11"/>
        <v>250115802.33708391</v>
      </c>
      <c r="S17" s="27">
        <f t="shared" si="11"/>
        <v>139150733.29980132</v>
      </c>
      <c r="T17" s="27">
        <f t="shared" si="11"/>
        <v>90529610.928688839</v>
      </c>
      <c r="U17" s="27">
        <f t="shared" si="11"/>
        <v>309180519.11409795</v>
      </c>
      <c r="V17" s="27">
        <f t="shared" si="11"/>
        <v>219176919.57929215</v>
      </c>
      <c r="W17" s="27">
        <f t="shared" si="11"/>
        <v>124376194.05783701</v>
      </c>
      <c r="X17" s="27">
        <f t="shared" si="11"/>
        <v>79521329.740607604</v>
      </c>
      <c r="Y17" s="27">
        <f t="shared" si="11"/>
        <v>362461551.15202373</v>
      </c>
      <c r="Z17" s="27">
        <f t="shared" si="11"/>
        <v>239216405.10780725</v>
      </c>
      <c r="AA17" s="27">
        <f t="shared" si="11"/>
        <v>123232480.25873438</v>
      </c>
      <c r="AB17" s="27">
        <f t="shared" si="11"/>
        <v>102703921.19152451</v>
      </c>
      <c r="AC17" s="27">
        <f t="shared" si="11"/>
        <v>351540275.08176368</v>
      </c>
      <c r="AD17" s="27">
        <f t="shared" si="11"/>
        <v>265208318.95739347</v>
      </c>
      <c r="AE17" s="27">
        <f t="shared" si="11"/>
        <v>156047768.02113977</v>
      </c>
      <c r="AF17" s="27">
        <f t="shared" si="11"/>
        <v>84547194.378944635</v>
      </c>
      <c r="AG17" s="27">
        <f t="shared" si="11"/>
        <v>196811587.3324005</v>
      </c>
      <c r="AH17" s="27">
        <f t="shared" si="11"/>
        <v>135705521.34270978</v>
      </c>
      <c r="AI17" s="27">
        <f t="shared" si="11"/>
        <v>75088134.739324301</v>
      </c>
      <c r="AJ17" s="27">
        <f t="shared" si="11"/>
        <v>48389010.878503993</v>
      </c>
      <c r="AK17" s="27">
        <f t="shared" si="11"/>
        <v>144699302.76251644</v>
      </c>
      <c r="AL17" s="27">
        <f t="shared" si="11"/>
        <v>101049269.93433616</v>
      </c>
      <c r="AM17" s="27">
        <f t="shared" si="11"/>
        <v>50905125.005242623</v>
      </c>
      <c r="AN17" s="27">
        <f t="shared" si="11"/>
        <v>33775054.624605685</v>
      </c>
      <c r="AO17" s="27">
        <f t="shared" si="11"/>
        <v>111533133.40988022</v>
      </c>
      <c r="AP17" s="27">
        <f t="shared" si="11"/>
        <v>84794520.52972129</v>
      </c>
      <c r="AQ17" s="27">
        <f t="shared" si="11"/>
        <v>87008309.938071549</v>
      </c>
      <c r="AR17" s="27">
        <f t="shared" si="11"/>
        <v>50857099.536314316</v>
      </c>
      <c r="AS17" s="27" t="e">
        <f t="shared" si="11"/>
        <v>#DIV/0!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9.2985382064647375</v>
      </c>
      <c r="C18" s="57">
        <f t="shared" ref="C18:D18" si="13">C17/C4*100</f>
        <v>9.3624854864895575</v>
      </c>
      <c r="D18" s="57">
        <f t="shared" si="13"/>
        <v>12.430669669039004</v>
      </c>
      <c r="E18" s="57">
        <f>E17/E4</f>
        <v>9.1839924187747821E-2</v>
      </c>
      <c r="F18" s="57">
        <f t="shared" ref="F18:BQ18" si="14">F17/F4</f>
        <v>0.10198726215455479</v>
      </c>
      <c r="G18" s="57">
        <f t="shared" si="14"/>
        <v>8.5408616195458337E-2</v>
      </c>
      <c r="H18" s="57">
        <f t="shared" si="14"/>
        <v>0.11685575307532445</v>
      </c>
      <c r="I18" s="57">
        <f t="shared" si="14"/>
        <v>9.7874142032542411E-2</v>
      </c>
      <c r="J18" s="57">
        <f t="shared" si="14"/>
        <v>0.11699087825471757</v>
      </c>
      <c r="K18" s="57">
        <f t="shared" si="14"/>
        <v>0.10835723921267153</v>
      </c>
      <c r="L18" s="57">
        <f t="shared" si="14"/>
        <v>0.13714749799550383</v>
      </c>
      <c r="M18" s="57">
        <f t="shared" si="14"/>
        <v>0.12529404017861698</v>
      </c>
      <c r="N18" s="57">
        <f t="shared" si="14"/>
        <v>0.14339961858257558</v>
      </c>
      <c r="O18" s="57">
        <f t="shared" si="14"/>
        <v>0.13198581000901491</v>
      </c>
      <c r="P18" s="57">
        <f t="shared" si="14"/>
        <v>0.1613771872693385</v>
      </c>
      <c r="Q18" s="57">
        <f t="shared" si="14"/>
        <v>0.13144936856659847</v>
      </c>
      <c r="R18" s="57">
        <f t="shared" si="14"/>
        <v>0.1330407511532499</v>
      </c>
      <c r="S18" s="57">
        <f t="shared" si="14"/>
        <v>0.12510406755094908</v>
      </c>
      <c r="T18" s="57">
        <f t="shared" si="14"/>
        <v>0.13772771870656758</v>
      </c>
      <c r="U18" s="57">
        <f t="shared" si="14"/>
        <v>0.12248608103009449</v>
      </c>
      <c r="V18" s="57">
        <f t="shared" si="14"/>
        <v>0.12723263933044221</v>
      </c>
      <c r="W18" s="57">
        <f t="shared" si="14"/>
        <v>0.11536895554411358</v>
      </c>
      <c r="X18" s="57">
        <f t="shared" si="14"/>
        <v>0.12922918268544933</v>
      </c>
      <c r="Y18" s="57">
        <f t="shared" si="14"/>
        <v>0.13301566544362509</v>
      </c>
      <c r="Z18" s="57">
        <f t="shared" si="14"/>
        <v>0.12946559742132863</v>
      </c>
      <c r="AA18" s="57">
        <f t="shared" si="14"/>
        <v>0.11889402393089528</v>
      </c>
      <c r="AB18" s="57">
        <f t="shared" si="14"/>
        <v>0.16718301572050889</v>
      </c>
      <c r="AC18" s="57">
        <f t="shared" si="14"/>
        <v>0.14755504611567871</v>
      </c>
      <c r="AD18" s="57">
        <f t="shared" si="14"/>
        <v>0.16231644559881361</v>
      </c>
      <c r="AE18" s="57">
        <f t="shared" si="14"/>
        <v>0.15554285290338402</v>
      </c>
      <c r="AF18" s="57">
        <f t="shared" si="14"/>
        <v>0.14498365024572912</v>
      </c>
      <c r="AG18" s="57">
        <f t="shared" si="14"/>
        <v>0.10820871195617027</v>
      </c>
      <c r="AH18" s="57">
        <f t="shared" si="14"/>
        <v>0.11845087227720011</v>
      </c>
      <c r="AI18" s="57">
        <f t="shared" si="14"/>
        <v>0.11345543423491834</v>
      </c>
      <c r="AJ18" s="57">
        <f t="shared" si="14"/>
        <v>0.13466235725969253</v>
      </c>
      <c r="AK18" s="57">
        <f t="shared" si="14"/>
        <v>0.12634108959964122</v>
      </c>
      <c r="AL18" s="57">
        <f t="shared" si="14"/>
        <v>0.1395872868010741</v>
      </c>
      <c r="AM18" s="57">
        <f t="shared" si="14"/>
        <v>0.12489893222849595</v>
      </c>
      <c r="AN18" s="57">
        <f t="shared" si="14"/>
        <v>0.13235153009967404</v>
      </c>
      <c r="AO18" s="57">
        <f t="shared" si="14"/>
        <v>0.12355713493101644</v>
      </c>
      <c r="AP18" s="57">
        <f t="shared" si="14"/>
        <v>0.13398295001557772</v>
      </c>
      <c r="AQ18" s="57">
        <f t="shared" si="14"/>
        <v>0.11518746961755513</v>
      </c>
      <c r="AR18" s="57">
        <f t="shared" si="14"/>
        <v>9.2051116117673276E-2</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90">
        <v>0</v>
      </c>
      <c r="C20" s="190">
        <v>0</v>
      </c>
      <c r="D20" s="190">
        <v>0</v>
      </c>
      <c r="E20" s="190">
        <v>0</v>
      </c>
      <c r="F20" s="190">
        <v>0</v>
      </c>
      <c r="G20" s="190">
        <v>0</v>
      </c>
      <c r="H20" s="190">
        <v>0</v>
      </c>
      <c r="I20" s="190">
        <v>0</v>
      </c>
      <c r="J20" s="190">
        <v>0</v>
      </c>
      <c r="K20" s="190">
        <v>0</v>
      </c>
      <c r="L20" s="190">
        <v>0</v>
      </c>
      <c r="M20" s="190">
        <v>0</v>
      </c>
      <c r="N20" s="190">
        <v>0</v>
      </c>
      <c r="O20" s="190">
        <v>0</v>
      </c>
      <c r="P20" s="190">
        <v>0</v>
      </c>
      <c r="Q20" s="190">
        <v>0</v>
      </c>
      <c r="R20" s="190">
        <v>0</v>
      </c>
      <c r="S20" s="190">
        <v>0</v>
      </c>
      <c r="T20" s="190">
        <v>0</v>
      </c>
      <c r="U20" s="190">
        <v>0</v>
      </c>
      <c r="V20" s="190">
        <v>0</v>
      </c>
      <c r="W20" s="190">
        <v>0</v>
      </c>
      <c r="X20" s="190">
        <v>0</v>
      </c>
      <c r="Y20" s="190">
        <v>0</v>
      </c>
      <c r="Z20" s="190">
        <v>0</v>
      </c>
      <c r="AA20" s="190">
        <v>0</v>
      </c>
      <c r="AB20" s="190">
        <v>0</v>
      </c>
      <c r="AC20" s="190">
        <v>0</v>
      </c>
      <c r="AD20" s="190">
        <v>0</v>
      </c>
      <c r="AE20" s="190">
        <v>0</v>
      </c>
      <c r="AF20" s="190">
        <v>0</v>
      </c>
      <c r="AG20" s="190">
        <v>0</v>
      </c>
      <c r="AH20" s="190">
        <v>0</v>
      </c>
      <c r="AI20" s="190">
        <v>0</v>
      </c>
      <c r="AJ20" s="190">
        <v>0</v>
      </c>
      <c r="AK20" s="190">
        <v>0</v>
      </c>
      <c r="AL20" s="190">
        <v>0</v>
      </c>
      <c r="AM20" s="190">
        <v>0</v>
      </c>
      <c r="AN20" s="190">
        <v>0</v>
      </c>
      <c r="AO20" s="190">
        <v>0</v>
      </c>
      <c r="AP20" s="190">
        <v>0</v>
      </c>
      <c r="AQ20" s="190">
        <v>0</v>
      </c>
      <c r="AR20" s="190">
        <v>0</v>
      </c>
      <c r="AS20" s="190">
        <v>0</v>
      </c>
      <c r="AT20" s="190"/>
      <c r="AU20" s="190"/>
      <c r="AV20" s="190"/>
      <c r="AW20" s="190"/>
      <c r="AX20" s="190"/>
      <c r="AY20" s="190"/>
      <c r="AZ20" s="190"/>
      <c r="BA20" s="190"/>
      <c r="BB20" s="190"/>
      <c r="BC20" s="190"/>
      <c r="BD20" s="190"/>
      <c r="BE20" s="190"/>
      <c r="BF20" s="190"/>
      <c r="BG20" s="190"/>
      <c r="BH20" s="190"/>
      <c r="BI20" s="190"/>
      <c r="BJ20" s="190"/>
      <c r="BK20" s="190"/>
      <c r="BL20" s="190"/>
      <c r="BM20" s="190"/>
      <c r="BN20" s="190"/>
      <c r="BO20" s="190"/>
      <c r="BP20" s="190"/>
      <c r="BQ20" s="190"/>
      <c r="BR20" s="190"/>
      <c r="BS20" s="190"/>
      <c r="BT20" s="190"/>
      <c r="BU20" s="190"/>
      <c r="BV20" s="190"/>
      <c r="BW20" s="190"/>
      <c r="BX20" s="190"/>
      <c r="BY20" s="190"/>
      <c r="BZ20" s="190"/>
      <c r="CA20" s="190"/>
      <c r="CB20" s="190"/>
      <c r="CC20" s="190"/>
      <c r="CD20" s="190"/>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400</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row>
    <row r="23" spans="1:89" s="7" customFormat="1" x14ac:dyDescent="0.25">
      <c r="A23" s="21" t="s">
        <v>401</v>
      </c>
      <c r="B23" s="29">
        <f>-B52</f>
        <v>25636</v>
      </c>
      <c r="C23" s="29">
        <f t="shared" ref="C23:BN23" si="16">-C52</f>
        <v>27718</v>
      </c>
      <c r="D23" s="29">
        <f t="shared" si="16"/>
        <v>35317</v>
      </c>
      <c r="E23" s="29">
        <f t="shared" si="16"/>
        <v>10783199.210000001</v>
      </c>
      <c r="F23" s="29">
        <f t="shared" si="16"/>
        <v>34414</v>
      </c>
      <c r="G23" s="29">
        <f t="shared" si="16"/>
        <v>23309</v>
      </c>
      <c r="H23" s="29">
        <f t="shared" si="16"/>
        <v>16814</v>
      </c>
      <c r="I23" s="29">
        <f t="shared" si="16"/>
        <v>11108095.51</v>
      </c>
      <c r="J23" s="29">
        <f t="shared" si="16"/>
        <v>0</v>
      </c>
      <c r="K23" s="29">
        <f t="shared" si="16"/>
        <v>0</v>
      </c>
      <c r="L23" s="29">
        <f t="shared" si="16"/>
        <v>0</v>
      </c>
      <c r="M23" s="29">
        <f t="shared" si="16"/>
        <v>16376067.49</v>
      </c>
      <c r="N23" s="29">
        <f t="shared" si="16"/>
        <v>0</v>
      </c>
      <c r="O23" s="29">
        <f t="shared" si="16"/>
        <v>0</v>
      </c>
      <c r="P23" s="29">
        <f t="shared" si="16"/>
        <v>0</v>
      </c>
      <c r="Q23" s="29">
        <f t="shared" si="16"/>
        <v>22965161.149999999</v>
      </c>
      <c r="R23" s="29">
        <f t="shared" si="16"/>
        <v>0</v>
      </c>
      <c r="S23" s="29">
        <f t="shared" si="16"/>
        <v>0</v>
      </c>
      <c r="T23" s="29">
        <f t="shared" si="16"/>
        <v>0</v>
      </c>
      <c r="U23" s="29">
        <f t="shared" si="16"/>
        <v>21250799.57</v>
      </c>
      <c r="V23" s="29">
        <f t="shared" si="16"/>
        <v>0</v>
      </c>
      <c r="W23" s="29">
        <f t="shared" si="16"/>
        <v>0</v>
      </c>
      <c r="X23" s="29">
        <f t="shared" si="16"/>
        <v>0</v>
      </c>
      <c r="Y23" s="29">
        <f t="shared" si="16"/>
        <v>21648438.039999999</v>
      </c>
      <c r="Z23" s="29">
        <f t="shared" si="16"/>
        <v>0</v>
      </c>
      <c r="AA23" s="29">
        <f t="shared" si="16"/>
        <v>0</v>
      </c>
      <c r="AB23" s="29">
        <f t="shared" si="16"/>
        <v>0</v>
      </c>
      <c r="AC23" s="29">
        <f t="shared" si="16"/>
        <v>26564136.870000001</v>
      </c>
      <c r="AD23" s="29">
        <f t="shared" si="16"/>
        <v>0</v>
      </c>
      <c r="AE23" s="29">
        <f t="shared" si="16"/>
        <v>0</v>
      </c>
      <c r="AF23" s="29">
        <f t="shared" si="16"/>
        <v>0</v>
      </c>
      <c r="AG23" s="29">
        <f t="shared" si="16"/>
        <v>19776413.390000001</v>
      </c>
      <c r="AH23" s="29">
        <f t="shared" si="16"/>
        <v>0</v>
      </c>
      <c r="AI23" s="29">
        <f t="shared" si="16"/>
        <v>0</v>
      </c>
      <c r="AJ23" s="29">
        <f t="shared" si="16"/>
        <v>0</v>
      </c>
      <c r="AK23" s="29">
        <f t="shared" si="16"/>
        <v>1569307.04</v>
      </c>
      <c r="AL23" s="29">
        <f t="shared" si="16"/>
        <v>0</v>
      </c>
      <c r="AM23" s="29">
        <f t="shared" si="16"/>
        <v>0</v>
      </c>
      <c r="AN23" s="29">
        <f t="shared" si="16"/>
        <v>0</v>
      </c>
      <c r="AO23" s="29">
        <f t="shared" si="16"/>
        <v>327403.59999999998</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95242273.629999995</v>
      </c>
      <c r="C24" s="26">
        <f t="shared" ref="C24:BN24" si="18">C67</f>
        <v>28971556.489999998</v>
      </c>
      <c r="D24" s="26">
        <f t="shared" si="18"/>
        <v>10478204.369999999</v>
      </c>
      <c r="E24" s="26">
        <f>E67</f>
        <v>46344509.020000003</v>
      </c>
      <c r="F24" s="26">
        <f t="shared" si="18"/>
        <v>27243457.18</v>
      </c>
      <c r="G24" s="26">
        <f t="shared" si="18"/>
        <v>27737580.16</v>
      </c>
      <c r="H24" s="26">
        <f t="shared" si="18"/>
        <v>775003.99</v>
      </c>
      <c r="I24" s="26">
        <f t="shared" si="18"/>
        <v>30518868.780000001</v>
      </c>
      <c r="J24" s="26">
        <f t="shared" si="18"/>
        <v>20610189.93</v>
      </c>
      <c r="K24" s="26">
        <f t="shared" si="18"/>
        <v>14837689.359999999</v>
      </c>
      <c r="L24" s="26">
        <f t="shared" si="18"/>
        <v>10351456.130000001</v>
      </c>
      <c r="M24" s="26">
        <f t="shared" si="18"/>
        <v>54802146.340000004</v>
      </c>
      <c r="N24" s="26">
        <f t="shared" si="18"/>
        <v>32745457.399999999</v>
      </c>
      <c r="O24" s="26">
        <f t="shared" si="18"/>
        <v>18458085.66</v>
      </c>
      <c r="P24" s="26">
        <f t="shared" si="18"/>
        <v>1034260.27</v>
      </c>
      <c r="Q24" s="26">
        <f t="shared" si="18"/>
        <v>17154949.390000001</v>
      </c>
      <c r="R24" s="26">
        <f t="shared" si="18"/>
        <v>12541798.699999999</v>
      </c>
      <c r="S24" s="26">
        <f t="shared" si="18"/>
        <v>8266763.2999999998</v>
      </c>
      <c r="T24" s="26">
        <f t="shared" si="18"/>
        <v>1817612.22</v>
      </c>
      <c r="U24" s="26">
        <f t="shared" si="18"/>
        <v>5457633.1399999997</v>
      </c>
      <c r="V24" s="26">
        <f t="shared" si="18"/>
        <v>4203934.51</v>
      </c>
      <c r="W24" s="26">
        <f t="shared" si="18"/>
        <v>3280088.85</v>
      </c>
      <c r="X24" s="26">
        <f t="shared" si="18"/>
        <v>1638355.54</v>
      </c>
      <c r="Y24" s="26">
        <f t="shared" si="18"/>
        <v>929555.19</v>
      </c>
      <c r="Z24" s="26">
        <f t="shared" si="18"/>
        <v>0</v>
      </c>
      <c r="AA24" s="26">
        <f t="shared" si="18"/>
        <v>0</v>
      </c>
      <c r="AB24" s="26">
        <f t="shared" si="18"/>
        <v>0</v>
      </c>
      <c r="AC24" s="26">
        <f t="shared" si="18"/>
        <v>0</v>
      </c>
      <c r="AD24" s="26">
        <f t="shared" si="18"/>
        <v>0</v>
      </c>
      <c r="AE24" s="26">
        <f t="shared" si="18"/>
        <v>0</v>
      </c>
      <c r="AF24" s="26">
        <f t="shared" si="18"/>
        <v>0</v>
      </c>
      <c r="AG24" s="26">
        <f t="shared" si="18"/>
        <v>0</v>
      </c>
      <c r="AH24" s="26">
        <f t="shared" si="18"/>
        <v>0</v>
      </c>
      <c r="AI24" s="26">
        <f t="shared" si="18"/>
        <v>0</v>
      </c>
      <c r="AJ24" s="26">
        <f t="shared" si="18"/>
        <v>0</v>
      </c>
      <c r="AK24" s="26">
        <f t="shared" si="18"/>
        <v>0</v>
      </c>
      <c r="AL24" s="26">
        <f t="shared" si="18"/>
        <v>0</v>
      </c>
      <c r="AM24" s="26">
        <f t="shared" si="18"/>
        <v>0</v>
      </c>
      <c r="AN24" s="26">
        <f t="shared" si="18"/>
        <v>0</v>
      </c>
      <c r="AO24" s="26">
        <f t="shared" si="18"/>
        <v>3020.54</v>
      </c>
      <c r="AP24" s="26">
        <f t="shared" si="18"/>
        <v>3020.54</v>
      </c>
      <c r="AQ24" s="26">
        <f t="shared" si="18"/>
        <v>10356.16</v>
      </c>
      <c r="AR24" s="26">
        <f t="shared" si="18"/>
        <v>0</v>
      </c>
      <c r="AS24" s="26">
        <f t="shared" si="18"/>
        <v>0</v>
      </c>
      <c r="AT24" s="26">
        <f t="shared" si="18"/>
        <v>556604.28</v>
      </c>
      <c r="AU24" s="26">
        <f t="shared" si="18"/>
        <v>47918.79</v>
      </c>
      <c r="AV24" s="26">
        <f t="shared" si="18"/>
        <v>665864.48</v>
      </c>
      <c r="AW24" s="26">
        <f t="shared" si="18"/>
        <v>5051692.58</v>
      </c>
      <c r="AX24" s="26">
        <f t="shared" si="18"/>
        <v>2496157.7200000002</v>
      </c>
      <c r="AY24" s="26">
        <f t="shared" si="18"/>
        <v>1832311.81</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-14912847.689999999</v>
      </c>
      <c r="F25" s="29">
        <f t="shared" si="20"/>
        <v>-2684</v>
      </c>
      <c r="G25" s="29">
        <f t="shared" si="20"/>
        <v>377</v>
      </c>
      <c r="H25" s="29">
        <f t="shared" si="20"/>
        <v>-1008</v>
      </c>
      <c r="I25" s="29">
        <f t="shared" si="20"/>
        <v>6928081.4500000002</v>
      </c>
      <c r="J25" s="29">
        <f t="shared" si="20"/>
        <v>0</v>
      </c>
      <c r="K25" s="29">
        <f t="shared" si="20"/>
        <v>0</v>
      </c>
      <c r="L25" s="29">
        <f t="shared" si="20"/>
        <v>0</v>
      </c>
      <c r="M25" s="29">
        <f t="shared" si="20"/>
        <v>705508.99</v>
      </c>
      <c r="N25" s="29">
        <f t="shared" si="20"/>
        <v>0</v>
      </c>
      <c r="O25" s="29">
        <f t="shared" si="20"/>
        <v>0</v>
      </c>
      <c r="P25" s="29">
        <f t="shared" si="20"/>
        <v>0</v>
      </c>
      <c r="Q25" s="29">
        <f t="shared" si="20"/>
        <v>-353917</v>
      </c>
      <c r="R25" s="29">
        <f t="shared" si="20"/>
        <v>0</v>
      </c>
      <c r="S25" s="29">
        <f t="shared" si="20"/>
        <v>0</v>
      </c>
      <c r="T25" s="29">
        <f t="shared" si="20"/>
        <v>0</v>
      </c>
      <c r="U25" s="29">
        <f t="shared" si="20"/>
        <v>138552.34</v>
      </c>
      <c r="V25" s="29">
        <f t="shared" si="20"/>
        <v>0</v>
      </c>
      <c r="W25" s="29">
        <f t="shared" si="20"/>
        <v>0</v>
      </c>
      <c r="X25" s="29">
        <f t="shared" si="20"/>
        <v>0</v>
      </c>
      <c r="Y25" s="29">
        <f t="shared" si="20"/>
        <v>73738.2</v>
      </c>
      <c r="Z25" s="29">
        <f t="shared" si="20"/>
        <v>0</v>
      </c>
      <c r="AA25" s="29">
        <f t="shared" si="20"/>
        <v>0</v>
      </c>
      <c r="AB25" s="29">
        <f t="shared" si="20"/>
        <v>0</v>
      </c>
      <c r="AC25" s="29">
        <f t="shared" si="20"/>
        <v>-200426.02</v>
      </c>
      <c r="AD25" s="29">
        <f t="shared" si="20"/>
        <v>0</v>
      </c>
      <c r="AE25" s="29">
        <f t="shared" si="20"/>
        <v>0</v>
      </c>
      <c r="AF25" s="29">
        <f t="shared" si="20"/>
        <v>0</v>
      </c>
      <c r="AG25" s="29">
        <f t="shared" si="20"/>
        <v>8912.43</v>
      </c>
      <c r="AH25" s="29">
        <f t="shared" si="20"/>
        <v>0</v>
      </c>
      <c r="AI25" s="29">
        <f t="shared" si="20"/>
        <v>0</v>
      </c>
      <c r="AJ25" s="29">
        <f t="shared" si="20"/>
        <v>0</v>
      </c>
      <c r="AK25" s="29">
        <f t="shared" si="20"/>
        <v>-6300.9</v>
      </c>
      <c r="AL25" s="29">
        <f t="shared" si="20"/>
        <v>0</v>
      </c>
      <c r="AM25" s="29">
        <f t="shared" si="20"/>
        <v>0</v>
      </c>
      <c r="AN25" s="29">
        <f t="shared" si="20"/>
        <v>0</v>
      </c>
      <c r="AO25" s="29">
        <f t="shared" si="20"/>
        <v>-240775.06</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90">
        <v>26264477.800000001</v>
      </c>
      <c r="C26" s="190">
        <v>8768413.6099999994</v>
      </c>
      <c r="D26" s="190">
        <v>-23530364.309999999</v>
      </c>
      <c r="E26" s="190">
        <v>-27005854.120000001</v>
      </c>
      <c r="F26" s="190">
        <v>-20996537.109999999</v>
      </c>
      <c r="G26" s="190">
        <v>-9716983.2799999993</v>
      </c>
      <c r="H26" s="190">
        <v>267164.26</v>
      </c>
      <c r="I26" s="190">
        <v>2746174.97</v>
      </c>
      <c r="J26" s="190">
        <v>1318275.21</v>
      </c>
      <c r="K26" s="190">
        <v>1015033.46</v>
      </c>
      <c r="L26" s="190">
        <v>-3847.23</v>
      </c>
      <c r="M26" s="190">
        <v>1747637.99</v>
      </c>
      <c r="N26" s="190">
        <v>1367525.67</v>
      </c>
      <c r="O26" s="190">
        <v>-19837.18</v>
      </c>
      <c r="P26" s="190">
        <v>121474.14</v>
      </c>
      <c r="Q26" s="190">
        <v>60762.7</v>
      </c>
      <c r="R26" s="190">
        <v>192631.38</v>
      </c>
      <c r="S26" s="190">
        <v>239185.79</v>
      </c>
      <c r="T26" s="190">
        <v>218363.8</v>
      </c>
      <c r="U26" s="190">
        <v>-691715.42</v>
      </c>
      <c r="V26" s="190">
        <v>-464829.47</v>
      </c>
      <c r="W26" s="190">
        <v>-363372.38</v>
      </c>
      <c r="X26" s="190">
        <v>-81160.31</v>
      </c>
      <c r="Y26" s="190">
        <v>3357.7</v>
      </c>
      <c r="Z26" s="190">
        <v>147195.29</v>
      </c>
      <c r="AA26" s="190">
        <v>92296.55</v>
      </c>
      <c r="AB26" s="190">
        <v>-2400</v>
      </c>
      <c r="AC26" s="190">
        <v>-706542.83</v>
      </c>
      <c r="AD26" s="190">
        <v>-597629.93000000005</v>
      </c>
      <c r="AE26" s="190">
        <v>-307502.71000000002</v>
      </c>
      <c r="AF26" s="190">
        <v>0</v>
      </c>
      <c r="AG26" s="190">
        <v>-375189.5</v>
      </c>
      <c r="AH26" s="190">
        <v>-211123.94</v>
      </c>
      <c r="AI26" s="190">
        <v>-96363.82</v>
      </c>
      <c r="AJ26" s="190">
        <v>0</v>
      </c>
      <c r="AK26" s="190">
        <v>-13205.78</v>
      </c>
      <c r="AL26" s="190">
        <v>0</v>
      </c>
      <c r="AM26" s="190">
        <v>0</v>
      </c>
      <c r="AN26" s="190">
        <v>0</v>
      </c>
      <c r="AO26" s="190">
        <v>0</v>
      </c>
      <c r="AP26" s="190">
        <v>0</v>
      </c>
      <c r="AQ26" s="190">
        <v>0</v>
      </c>
      <c r="AR26" s="190">
        <v>0</v>
      </c>
      <c r="AS26" s="190">
        <v>0</v>
      </c>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row>
    <row r="27" spans="1:89" x14ac:dyDescent="0.25">
      <c r="A27" s="17" t="s">
        <v>405</v>
      </c>
      <c r="B27" s="26">
        <f>SUM(B22:B26)</f>
        <v>121529283.42999999</v>
      </c>
      <c r="C27" s="26">
        <f t="shared" ref="C27:BN27" si="22">SUM(C22:C26)</f>
        <v>37769112.099999994</v>
      </c>
      <c r="D27" s="26">
        <f t="shared" si="22"/>
        <v>-13016502.939999999</v>
      </c>
      <c r="E27" s="26">
        <f t="shared" si="22"/>
        <v>15209006.420000006</v>
      </c>
      <c r="F27" s="26">
        <f t="shared" si="22"/>
        <v>6278650.0700000003</v>
      </c>
      <c r="G27" s="26">
        <f t="shared" si="22"/>
        <v>18044282.880000003</v>
      </c>
      <c r="H27" s="26">
        <f t="shared" si="22"/>
        <v>1057974.25</v>
      </c>
      <c r="I27" s="26">
        <f t="shared" si="22"/>
        <v>51301220.710000001</v>
      </c>
      <c r="J27" s="26">
        <f t="shared" si="22"/>
        <v>21928465.140000001</v>
      </c>
      <c r="K27" s="26">
        <f t="shared" si="22"/>
        <v>15852722.82</v>
      </c>
      <c r="L27" s="26">
        <f t="shared" si="22"/>
        <v>10347608.9</v>
      </c>
      <c r="M27" s="26">
        <f t="shared" si="22"/>
        <v>73631360.809999987</v>
      </c>
      <c r="N27" s="26">
        <f t="shared" si="22"/>
        <v>34112983.07</v>
      </c>
      <c r="O27" s="26">
        <f t="shared" si="22"/>
        <v>18438248.48</v>
      </c>
      <c r="P27" s="26">
        <f t="shared" si="22"/>
        <v>1155734.4099999999</v>
      </c>
      <c r="Q27" s="26">
        <f t="shared" si="22"/>
        <v>39826956.240000002</v>
      </c>
      <c r="R27" s="26">
        <f t="shared" si="22"/>
        <v>12734430.08</v>
      </c>
      <c r="S27" s="26">
        <f t="shared" si="22"/>
        <v>8505949.0899999999</v>
      </c>
      <c r="T27" s="26">
        <f t="shared" si="22"/>
        <v>2035976.02</v>
      </c>
      <c r="U27" s="26">
        <f t="shared" si="22"/>
        <v>26155269.629999999</v>
      </c>
      <c r="V27" s="26">
        <f t="shared" si="22"/>
        <v>3739105.04</v>
      </c>
      <c r="W27" s="26">
        <f t="shared" si="22"/>
        <v>2916716.47</v>
      </c>
      <c r="X27" s="26">
        <f t="shared" si="22"/>
        <v>1557195.23</v>
      </c>
      <c r="Y27" s="26">
        <f t="shared" si="22"/>
        <v>22655089.129999999</v>
      </c>
      <c r="Z27" s="26">
        <f t="shared" si="22"/>
        <v>147195.29</v>
      </c>
      <c r="AA27" s="26">
        <f t="shared" si="22"/>
        <v>92296.55</v>
      </c>
      <c r="AB27" s="26">
        <f t="shared" si="22"/>
        <v>-2400</v>
      </c>
      <c r="AC27" s="26">
        <f t="shared" si="22"/>
        <v>25657168.020000003</v>
      </c>
      <c r="AD27" s="26">
        <f t="shared" si="22"/>
        <v>-597629.93000000005</v>
      </c>
      <c r="AE27" s="26">
        <f t="shared" si="22"/>
        <v>-307502.71000000002</v>
      </c>
      <c r="AF27" s="26">
        <f t="shared" si="22"/>
        <v>0</v>
      </c>
      <c r="AG27" s="26">
        <f t="shared" si="22"/>
        <v>19410136.32</v>
      </c>
      <c r="AH27" s="26">
        <f t="shared" si="22"/>
        <v>-211123.94</v>
      </c>
      <c r="AI27" s="26">
        <f t="shared" si="22"/>
        <v>-96363.82</v>
      </c>
      <c r="AJ27" s="26">
        <f t="shared" si="22"/>
        <v>0</v>
      </c>
      <c r="AK27" s="26">
        <f t="shared" si="22"/>
        <v>1549800.36</v>
      </c>
      <c r="AL27" s="26">
        <f t="shared" si="22"/>
        <v>0</v>
      </c>
      <c r="AM27" s="26">
        <f t="shared" si="22"/>
        <v>0</v>
      </c>
      <c r="AN27" s="26">
        <f t="shared" si="22"/>
        <v>0</v>
      </c>
      <c r="AO27" s="26">
        <f t="shared" si="22"/>
        <v>89649.079999999958</v>
      </c>
      <c r="AP27" s="26">
        <f t="shared" si="22"/>
        <v>3020.54</v>
      </c>
      <c r="AQ27" s="26">
        <f t="shared" si="22"/>
        <v>10356.16</v>
      </c>
      <c r="AR27" s="26">
        <f t="shared" si="22"/>
        <v>0</v>
      </c>
      <c r="AS27" s="26">
        <f t="shared" si="22"/>
        <v>0</v>
      </c>
      <c r="AT27" s="26">
        <f t="shared" si="22"/>
        <v>556604.28</v>
      </c>
      <c r="AU27" s="26">
        <f t="shared" si="22"/>
        <v>47918.79</v>
      </c>
      <c r="AV27" s="26">
        <f t="shared" si="22"/>
        <v>665864.48</v>
      </c>
      <c r="AW27" s="26">
        <f t="shared" si="22"/>
        <v>5051692.58</v>
      </c>
      <c r="AX27" s="26">
        <f t="shared" si="22"/>
        <v>2496157.7200000002</v>
      </c>
      <c r="AY27" s="26">
        <f t="shared" si="22"/>
        <v>1832311.81</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16847429.880214676</v>
      </c>
      <c r="C28" s="26">
        <f t="shared" ref="C28:BN28" si="24">SUM(C22:C25)*C41</f>
        <v>5761662.9556727009</v>
      </c>
      <c r="D28" s="26">
        <f t="shared" si="24"/>
        <v>2543618.3946418948</v>
      </c>
      <c r="E28" s="26">
        <f t="shared" si="24"/>
        <v>7668246.4035728993</v>
      </c>
      <c r="F28" s="26">
        <f t="shared" si="24"/>
        <v>6149655.5846617203</v>
      </c>
      <c r="G28" s="26">
        <f t="shared" si="24"/>
        <v>5863386.7914812453</v>
      </c>
      <c r="H28" s="26">
        <f t="shared" si="24"/>
        <v>117981.79293980174</v>
      </c>
      <c r="I28" s="26">
        <f t="shared" si="24"/>
        <v>9161722.5892785266</v>
      </c>
      <c r="J28" s="26">
        <f t="shared" si="24"/>
        <v>3901338.0043268641</v>
      </c>
      <c r="K28" s="26">
        <f t="shared" si="24"/>
        <v>3210449.3473368753</v>
      </c>
      <c r="L28" s="26">
        <f t="shared" si="24"/>
        <v>1748110.313934925</v>
      </c>
      <c r="M28" s="26">
        <f t="shared" si="24"/>
        <v>12415248.889057485</v>
      </c>
      <c r="N28" s="26">
        <f t="shared" si="24"/>
        <v>4200051.3289055135</v>
      </c>
      <c r="O28" s="26">
        <f t="shared" si="24"/>
        <v>2553903.0988112884</v>
      </c>
      <c r="P28" s="26">
        <f t="shared" si="24"/>
        <v>156929.02084545183</v>
      </c>
      <c r="Q28" s="26">
        <f t="shared" si="24"/>
        <v>4734352.0591161838</v>
      </c>
      <c r="R28" s="26">
        <f t="shared" si="24"/>
        <v>1594032.0103518011</v>
      </c>
      <c r="S28" s="26">
        <f t="shared" si="24"/>
        <v>1144800.9863141736</v>
      </c>
      <c r="T28" s="26">
        <f t="shared" si="24"/>
        <v>275789.49454740225</v>
      </c>
      <c r="U28" s="26">
        <f t="shared" si="24"/>
        <v>4116238.9547601882</v>
      </c>
      <c r="V28" s="26">
        <f t="shared" si="24"/>
        <v>580658.65260654246</v>
      </c>
      <c r="W28" s="26">
        <f t="shared" si="24"/>
        <v>511324.02480735083</v>
      </c>
      <c r="X28" s="26">
        <f t="shared" si="24"/>
        <v>303983.2145100598</v>
      </c>
      <c r="Y28" s="26">
        <f t="shared" si="24"/>
        <v>3167477.8725058967</v>
      </c>
      <c r="Z28" s="26">
        <f t="shared" si="24"/>
        <v>0</v>
      </c>
      <c r="AA28" s="26">
        <f t="shared" si="24"/>
        <v>0</v>
      </c>
      <c r="AB28" s="26">
        <f t="shared" si="24"/>
        <v>0</v>
      </c>
      <c r="AC28" s="26">
        <f t="shared" si="24"/>
        <v>4202000.6144402996</v>
      </c>
      <c r="AD28" s="26">
        <f t="shared" si="24"/>
        <v>0</v>
      </c>
      <c r="AE28" s="26">
        <f t="shared" si="24"/>
        <v>0</v>
      </c>
      <c r="AF28" s="26">
        <f t="shared" si="24"/>
        <v>0</v>
      </c>
      <c r="AG28" s="26">
        <f t="shared" si="24"/>
        <v>5005181.3667588215</v>
      </c>
      <c r="AH28" s="26">
        <f t="shared" si="24"/>
        <v>0</v>
      </c>
      <c r="AI28" s="26">
        <f t="shared" si="24"/>
        <v>0</v>
      </c>
      <c r="AJ28" s="26">
        <f t="shared" si="24"/>
        <v>0</v>
      </c>
      <c r="AK28" s="26">
        <f t="shared" si="24"/>
        <v>405354.31767437374</v>
      </c>
      <c r="AL28" s="26">
        <f t="shared" si="24"/>
        <v>0</v>
      </c>
      <c r="AM28" s="26">
        <f t="shared" si="24"/>
        <v>0</v>
      </c>
      <c r="AN28" s="26">
        <f t="shared" si="24"/>
        <v>0</v>
      </c>
      <c r="AO28" s="26">
        <f t="shared" si="24"/>
        <v>17195.652386370293</v>
      </c>
      <c r="AP28" s="26">
        <f t="shared" si="24"/>
        <v>599.41758097796776</v>
      </c>
      <c r="AQ28" s="26">
        <f t="shared" si="24"/>
        <v>2424.4836931860436</v>
      </c>
      <c r="AR28" s="26">
        <f t="shared" si="24"/>
        <v>0</v>
      </c>
      <c r="AS28" s="26" t="e">
        <f t="shared" si="24"/>
        <v>#DIV/0!</v>
      </c>
      <c r="AT28" s="26">
        <f t="shared" si="24"/>
        <v>8678777.9360173382</v>
      </c>
      <c r="AU28" s="26">
        <f t="shared" si="24"/>
        <v>736819.25322403584</v>
      </c>
      <c r="AV28" s="26">
        <f t="shared" si="24"/>
        <v>61688651.607207946</v>
      </c>
      <c r="AW28" s="26">
        <f t="shared" si="24"/>
        <v>55145390.309275553</v>
      </c>
      <c r="AX28" s="26">
        <f t="shared" si="24"/>
        <v>45508373.624261901</v>
      </c>
      <c r="AY28" s="26">
        <f t="shared" si="24"/>
        <v>29356178.013127491</v>
      </c>
      <c r="AZ28" s="26">
        <f t="shared" si="24"/>
        <v>9309832.2439196259</v>
      </c>
      <c r="BA28" s="26">
        <f t="shared" si="24"/>
        <v>-73090948.756924793</v>
      </c>
      <c r="BB28" s="26">
        <f t="shared" si="24"/>
        <v>-27506429.935167491</v>
      </c>
      <c r="BC28" s="26">
        <f t="shared" si="24"/>
        <v>-33631480.269690327</v>
      </c>
      <c r="BD28" s="26">
        <f t="shared" si="24"/>
        <v>0</v>
      </c>
      <c r="BE28" s="26">
        <f t="shared" si="24"/>
        <v>-2124937.575135876</v>
      </c>
      <c r="BF28" s="26">
        <f t="shared" si="24"/>
        <v>9312072.4452624731</v>
      </c>
      <c r="BG28" s="26">
        <f t="shared" si="24"/>
        <v>8366746.116974527</v>
      </c>
      <c r="BH28" s="26">
        <f t="shared" si="24"/>
        <v>71846492.365195543</v>
      </c>
      <c r="BI28" s="26">
        <f t="shared" si="24"/>
        <v>-7646059.4073319184</v>
      </c>
      <c r="BJ28" s="26">
        <f t="shared" si="24"/>
        <v>4501387.5492030783</v>
      </c>
      <c r="BK28" s="26">
        <f t="shared" si="24"/>
        <v>1076294.9055382719</v>
      </c>
      <c r="BL28" s="26">
        <f t="shared" si="24"/>
        <v>20306783.817003667</v>
      </c>
      <c r="BM28" s="26">
        <f t="shared" si="24"/>
        <v>1665197.8649603666</v>
      </c>
      <c r="BN28" s="26">
        <f t="shared" si="24"/>
        <v>15118739.805168763</v>
      </c>
      <c r="BO28" s="26">
        <f t="shared" ref="BO28:CJ28" si="25">SUM(BO22:BO25)*BO41</f>
        <v>14558067.407516127</v>
      </c>
      <c r="BP28" s="26">
        <f t="shared" si="25"/>
        <v>-2873431.4174922286</v>
      </c>
      <c r="BQ28" s="26">
        <f t="shared" si="25"/>
        <v>38182185.896003723</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104681853.54978532</v>
      </c>
      <c r="C29" s="28">
        <f t="shared" ref="C29:BN29" si="26">C27-C28</f>
        <v>32007449.144327294</v>
      </c>
      <c r="D29" s="28">
        <f t="shared" si="26"/>
        <v>-15560121.334641894</v>
      </c>
      <c r="E29" s="28">
        <f t="shared" si="26"/>
        <v>7540760.0164271062</v>
      </c>
      <c r="F29" s="28">
        <f t="shared" si="26"/>
        <v>128994.48533827998</v>
      </c>
      <c r="G29" s="28">
        <f t="shared" si="26"/>
        <v>12180896.088518757</v>
      </c>
      <c r="H29" s="28">
        <f t="shared" si="26"/>
        <v>939992.4570601983</v>
      </c>
      <c r="I29" s="28">
        <f t="shared" si="26"/>
        <v>42139498.120721474</v>
      </c>
      <c r="J29" s="28">
        <f t="shared" si="26"/>
        <v>18027127.135673136</v>
      </c>
      <c r="K29" s="28">
        <f t="shared" si="26"/>
        <v>12642273.472663125</v>
      </c>
      <c r="L29" s="28">
        <f t="shared" si="26"/>
        <v>8599498.5860650763</v>
      </c>
      <c r="M29" s="28">
        <f t="shared" si="26"/>
        <v>61216111.9209425</v>
      </c>
      <c r="N29" s="28">
        <f t="shared" si="26"/>
        <v>29912931.741094485</v>
      </c>
      <c r="O29" s="28">
        <f t="shared" si="26"/>
        <v>15884345.381188713</v>
      </c>
      <c r="P29" s="28">
        <f t="shared" si="26"/>
        <v>998805.38915454806</v>
      </c>
      <c r="Q29" s="28">
        <f t="shared" si="26"/>
        <v>35092604.180883817</v>
      </c>
      <c r="R29" s="28">
        <f t="shared" si="26"/>
        <v>11140398.069648199</v>
      </c>
      <c r="S29" s="28">
        <f t="shared" si="26"/>
        <v>7361148.1036858261</v>
      </c>
      <c r="T29" s="28">
        <f t="shared" si="26"/>
        <v>1760186.5254525978</v>
      </c>
      <c r="U29" s="28">
        <f t="shared" si="26"/>
        <v>22039030.675239809</v>
      </c>
      <c r="V29" s="28">
        <f t="shared" si="26"/>
        <v>3158446.3873934578</v>
      </c>
      <c r="W29" s="28">
        <f t="shared" si="26"/>
        <v>2405392.4451926495</v>
      </c>
      <c r="X29" s="28">
        <f t="shared" si="26"/>
        <v>1253212.0154899401</v>
      </c>
      <c r="Y29" s="28">
        <f t="shared" si="26"/>
        <v>19487611.257494103</v>
      </c>
      <c r="Z29" s="28">
        <f t="shared" si="26"/>
        <v>147195.29</v>
      </c>
      <c r="AA29" s="28">
        <f t="shared" si="26"/>
        <v>92296.55</v>
      </c>
      <c r="AB29" s="28">
        <f t="shared" si="26"/>
        <v>-2400</v>
      </c>
      <c r="AC29" s="28">
        <f t="shared" si="26"/>
        <v>21455167.405559704</v>
      </c>
      <c r="AD29" s="28">
        <f t="shared" si="26"/>
        <v>-597629.93000000005</v>
      </c>
      <c r="AE29" s="28">
        <f t="shared" si="26"/>
        <v>-307502.71000000002</v>
      </c>
      <c r="AF29" s="28">
        <f t="shared" si="26"/>
        <v>0</v>
      </c>
      <c r="AG29" s="28">
        <f t="shared" si="26"/>
        <v>14404954.953241179</v>
      </c>
      <c r="AH29" s="28">
        <f t="shared" si="26"/>
        <v>-211123.94</v>
      </c>
      <c r="AI29" s="28">
        <f t="shared" si="26"/>
        <v>-96363.82</v>
      </c>
      <c r="AJ29" s="28">
        <f t="shared" si="26"/>
        <v>0</v>
      </c>
      <c r="AK29" s="28">
        <f t="shared" si="26"/>
        <v>1144446.0423256264</v>
      </c>
      <c r="AL29" s="28">
        <f t="shared" si="26"/>
        <v>0</v>
      </c>
      <c r="AM29" s="28">
        <f t="shared" si="26"/>
        <v>0</v>
      </c>
      <c r="AN29" s="28">
        <f t="shared" si="26"/>
        <v>0</v>
      </c>
      <c r="AO29" s="28">
        <f t="shared" si="26"/>
        <v>72453.427613629668</v>
      </c>
      <c r="AP29" s="28">
        <f t="shared" si="26"/>
        <v>2421.1224190220323</v>
      </c>
      <c r="AQ29" s="28">
        <f t="shared" si="26"/>
        <v>7931.6763068139562</v>
      </c>
      <c r="AR29" s="28">
        <f t="shared" si="26"/>
        <v>0</v>
      </c>
      <c r="AS29" s="28" t="e">
        <f t="shared" si="26"/>
        <v>#DIV/0!</v>
      </c>
      <c r="AT29" s="28">
        <f t="shared" si="26"/>
        <v>-8122173.6560173379</v>
      </c>
      <c r="AU29" s="28">
        <f t="shared" si="26"/>
        <v>-688900.4632240358</v>
      </c>
      <c r="AV29" s="28">
        <f t="shared" si="26"/>
        <v>-61022787.12720795</v>
      </c>
      <c r="AW29" s="28">
        <f t="shared" si="26"/>
        <v>-50093697.729275554</v>
      </c>
      <c r="AX29" s="28">
        <f t="shared" si="26"/>
        <v>-43012215.904261902</v>
      </c>
      <c r="AY29" s="28">
        <f t="shared" si="26"/>
        <v>-27523866.203127492</v>
      </c>
      <c r="AZ29" s="28">
        <f t="shared" si="26"/>
        <v>-9209832.2439196259</v>
      </c>
      <c r="BA29" s="28">
        <f t="shared" si="26"/>
        <v>69167931.356924787</v>
      </c>
      <c r="BB29" s="28">
        <f t="shared" si="26"/>
        <v>27009065.035167493</v>
      </c>
      <c r="BC29" s="28">
        <f t="shared" si="26"/>
        <v>33131586.469690327</v>
      </c>
      <c r="BD29" s="28">
        <f t="shared" si="26"/>
        <v>0</v>
      </c>
      <c r="BE29" s="28">
        <f t="shared" si="26"/>
        <v>1998183.825135876</v>
      </c>
      <c r="BF29" s="28">
        <f t="shared" si="26"/>
        <v>-8967806.6352624726</v>
      </c>
      <c r="BG29" s="28">
        <f t="shared" si="26"/>
        <v>-8022480.3069745274</v>
      </c>
      <c r="BH29" s="28">
        <f t="shared" si="26"/>
        <v>-70820124.885195538</v>
      </c>
      <c r="BI29" s="28">
        <f t="shared" si="26"/>
        <v>7091634.2273319187</v>
      </c>
      <c r="BJ29" s="28">
        <f t="shared" si="26"/>
        <v>-4214133.4392030779</v>
      </c>
      <c r="BK29" s="28">
        <f t="shared" si="26"/>
        <v>-1023870.6355382719</v>
      </c>
      <c r="BL29" s="28">
        <f t="shared" si="26"/>
        <v>-20041322.937003668</v>
      </c>
      <c r="BM29" s="28">
        <f t="shared" si="26"/>
        <v>-1486265.4649603667</v>
      </c>
      <c r="BN29" s="28">
        <f t="shared" si="26"/>
        <v>-13247610.205168763</v>
      </c>
      <c r="BO29" s="28">
        <f t="shared" ref="BO29:CK29" si="27">BO27-BO28</f>
        <v>-13046345.857516127</v>
      </c>
      <c r="BP29" s="28">
        <f t="shared" si="27"/>
        <v>2699402.1974922284</v>
      </c>
      <c r="BQ29" s="28">
        <f t="shared" si="27"/>
        <v>-25832217.946003724</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511440361.10000026</v>
      </c>
      <c r="C31" s="26">
        <f t="shared" ref="C31:BN31" si="28">C15+C20+C27</f>
        <v>294449745.95999992</v>
      </c>
      <c r="D31" s="26">
        <f t="shared" si="28"/>
        <v>179084993.25999981</v>
      </c>
      <c r="E31" s="26">
        <f t="shared" si="28"/>
        <v>538387354.63</v>
      </c>
      <c r="F31" s="26">
        <f t="shared" si="28"/>
        <v>425359328.74000007</v>
      </c>
      <c r="G31" s="26">
        <f t="shared" si="28"/>
        <v>232589541.70999974</v>
      </c>
      <c r="H31" s="26">
        <f t="shared" si="28"/>
        <v>146338760.84999999</v>
      </c>
      <c r="I31" s="26">
        <f t="shared" si="28"/>
        <v>431574444.92999971</v>
      </c>
      <c r="J31" s="26">
        <f t="shared" si="28"/>
        <v>332948179.57000005</v>
      </c>
      <c r="K31" s="26">
        <f t="shared" si="28"/>
        <v>201569235.89000016</v>
      </c>
      <c r="L31" s="26">
        <f t="shared" si="28"/>
        <v>136228262.09</v>
      </c>
      <c r="M31" s="26">
        <f t="shared" si="28"/>
        <v>515209098.85999995</v>
      </c>
      <c r="N31" s="26">
        <f t="shared" si="28"/>
        <v>370693162.94</v>
      </c>
      <c r="O31" s="26">
        <f t="shared" si="28"/>
        <v>209909798.76999992</v>
      </c>
      <c r="P31" s="26">
        <f t="shared" si="28"/>
        <v>135352090.14999995</v>
      </c>
      <c r="Q31" s="26">
        <f t="shared" si="28"/>
        <v>451866568.5200001</v>
      </c>
      <c r="R31" s="26">
        <f t="shared" si="28"/>
        <v>299267942.67000008</v>
      </c>
      <c r="S31" s="26">
        <f t="shared" si="28"/>
        <v>170024098.80000001</v>
      </c>
      <c r="T31" s="26">
        <f t="shared" si="28"/>
        <v>108758833.57000002</v>
      </c>
      <c r="U31" s="26">
        <f t="shared" si="28"/>
        <v>391324311.58000004</v>
      </c>
      <c r="V31" s="26">
        <f t="shared" si="28"/>
        <v>258040861.87000003</v>
      </c>
      <c r="W31" s="26">
        <f t="shared" si="28"/>
        <v>150262191.10999995</v>
      </c>
      <c r="X31" s="26">
        <f t="shared" si="28"/>
        <v>99194270.459999919</v>
      </c>
      <c r="Y31" s="26">
        <f t="shared" si="28"/>
        <v>444040577.99000007</v>
      </c>
      <c r="Z31" s="26">
        <f t="shared" si="28"/>
        <v>279242278.99000013</v>
      </c>
      <c r="AA31" s="26">
        <f t="shared" si="28"/>
        <v>146425961.03000003</v>
      </c>
      <c r="AB31" s="26">
        <f t="shared" si="28"/>
        <v>124904015.53999996</v>
      </c>
      <c r="AC31" s="26">
        <f t="shared" si="28"/>
        <v>443851705.62000006</v>
      </c>
      <c r="AD31" s="26">
        <f t="shared" si="28"/>
        <v>310084658.5399999</v>
      </c>
      <c r="AE31" s="26">
        <f t="shared" si="28"/>
        <v>180074060.04000005</v>
      </c>
      <c r="AF31" s="26">
        <f t="shared" si="28"/>
        <v>112630629.38000003</v>
      </c>
      <c r="AG31" s="26">
        <f t="shared" si="28"/>
        <v>282870442.33000022</v>
      </c>
      <c r="AH31" s="26">
        <f t="shared" si="28"/>
        <v>201180008.63000011</v>
      </c>
      <c r="AI31" s="26">
        <f t="shared" si="28"/>
        <v>109916018.11999997</v>
      </c>
      <c r="AJ31" s="26">
        <f t="shared" si="28"/>
        <v>67077628.009999976</v>
      </c>
      <c r="AK31" s="26">
        <f t="shared" si="28"/>
        <v>196915880.47999987</v>
      </c>
      <c r="AL31" s="26">
        <f t="shared" si="28"/>
        <v>133034906.21999998</v>
      </c>
      <c r="AM31" s="26">
        <f t="shared" si="28"/>
        <v>67100112.639999993</v>
      </c>
      <c r="AN31" s="26">
        <f t="shared" si="28"/>
        <v>44924420.930000037</v>
      </c>
      <c r="AO31" s="26">
        <f t="shared" si="28"/>
        <v>138093372.69999996</v>
      </c>
      <c r="AP31" s="26">
        <f t="shared" si="28"/>
        <v>105790831.61000009</v>
      </c>
      <c r="AQ31" s="26">
        <f t="shared" si="28"/>
        <v>113614586.10999995</v>
      </c>
      <c r="AR31" s="26">
        <f t="shared" si="28"/>
        <v>55021222.969999909</v>
      </c>
      <c r="AS31" s="26">
        <f t="shared" si="28"/>
        <v>0</v>
      </c>
      <c r="AT31" s="26">
        <f t="shared" si="28"/>
        <v>556604.28</v>
      </c>
      <c r="AU31" s="26">
        <f t="shared" si="28"/>
        <v>47918.79</v>
      </c>
      <c r="AV31" s="26">
        <f t="shared" si="28"/>
        <v>665864.48</v>
      </c>
      <c r="AW31" s="26">
        <f t="shared" si="28"/>
        <v>5051692.58</v>
      </c>
      <c r="AX31" s="26">
        <f t="shared" si="28"/>
        <v>2496157.7200000002</v>
      </c>
      <c r="AY31" s="26">
        <f t="shared" si="28"/>
        <v>1832311.81</v>
      </c>
      <c r="AZ31" s="26">
        <f t="shared" si="28"/>
        <v>100000</v>
      </c>
      <c r="BA31" s="26">
        <f t="shared" si="28"/>
        <v>-3923017.4</v>
      </c>
      <c r="BB31" s="26">
        <f t="shared" si="28"/>
        <v>-497364.9</v>
      </c>
      <c r="BC31" s="26">
        <f t="shared" si="28"/>
        <v>-499893.8</v>
      </c>
      <c r="BD31" s="26">
        <f t="shared" si="28"/>
        <v>0</v>
      </c>
      <c r="BE31" s="26">
        <f t="shared" si="28"/>
        <v>-126753.75</v>
      </c>
      <c r="BF31" s="26">
        <f t="shared" si="28"/>
        <v>344265.81</v>
      </c>
      <c r="BG31" s="26">
        <f t="shared" si="28"/>
        <v>344265.81</v>
      </c>
      <c r="BH31" s="26">
        <f t="shared" si="28"/>
        <v>1026367.48</v>
      </c>
      <c r="BI31" s="26">
        <f t="shared" si="28"/>
        <v>-554425.18000000005</v>
      </c>
      <c r="BJ31" s="26">
        <f t="shared" si="28"/>
        <v>287254.11</v>
      </c>
      <c r="BK31" s="26">
        <f t="shared" si="28"/>
        <v>52424.27</v>
      </c>
      <c r="BL31" s="26">
        <f t="shared" si="28"/>
        <v>265460.88</v>
      </c>
      <c r="BM31" s="26">
        <f t="shared" si="28"/>
        <v>178932.4</v>
      </c>
      <c r="BN31" s="26">
        <f t="shared" si="28"/>
        <v>1871129.6000000001</v>
      </c>
      <c r="BO31" s="26">
        <f t="shared" ref="BO31:CJ31" si="29">BO15+BO20+BO27</f>
        <v>1511721.55</v>
      </c>
      <c r="BP31" s="26">
        <f t="shared" si="29"/>
        <v>-174029.22</v>
      </c>
      <c r="BQ31" s="26">
        <f t="shared" si="29"/>
        <v>12349967.949999999</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14.817136616039072</v>
      </c>
      <c r="C32" s="57">
        <f t="shared" ref="C32:D32" si="30">C31/C4*100</f>
        <v>13.402925280424704</v>
      </c>
      <c r="D32" s="57">
        <f t="shared" si="30"/>
        <v>15.286697032450386</v>
      </c>
      <c r="E32" s="57">
        <f>E31/E4</f>
        <v>0.11548789743858551</v>
      </c>
      <c r="F32" s="57">
        <f t="shared" ref="F32:BQ32" si="31">F31/F4</f>
        <v>0.13364858043541908</v>
      </c>
      <c r="G32" s="57">
        <f t="shared" si="31"/>
        <v>0.11738433870662425</v>
      </c>
      <c r="H32" s="57">
        <f t="shared" si="31"/>
        <v>0.13834684275621684</v>
      </c>
      <c r="I32" s="57">
        <f t="shared" si="31"/>
        <v>0.13691142497678241</v>
      </c>
      <c r="J32" s="57">
        <f t="shared" si="31"/>
        <v>0.15448136965877582</v>
      </c>
      <c r="K32" s="57">
        <f t="shared" si="31"/>
        <v>0.15007947332205959</v>
      </c>
      <c r="L32" s="57">
        <f t="shared" si="31"/>
        <v>0.17857891644584431</v>
      </c>
      <c r="M32" s="57">
        <f t="shared" si="31"/>
        <v>0.1767056900652649</v>
      </c>
      <c r="N32" s="57">
        <f t="shared" si="31"/>
        <v>0.18117107853799705</v>
      </c>
      <c r="O32" s="57">
        <f t="shared" si="31"/>
        <v>0.16793105081825721</v>
      </c>
      <c r="P32" s="57">
        <f t="shared" si="31"/>
        <v>0.19188129004541116</v>
      </c>
      <c r="Q32" s="57">
        <f t="shared" si="31"/>
        <v>0.16363673306029453</v>
      </c>
      <c r="R32" s="57">
        <f t="shared" si="31"/>
        <v>0.15918559130160692</v>
      </c>
      <c r="S32" s="57">
        <f t="shared" si="31"/>
        <v>0.15286090009843167</v>
      </c>
      <c r="T32" s="57">
        <f t="shared" si="31"/>
        <v>0.16546084627031665</v>
      </c>
      <c r="U32" s="57">
        <f t="shared" si="31"/>
        <v>0.15502846516518526</v>
      </c>
      <c r="V32" s="57">
        <f t="shared" si="31"/>
        <v>0.14979323540928197</v>
      </c>
      <c r="W32" s="57">
        <f t="shared" si="31"/>
        <v>0.13938030647624852</v>
      </c>
      <c r="X32" s="57">
        <f t="shared" si="31"/>
        <v>0.16119944850569162</v>
      </c>
      <c r="Y32" s="57">
        <f t="shared" si="31"/>
        <v>0.16295342989507589</v>
      </c>
      <c r="Z32" s="57">
        <f t="shared" si="31"/>
        <v>0.1511278812940986</v>
      </c>
      <c r="AA32" s="57">
        <f t="shared" si="31"/>
        <v>0.14127096750997389</v>
      </c>
      <c r="AB32" s="57">
        <f t="shared" si="31"/>
        <v>0.20332066927257439</v>
      </c>
      <c r="AC32" s="57">
        <f t="shared" si="31"/>
        <v>0.18630172282834179</v>
      </c>
      <c r="AD32" s="57">
        <f t="shared" si="31"/>
        <v>0.18978228061172001</v>
      </c>
      <c r="AE32" s="57">
        <f t="shared" si="31"/>
        <v>0.17949140438024375</v>
      </c>
      <c r="AF32" s="57">
        <f t="shared" si="31"/>
        <v>0.19314182921075071</v>
      </c>
      <c r="AG32" s="57">
        <f t="shared" si="31"/>
        <v>0.15552461432722967</v>
      </c>
      <c r="AH32" s="57">
        <f t="shared" si="31"/>
        <v>0.17560042709521137</v>
      </c>
      <c r="AI32" s="57">
        <f t="shared" si="31"/>
        <v>0.16607909636416637</v>
      </c>
      <c r="AJ32" s="57">
        <f t="shared" si="31"/>
        <v>0.18667113345001354</v>
      </c>
      <c r="AK32" s="57">
        <f t="shared" si="31"/>
        <v>0.17193287337498189</v>
      </c>
      <c r="AL32" s="57">
        <f t="shared" si="31"/>
        <v>0.18377155640166704</v>
      </c>
      <c r="AM32" s="57">
        <f t="shared" si="31"/>
        <v>0.16463435499440751</v>
      </c>
      <c r="AN32" s="57">
        <f t="shared" si="31"/>
        <v>0.17604163531376499</v>
      </c>
      <c r="AO32" s="57">
        <f t="shared" si="31"/>
        <v>0.15298074179507948</v>
      </c>
      <c r="AP32" s="57">
        <f t="shared" si="31"/>
        <v>0.16715900526545061</v>
      </c>
      <c r="AQ32" s="57">
        <f t="shared" si="31"/>
        <v>0.15041065267181283</v>
      </c>
      <c r="AR32" s="57">
        <f t="shared" si="31"/>
        <v>9.9588160369455947E-2</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425637775.14590794</v>
      </c>
      <c r="C33" s="26">
        <f t="shared" ref="C33:BN33" si="33">C17+C20+C29</f>
        <v>237692507.84396669</v>
      </c>
      <c r="D33" s="26">
        <f t="shared" si="33"/>
        <v>130066261.47202338</v>
      </c>
      <c r="E33" s="26">
        <f t="shared" si="33"/>
        <v>435684790.0794521</v>
      </c>
      <c r="F33" s="26">
        <f t="shared" si="33"/>
        <v>324720795.0772965</v>
      </c>
      <c r="G33" s="26">
        <f t="shared" si="33"/>
        <v>181412593.5863885</v>
      </c>
      <c r="H33" s="26">
        <f t="shared" si="33"/>
        <v>124546182.25186212</v>
      </c>
      <c r="I33" s="26">
        <f t="shared" si="33"/>
        <v>350659977.89702606</v>
      </c>
      <c r="J33" s="26">
        <f t="shared" si="33"/>
        <v>270173389.34995908</v>
      </c>
      <c r="K33" s="26">
        <f t="shared" si="33"/>
        <v>158175073.04731202</v>
      </c>
      <c r="L33" s="26">
        <f t="shared" si="33"/>
        <v>113221957.23775673</v>
      </c>
      <c r="M33" s="26">
        <f t="shared" si="33"/>
        <v>426527661.92882204</v>
      </c>
      <c r="N33" s="26">
        <f t="shared" si="33"/>
        <v>323322114.96023536</v>
      </c>
      <c r="O33" s="26">
        <f t="shared" si="33"/>
        <v>180863452.4878996</v>
      </c>
      <c r="P33" s="26">
        <f t="shared" si="33"/>
        <v>114833455.93931276</v>
      </c>
      <c r="Q33" s="26">
        <f t="shared" si="33"/>
        <v>398076965.92821622</v>
      </c>
      <c r="R33" s="26">
        <f t="shared" si="33"/>
        <v>261256200.40673211</v>
      </c>
      <c r="S33" s="26">
        <f t="shared" si="33"/>
        <v>146511881.40348715</v>
      </c>
      <c r="T33" s="26">
        <f t="shared" si="33"/>
        <v>92289797.454141438</v>
      </c>
      <c r="U33" s="26">
        <f t="shared" si="33"/>
        <v>331219549.78933775</v>
      </c>
      <c r="V33" s="26">
        <f t="shared" si="33"/>
        <v>222335365.96668559</v>
      </c>
      <c r="W33" s="26">
        <f t="shared" si="33"/>
        <v>126781586.50302966</v>
      </c>
      <c r="X33" s="26">
        <f t="shared" si="33"/>
        <v>80774541.75609754</v>
      </c>
      <c r="Y33" s="26">
        <f t="shared" si="33"/>
        <v>381949162.40951782</v>
      </c>
      <c r="Z33" s="26">
        <f t="shared" si="33"/>
        <v>239363600.39780724</v>
      </c>
      <c r="AA33" s="26">
        <f t="shared" si="33"/>
        <v>123324776.80873437</v>
      </c>
      <c r="AB33" s="26">
        <f t="shared" si="33"/>
        <v>102701521.19152451</v>
      </c>
      <c r="AC33" s="26">
        <f t="shared" si="33"/>
        <v>372995442.4873234</v>
      </c>
      <c r="AD33" s="26">
        <f t="shared" si="33"/>
        <v>264610689.02739346</v>
      </c>
      <c r="AE33" s="26">
        <f t="shared" si="33"/>
        <v>155740265.31113976</v>
      </c>
      <c r="AF33" s="26">
        <f t="shared" si="33"/>
        <v>84547194.378944635</v>
      </c>
      <c r="AG33" s="26">
        <f t="shared" si="33"/>
        <v>211216542.28564167</v>
      </c>
      <c r="AH33" s="26">
        <f t="shared" si="33"/>
        <v>135494397.40270978</v>
      </c>
      <c r="AI33" s="26">
        <f t="shared" si="33"/>
        <v>74991770.919324309</v>
      </c>
      <c r="AJ33" s="26">
        <f t="shared" si="33"/>
        <v>48389010.878503993</v>
      </c>
      <c r="AK33" s="26">
        <f t="shared" si="33"/>
        <v>145843748.80484205</v>
      </c>
      <c r="AL33" s="26">
        <f t="shared" si="33"/>
        <v>101049269.93433616</v>
      </c>
      <c r="AM33" s="26">
        <f t="shared" si="33"/>
        <v>50905125.005242623</v>
      </c>
      <c r="AN33" s="26">
        <f t="shared" si="33"/>
        <v>33775054.624605685</v>
      </c>
      <c r="AO33" s="26">
        <f t="shared" si="33"/>
        <v>111605586.83749385</v>
      </c>
      <c r="AP33" s="26">
        <f t="shared" si="33"/>
        <v>84796941.652140319</v>
      </c>
      <c r="AQ33" s="26">
        <f t="shared" si="33"/>
        <v>87016241.614378363</v>
      </c>
      <c r="AR33" s="26">
        <f t="shared" si="33"/>
        <v>50857099.536314316</v>
      </c>
      <c r="AS33" s="26" t="e">
        <f t="shared" si="33"/>
        <v>#DIV/0!</v>
      </c>
      <c r="AT33" s="26">
        <f t="shared" si="33"/>
        <v>-8122173.6560173379</v>
      </c>
      <c r="AU33" s="26">
        <f t="shared" si="33"/>
        <v>-688900.4632240358</v>
      </c>
      <c r="AV33" s="26">
        <f t="shared" si="33"/>
        <v>-61022787.12720795</v>
      </c>
      <c r="AW33" s="26">
        <f t="shared" si="33"/>
        <v>-50093697.729275554</v>
      </c>
      <c r="AX33" s="26">
        <f t="shared" si="33"/>
        <v>-43012215.904261902</v>
      </c>
      <c r="AY33" s="26">
        <f t="shared" si="33"/>
        <v>-27523866.203127492</v>
      </c>
      <c r="AZ33" s="26">
        <f t="shared" si="33"/>
        <v>-9209832.2439196259</v>
      </c>
      <c r="BA33" s="26">
        <f t="shared" si="33"/>
        <v>69167931.356924787</v>
      </c>
      <c r="BB33" s="26">
        <f t="shared" si="33"/>
        <v>27009065.035167493</v>
      </c>
      <c r="BC33" s="26">
        <f t="shared" si="33"/>
        <v>33131586.469690327</v>
      </c>
      <c r="BD33" s="26">
        <f t="shared" si="33"/>
        <v>0</v>
      </c>
      <c r="BE33" s="26">
        <f t="shared" si="33"/>
        <v>1998183.825135876</v>
      </c>
      <c r="BF33" s="26">
        <f t="shared" si="33"/>
        <v>-8967806.6352624726</v>
      </c>
      <c r="BG33" s="26">
        <f t="shared" si="33"/>
        <v>-8022480.3069745274</v>
      </c>
      <c r="BH33" s="26">
        <f t="shared" si="33"/>
        <v>-70820124.885195538</v>
      </c>
      <c r="BI33" s="26">
        <f t="shared" si="33"/>
        <v>7091634.2273319187</v>
      </c>
      <c r="BJ33" s="26">
        <f t="shared" si="33"/>
        <v>-4214133.4392030779</v>
      </c>
      <c r="BK33" s="26">
        <f t="shared" si="33"/>
        <v>-1023870.6355382719</v>
      </c>
      <c r="BL33" s="26">
        <f t="shared" si="33"/>
        <v>-20041322.937003668</v>
      </c>
      <c r="BM33" s="26">
        <f t="shared" si="33"/>
        <v>-1486265.4649603667</v>
      </c>
      <c r="BN33" s="26">
        <f t="shared" si="33"/>
        <v>-13247610.205168763</v>
      </c>
      <c r="BO33" s="26">
        <f t="shared" ref="BO33:CJ33" si="34">BO17+BO20+BO29</f>
        <v>-13046345.857516127</v>
      </c>
      <c r="BP33" s="26">
        <f t="shared" si="34"/>
        <v>2699402.1974922284</v>
      </c>
      <c r="BQ33" s="26">
        <f t="shared" si="34"/>
        <v>-25832217.946003724</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12.331316694911184</v>
      </c>
      <c r="C34" s="57">
        <f t="shared" ref="C34:D34" si="35">C33/C4*100</f>
        <v>10.819418138612443</v>
      </c>
      <c r="D34" s="57">
        <f t="shared" si="35"/>
        <v>11.102457537464677</v>
      </c>
      <c r="E34" s="57">
        <f>E33/E4</f>
        <v>9.3457470573072216E-2</v>
      </c>
      <c r="F34" s="57">
        <f t="shared" ref="F34:BQ34" si="36">F33/F4</f>
        <v>0.10202779242786637</v>
      </c>
      <c r="G34" s="57">
        <f t="shared" si="36"/>
        <v>9.1556125759700305E-2</v>
      </c>
      <c r="H34" s="57">
        <f t="shared" si="36"/>
        <v>0.11774441024239063</v>
      </c>
      <c r="I34" s="57">
        <f t="shared" si="36"/>
        <v>0.11124235417598893</v>
      </c>
      <c r="J34" s="57">
        <f t="shared" si="36"/>
        <v>0.12535510867198038</v>
      </c>
      <c r="K34" s="57">
        <f t="shared" si="36"/>
        <v>0.11777011283891349</v>
      </c>
      <c r="L34" s="57">
        <f t="shared" si="36"/>
        <v>0.14842040947449273</v>
      </c>
      <c r="M34" s="57">
        <f t="shared" si="36"/>
        <v>0.14628985590477139</v>
      </c>
      <c r="N34" s="57">
        <f t="shared" si="36"/>
        <v>0.15801914396790012</v>
      </c>
      <c r="O34" s="57">
        <f t="shared" si="36"/>
        <v>0.144693529358248</v>
      </c>
      <c r="P34" s="57">
        <f t="shared" si="36"/>
        <v>0.16279313929758493</v>
      </c>
      <c r="Q34" s="57">
        <f t="shared" si="36"/>
        <v>0.14415763136538459</v>
      </c>
      <c r="R34" s="57">
        <f t="shared" si="36"/>
        <v>0.13896651399383497</v>
      </c>
      <c r="S34" s="57">
        <f t="shared" si="36"/>
        <v>0.13172213953503231</v>
      </c>
      <c r="T34" s="57">
        <f t="shared" si="36"/>
        <v>0.14040558810379264</v>
      </c>
      <c r="U34" s="57">
        <f t="shared" si="36"/>
        <v>0.13121714372721083</v>
      </c>
      <c r="V34" s="57">
        <f t="shared" si="36"/>
        <v>0.12906612376312393</v>
      </c>
      <c r="W34" s="57">
        <f t="shared" si="36"/>
        <v>0.11760015112119107</v>
      </c>
      <c r="X34" s="57">
        <f t="shared" si="36"/>
        <v>0.13126576287118846</v>
      </c>
      <c r="Y34" s="57">
        <f t="shared" si="36"/>
        <v>0.14016720350630651</v>
      </c>
      <c r="Z34" s="57">
        <f t="shared" si="36"/>
        <v>0.12954526054538931</v>
      </c>
      <c r="AA34" s="57">
        <f t="shared" si="36"/>
        <v>0.11898307113826624</v>
      </c>
      <c r="AB34" s="57">
        <f t="shared" si="36"/>
        <v>0.16717910896375535</v>
      </c>
      <c r="AC34" s="57">
        <f t="shared" si="36"/>
        <v>0.15656060946175804</v>
      </c>
      <c r="AD34" s="57">
        <f t="shared" si="36"/>
        <v>0.16195067590349477</v>
      </c>
      <c r="AE34" s="57">
        <f t="shared" si="36"/>
        <v>0.15523634516286675</v>
      </c>
      <c r="AF34" s="57">
        <f t="shared" si="36"/>
        <v>0.14498365024572912</v>
      </c>
      <c r="AG34" s="57">
        <f t="shared" si="36"/>
        <v>0.11612868070599941</v>
      </c>
      <c r="AH34" s="57">
        <f t="shared" si="36"/>
        <v>0.1182665922670416</v>
      </c>
      <c r="AI34" s="57">
        <f t="shared" si="36"/>
        <v>0.11330983201586484</v>
      </c>
      <c r="AJ34" s="57">
        <f t="shared" si="36"/>
        <v>0.13466235725969253</v>
      </c>
      <c r="AK34" s="57">
        <f t="shared" si="36"/>
        <v>0.12734033809092607</v>
      </c>
      <c r="AL34" s="57">
        <f t="shared" si="36"/>
        <v>0.1395872868010741</v>
      </c>
      <c r="AM34" s="57">
        <f t="shared" si="36"/>
        <v>0.12489893222849595</v>
      </c>
      <c r="AN34" s="57">
        <f t="shared" si="36"/>
        <v>0.13235153009967404</v>
      </c>
      <c r="AO34" s="57">
        <f t="shared" si="36"/>
        <v>0.12363739931217547</v>
      </c>
      <c r="AP34" s="57">
        <f t="shared" si="36"/>
        <v>0.13398677560621758</v>
      </c>
      <c r="AQ34" s="57">
        <f t="shared" si="36"/>
        <v>0.11519797010566089</v>
      </c>
      <c r="AR34" s="57">
        <f t="shared" si="36"/>
        <v>9.2051116117673276E-2</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-2333585.61</v>
      </c>
      <c r="C35" s="26">
        <f t="shared" ref="C35:BN35" si="38">C23+C68</f>
        <v>1335276.08</v>
      </c>
      <c r="D35" s="26">
        <f t="shared" si="38"/>
        <v>295364.71999999997</v>
      </c>
      <c r="E35" s="26">
        <f t="shared" si="38"/>
        <v>38459520.969999999</v>
      </c>
      <c r="F35" s="26">
        <f t="shared" si="38"/>
        <v>23930406.73</v>
      </c>
      <c r="G35" s="26">
        <f t="shared" si="38"/>
        <v>22691479.600000001</v>
      </c>
      <c r="H35" s="26">
        <f t="shared" si="38"/>
        <v>-1026697.73</v>
      </c>
      <c r="I35" s="26">
        <f t="shared" si="38"/>
        <v>3831490.5999999996</v>
      </c>
      <c r="J35" s="26">
        <f t="shared" si="38"/>
        <v>-1871592.45</v>
      </c>
      <c r="K35" s="26">
        <f t="shared" si="38"/>
        <v>-2154259.86</v>
      </c>
      <c r="L35" s="26">
        <f t="shared" si="38"/>
        <v>-731727.52</v>
      </c>
      <c r="M35" s="26">
        <f t="shared" si="38"/>
        <v>2149836.8200000003</v>
      </c>
      <c r="N35" s="26">
        <f t="shared" si="38"/>
        <v>-10314957.32</v>
      </c>
      <c r="O35" s="26">
        <f t="shared" si="38"/>
        <v>-7357660</v>
      </c>
      <c r="P35" s="26">
        <f t="shared" si="38"/>
        <v>-4232774.92</v>
      </c>
      <c r="Q35" s="26">
        <f t="shared" si="38"/>
        <v>1383561.9499999993</v>
      </c>
      <c r="R35" s="26">
        <f t="shared" si="38"/>
        <v>-17942236.75</v>
      </c>
      <c r="S35" s="26">
        <f t="shared" si="38"/>
        <v>-12917148.289999999</v>
      </c>
      <c r="T35" s="26">
        <f t="shared" si="38"/>
        <v>-7911472.3899999997</v>
      </c>
      <c r="U35" s="26">
        <f t="shared" si="38"/>
        <v>895705.92000000179</v>
      </c>
      <c r="V35" s="26">
        <f t="shared" si="38"/>
        <v>-16614304.869999999</v>
      </c>
      <c r="W35" s="26">
        <f t="shared" si="38"/>
        <v>-11733376.039999999</v>
      </c>
      <c r="X35" s="26">
        <f t="shared" si="38"/>
        <v>-5998847.0300000003</v>
      </c>
      <c r="Y35" s="26">
        <f t="shared" si="38"/>
        <v>1011426.1499999985</v>
      </c>
      <c r="Z35" s="26">
        <f t="shared" si="38"/>
        <v>-16272157.35</v>
      </c>
      <c r="AA35" s="26">
        <f t="shared" si="38"/>
        <v>-12430552.390000001</v>
      </c>
      <c r="AB35" s="26">
        <f t="shared" si="38"/>
        <v>-4426213.4400000004</v>
      </c>
      <c r="AC35" s="26">
        <f t="shared" si="38"/>
        <v>1226834.620000001</v>
      </c>
      <c r="AD35" s="26">
        <f t="shared" si="38"/>
        <v>-17411511.800000001</v>
      </c>
      <c r="AE35" s="26">
        <f t="shared" si="38"/>
        <v>-7335849.6200000001</v>
      </c>
      <c r="AF35" s="26">
        <f t="shared" si="38"/>
        <v>-5493875.6900000004</v>
      </c>
      <c r="AG35" s="26">
        <f t="shared" si="38"/>
        <v>763604.58000000194</v>
      </c>
      <c r="AH35" s="26">
        <f t="shared" si="38"/>
        <v>-12888786.66</v>
      </c>
      <c r="AI35" s="26">
        <f t="shared" si="38"/>
        <v>-3392337.25</v>
      </c>
      <c r="AJ35" s="26">
        <f t="shared" si="38"/>
        <v>-2462071.08</v>
      </c>
      <c r="AK35" s="26">
        <f t="shared" si="38"/>
        <v>549034.74</v>
      </c>
      <c r="AL35" s="26">
        <f t="shared" si="38"/>
        <v>-806903.54</v>
      </c>
      <c r="AM35" s="26">
        <f t="shared" si="38"/>
        <v>-193051.15</v>
      </c>
      <c r="AN35" s="26">
        <f t="shared" si="38"/>
        <v>-3513.59</v>
      </c>
      <c r="AO35" s="26">
        <f t="shared" si="38"/>
        <v>1702315.9300000002</v>
      </c>
      <c r="AP35" s="26">
        <f t="shared" si="38"/>
        <v>869291.8</v>
      </c>
      <c r="AQ35" s="26">
        <f t="shared" si="38"/>
        <v>2451980.81</v>
      </c>
      <c r="AR35" s="26">
        <f t="shared" si="38"/>
        <v>1449589.11</v>
      </c>
      <c r="AS35" s="26">
        <f t="shared" si="38"/>
        <v>0</v>
      </c>
      <c r="AT35" s="26">
        <f t="shared" si="38"/>
        <v>-41018279.990000002</v>
      </c>
      <c r="AU35" s="26">
        <f t="shared" si="38"/>
        <v>-36487207.520000003</v>
      </c>
      <c r="AV35" s="26">
        <f t="shared" si="38"/>
        <v>-3376979.14</v>
      </c>
      <c r="AW35" s="26">
        <f t="shared" si="38"/>
        <v>-50497352.530000001</v>
      </c>
      <c r="AX35" s="26">
        <f t="shared" si="38"/>
        <v>-26367719.059999999</v>
      </c>
      <c r="AY35" s="26">
        <f t="shared" si="38"/>
        <v>-24396518</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-412690.91637733066</v>
      </c>
      <c r="C36" s="26">
        <f t="shared" ref="C36:BN36" si="40">C35*C41</f>
        <v>265283.63544018415</v>
      </c>
      <c r="D36" s="26">
        <f t="shared" si="40"/>
        <v>71457.584276694033</v>
      </c>
      <c r="E36" s="26">
        <f t="shared" si="40"/>
        <v>6986096.3553792881</v>
      </c>
      <c r="F36" s="26">
        <f t="shared" si="40"/>
        <v>5395517.853614632</v>
      </c>
      <c r="G36" s="26">
        <f t="shared" si="40"/>
        <v>4792609.9983692579</v>
      </c>
      <c r="H36" s="26">
        <f t="shared" si="40"/>
        <v>-153174.13857230669</v>
      </c>
      <c r="I36" s="26">
        <f t="shared" si="40"/>
        <v>722953.78257074067</v>
      </c>
      <c r="J36" s="26">
        <f t="shared" si="40"/>
        <v>-354276.92702471989</v>
      </c>
      <c r="K36" s="26">
        <f t="shared" si="40"/>
        <v>-466119.89196753397</v>
      </c>
      <c r="L36" s="26">
        <f t="shared" si="40"/>
        <v>-123571.0617557362</v>
      </c>
      <c r="M36" s="26">
        <f t="shared" si="40"/>
        <v>371304.63120273722</v>
      </c>
      <c r="N36" s="26">
        <f t="shared" si="40"/>
        <v>-1323033.8996415928</v>
      </c>
      <c r="O36" s="26">
        <f t="shared" si="40"/>
        <v>-1018022.7256567983</v>
      </c>
      <c r="P36" s="26">
        <f t="shared" si="40"/>
        <v>-642241.84465171979</v>
      </c>
      <c r="Q36" s="26">
        <f t="shared" si="40"/>
        <v>164719.54652407244</v>
      </c>
      <c r="R36" s="26">
        <f t="shared" si="40"/>
        <v>-2280414.5083918837</v>
      </c>
      <c r="S36" s="26">
        <f t="shared" si="40"/>
        <v>-1788797.3280616901</v>
      </c>
      <c r="T36" s="26">
        <f t="shared" si="40"/>
        <v>-1200421.6012389201</v>
      </c>
      <c r="U36" s="26">
        <f t="shared" si="40"/>
        <v>137331.60699597141</v>
      </c>
      <c r="V36" s="26">
        <f t="shared" si="40"/>
        <v>-2294812.123466813</v>
      </c>
      <c r="W36" s="26">
        <f t="shared" si="40"/>
        <v>-1829083.7034341113</v>
      </c>
      <c r="X36" s="26">
        <f t="shared" si="40"/>
        <v>-1113036.0651348762</v>
      </c>
      <c r="Y36" s="26">
        <f t="shared" si="40"/>
        <v>141431.57046069679</v>
      </c>
      <c r="Z36" s="26">
        <f t="shared" si="40"/>
        <v>-2325057.5551511897</v>
      </c>
      <c r="AA36" s="26">
        <f t="shared" si="40"/>
        <v>-1962367.8649333036</v>
      </c>
      <c r="AB36" s="26">
        <f t="shared" si="40"/>
        <v>-786772.86880652851</v>
      </c>
      <c r="AC36" s="26">
        <f t="shared" si="40"/>
        <v>195539.99269631025</v>
      </c>
      <c r="AD36" s="26">
        <f t="shared" si="40"/>
        <v>-2548489.5217579887</v>
      </c>
      <c r="AE36" s="26">
        <f t="shared" si="40"/>
        <v>-989619.20549647615</v>
      </c>
      <c r="AF36" s="26">
        <f t="shared" si="40"/>
        <v>-1369848.5189446188</v>
      </c>
      <c r="AG36" s="26">
        <f t="shared" si="40"/>
        <v>193172.42739183284</v>
      </c>
      <c r="AH36" s="26">
        <f t="shared" si="40"/>
        <v>-4203798.9405813552</v>
      </c>
      <c r="AI36" s="26">
        <f t="shared" si="40"/>
        <v>-1076922.6392323333</v>
      </c>
      <c r="AJ36" s="26">
        <f t="shared" si="40"/>
        <v>-685961.99850402004</v>
      </c>
      <c r="AK36" s="26">
        <f t="shared" si="40"/>
        <v>142388.18179705113</v>
      </c>
      <c r="AL36" s="26">
        <f t="shared" si="40"/>
        <v>-194004.14433617654</v>
      </c>
      <c r="AM36" s="26">
        <f t="shared" si="40"/>
        <v>-46593.975242627712</v>
      </c>
      <c r="AN36" s="26">
        <f t="shared" si="40"/>
        <v>-872.00460564668901</v>
      </c>
      <c r="AO36" s="26">
        <f t="shared" si="40"/>
        <v>326522.40250609018</v>
      </c>
      <c r="AP36" s="26">
        <f t="shared" si="40"/>
        <v>172508.48785978116</v>
      </c>
      <c r="AQ36" s="26">
        <f t="shared" si="40"/>
        <v>574033.95562159212</v>
      </c>
      <c r="AR36" s="26">
        <f t="shared" si="40"/>
        <v>109707.99368559466</v>
      </c>
      <c r="AS36" s="26" t="e">
        <f t="shared" si="40"/>
        <v>#DIV/0!</v>
      </c>
      <c r="AT36" s="26">
        <f t="shared" si="40"/>
        <v>-639572055.30398273</v>
      </c>
      <c r="AU36" s="26">
        <f t="shared" si="40"/>
        <v>-561042484.52677596</v>
      </c>
      <c r="AV36" s="26">
        <f t="shared" si="40"/>
        <v>-312858390.72279203</v>
      </c>
      <c r="AW36" s="26">
        <f t="shared" si="40"/>
        <v>-551240236.96072447</v>
      </c>
      <c r="AX36" s="26">
        <f t="shared" si="40"/>
        <v>-480719628.0057382</v>
      </c>
      <c r="AY36" s="26">
        <f t="shared" si="40"/>
        <v>-390866074.9768725</v>
      </c>
      <c r="AZ36" s="26">
        <f t="shared" si="40"/>
        <v>-271633794.64608037</v>
      </c>
      <c r="BA36" s="26">
        <f t="shared" si="40"/>
        <v>-469993039.21692479</v>
      </c>
      <c r="BB36" s="26">
        <f t="shared" si="40"/>
        <v>-411356269.45516753</v>
      </c>
      <c r="BC36" s="26">
        <f t="shared" si="40"/>
        <v>-369753675.59969026</v>
      </c>
      <c r="BD36" s="26">
        <f t="shared" si="40"/>
        <v>-238518321.50999999</v>
      </c>
      <c r="BE36" s="26">
        <f t="shared" si="40"/>
        <v>-443526298.50513589</v>
      </c>
      <c r="BF36" s="26">
        <f t="shared" si="40"/>
        <v>-345698191.0647375</v>
      </c>
      <c r="BG36" s="26">
        <f t="shared" si="40"/>
        <v>-269953882.00302547</v>
      </c>
      <c r="BH36" s="26">
        <f t="shared" si="40"/>
        <v>-121508573.45480447</v>
      </c>
      <c r="BI36" s="26">
        <f t="shared" si="40"/>
        <v>-391093998.33733195</v>
      </c>
      <c r="BJ36" s="26">
        <f t="shared" si="40"/>
        <v>-306864935.5207969</v>
      </c>
      <c r="BK36" s="26">
        <f t="shared" si="40"/>
        <v>-248973221.44446173</v>
      </c>
      <c r="BL36" s="26">
        <f t="shared" si="40"/>
        <v>-187089505.25299633</v>
      </c>
      <c r="BM36" s="26">
        <f t="shared" si="40"/>
        <v>-248420484.61503965</v>
      </c>
      <c r="BN36" s="26">
        <f t="shared" si="40"/>
        <v>-175666512.98483121</v>
      </c>
      <c r="BO36" s="26">
        <f t="shared" ref="BO36:CJ36" si="41">BO35*BO41</f>
        <v>-112150891.39248388</v>
      </c>
      <c r="BP36" s="26">
        <f t="shared" si="41"/>
        <v>-124275287.40749222</v>
      </c>
      <c r="BQ36" s="26">
        <f t="shared" si="41"/>
        <v>-78593471.953996271</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-1920894.6936226692</v>
      </c>
      <c r="C37" s="26">
        <f t="shared" ref="C37:BN37" si="42">C35-C36</f>
        <v>1069992.4445598158</v>
      </c>
      <c r="D37" s="26">
        <f t="shared" si="42"/>
        <v>223907.13572330592</v>
      </c>
      <c r="E37" s="26">
        <f t="shared" si="42"/>
        <v>31473424.614620712</v>
      </c>
      <c r="F37" s="26">
        <f t="shared" si="42"/>
        <v>18534888.876385368</v>
      </c>
      <c r="G37" s="26">
        <f t="shared" si="42"/>
        <v>17898869.601630744</v>
      </c>
      <c r="H37" s="26">
        <f t="shared" si="42"/>
        <v>-873523.59142769326</v>
      </c>
      <c r="I37" s="26">
        <f t="shared" si="42"/>
        <v>3108536.817429259</v>
      </c>
      <c r="J37" s="26">
        <f t="shared" si="42"/>
        <v>-1517315.5229752799</v>
      </c>
      <c r="K37" s="26">
        <f t="shared" si="42"/>
        <v>-1688139.9680324658</v>
      </c>
      <c r="L37" s="26">
        <f t="shared" si="42"/>
        <v>-608156.45824426378</v>
      </c>
      <c r="M37" s="26">
        <f t="shared" si="42"/>
        <v>1778532.188797263</v>
      </c>
      <c r="N37" s="26">
        <f t="shared" si="42"/>
        <v>-8991923.4203584082</v>
      </c>
      <c r="O37" s="26">
        <f t="shared" si="42"/>
        <v>-6339637.2743432019</v>
      </c>
      <c r="P37" s="26">
        <f t="shared" si="42"/>
        <v>-3590533.0753482804</v>
      </c>
      <c r="Q37" s="26">
        <f t="shared" si="42"/>
        <v>1218842.4034759267</v>
      </c>
      <c r="R37" s="26">
        <f t="shared" si="42"/>
        <v>-15661822.241608117</v>
      </c>
      <c r="S37" s="26">
        <f t="shared" si="42"/>
        <v>-11128350.961938309</v>
      </c>
      <c r="T37" s="26">
        <f t="shared" si="42"/>
        <v>-6711050.7887610793</v>
      </c>
      <c r="U37" s="26">
        <f t="shared" si="42"/>
        <v>758374.31300403038</v>
      </c>
      <c r="V37" s="26">
        <f t="shared" si="42"/>
        <v>-14319492.746533185</v>
      </c>
      <c r="W37" s="26">
        <f t="shared" si="42"/>
        <v>-9904292.3365658876</v>
      </c>
      <c r="X37" s="26">
        <f t="shared" si="42"/>
        <v>-4885810.9648651239</v>
      </c>
      <c r="Y37" s="26">
        <f t="shared" si="42"/>
        <v>869994.57953930169</v>
      </c>
      <c r="Z37" s="26">
        <f t="shared" si="42"/>
        <v>-13947099.794848811</v>
      </c>
      <c r="AA37" s="26">
        <f t="shared" si="42"/>
        <v>-10468184.525066696</v>
      </c>
      <c r="AB37" s="26">
        <f t="shared" si="42"/>
        <v>-3639440.571193472</v>
      </c>
      <c r="AC37" s="26">
        <f t="shared" si="42"/>
        <v>1031294.6273036908</v>
      </c>
      <c r="AD37" s="26">
        <f t="shared" si="42"/>
        <v>-14863022.278242012</v>
      </c>
      <c r="AE37" s="26">
        <f t="shared" si="42"/>
        <v>-6346230.4145035241</v>
      </c>
      <c r="AF37" s="26">
        <f t="shared" si="42"/>
        <v>-4124027.1710553817</v>
      </c>
      <c r="AG37" s="26">
        <f t="shared" si="42"/>
        <v>570432.15260816913</v>
      </c>
      <c r="AH37" s="26">
        <f t="shared" si="42"/>
        <v>-8684987.7194186449</v>
      </c>
      <c r="AI37" s="26">
        <f t="shared" si="42"/>
        <v>-2315414.6107676667</v>
      </c>
      <c r="AJ37" s="26">
        <f t="shared" si="42"/>
        <v>-1776109.08149598</v>
      </c>
      <c r="AK37" s="26">
        <f t="shared" si="42"/>
        <v>406646.55820294889</v>
      </c>
      <c r="AL37" s="26">
        <f t="shared" si="42"/>
        <v>-612899.39566382347</v>
      </c>
      <c r="AM37" s="26">
        <f t="shared" si="42"/>
        <v>-146457.1747573723</v>
      </c>
      <c r="AN37" s="26">
        <f t="shared" si="42"/>
        <v>-2641.5853943533111</v>
      </c>
      <c r="AO37" s="26">
        <f t="shared" si="42"/>
        <v>1375793.5274939099</v>
      </c>
      <c r="AP37" s="26">
        <f t="shared" si="42"/>
        <v>696783.31214021891</v>
      </c>
      <c r="AQ37" s="26">
        <f t="shared" si="42"/>
        <v>1877946.8543784078</v>
      </c>
      <c r="AR37" s="26">
        <f t="shared" si="42"/>
        <v>1339881.1163144053</v>
      </c>
      <c r="AS37" s="26" t="e">
        <f t="shared" si="42"/>
        <v>#DIV/0!</v>
      </c>
      <c r="AT37" s="26">
        <f t="shared" si="42"/>
        <v>598553775.31398273</v>
      </c>
      <c r="AU37" s="26">
        <f t="shared" si="42"/>
        <v>524555277.00677598</v>
      </c>
      <c r="AV37" s="26">
        <f t="shared" si="42"/>
        <v>309481411.58279204</v>
      </c>
      <c r="AW37" s="26">
        <f t="shared" si="42"/>
        <v>500742884.4307245</v>
      </c>
      <c r="AX37" s="26">
        <f t="shared" si="42"/>
        <v>454351908.9457382</v>
      </c>
      <c r="AY37" s="26">
        <f t="shared" si="42"/>
        <v>366469556.9768725</v>
      </c>
      <c r="AZ37" s="26">
        <f t="shared" si="42"/>
        <v>268716085.84608036</v>
      </c>
      <c r="BA37" s="26">
        <f t="shared" si="42"/>
        <v>444767058.40692478</v>
      </c>
      <c r="BB37" s="26">
        <f t="shared" si="42"/>
        <v>403918220.59516752</v>
      </c>
      <c r="BC37" s="26">
        <f t="shared" si="42"/>
        <v>364257706.68969023</v>
      </c>
      <c r="BD37" s="26">
        <f t="shared" si="42"/>
        <v>232460368.78999999</v>
      </c>
      <c r="BE37" s="26">
        <f t="shared" si="42"/>
        <v>417069699.39513588</v>
      </c>
      <c r="BF37" s="26">
        <f t="shared" si="42"/>
        <v>332917784.9347375</v>
      </c>
      <c r="BG37" s="26">
        <f t="shared" si="42"/>
        <v>258846111.96302548</v>
      </c>
      <c r="BH37" s="26">
        <f t="shared" si="42"/>
        <v>119772755.26480447</v>
      </c>
      <c r="BI37" s="26">
        <f t="shared" si="42"/>
        <v>362735291.07733196</v>
      </c>
      <c r="BJ37" s="26">
        <f t="shared" si="42"/>
        <v>287282481.67079687</v>
      </c>
      <c r="BK37" s="26">
        <f t="shared" si="42"/>
        <v>236846211.16446173</v>
      </c>
      <c r="BL37" s="26">
        <f t="shared" si="42"/>
        <v>184643773.56299633</v>
      </c>
      <c r="BM37" s="26">
        <f t="shared" si="42"/>
        <v>221726675.75503963</v>
      </c>
      <c r="BN37" s="26">
        <f t="shared" si="42"/>
        <v>153925626.08483121</v>
      </c>
      <c r="BO37" s="26">
        <f t="shared" ref="BO37:CJ37" si="43">BO35-BO36</f>
        <v>100505051.69248387</v>
      </c>
      <c r="BP37" s="26">
        <f t="shared" si="43"/>
        <v>116748561.27749223</v>
      </c>
      <c r="BQ37" s="26">
        <f t="shared" si="43"/>
        <v>53172537.113996267</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513773946.71000028</v>
      </c>
      <c r="C38" s="28">
        <f t="shared" ref="C38:BN38" si="44">C31-C35</f>
        <v>293114469.87999994</v>
      </c>
      <c r="D38" s="28">
        <f t="shared" si="44"/>
        <v>178789628.53999981</v>
      </c>
      <c r="E38" s="28">
        <f t="shared" si="44"/>
        <v>499927833.65999997</v>
      </c>
      <c r="F38" s="28">
        <f t="shared" si="44"/>
        <v>401428922.01000005</v>
      </c>
      <c r="G38" s="28">
        <f t="shared" si="44"/>
        <v>209898062.10999975</v>
      </c>
      <c r="H38" s="28">
        <f t="shared" si="44"/>
        <v>147365458.57999998</v>
      </c>
      <c r="I38" s="28">
        <f t="shared" si="44"/>
        <v>427742954.32999969</v>
      </c>
      <c r="J38" s="28">
        <f t="shared" si="44"/>
        <v>334819772.02000004</v>
      </c>
      <c r="K38" s="28">
        <f t="shared" si="44"/>
        <v>203723495.75000018</v>
      </c>
      <c r="L38" s="28">
        <f t="shared" si="44"/>
        <v>136959989.61000001</v>
      </c>
      <c r="M38" s="28">
        <f t="shared" si="44"/>
        <v>513059262.03999996</v>
      </c>
      <c r="N38" s="28">
        <f t="shared" si="44"/>
        <v>381008120.25999999</v>
      </c>
      <c r="O38" s="28">
        <f t="shared" si="44"/>
        <v>217267458.76999992</v>
      </c>
      <c r="P38" s="28">
        <f t="shared" si="44"/>
        <v>139584865.06999993</v>
      </c>
      <c r="Q38" s="28">
        <f t="shared" si="44"/>
        <v>450483006.57000011</v>
      </c>
      <c r="R38" s="28">
        <f t="shared" si="44"/>
        <v>317210179.42000008</v>
      </c>
      <c r="S38" s="28">
        <f t="shared" si="44"/>
        <v>182941247.09</v>
      </c>
      <c r="T38" s="28">
        <f t="shared" si="44"/>
        <v>116670305.96000002</v>
      </c>
      <c r="U38" s="28">
        <f t="shared" si="44"/>
        <v>390428605.66000003</v>
      </c>
      <c r="V38" s="28">
        <f t="shared" si="44"/>
        <v>274655166.74000001</v>
      </c>
      <c r="W38" s="28">
        <f t="shared" si="44"/>
        <v>161995567.14999995</v>
      </c>
      <c r="X38" s="28">
        <f t="shared" si="44"/>
        <v>105193117.48999992</v>
      </c>
      <c r="Y38" s="28">
        <f t="shared" si="44"/>
        <v>443029151.84000009</v>
      </c>
      <c r="Z38" s="28">
        <f t="shared" si="44"/>
        <v>295514436.34000015</v>
      </c>
      <c r="AA38" s="28">
        <f t="shared" si="44"/>
        <v>158856513.42000002</v>
      </c>
      <c r="AB38" s="28">
        <f t="shared" si="44"/>
        <v>129330228.97999996</v>
      </c>
      <c r="AC38" s="28">
        <f t="shared" si="44"/>
        <v>442624871.00000006</v>
      </c>
      <c r="AD38" s="28">
        <f t="shared" si="44"/>
        <v>327496170.33999991</v>
      </c>
      <c r="AE38" s="28">
        <f t="shared" si="44"/>
        <v>187409909.66000006</v>
      </c>
      <c r="AF38" s="28">
        <f t="shared" si="44"/>
        <v>118124505.07000002</v>
      </c>
      <c r="AG38" s="28">
        <f t="shared" si="44"/>
        <v>282106837.75000024</v>
      </c>
      <c r="AH38" s="28">
        <f t="shared" si="44"/>
        <v>214068795.29000011</v>
      </c>
      <c r="AI38" s="28">
        <f t="shared" si="44"/>
        <v>113308355.36999997</v>
      </c>
      <c r="AJ38" s="28">
        <f t="shared" si="44"/>
        <v>69539699.089999974</v>
      </c>
      <c r="AK38" s="28">
        <f t="shared" si="44"/>
        <v>196366845.73999986</v>
      </c>
      <c r="AL38" s="28">
        <f t="shared" si="44"/>
        <v>133841809.75999999</v>
      </c>
      <c r="AM38" s="28">
        <f t="shared" si="44"/>
        <v>67293163.789999992</v>
      </c>
      <c r="AN38" s="28">
        <f t="shared" si="44"/>
        <v>44927934.520000041</v>
      </c>
      <c r="AO38" s="28">
        <f t="shared" si="44"/>
        <v>136391056.76999995</v>
      </c>
      <c r="AP38" s="28">
        <f t="shared" si="44"/>
        <v>104921539.81000009</v>
      </c>
      <c r="AQ38" s="28">
        <f t="shared" si="44"/>
        <v>111162605.29999995</v>
      </c>
      <c r="AR38" s="28">
        <f t="shared" si="44"/>
        <v>53571633.85999991</v>
      </c>
      <c r="AS38" s="28">
        <f t="shared" si="44"/>
        <v>0</v>
      </c>
      <c r="AT38" s="28">
        <f t="shared" si="44"/>
        <v>41574884.270000003</v>
      </c>
      <c r="AU38" s="28">
        <f t="shared" si="44"/>
        <v>36535126.310000002</v>
      </c>
      <c r="AV38" s="28">
        <f t="shared" si="44"/>
        <v>4042843.62</v>
      </c>
      <c r="AW38" s="28">
        <f t="shared" si="44"/>
        <v>55549045.109999999</v>
      </c>
      <c r="AX38" s="28">
        <f t="shared" si="44"/>
        <v>28863876.779999997</v>
      </c>
      <c r="AY38" s="28">
        <f t="shared" si="44"/>
        <v>26228829.809999999</v>
      </c>
      <c r="AZ38" s="28">
        <f t="shared" si="44"/>
        <v>3017708.8</v>
      </c>
      <c r="BA38" s="28">
        <f t="shared" si="44"/>
        <v>21302963.41</v>
      </c>
      <c r="BB38" s="28">
        <f t="shared" si="44"/>
        <v>6940683.96</v>
      </c>
      <c r="BC38" s="28">
        <f t="shared" si="44"/>
        <v>4996075.1100000003</v>
      </c>
      <c r="BD38" s="28">
        <f t="shared" si="44"/>
        <v>6057952.7199999997</v>
      </c>
      <c r="BE38" s="28">
        <f t="shared" si="44"/>
        <v>26329845.359999999</v>
      </c>
      <c r="BF38" s="28">
        <f t="shared" si="44"/>
        <v>13124671.940000001</v>
      </c>
      <c r="BG38" s="28">
        <f t="shared" si="44"/>
        <v>11452035.85</v>
      </c>
      <c r="BH38" s="28">
        <f t="shared" si="44"/>
        <v>2762185.67</v>
      </c>
      <c r="BI38" s="28">
        <f t="shared" si="44"/>
        <v>27804282.080000002</v>
      </c>
      <c r="BJ38" s="28">
        <f t="shared" si="44"/>
        <v>19869707.960000001</v>
      </c>
      <c r="BK38" s="28">
        <f t="shared" si="44"/>
        <v>12179434.549999999</v>
      </c>
      <c r="BL38" s="28">
        <f t="shared" si="44"/>
        <v>2711192.57</v>
      </c>
      <c r="BM38" s="28">
        <f t="shared" si="44"/>
        <v>26872741.259999998</v>
      </c>
      <c r="BN38" s="28">
        <f t="shared" si="44"/>
        <v>23612016.5</v>
      </c>
      <c r="BO38" s="28">
        <f t="shared" ref="BO38:CJ38" si="45">BO31-BO35</f>
        <v>13157561.25</v>
      </c>
      <c r="BP38" s="28">
        <f t="shared" si="45"/>
        <v>7352696.9100000001</v>
      </c>
      <c r="BQ38" s="28">
        <f t="shared" si="45"/>
        <v>37770902.789999999</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14.88474382778557</v>
      </c>
      <c r="C39" s="57">
        <f t="shared" ref="C39:D39" si="46">C38/C4*100</f>
        <v>13.342145450336451</v>
      </c>
      <c r="D39" s="57">
        <f t="shared" si="46"/>
        <v>15.261484696639762</v>
      </c>
      <c r="E39" s="57">
        <f>E38/E4</f>
        <v>0.10723805803369657</v>
      </c>
      <c r="F39" s="57">
        <f t="shared" ref="F39:BQ39" si="47">F38/F4</f>
        <v>0.12612960842137955</v>
      </c>
      <c r="G39" s="57">
        <f t="shared" si="47"/>
        <v>0.10593230046131935</v>
      </c>
      <c r="H39" s="57">
        <f t="shared" si="47"/>
        <v>0.13931747000893813</v>
      </c>
      <c r="I39" s="57">
        <f t="shared" si="47"/>
        <v>0.13569593401341865</v>
      </c>
      <c r="J39" s="57">
        <f t="shared" si="47"/>
        <v>0.15534975153577668</v>
      </c>
      <c r="K39" s="57">
        <f t="shared" si="47"/>
        <v>0.15168343924354621</v>
      </c>
      <c r="L39" s="57">
        <f t="shared" si="47"/>
        <v>0.17953812348299258</v>
      </c>
      <c r="M39" s="57">
        <f t="shared" si="47"/>
        <v>0.17596834206491632</v>
      </c>
      <c r="N39" s="57">
        <f t="shared" si="47"/>
        <v>0.18621236909732761</v>
      </c>
      <c r="O39" s="57">
        <f t="shared" si="47"/>
        <v>0.17381729139684637</v>
      </c>
      <c r="P39" s="57">
        <f t="shared" si="47"/>
        <v>0.19788186462997334</v>
      </c>
      <c r="Q39" s="57">
        <f t="shared" si="47"/>
        <v>0.16313569675166459</v>
      </c>
      <c r="R39" s="57">
        <f t="shared" si="47"/>
        <v>0.16872936515469755</v>
      </c>
      <c r="S39" s="57">
        <f t="shared" si="47"/>
        <v>0.16447411803783074</v>
      </c>
      <c r="T39" s="57">
        <f t="shared" si="47"/>
        <v>0.17749700805988858</v>
      </c>
      <c r="U39" s="57">
        <f t="shared" si="47"/>
        <v>0.15467361904418575</v>
      </c>
      <c r="V39" s="57">
        <f t="shared" si="47"/>
        <v>0.1594378725513145</v>
      </c>
      <c r="W39" s="57">
        <f t="shared" si="47"/>
        <v>0.15026395948553462</v>
      </c>
      <c r="X39" s="57">
        <f t="shared" si="47"/>
        <v>0.17094810463695431</v>
      </c>
      <c r="Y39" s="57">
        <f t="shared" si="47"/>
        <v>0.16258225805088514</v>
      </c>
      <c r="Z39" s="57">
        <f t="shared" si="47"/>
        <v>0.15993448706054758</v>
      </c>
      <c r="AA39" s="57">
        <f t="shared" si="47"/>
        <v>0.15326389656753991</v>
      </c>
      <c r="AB39" s="57">
        <f t="shared" si="47"/>
        <v>0.21052572729311386</v>
      </c>
      <c r="AC39" s="57">
        <f t="shared" si="47"/>
        <v>0.18578677290151391</v>
      </c>
      <c r="AD39" s="57">
        <f t="shared" si="47"/>
        <v>0.20043871370924979</v>
      </c>
      <c r="AE39" s="57">
        <f t="shared" si="47"/>
        <v>0.18680351779804305</v>
      </c>
      <c r="AF39" s="57">
        <f t="shared" si="47"/>
        <v>0.20256286508761756</v>
      </c>
      <c r="AG39" s="57">
        <f t="shared" si="47"/>
        <v>0.15510477792854202</v>
      </c>
      <c r="AH39" s="57">
        <f t="shared" si="47"/>
        <v>0.18685043378149979</v>
      </c>
      <c r="AI39" s="57">
        <f t="shared" si="47"/>
        <v>0.1712047942804375</v>
      </c>
      <c r="AJ39" s="57">
        <f t="shared" si="47"/>
        <v>0.19352286051271739</v>
      </c>
      <c r="AK39" s="57">
        <f t="shared" si="47"/>
        <v>0.17145349547919822</v>
      </c>
      <c r="AL39" s="57">
        <f t="shared" si="47"/>
        <v>0.184886195586413</v>
      </c>
      <c r="AM39" s="57">
        <f t="shared" si="47"/>
        <v>0.16510801815696727</v>
      </c>
      <c r="AN39" s="57">
        <f t="shared" si="47"/>
        <v>0.17605540373006548</v>
      </c>
      <c r="AO39" s="57">
        <f t="shared" si="47"/>
        <v>0.15109490506990417</v>
      </c>
      <c r="AP39" s="57">
        <f t="shared" si="47"/>
        <v>0.16578544623049471</v>
      </c>
      <c r="AQ39" s="57">
        <f t="shared" si="47"/>
        <v>0.14716455508348214</v>
      </c>
      <c r="AR39" s="57">
        <f t="shared" si="47"/>
        <v>9.6964410751327501E-2</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90860108.140000001</v>
      </c>
      <c r="C40" s="26">
        <f t="shared" ref="C40:BN40" si="49">C60</f>
        <v>58234003.689999998</v>
      </c>
      <c r="D40" s="26">
        <f t="shared" si="49"/>
        <v>43254573.359999999</v>
      </c>
      <c r="E40" s="26">
        <f t="shared" si="49"/>
        <v>90810907.900000006</v>
      </c>
      <c r="F40" s="26">
        <f t="shared" si="49"/>
        <v>90508988.840000004</v>
      </c>
      <c r="G40" s="26">
        <f t="shared" si="49"/>
        <v>44332038.670000002</v>
      </c>
      <c r="H40" s="26">
        <f t="shared" si="49"/>
        <v>21985611.260000002</v>
      </c>
      <c r="I40" s="26">
        <f t="shared" si="49"/>
        <v>80709681.709999993</v>
      </c>
      <c r="J40" s="26">
        <f t="shared" si="49"/>
        <v>63378605.710000001</v>
      </c>
      <c r="K40" s="26">
        <f t="shared" si="49"/>
        <v>44079906.789999999</v>
      </c>
      <c r="L40" s="26">
        <f t="shared" si="49"/>
        <v>23129226.210000001</v>
      </c>
      <c r="M40" s="26">
        <f t="shared" si="49"/>
        <v>88611971.989999995</v>
      </c>
      <c r="N40" s="26">
        <f t="shared" si="49"/>
        <v>48869485.689999998</v>
      </c>
      <c r="O40" s="26">
        <f t="shared" si="49"/>
        <v>30061624.289999999</v>
      </c>
      <c r="P40" s="26">
        <f t="shared" si="49"/>
        <v>21179307.41</v>
      </c>
      <c r="Q40" s="26">
        <f t="shared" si="49"/>
        <v>53632117.130000003</v>
      </c>
      <c r="R40" s="26">
        <f t="shared" si="49"/>
        <v>40316639.75</v>
      </c>
      <c r="S40" s="26">
        <f t="shared" si="49"/>
        <v>25334137.739999998</v>
      </c>
      <c r="T40" s="26">
        <f t="shared" si="49"/>
        <v>17702590.440000001</v>
      </c>
      <c r="U40" s="26">
        <f t="shared" si="49"/>
        <v>59861374.850000001</v>
      </c>
      <c r="V40" s="26">
        <f t="shared" si="49"/>
        <v>37936104.539999999</v>
      </c>
      <c r="W40" s="26">
        <f t="shared" si="49"/>
        <v>25253043.190000001</v>
      </c>
      <c r="X40" s="26">
        <f t="shared" si="49"/>
        <v>19517706.149999999</v>
      </c>
      <c r="Y40" s="26">
        <f t="shared" si="49"/>
        <v>61950453.530000001</v>
      </c>
      <c r="Z40" s="26">
        <f t="shared" si="49"/>
        <v>42224768.240000002</v>
      </c>
      <c r="AA40" s="26">
        <f t="shared" si="49"/>
        <v>25078122.620000001</v>
      </c>
      <c r="AB40" s="26">
        <f t="shared" si="49"/>
        <v>22988840.609999999</v>
      </c>
      <c r="AC40" s="26">
        <f t="shared" si="49"/>
        <v>70548110.260000005</v>
      </c>
      <c r="AD40" s="26">
        <f t="shared" si="49"/>
        <v>47934985.090000004</v>
      </c>
      <c r="AE40" s="26">
        <f t="shared" si="49"/>
        <v>25281931.27</v>
      </c>
      <c r="AF40" s="26">
        <f t="shared" si="49"/>
        <v>29453283.52</v>
      </c>
      <c r="AG40" s="26">
        <f t="shared" si="49"/>
        <v>71365814.269999996</v>
      </c>
      <c r="AH40" s="26">
        <f t="shared" si="49"/>
        <v>69820550.109999999</v>
      </c>
      <c r="AI40" s="26">
        <f t="shared" si="49"/>
        <v>35970578.43</v>
      </c>
      <c r="AJ40" s="26">
        <f t="shared" si="49"/>
        <v>19374579.129999999</v>
      </c>
      <c r="AK40" s="26">
        <f t="shared" si="49"/>
        <v>50926318.670000002</v>
      </c>
      <c r="AL40" s="26">
        <f t="shared" si="49"/>
        <v>32179640.43</v>
      </c>
      <c r="AM40" s="26">
        <f t="shared" si="49"/>
        <v>16241581.609999999</v>
      </c>
      <c r="AN40" s="26">
        <f t="shared" si="49"/>
        <v>11150238.310000001</v>
      </c>
      <c r="AO40" s="26">
        <f t="shared" si="49"/>
        <v>26161263.460000001</v>
      </c>
      <c r="AP40" s="26">
        <f t="shared" si="49"/>
        <v>20821381.469999999</v>
      </c>
      <c r="AQ40" s="26">
        <f t="shared" si="49"/>
        <v>26024310.539999999</v>
      </c>
      <c r="AR40" s="26">
        <f t="shared" si="49"/>
        <v>4054415.44</v>
      </c>
      <c r="AS40" s="26">
        <f t="shared" si="49"/>
        <v>0</v>
      </c>
      <c r="AT40" s="26">
        <f t="shared" si="49"/>
        <v>648250833.24000001</v>
      </c>
      <c r="AU40" s="26">
        <f t="shared" si="49"/>
        <v>561779303.77999997</v>
      </c>
      <c r="AV40" s="26">
        <f t="shared" si="49"/>
        <v>374547042.32999998</v>
      </c>
      <c r="AW40" s="26">
        <f t="shared" si="49"/>
        <v>606385627.26999998</v>
      </c>
      <c r="AX40" s="26">
        <f t="shared" si="49"/>
        <v>526228001.63</v>
      </c>
      <c r="AY40" s="26">
        <f t="shared" si="49"/>
        <v>420222252.99000001</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608</v>
      </c>
      <c r="B41" s="57">
        <f>B40/B38</f>
        <v>0.1768484149922962</v>
      </c>
      <c r="C41" s="57">
        <f t="shared" ref="C41:BN41" si="51">C40/C38</f>
        <v>0.19867324773778927</v>
      </c>
      <c r="D41" s="57">
        <f t="shared" si="51"/>
        <v>0.24192999176304483</v>
      </c>
      <c r="E41" s="57">
        <f t="shared" si="51"/>
        <v>0.18164803354749867</v>
      </c>
      <c r="F41" s="57">
        <f t="shared" si="51"/>
        <v>0.22546703507762034</v>
      </c>
      <c r="G41" s="57">
        <f t="shared" si="51"/>
        <v>0.21120747006595628</v>
      </c>
      <c r="H41" s="57">
        <f t="shared" si="51"/>
        <v>0.14919107551967287</v>
      </c>
      <c r="I41" s="57">
        <f t="shared" si="51"/>
        <v>0.18868734339860857</v>
      </c>
      <c r="J41" s="57">
        <f t="shared" si="51"/>
        <v>0.18929170558724998</v>
      </c>
      <c r="K41" s="57">
        <f t="shared" si="51"/>
        <v>0.21637124685948239</v>
      </c>
      <c r="L41" s="57">
        <f t="shared" si="51"/>
        <v>0.16887578829307417</v>
      </c>
      <c r="M41" s="57">
        <f t="shared" si="51"/>
        <v>0.17271293697664791</v>
      </c>
      <c r="N41" s="57">
        <f t="shared" si="51"/>
        <v>0.12826363295525423</v>
      </c>
      <c r="O41" s="57">
        <f t="shared" si="51"/>
        <v>0.13836229530269112</v>
      </c>
      <c r="P41" s="57">
        <f t="shared" si="51"/>
        <v>0.1517306865567328</v>
      </c>
      <c r="Q41" s="57">
        <f t="shared" si="51"/>
        <v>0.11905469539985003</v>
      </c>
      <c r="R41" s="57">
        <f t="shared" si="51"/>
        <v>0.12709755980629805</v>
      </c>
      <c r="S41" s="57">
        <f t="shared" si="51"/>
        <v>0.13848237148802525</v>
      </c>
      <c r="T41" s="57">
        <f t="shared" si="51"/>
        <v>0.15173175637397632</v>
      </c>
      <c r="U41" s="57">
        <f t="shared" si="51"/>
        <v>0.15332220534611532</v>
      </c>
      <c r="V41" s="57">
        <f t="shared" si="51"/>
        <v>0.13812266847290694</v>
      </c>
      <c r="W41" s="57">
        <f t="shared" si="51"/>
        <v>0.15588724823943437</v>
      </c>
      <c r="X41" s="57">
        <f t="shared" si="51"/>
        <v>0.18554166485136664</v>
      </c>
      <c r="Y41" s="57">
        <f t="shared" si="51"/>
        <v>0.13983380839095075</v>
      </c>
      <c r="Z41" s="57">
        <f t="shared" si="51"/>
        <v>0.14288563619077771</v>
      </c>
      <c r="AA41" s="57">
        <f t="shared" si="51"/>
        <v>0.15786650531411367</v>
      </c>
      <c r="AB41" s="57">
        <f t="shared" si="51"/>
        <v>0.17775303416152666</v>
      </c>
      <c r="AC41" s="57">
        <f t="shared" si="51"/>
        <v>0.15938577988311911</v>
      </c>
      <c r="AD41" s="57">
        <f t="shared" si="51"/>
        <v>0.14636807825946443</v>
      </c>
      <c r="AE41" s="57">
        <f t="shared" si="51"/>
        <v>0.13490178462743299</v>
      </c>
      <c r="AF41" s="57">
        <f t="shared" si="51"/>
        <v>0.24934101101669059</v>
      </c>
      <c r="AG41" s="57">
        <f t="shared" si="51"/>
        <v>0.25297442216995653</v>
      </c>
      <c r="AH41" s="57">
        <f t="shared" si="51"/>
        <v>0.32615940130561177</v>
      </c>
      <c r="AI41" s="57">
        <f t="shared" si="51"/>
        <v>0.31745742238108354</v>
      </c>
      <c r="AJ41" s="57">
        <f t="shared" si="51"/>
        <v>0.27861177692076217</v>
      </c>
      <c r="AK41" s="57">
        <f t="shared" si="51"/>
        <v>0.25934275451686561</v>
      </c>
      <c r="AL41" s="57">
        <f t="shared" si="51"/>
        <v>0.24043040427877729</v>
      </c>
      <c r="AM41" s="57">
        <f t="shared" si="51"/>
        <v>0.24135559535712536</v>
      </c>
      <c r="AN41" s="57">
        <f t="shared" si="51"/>
        <v>0.24818052352343017</v>
      </c>
      <c r="AO41" s="57">
        <f t="shared" si="51"/>
        <v>0.19181069550708496</v>
      </c>
      <c r="AP41" s="57">
        <f t="shared" si="51"/>
        <v>0.19844715877888316</v>
      </c>
      <c r="AQ41" s="57">
        <f t="shared" si="51"/>
        <v>0.23411029698131777</v>
      </c>
      <c r="AR41" s="57">
        <f t="shared" si="51"/>
        <v>7.5682131528702401E-2</v>
      </c>
      <c r="AS41" s="57" t="e">
        <f t="shared" si="51"/>
        <v>#DIV/0!</v>
      </c>
      <c r="AT41" s="57">
        <f t="shared" si="51"/>
        <v>15.592366512196667</v>
      </c>
      <c r="AU41" s="57">
        <f t="shared" si="51"/>
        <v>15.376416082794156</v>
      </c>
      <c r="AV41" s="57">
        <f t="shared" si="51"/>
        <v>92.644454630179325</v>
      </c>
      <c r="AW41" s="57">
        <f t="shared" si="51"/>
        <v>10.916220541131098</v>
      </c>
      <c r="AX41" s="57">
        <f t="shared" si="51"/>
        <v>18.231369460204579</v>
      </c>
      <c r="AY41" s="57">
        <f t="shared" si="51"/>
        <v>16.021387764306059</v>
      </c>
      <c r="AZ41" s="57">
        <f t="shared" si="51"/>
        <v>93.098322439196252</v>
      </c>
      <c r="BA41" s="57">
        <f t="shared" si="51"/>
        <v>18.631308838172576</v>
      </c>
      <c r="BB41" s="57">
        <f t="shared" si="51"/>
        <v>55.304324722487436</v>
      </c>
      <c r="BC41" s="57">
        <f t="shared" si="51"/>
        <v>67.277250227328935</v>
      </c>
      <c r="BD41" s="57">
        <f t="shared" si="51"/>
        <v>39.372760490940244</v>
      </c>
      <c r="BE41" s="57">
        <f t="shared" si="51"/>
        <v>16.764297507062913</v>
      </c>
      <c r="BF41" s="57">
        <f t="shared" si="51"/>
        <v>27.049077122304052</v>
      </c>
      <c r="BG41" s="57">
        <f t="shared" si="51"/>
        <v>24.303157252166653</v>
      </c>
      <c r="BH41" s="57">
        <f t="shared" si="51"/>
        <v>70.000749015543192</v>
      </c>
      <c r="BI41" s="57">
        <f t="shared" si="51"/>
        <v>13.790967082937895</v>
      </c>
      <c r="BJ41" s="57">
        <f t="shared" si="51"/>
        <v>15.67040258955069</v>
      </c>
      <c r="BK41" s="57">
        <f t="shared" si="51"/>
        <v>20.530470057823827</v>
      </c>
      <c r="BL41" s="57">
        <f t="shared" si="51"/>
        <v>76.496332781702776</v>
      </c>
      <c r="BM41" s="57">
        <f t="shared" si="51"/>
        <v>9.3062959249435355</v>
      </c>
      <c r="BN41" s="57">
        <f t="shared" si="51"/>
        <v>8.0800067537645504</v>
      </c>
      <c r="BO41" s="57">
        <f t="shared" ref="BO41:CJ41" si="52">BO40/BO38</f>
        <v>9.6301249443167141</v>
      </c>
      <c r="BP41" s="57">
        <f t="shared" si="52"/>
        <v>16.511200920697274</v>
      </c>
      <c r="BQ41" s="57">
        <f t="shared" si="52"/>
        <v>3.0916829946917983</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422913838.57000029</v>
      </c>
      <c r="C42" s="28">
        <f t="shared" ref="C42:BN42" si="53">C38-C40</f>
        <v>234880466.18999994</v>
      </c>
      <c r="D42" s="28">
        <f t="shared" si="53"/>
        <v>135535055.17999983</v>
      </c>
      <c r="E42" s="28">
        <f t="shared" si="53"/>
        <v>409116925.75999999</v>
      </c>
      <c r="F42" s="28">
        <f t="shared" si="53"/>
        <v>310919933.17000008</v>
      </c>
      <c r="G42" s="28">
        <f t="shared" si="53"/>
        <v>165566023.43999976</v>
      </c>
      <c r="H42" s="28">
        <f t="shared" si="53"/>
        <v>125379847.31999998</v>
      </c>
      <c r="I42" s="28">
        <f t="shared" si="53"/>
        <v>347033272.61999971</v>
      </c>
      <c r="J42" s="28">
        <f t="shared" si="53"/>
        <v>271441166.31000006</v>
      </c>
      <c r="K42" s="28">
        <f t="shared" si="53"/>
        <v>159643588.96000019</v>
      </c>
      <c r="L42" s="28">
        <f t="shared" si="53"/>
        <v>113830763.40000001</v>
      </c>
      <c r="M42" s="28">
        <f t="shared" si="53"/>
        <v>424447290.04999995</v>
      </c>
      <c r="N42" s="28">
        <f t="shared" si="53"/>
        <v>332138634.56999999</v>
      </c>
      <c r="O42" s="28">
        <f t="shared" si="53"/>
        <v>187205834.47999993</v>
      </c>
      <c r="P42" s="28">
        <f t="shared" si="53"/>
        <v>118405557.65999994</v>
      </c>
      <c r="Q42" s="28">
        <f t="shared" si="53"/>
        <v>396850889.44000012</v>
      </c>
      <c r="R42" s="28">
        <f t="shared" si="53"/>
        <v>276893539.67000008</v>
      </c>
      <c r="S42" s="28">
        <f t="shared" si="53"/>
        <v>157607109.34999999</v>
      </c>
      <c r="T42" s="28">
        <f t="shared" si="53"/>
        <v>98967715.520000026</v>
      </c>
      <c r="U42" s="28">
        <f t="shared" si="53"/>
        <v>330567230.81</v>
      </c>
      <c r="V42" s="28">
        <f t="shared" si="53"/>
        <v>236719062.20000002</v>
      </c>
      <c r="W42" s="28">
        <f t="shared" si="53"/>
        <v>136742523.95999995</v>
      </c>
      <c r="X42" s="28">
        <f t="shared" si="53"/>
        <v>85675411.339999914</v>
      </c>
      <c r="Y42" s="28">
        <f t="shared" si="53"/>
        <v>381078698.31000006</v>
      </c>
      <c r="Z42" s="28">
        <f t="shared" si="53"/>
        <v>253289668.10000014</v>
      </c>
      <c r="AA42" s="28">
        <f t="shared" si="53"/>
        <v>133778390.80000001</v>
      </c>
      <c r="AB42" s="28">
        <f t="shared" si="53"/>
        <v>106341388.36999996</v>
      </c>
      <c r="AC42" s="28">
        <f t="shared" si="53"/>
        <v>372076760.74000007</v>
      </c>
      <c r="AD42" s="28">
        <f t="shared" si="53"/>
        <v>279561185.24999988</v>
      </c>
      <c r="AE42" s="28">
        <f t="shared" si="53"/>
        <v>162127978.39000005</v>
      </c>
      <c r="AF42" s="28">
        <f t="shared" si="53"/>
        <v>88671221.550000027</v>
      </c>
      <c r="AG42" s="28">
        <f t="shared" si="53"/>
        <v>210741023.48000026</v>
      </c>
      <c r="AH42" s="28">
        <f t="shared" si="53"/>
        <v>144248245.18000013</v>
      </c>
      <c r="AI42" s="28">
        <f t="shared" si="53"/>
        <v>77337776.939999968</v>
      </c>
      <c r="AJ42" s="28">
        <f t="shared" si="53"/>
        <v>50165119.959999979</v>
      </c>
      <c r="AK42" s="28">
        <f t="shared" si="53"/>
        <v>145440527.06999987</v>
      </c>
      <c r="AL42" s="28">
        <f t="shared" si="53"/>
        <v>101662169.32999998</v>
      </c>
      <c r="AM42" s="28">
        <f t="shared" si="53"/>
        <v>51051582.179999992</v>
      </c>
      <c r="AN42" s="28">
        <f t="shared" si="53"/>
        <v>33777696.210000038</v>
      </c>
      <c r="AO42" s="28">
        <f t="shared" si="53"/>
        <v>110229793.30999994</v>
      </c>
      <c r="AP42" s="28">
        <f t="shared" si="53"/>
        <v>84100158.340000093</v>
      </c>
      <c r="AQ42" s="28">
        <f t="shared" si="53"/>
        <v>85138294.759999961</v>
      </c>
      <c r="AR42" s="28">
        <f t="shared" si="53"/>
        <v>49517218.419999912</v>
      </c>
      <c r="AS42" s="28">
        <f t="shared" si="53"/>
        <v>0</v>
      </c>
      <c r="AT42" s="28">
        <f t="shared" si="53"/>
        <v>-606675948.97000003</v>
      </c>
      <c r="AU42" s="28">
        <f t="shared" si="53"/>
        <v>-525244177.46999997</v>
      </c>
      <c r="AV42" s="28">
        <f t="shared" si="53"/>
        <v>-370504198.70999998</v>
      </c>
      <c r="AW42" s="28">
        <f t="shared" si="53"/>
        <v>-550836582.15999997</v>
      </c>
      <c r="AX42" s="28">
        <f t="shared" si="53"/>
        <v>-497364124.85000002</v>
      </c>
      <c r="AY42" s="28">
        <f t="shared" si="53"/>
        <v>-393993423.18000001</v>
      </c>
      <c r="AZ42" s="28">
        <f t="shared" si="53"/>
        <v>-277925918.08999997</v>
      </c>
      <c r="BA42" s="28">
        <f t="shared" si="53"/>
        <v>-375599127.04999995</v>
      </c>
      <c r="BB42" s="28">
        <f t="shared" si="53"/>
        <v>-376909155.56</v>
      </c>
      <c r="BC42" s="28">
        <f t="shared" si="53"/>
        <v>-331126120.21999997</v>
      </c>
      <c r="BD42" s="28">
        <f t="shared" si="53"/>
        <v>-232460368.78999999</v>
      </c>
      <c r="BE42" s="28">
        <f t="shared" si="53"/>
        <v>-415071515.56999999</v>
      </c>
      <c r="BF42" s="28">
        <f t="shared" si="53"/>
        <v>-341885591.56999999</v>
      </c>
      <c r="BG42" s="28">
        <f t="shared" si="53"/>
        <v>-266868592.27000001</v>
      </c>
      <c r="BH42" s="28">
        <f t="shared" si="53"/>
        <v>-190592880.15000001</v>
      </c>
      <c r="BI42" s="28">
        <f t="shared" si="53"/>
        <v>-355643656.85000002</v>
      </c>
      <c r="BJ42" s="28">
        <f t="shared" si="53"/>
        <v>-291496615.11000001</v>
      </c>
      <c r="BK42" s="28">
        <f t="shared" si="53"/>
        <v>-237870081.79999998</v>
      </c>
      <c r="BL42" s="28">
        <f t="shared" si="53"/>
        <v>-204685096.5</v>
      </c>
      <c r="BM42" s="28">
        <f t="shared" si="53"/>
        <v>-223212941.22</v>
      </c>
      <c r="BN42" s="28">
        <f t="shared" si="53"/>
        <v>-167173236.28999999</v>
      </c>
      <c r="BO42" s="28">
        <f t="shared" ref="BO42:CK42" si="54">BO38-BO40</f>
        <v>-113551397.55</v>
      </c>
      <c r="BP42" s="28">
        <f t="shared" si="54"/>
        <v>-114049159.08</v>
      </c>
      <c r="BQ42" s="28">
        <f t="shared" si="54"/>
        <v>-79004755.060000002</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12.25240047427533</v>
      </c>
      <c r="C43" s="57">
        <f t="shared" ref="C43:D43" si="55">C42/C4*100</f>
        <v>10.691418081928141</v>
      </c>
      <c r="D43" s="57">
        <f t="shared" si="55"/>
        <v>11.56927382968987</v>
      </c>
      <c r="E43" s="57">
        <f>E42/E4</f>
        <v>8.7758475670423053E-2</v>
      </c>
      <c r="F43" s="57">
        <f t="shared" ref="F43:BQ43" si="56">F42/F4</f>
        <v>9.769153957510987E-2</v>
      </c>
      <c r="G43" s="57">
        <f t="shared" si="56"/>
        <v>8.3558607282617367E-2</v>
      </c>
      <c r="H43" s="57">
        <f t="shared" si="56"/>
        <v>0.11853254681962487</v>
      </c>
      <c r="I43" s="57">
        <f t="shared" si="56"/>
        <v>0.11009182871443379</v>
      </c>
      <c r="J43" s="57">
        <f t="shared" si="56"/>
        <v>0.12594333210501402</v>
      </c>
      <c r="K43" s="57">
        <f t="shared" si="56"/>
        <v>0.11886350436648557</v>
      </c>
      <c r="L43" s="57">
        <f t="shared" si="56"/>
        <v>0.14921848135114291</v>
      </c>
      <c r="M43" s="57">
        <f t="shared" si="56"/>
        <v>0.14557633289197322</v>
      </c>
      <c r="N43" s="57">
        <f t="shared" si="56"/>
        <v>0.16232809413569965</v>
      </c>
      <c r="O43" s="57">
        <f t="shared" si="56"/>
        <v>0.149767531995882</v>
      </c>
      <c r="P43" s="57">
        <f t="shared" si="56"/>
        <v>0.16785711345254103</v>
      </c>
      <c r="Q43" s="57">
        <f t="shared" si="56"/>
        <v>0.14371362606605287</v>
      </c>
      <c r="R43" s="57">
        <f t="shared" si="56"/>
        <v>0.14728427457586968</v>
      </c>
      <c r="S43" s="57">
        <f t="shared" si="56"/>
        <v>0.14169735212355053</v>
      </c>
      <c r="T43" s="57">
        <f t="shared" si="56"/>
        <v>0.15056507527583585</v>
      </c>
      <c r="U43" s="57">
        <f t="shared" si="56"/>
        <v>0.13095871866346628</v>
      </c>
      <c r="V43" s="57">
        <f t="shared" si="56"/>
        <v>0.1374158881388837</v>
      </c>
      <c r="W43" s="57">
        <f t="shared" si="56"/>
        <v>0.12683972433177276</v>
      </c>
      <c r="X43" s="57">
        <f t="shared" si="56"/>
        <v>0.13923010869942817</v>
      </c>
      <c r="Y43" s="57">
        <f t="shared" si="56"/>
        <v>0.13984776173082955</v>
      </c>
      <c r="Z43" s="57">
        <f t="shared" si="56"/>
        <v>0.13708214612805555</v>
      </c>
      <c r="AA43" s="57">
        <f t="shared" si="56"/>
        <v>0.12906866082559859</v>
      </c>
      <c r="AB43" s="57">
        <f t="shared" si="56"/>
        <v>0.17310414049770076</v>
      </c>
      <c r="AC43" s="57">
        <f t="shared" si="56"/>
        <v>0.15617500321063818</v>
      </c>
      <c r="AD43" s="57">
        <f t="shared" si="56"/>
        <v>0.1711008843748279</v>
      </c>
      <c r="AE43" s="57">
        <f t="shared" si="56"/>
        <v>0.16160338987240458</v>
      </c>
      <c r="AF43" s="57">
        <f t="shared" si="56"/>
        <v>0.1520556355122335</v>
      </c>
      <c r="AG43" s="57">
        <f t="shared" si="56"/>
        <v>0.11586723635626968</v>
      </c>
      <c r="AH43" s="57">
        <f t="shared" si="56"/>
        <v>0.12590740816563198</v>
      </c>
      <c r="AI43" s="57">
        <f t="shared" si="56"/>
        <v>0.11685456158888612</v>
      </c>
      <c r="AJ43" s="57">
        <f t="shared" si="56"/>
        <v>0.13960511247048041</v>
      </c>
      <c r="AK43" s="57">
        <f t="shared" si="56"/>
        <v>0.12698827369007801</v>
      </c>
      <c r="AL43" s="57">
        <f t="shared" si="56"/>
        <v>0.14043393283600661</v>
      </c>
      <c r="AM43" s="57">
        <f t="shared" si="56"/>
        <v>0.12525827413645735</v>
      </c>
      <c r="AN43" s="57">
        <f t="shared" si="56"/>
        <v>0.13236188146320896</v>
      </c>
      <c r="AO43" s="57">
        <f t="shared" si="56"/>
        <v>0.12211328624086885</v>
      </c>
      <c r="AP43" s="57">
        <f t="shared" si="56"/>
        <v>0.13288579545916374</v>
      </c>
      <c r="AQ43" s="57">
        <f t="shared" si="56"/>
        <v>0.11271181738776465</v>
      </c>
      <c r="AR43" s="57">
        <f t="shared" si="56"/>
        <v>8.9625937463242419E-2</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297183889.26719999</v>
      </c>
      <c r="C45" s="26">
        <f t="shared" ref="C45:BN45" si="58">C70*C69</f>
        <v>286453626.56959999</v>
      </c>
      <c r="D45" s="26">
        <f t="shared" si="58"/>
        <v>297735546.97119999</v>
      </c>
      <c r="E45" s="26">
        <f t="shared" si="58"/>
        <v>252218020.5704</v>
      </c>
      <c r="F45" s="26">
        <f t="shared" si="58"/>
        <v>243483993.0264</v>
      </c>
      <c r="G45" s="26">
        <f t="shared" si="58"/>
        <v>232395400.48800001</v>
      </c>
      <c r="H45" s="26">
        <f t="shared" si="58"/>
        <v>240483421.0688</v>
      </c>
      <c r="I45" s="26">
        <f t="shared" si="58"/>
        <v>230420653.73280001</v>
      </c>
      <c r="J45" s="26">
        <f t="shared" si="58"/>
        <v>224803192.20880002</v>
      </c>
      <c r="K45" s="26">
        <f t="shared" si="58"/>
        <v>214099386.0192</v>
      </c>
      <c r="L45" s="26">
        <f t="shared" si="58"/>
        <v>221663407.97599998</v>
      </c>
      <c r="M45" s="26">
        <f t="shared" si="58"/>
        <v>212436769.07119998</v>
      </c>
      <c r="N45" s="26">
        <f t="shared" si="58"/>
        <v>203712111.09040001</v>
      </c>
      <c r="O45" s="26">
        <f t="shared" si="58"/>
        <v>191916631.08160001</v>
      </c>
      <c r="P45" s="26">
        <f t="shared" si="58"/>
        <v>208458704.93599999</v>
      </c>
      <c r="Q45" s="26">
        <f t="shared" si="58"/>
        <v>198986260.32319999</v>
      </c>
      <c r="R45" s="26">
        <f t="shared" si="58"/>
        <v>184325499.1304</v>
      </c>
      <c r="S45" s="26">
        <f t="shared" si="58"/>
        <v>174782584.70480001</v>
      </c>
      <c r="T45" s="26">
        <f t="shared" si="58"/>
        <v>177951766.79840001</v>
      </c>
      <c r="U45" s="26">
        <f t="shared" si="58"/>
        <v>170034349.55680001</v>
      </c>
      <c r="V45" s="26">
        <f t="shared" si="58"/>
        <v>162454839.59440002</v>
      </c>
      <c r="W45" s="26">
        <f t="shared" si="58"/>
        <v>154456716.5352</v>
      </c>
      <c r="X45" s="26">
        <f t="shared" si="58"/>
        <v>158231681.12560001</v>
      </c>
      <c r="Y45" s="26">
        <f t="shared" si="58"/>
        <v>151377648.2184</v>
      </c>
      <c r="Z45" s="26">
        <f t="shared" si="58"/>
        <v>141073611.7096</v>
      </c>
      <c r="AA45" s="26">
        <f t="shared" si="58"/>
        <v>131512709.5256</v>
      </c>
      <c r="AB45" s="26">
        <f t="shared" si="58"/>
        <v>140546797.3312</v>
      </c>
      <c r="AC45" s="26">
        <f t="shared" si="58"/>
        <v>132039486.2616</v>
      </c>
      <c r="AD45" s="26">
        <f t="shared" si="58"/>
        <v>124540093.45280001</v>
      </c>
      <c r="AE45" s="26">
        <f t="shared" si="58"/>
        <v>115145436.904</v>
      </c>
      <c r="AF45" s="26">
        <f t="shared" si="58"/>
        <v>122710139.38959999</v>
      </c>
      <c r="AG45" s="26">
        <f t="shared" si="58"/>
        <v>118120446.79280001</v>
      </c>
      <c r="AH45" s="26">
        <f t="shared" si="58"/>
        <v>110259406.6648</v>
      </c>
      <c r="AI45" s="26">
        <f t="shared" si="58"/>
        <v>104906569.20559999</v>
      </c>
      <c r="AJ45" s="26">
        <f t="shared" si="58"/>
        <v>110591994.3696</v>
      </c>
      <c r="AK45" s="26">
        <f t="shared" si="58"/>
        <v>106579880.65040001</v>
      </c>
      <c r="AL45" s="26">
        <f t="shared" si="58"/>
        <v>103100165.28639999</v>
      </c>
      <c r="AM45" s="26">
        <f t="shared" si="58"/>
        <v>26480678.314400002</v>
      </c>
      <c r="AN45" s="26">
        <f t="shared" si="58"/>
        <v>24107028.118400004</v>
      </c>
      <c r="AO45" s="26">
        <f t="shared" si="58"/>
        <v>18662967.136800002</v>
      </c>
      <c r="AP45" s="26">
        <f t="shared" si="58"/>
        <v>10216629.880800001</v>
      </c>
      <c r="AQ45" s="26">
        <f t="shared" si="58"/>
        <v>0</v>
      </c>
      <c r="AR45" s="26">
        <f t="shared" si="58"/>
        <v>0</v>
      </c>
      <c r="AS45" s="26">
        <f t="shared" si="58"/>
        <v>0</v>
      </c>
      <c r="AT45" s="26">
        <f t="shared" si="58"/>
        <v>758847052.19920003</v>
      </c>
      <c r="AU45" s="26">
        <f t="shared" si="58"/>
        <v>744321212.02559996</v>
      </c>
      <c r="AV45" s="26">
        <f t="shared" si="58"/>
        <v>724131951.10160005</v>
      </c>
      <c r="AW45" s="26">
        <f t="shared" si="58"/>
        <v>663613481.17120004</v>
      </c>
      <c r="AX45" s="26">
        <f t="shared" si="58"/>
        <v>651174814.63680005</v>
      </c>
      <c r="AY45" s="26">
        <f t="shared" si="58"/>
        <v>635100029.13199997</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125729949.3028003</v>
      </c>
      <c r="C47" s="28">
        <f t="shared" ref="C47:BN47" si="62">C42-C45</f>
        <v>-51573160.379600048</v>
      </c>
      <c r="D47" s="28">
        <f t="shared" si="62"/>
        <v>-162200491.79120016</v>
      </c>
      <c r="E47" s="28">
        <f t="shared" si="62"/>
        <v>156898905.18959999</v>
      </c>
      <c r="F47" s="28">
        <f t="shared" si="62"/>
        <v>67435940.143600076</v>
      </c>
      <c r="G47" s="28">
        <f t="shared" si="62"/>
        <v>-66829377.048000246</v>
      </c>
      <c r="H47" s="28">
        <f t="shared" si="62"/>
        <v>-115103573.74880002</v>
      </c>
      <c r="I47" s="28">
        <f t="shared" si="62"/>
        <v>116612618.8871997</v>
      </c>
      <c r="J47" s="28">
        <f t="shared" si="62"/>
        <v>46637974.101200044</v>
      </c>
      <c r="K47" s="28">
        <f t="shared" si="62"/>
        <v>-54455797.05919981</v>
      </c>
      <c r="L47" s="28">
        <f t="shared" si="62"/>
        <v>-107832644.57599998</v>
      </c>
      <c r="M47" s="28">
        <f t="shared" si="62"/>
        <v>212010520.97879997</v>
      </c>
      <c r="N47" s="28">
        <f t="shared" si="62"/>
        <v>128426523.47959998</v>
      </c>
      <c r="O47" s="28">
        <f t="shared" si="62"/>
        <v>-4710796.6016000807</v>
      </c>
      <c r="P47" s="28">
        <f t="shared" si="62"/>
        <v>-90053147.276000053</v>
      </c>
      <c r="Q47" s="28">
        <f t="shared" si="62"/>
        <v>197864629.11680013</v>
      </c>
      <c r="R47" s="28">
        <f t="shared" si="62"/>
        <v>92568040.539600074</v>
      </c>
      <c r="S47" s="28">
        <f t="shared" si="62"/>
        <v>-17175475.354800016</v>
      </c>
      <c r="T47" s="28">
        <f t="shared" si="62"/>
        <v>-78984051.278399989</v>
      </c>
      <c r="U47" s="28">
        <f t="shared" si="62"/>
        <v>160532881.25319999</v>
      </c>
      <c r="V47" s="28">
        <f t="shared" si="62"/>
        <v>74264222.605599999</v>
      </c>
      <c r="W47" s="28">
        <f t="shared" si="62"/>
        <v>-17714192.575200051</v>
      </c>
      <c r="X47" s="28">
        <f t="shared" si="62"/>
        <v>-72556269.785600096</v>
      </c>
      <c r="Y47" s="28">
        <f t="shared" si="62"/>
        <v>229701050.09160006</v>
      </c>
      <c r="Z47" s="28">
        <f t="shared" si="62"/>
        <v>112216056.39040014</v>
      </c>
      <c r="AA47" s="28">
        <f t="shared" si="62"/>
        <v>2265681.2744000107</v>
      </c>
      <c r="AB47" s="28">
        <f t="shared" si="62"/>
        <v>-34205408.961200044</v>
      </c>
      <c r="AC47" s="28">
        <f t="shared" si="62"/>
        <v>240037274.47840005</v>
      </c>
      <c r="AD47" s="28">
        <f t="shared" si="62"/>
        <v>155021091.79719988</v>
      </c>
      <c r="AE47" s="28">
        <f t="shared" si="62"/>
        <v>46982541.486000046</v>
      </c>
      <c r="AF47" s="28">
        <f t="shared" si="62"/>
        <v>-34038917.839599967</v>
      </c>
      <c r="AG47" s="28">
        <f t="shared" si="62"/>
        <v>92620576.687200248</v>
      </c>
      <c r="AH47" s="28">
        <f t="shared" si="62"/>
        <v>33988838.515200123</v>
      </c>
      <c r="AI47" s="28">
        <f t="shared" si="62"/>
        <v>-27568792.265600026</v>
      </c>
      <c r="AJ47" s="28">
        <f t="shared" si="62"/>
        <v>-60426874.409600019</v>
      </c>
      <c r="AK47" s="28">
        <f t="shared" si="62"/>
        <v>38860646.419599861</v>
      </c>
      <c r="AL47" s="28">
        <f t="shared" si="62"/>
        <v>-1437995.956400007</v>
      </c>
      <c r="AM47" s="28">
        <f t="shared" si="62"/>
        <v>24570903.86559999</v>
      </c>
      <c r="AN47" s="28">
        <f t="shared" si="62"/>
        <v>9670668.0916000344</v>
      </c>
      <c r="AO47" s="28">
        <f t="shared" si="62"/>
        <v>91566826.173199937</v>
      </c>
      <c r="AP47" s="28">
        <f t="shared" si="62"/>
        <v>73883528.459200084</v>
      </c>
      <c r="AQ47" s="28">
        <f t="shared" si="62"/>
        <v>85138294.759999961</v>
      </c>
      <c r="AR47" s="28">
        <f t="shared" si="62"/>
        <v>49517218.419999912</v>
      </c>
      <c r="AS47" s="28">
        <f t="shared" si="62"/>
        <v>0</v>
      </c>
      <c r="AT47" s="28">
        <f t="shared" si="62"/>
        <v>-1365523001.1691999</v>
      </c>
      <c r="AU47" s="28">
        <f t="shared" si="62"/>
        <v>-1269565389.4956</v>
      </c>
      <c r="AV47" s="28">
        <f t="shared" si="62"/>
        <v>-1094636149.8116</v>
      </c>
      <c r="AW47" s="28">
        <f t="shared" si="62"/>
        <v>-1214450063.3312001</v>
      </c>
      <c r="AX47" s="28">
        <f t="shared" si="62"/>
        <v>-1148538939.4868002</v>
      </c>
      <c r="AY47" s="28">
        <f t="shared" si="62"/>
        <v>-1029093452.312</v>
      </c>
      <c r="AZ47" s="28">
        <f t="shared" si="62"/>
        <v>-912708678.76999998</v>
      </c>
      <c r="BA47" s="28">
        <f t="shared" si="62"/>
        <v>-966476645.33319998</v>
      </c>
      <c r="BB47" s="28">
        <f t="shared" si="62"/>
        <v>-965766447.68720007</v>
      </c>
      <c r="BC47" s="28">
        <f t="shared" si="62"/>
        <v>-905480197.47199988</v>
      </c>
      <c r="BD47" s="28">
        <f t="shared" si="62"/>
        <v>-792737615.93959999</v>
      </c>
      <c r="BE47" s="28">
        <f t="shared" si="62"/>
        <v>-942028467.71160007</v>
      </c>
      <c r="BF47" s="28">
        <f t="shared" si="62"/>
        <v>-856598894.06439996</v>
      </c>
      <c r="BG47" s="28">
        <f t="shared" si="62"/>
        <v>-770285781.60280001</v>
      </c>
      <c r="BH47" s="28">
        <f t="shared" si="62"/>
        <v>-703335824.93879998</v>
      </c>
      <c r="BI47" s="28">
        <f t="shared" si="62"/>
        <v>-837715071.78279996</v>
      </c>
      <c r="BJ47" s="28">
        <f t="shared" si="62"/>
        <v>-761129027.17720008</v>
      </c>
      <c r="BK47" s="28">
        <f t="shared" si="62"/>
        <v>-694810452.53199995</v>
      </c>
      <c r="BL47" s="28">
        <f t="shared" si="62"/>
        <v>-653614035.78559995</v>
      </c>
      <c r="BM47" s="28">
        <f t="shared" si="62"/>
        <v>-648980937.67680001</v>
      </c>
      <c r="BN47" s="28">
        <f t="shared" si="62"/>
        <v>-584316686.89160001</v>
      </c>
      <c r="BO47" s="28">
        <f t="shared" ref="BO47:CJ47" si="63">BO42-BO45</f>
        <v>-519580365.63720006</v>
      </c>
      <c r="BP47" s="28">
        <f t="shared" si="63"/>
        <v>-510447612.64480001</v>
      </c>
      <c r="BQ47" s="28">
        <f t="shared" si="63"/>
        <v>-455184205.68400002</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20071231</v>
      </c>
      <c r="AR51" s="190">
        <v>20061231</v>
      </c>
      <c r="AS51" s="190">
        <v>19700101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20010930</v>
      </c>
      <c r="BS51" s="190">
        <v>20010630</v>
      </c>
      <c r="BT51" s="190">
        <v>20010331</v>
      </c>
      <c r="BU51" s="190">
        <v>20001231</v>
      </c>
      <c r="BV51" s="190">
        <v>20000630</v>
      </c>
      <c r="BW51" s="190">
        <v>19991231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570</v>
      </c>
      <c r="B52" s="42">
        <v>-25636</v>
      </c>
      <c r="C52" s="42">
        <v>-27718</v>
      </c>
      <c r="D52" s="42">
        <v>-35317</v>
      </c>
      <c r="E52" s="42">
        <v>-10783199.210000001</v>
      </c>
      <c r="F52" s="42">
        <v>-34414</v>
      </c>
      <c r="G52" s="42">
        <v>-23309</v>
      </c>
      <c r="H52" s="42">
        <v>-16814</v>
      </c>
      <c r="I52" s="42">
        <v>-11108095.51</v>
      </c>
      <c r="J52" s="42"/>
      <c r="K52" s="42"/>
      <c r="M52" s="43">
        <v>-16376067.49</v>
      </c>
      <c r="Q52" s="43">
        <v>-22965161.149999999</v>
      </c>
      <c r="U52" s="43">
        <v>-21250799.57</v>
      </c>
      <c r="Y52" s="43">
        <v>-21648438.039999999</v>
      </c>
      <c r="AC52" s="43">
        <v>-26564136.870000001</v>
      </c>
      <c r="AG52" s="43">
        <v>-19776413.390000001</v>
      </c>
      <c r="AK52" s="43">
        <v>-1569307.04</v>
      </c>
      <c r="AO52" s="43">
        <v>-327403.59999999998</v>
      </c>
    </row>
    <row r="53" spans="1:89" s="43" customFormat="1" x14ac:dyDescent="0.25">
      <c r="A53" s="132" t="s">
        <v>90</v>
      </c>
      <c r="B53" s="42">
        <v>217</v>
      </c>
      <c r="C53" s="42">
        <v>189</v>
      </c>
      <c r="D53" s="42"/>
      <c r="E53" s="42">
        <v>21110212.079999998</v>
      </c>
      <c r="F53" s="42"/>
      <c r="G53" s="42"/>
      <c r="H53" s="42"/>
      <c r="I53" s="42">
        <v>9305327.8499999996</v>
      </c>
      <c r="J53" s="42"/>
      <c r="K53" s="42"/>
      <c r="M53" s="43">
        <v>1760420.36</v>
      </c>
      <c r="AD53" s="42"/>
      <c r="AE53" s="42"/>
      <c r="AF53" s="42"/>
      <c r="AG53" s="42">
        <v>54135</v>
      </c>
      <c r="AH53" s="42"/>
      <c r="AI53" s="42"/>
      <c r="AJ53" s="42"/>
      <c r="AK53" s="42"/>
      <c r="AL53" s="42"/>
      <c r="AM53" s="42"/>
      <c r="AN53" s="42"/>
      <c r="AO53" s="42">
        <v>1186365.49</v>
      </c>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14912847.689999999</v>
      </c>
      <c r="F54" s="42">
        <v>2684</v>
      </c>
      <c r="G54" s="42">
        <v>-377</v>
      </c>
      <c r="H54" s="42">
        <v>1008</v>
      </c>
      <c r="I54" s="42">
        <v>-6928081.4500000002</v>
      </c>
      <c r="J54" s="42"/>
      <c r="K54" s="42"/>
      <c r="M54" s="43">
        <v>-705508.99</v>
      </c>
      <c r="Q54" s="43">
        <v>353917</v>
      </c>
      <c r="U54" s="43">
        <v>-138552.34</v>
      </c>
      <c r="Y54" s="43">
        <v>-73738.2</v>
      </c>
      <c r="AC54" s="43">
        <v>200426.02</v>
      </c>
      <c r="AG54" s="43">
        <v>-8912.43</v>
      </c>
      <c r="AK54" s="43">
        <v>6300.9</v>
      </c>
      <c r="AO54" s="43">
        <v>240775.06</v>
      </c>
    </row>
    <row r="55" spans="1:89" s="43" customFormat="1" x14ac:dyDescent="0.25">
      <c r="A55" s="132" t="s">
        <v>92</v>
      </c>
      <c r="B55" s="42">
        <v>463</v>
      </c>
      <c r="C55" s="42">
        <v>603</v>
      </c>
      <c r="D55" s="42">
        <v>653</v>
      </c>
      <c r="E55" s="42">
        <v>2436461.2000000002</v>
      </c>
      <c r="F55" s="42">
        <v>1204</v>
      </c>
      <c r="G55" s="42">
        <v>868</v>
      </c>
      <c r="H55" s="42">
        <v>644</v>
      </c>
      <c r="I55" s="42">
        <v>1454244.2</v>
      </c>
      <c r="J55" s="42"/>
      <c r="K55" s="42"/>
      <c r="M55" s="43">
        <v>1094925.45</v>
      </c>
      <c r="Q55" s="43">
        <v>1029644.95</v>
      </c>
      <c r="U55" s="43">
        <v>1034258.26</v>
      </c>
      <c r="Y55" s="43">
        <v>1085164.3500000001</v>
      </c>
      <c r="AC55" s="43">
        <v>1026408.6</v>
      </c>
      <c r="AG55" s="43">
        <v>718382.01</v>
      </c>
      <c r="AK55" s="43">
        <v>542733.84</v>
      </c>
      <c r="AO55" s="43">
        <v>561409.23</v>
      </c>
    </row>
    <row r="56" spans="1:89" s="26" customFormat="1" x14ac:dyDescent="0.25">
      <c r="A56" s="133" t="s">
        <v>93</v>
      </c>
      <c r="B56" s="44">
        <f>SUM(B52:B55)</f>
        <v>-21852</v>
      </c>
      <c r="C56" s="44">
        <f t="shared" ref="C56:D56" si="64">SUM(C52:C55)</f>
        <v>-28350</v>
      </c>
      <c r="D56" s="44">
        <f t="shared" si="64"/>
        <v>-35004</v>
      </c>
      <c r="E56" s="44">
        <f>SUM(E52:E55)</f>
        <v>27676321.759999994</v>
      </c>
      <c r="F56" s="44">
        <f t="shared" ref="F56:BQ56" si="65">SUM(F52:F55)</f>
        <v>-30526</v>
      </c>
      <c r="G56" s="44">
        <f t="shared" si="65"/>
        <v>-22818</v>
      </c>
      <c r="H56" s="44">
        <f t="shared" si="65"/>
        <v>-15162</v>
      </c>
      <c r="I56" s="44">
        <f t="shared" si="65"/>
        <v>-7276604.9099999992</v>
      </c>
      <c r="J56" s="44">
        <f t="shared" si="65"/>
        <v>0</v>
      </c>
      <c r="K56" s="44">
        <f t="shared" si="65"/>
        <v>0</v>
      </c>
      <c r="L56" s="44">
        <f t="shared" si="65"/>
        <v>0</v>
      </c>
      <c r="M56" s="44">
        <f t="shared" si="65"/>
        <v>-14226230.670000002</v>
      </c>
      <c r="N56" s="44">
        <f t="shared" si="65"/>
        <v>0</v>
      </c>
      <c r="O56" s="44">
        <f t="shared" si="65"/>
        <v>0</v>
      </c>
      <c r="P56" s="44">
        <f t="shared" si="65"/>
        <v>0</v>
      </c>
      <c r="Q56" s="44">
        <f t="shared" si="65"/>
        <v>-21581599.199999999</v>
      </c>
      <c r="R56" s="44">
        <f t="shared" si="65"/>
        <v>0</v>
      </c>
      <c r="S56" s="44">
        <f t="shared" si="65"/>
        <v>0</v>
      </c>
      <c r="T56" s="44">
        <f t="shared" si="65"/>
        <v>0</v>
      </c>
      <c r="U56" s="44">
        <f t="shared" si="65"/>
        <v>-20355093.649999999</v>
      </c>
      <c r="V56" s="44">
        <f t="shared" si="65"/>
        <v>0</v>
      </c>
      <c r="W56" s="44">
        <f t="shared" si="65"/>
        <v>0</v>
      </c>
      <c r="X56" s="44">
        <f t="shared" si="65"/>
        <v>0</v>
      </c>
      <c r="Y56" s="44">
        <f t="shared" si="65"/>
        <v>-20637011.889999997</v>
      </c>
      <c r="Z56" s="44">
        <f t="shared" si="65"/>
        <v>0</v>
      </c>
      <c r="AA56" s="44">
        <f t="shared" si="65"/>
        <v>0</v>
      </c>
      <c r="AB56" s="44">
        <f t="shared" si="65"/>
        <v>0</v>
      </c>
      <c r="AC56" s="44">
        <f t="shared" si="65"/>
        <v>-25337302.25</v>
      </c>
      <c r="AD56" s="44">
        <f t="shared" si="65"/>
        <v>0</v>
      </c>
      <c r="AE56" s="44">
        <f t="shared" si="65"/>
        <v>0</v>
      </c>
      <c r="AF56" s="44">
        <f t="shared" si="65"/>
        <v>0</v>
      </c>
      <c r="AG56" s="44">
        <f t="shared" si="65"/>
        <v>-19012808.809999999</v>
      </c>
      <c r="AH56" s="44">
        <f t="shared" si="65"/>
        <v>0</v>
      </c>
      <c r="AI56" s="44">
        <f t="shared" si="65"/>
        <v>0</v>
      </c>
      <c r="AJ56" s="44">
        <f t="shared" si="65"/>
        <v>0</v>
      </c>
      <c r="AK56" s="44">
        <f t="shared" si="65"/>
        <v>-1020272.3000000002</v>
      </c>
      <c r="AL56" s="44">
        <f t="shared" si="65"/>
        <v>0</v>
      </c>
      <c r="AM56" s="44">
        <f t="shared" si="65"/>
        <v>0</v>
      </c>
      <c r="AN56" s="44">
        <f t="shared" si="65"/>
        <v>0</v>
      </c>
      <c r="AO56" s="44">
        <f t="shared" si="65"/>
        <v>1661146.18</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385824671.55000001</v>
      </c>
      <c r="C59" s="190">
        <v>225583386.21000001</v>
      </c>
      <c r="D59" s="190">
        <v>159065732.49000001</v>
      </c>
      <c r="E59" s="190">
        <v>453071628.50999999</v>
      </c>
      <c r="F59" s="190">
        <v>331920358.27999997</v>
      </c>
      <c r="G59" s="190">
        <v>175283497.72</v>
      </c>
      <c r="H59" s="190">
        <v>125114335.06</v>
      </c>
      <c r="I59" s="190">
        <v>338813260.39999998</v>
      </c>
      <c r="J59" s="190">
        <v>270122891.10000002</v>
      </c>
      <c r="K59" s="190">
        <v>158628555.5</v>
      </c>
      <c r="L59" s="190">
        <v>113834610.63</v>
      </c>
      <c r="M59" s="190">
        <v>423089068.51999998</v>
      </c>
      <c r="N59" s="190">
        <v>330771108.89999998</v>
      </c>
      <c r="O59" s="190">
        <v>187225671.66</v>
      </c>
      <c r="P59" s="190">
        <v>118284083.52</v>
      </c>
      <c r="Q59" s="190">
        <v>398173688.69</v>
      </c>
      <c r="R59" s="190">
        <v>276700908.29000002</v>
      </c>
      <c r="S59" s="190">
        <v>157367923.56</v>
      </c>
      <c r="T59" s="190">
        <v>98749351.719999999</v>
      </c>
      <c r="U59" s="190">
        <v>332154652.14999998</v>
      </c>
      <c r="V59" s="190">
        <v>237183891.66999999</v>
      </c>
      <c r="W59" s="190">
        <v>137105896.34</v>
      </c>
      <c r="X59" s="190">
        <v>85756571.650000006</v>
      </c>
      <c r="Y59" s="190">
        <v>382086766.75999999</v>
      </c>
      <c r="Z59" s="190">
        <v>253142472.81</v>
      </c>
      <c r="AA59" s="190">
        <v>133686094.25</v>
      </c>
      <c r="AB59" s="190">
        <v>106343788.37</v>
      </c>
      <c r="AC59" s="190">
        <v>374010138.19</v>
      </c>
      <c r="AD59" s="190">
        <v>280158815.18000001</v>
      </c>
      <c r="AE59" s="190">
        <v>162435481.09999999</v>
      </c>
      <c r="AF59" s="190">
        <v>88671221.549999997</v>
      </c>
      <c r="AG59" s="190">
        <v>211825682.56</v>
      </c>
      <c r="AH59" s="190">
        <v>144459369.12</v>
      </c>
      <c r="AI59" s="190">
        <v>77434140.760000005</v>
      </c>
      <c r="AJ59" s="190">
        <v>50165119.960000001</v>
      </c>
      <c r="AK59" s="190">
        <v>146002767.59</v>
      </c>
      <c r="AL59" s="190">
        <v>101662169.33</v>
      </c>
      <c r="AM59" s="190">
        <v>51051582.18</v>
      </c>
      <c r="AN59" s="190">
        <v>33777696.210000001</v>
      </c>
      <c r="AO59" s="190">
        <v>111031977.59999999</v>
      </c>
      <c r="AP59" s="190">
        <v>84100158.340000004</v>
      </c>
      <c r="AQ59" s="190">
        <v>85138294.760000005</v>
      </c>
      <c r="AR59" s="190">
        <v>49517218.420000002</v>
      </c>
      <c r="AS59" s="190">
        <v>0</v>
      </c>
      <c r="AT59" s="190">
        <v>1326845730.0799999</v>
      </c>
      <c r="AU59" s="190">
        <v>1145272727.9100001</v>
      </c>
      <c r="AV59" s="190">
        <v>745206726.03999996</v>
      </c>
      <c r="AW59" s="190">
        <v>1179340016.0999999</v>
      </c>
      <c r="AX59" s="190">
        <v>1023357815.7</v>
      </c>
      <c r="AY59" s="190">
        <v>822921865.61000001</v>
      </c>
      <c r="AZ59" s="190">
        <v>548815529.96000004</v>
      </c>
      <c r="BA59" s="190">
        <v>799007076.76999998</v>
      </c>
      <c r="BB59" s="190">
        <v>773754249.82000005</v>
      </c>
      <c r="BC59" s="190">
        <v>592464063.88</v>
      </c>
      <c r="BD59" s="190">
        <v>416503687.60000002</v>
      </c>
      <c r="BE59" s="190">
        <v>829759695.11000001</v>
      </c>
      <c r="BF59" s="190">
        <v>679164074.51999998</v>
      </c>
      <c r="BG59" s="190">
        <v>537962660</v>
      </c>
      <c r="BH59" s="190">
        <v>383394123.19999999</v>
      </c>
      <c r="BI59" s="190">
        <v>703792730.94000006</v>
      </c>
      <c r="BJ59" s="190">
        <v>548305195.13</v>
      </c>
      <c r="BK59" s="190">
        <v>389654678.44</v>
      </c>
      <c r="BL59" s="190">
        <v>289511785.36000001</v>
      </c>
      <c r="BM59" s="190">
        <v>618984667.90999997</v>
      </c>
      <c r="BN59" s="190">
        <v>511693618.56</v>
      </c>
      <c r="BO59" s="190">
        <v>373562587.13</v>
      </c>
      <c r="BP59" s="190">
        <v>253237536.75999999</v>
      </c>
      <c r="BQ59" s="190">
        <v>816316516.73000002</v>
      </c>
      <c r="BR59" s="190">
        <v>650310000</v>
      </c>
      <c r="BS59" s="190">
        <v>478983205.56999999</v>
      </c>
      <c r="BT59" s="190">
        <v>281830575.43000001</v>
      </c>
      <c r="BU59" s="190">
        <v>768216832.5</v>
      </c>
      <c r="BV59" s="190">
        <v>429812800.44999999</v>
      </c>
      <c r="BW59" s="190">
        <v>649021962.89999998</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90860108.140000001</v>
      </c>
      <c r="C60" s="190">
        <v>58234003.689999998</v>
      </c>
      <c r="D60" s="190">
        <v>43254573.359999999</v>
      </c>
      <c r="E60" s="190">
        <v>90810907.900000006</v>
      </c>
      <c r="F60" s="190">
        <v>90508988.840000004</v>
      </c>
      <c r="G60" s="190">
        <v>44332038.670000002</v>
      </c>
      <c r="H60" s="190">
        <v>21985611.260000002</v>
      </c>
      <c r="I60" s="190">
        <v>80709681.709999993</v>
      </c>
      <c r="J60" s="190">
        <v>63378605.710000001</v>
      </c>
      <c r="K60" s="190">
        <v>44079906.789999999</v>
      </c>
      <c r="L60" s="190">
        <v>23129226.210000001</v>
      </c>
      <c r="M60" s="190">
        <v>88611971.989999995</v>
      </c>
      <c r="N60" s="190">
        <v>48869485.689999998</v>
      </c>
      <c r="O60" s="190">
        <v>30061624.289999999</v>
      </c>
      <c r="P60" s="190">
        <v>21179307.41</v>
      </c>
      <c r="Q60" s="190">
        <v>53632117.130000003</v>
      </c>
      <c r="R60" s="190">
        <v>40316639.75</v>
      </c>
      <c r="S60" s="190">
        <v>25334137.739999998</v>
      </c>
      <c r="T60" s="190">
        <v>17702590.440000001</v>
      </c>
      <c r="U60" s="190">
        <v>59861374.850000001</v>
      </c>
      <c r="V60" s="190">
        <v>37936104.539999999</v>
      </c>
      <c r="W60" s="190">
        <v>25253043.190000001</v>
      </c>
      <c r="X60" s="190">
        <v>19517706.149999999</v>
      </c>
      <c r="Y60" s="190">
        <v>61950453.530000001</v>
      </c>
      <c r="Z60" s="190">
        <v>42224768.240000002</v>
      </c>
      <c r="AA60" s="190">
        <v>25078122.620000001</v>
      </c>
      <c r="AB60" s="190">
        <v>22988840.609999999</v>
      </c>
      <c r="AC60" s="190">
        <v>70548110.260000005</v>
      </c>
      <c r="AD60" s="190">
        <v>47934985.090000004</v>
      </c>
      <c r="AE60" s="190">
        <v>25281931.27</v>
      </c>
      <c r="AF60" s="190">
        <v>29453283.52</v>
      </c>
      <c r="AG60" s="190">
        <v>71365814.269999996</v>
      </c>
      <c r="AH60" s="190">
        <v>69820550.109999999</v>
      </c>
      <c r="AI60" s="190">
        <v>35970578.43</v>
      </c>
      <c r="AJ60" s="190">
        <v>19374579.129999999</v>
      </c>
      <c r="AK60" s="190">
        <v>50926318.670000002</v>
      </c>
      <c r="AL60" s="190">
        <v>32179640.43</v>
      </c>
      <c r="AM60" s="190">
        <v>16241581.609999999</v>
      </c>
      <c r="AN60" s="190">
        <v>11150238.310000001</v>
      </c>
      <c r="AO60" s="190">
        <v>26161263.460000001</v>
      </c>
      <c r="AP60" s="190">
        <v>20821381.469999999</v>
      </c>
      <c r="AQ60" s="190">
        <v>26024310.539999999</v>
      </c>
      <c r="AR60" s="190">
        <v>4054415.44</v>
      </c>
      <c r="AS60" s="190">
        <v>0</v>
      </c>
      <c r="AT60" s="190">
        <v>648250833.24000001</v>
      </c>
      <c r="AU60" s="190">
        <v>561779303.77999997</v>
      </c>
      <c r="AV60" s="190">
        <v>374547042.32999998</v>
      </c>
      <c r="AW60" s="190">
        <v>606385627.26999998</v>
      </c>
      <c r="AX60" s="190">
        <v>526228001.63</v>
      </c>
      <c r="AY60" s="190">
        <v>420222252.99000001</v>
      </c>
      <c r="AZ60" s="190">
        <v>280943626.88999999</v>
      </c>
      <c r="BA60" s="190">
        <v>396902090.45999998</v>
      </c>
      <c r="BB60" s="190">
        <v>383849839.51999998</v>
      </c>
      <c r="BC60" s="190">
        <v>336122195.32999998</v>
      </c>
      <c r="BD60" s="190">
        <v>238518321.50999999</v>
      </c>
      <c r="BE60" s="190">
        <v>441401360.93000001</v>
      </c>
      <c r="BF60" s="190">
        <v>355010263.50999999</v>
      </c>
      <c r="BG60" s="190">
        <v>278320628.12</v>
      </c>
      <c r="BH60" s="190">
        <v>193355065.81999999</v>
      </c>
      <c r="BI60" s="190">
        <v>383447938.93000001</v>
      </c>
      <c r="BJ60" s="190">
        <v>311366323.06999999</v>
      </c>
      <c r="BK60" s="190">
        <v>250049516.34999999</v>
      </c>
      <c r="BL60" s="190">
        <v>207396289.06999999</v>
      </c>
      <c r="BM60" s="190">
        <v>250085682.47999999</v>
      </c>
      <c r="BN60" s="190">
        <v>190785252.78999999</v>
      </c>
      <c r="BO60" s="190">
        <v>126708958.8</v>
      </c>
      <c r="BP60" s="190">
        <v>121401855.98999999</v>
      </c>
      <c r="BQ60" s="190">
        <v>116775657.84999999</v>
      </c>
      <c r="BR60" s="190">
        <v>160590000</v>
      </c>
      <c r="BS60" s="190">
        <v>179226656.44999999</v>
      </c>
      <c r="BT60" s="190">
        <v>138812074.46000001</v>
      </c>
      <c r="BU60" s="190">
        <v>238879360.28</v>
      </c>
      <c r="BV60" s="190">
        <v>295349924.56</v>
      </c>
      <c r="BW60" s="190">
        <v>303429006.82999998</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476684779.69</v>
      </c>
      <c r="C61" s="190">
        <v>283817389.89999998</v>
      </c>
      <c r="D61" s="190">
        <v>202320305.84999999</v>
      </c>
      <c r="E61" s="190">
        <v>543882536.40999997</v>
      </c>
      <c r="F61" s="190">
        <v>422429347.12</v>
      </c>
      <c r="G61" s="190">
        <v>219615536.38999999</v>
      </c>
      <c r="H61" s="190">
        <v>147099946.31999999</v>
      </c>
      <c r="I61" s="190">
        <v>419522942.11000001</v>
      </c>
      <c r="J61" s="190">
        <v>333501496.81</v>
      </c>
      <c r="K61" s="190">
        <v>202708462.28999999</v>
      </c>
      <c r="L61" s="190">
        <v>136963836.84</v>
      </c>
      <c r="M61" s="190">
        <v>511701040.50999999</v>
      </c>
      <c r="N61" s="190">
        <v>379640594.58999997</v>
      </c>
      <c r="O61" s="190">
        <v>217287295.94999999</v>
      </c>
      <c r="P61" s="190">
        <v>139463390.93000001</v>
      </c>
      <c r="Q61" s="190">
        <v>451805805.81999999</v>
      </c>
      <c r="R61" s="190">
        <v>317017548.04000002</v>
      </c>
      <c r="S61" s="190">
        <v>182702061.30000001</v>
      </c>
      <c r="T61" s="190">
        <v>116451942.16</v>
      </c>
      <c r="U61" s="190">
        <v>392016027</v>
      </c>
      <c r="V61" s="190">
        <v>275119996.20999998</v>
      </c>
      <c r="W61" s="190">
        <v>162358939.53</v>
      </c>
      <c r="X61" s="190">
        <v>105274277.8</v>
      </c>
      <c r="Y61" s="190">
        <v>444037220.29000002</v>
      </c>
      <c r="Z61" s="190">
        <v>295367241.05000001</v>
      </c>
      <c r="AA61" s="190">
        <v>158764216.87</v>
      </c>
      <c r="AB61" s="190">
        <v>129332628.98</v>
      </c>
      <c r="AC61" s="190">
        <v>444558248.44999999</v>
      </c>
      <c r="AD61" s="190">
        <v>328093800.26999998</v>
      </c>
      <c r="AE61" s="190">
        <v>187717412.37</v>
      </c>
      <c r="AF61" s="190">
        <v>118124505.06999999</v>
      </c>
      <c r="AG61" s="190">
        <v>283191496.82999998</v>
      </c>
      <c r="AH61" s="190">
        <v>214279919.22999999</v>
      </c>
      <c r="AI61" s="190">
        <v>113404719.19</v>
      </c>
      <c r="AJ61" s="190">
        <v>69539699.090000004</v>
      </c>
      <c r="AK61" s="190">
        <v>196929086.25999999</v>
      </c>
      <c r="AL61" s="190">
        <v>133841809.76000001</v>
      </c>
      <c r="AM61" s="190">
        <v>67293163.790000007</v>
      </c>
      <c r="AN61" s="190">
        <v>44927934.520000003</v>
      </c>
      <c r="AO61" s="190">
        <v>137193241.06</v>
      </c>
      <c r="AP61" s="190">
        <v>104921539.81</v>
      </c>
      <c r="AQ61" s="190">
        <v>111162605.3</v>
      </c>
      <c r="AR61" s="190">
        <v>53571633.859999999</v>
      </c>
      <c r="AS61" s="190">
        <v>0</v>
      </c>
      <c r="AT61" s="190">
        <v>1975096563.3199999</v>
      </c>
      <c r="AU61" s="190">
        <v>1707052031.6900001</v>
      </c>
      <c r="AV61" s="190">
        <v>1119753768.3699999</v>
      </c>
      <c r="AW61" s="190">
        <v>1785725643.3699999</v>
      </c>
      <c r="AX61" s="190">
        <v>1549585817.3299999</v>
      </c>
      <c r="AY61" s="190">
        <v>1243144118.5999999</v>
      </c>
      <c r="AZ61" s="190">
        <v>829759156.85000002</v>
      </c>
      <c r="BA61" s="190">
        <v>1195909167.23</v>
      </c>
      <c r="BB61" s="190">
        <v>1157604089.3399999</v>
      </c>
      <c r="BC61" s="190">
        <v>928586259.21000004</v>
      </c>
      <c r="BD61" s="190">
        <v>655022009.11000001</v>
      </c>
      <c r="BE61" s="190">
        <v>1271161056.04</v>
      </c>
      <c r="BF61" s="190">
        <v>1034174338.03</v>
      </c>
      <c r="BG61" s="190">
        <v>816283288.12</v>
      </c>
      <c r="BH61" s="190">
        <v>576749189.01999998</v>
      </c>
      <c r="BI61" s="190">
        <v>1087240669.8699999</v>
      </c>
      <c r="BJ61" s="190">
        <v>859671518.20000005</v>
      </c>
      <c r="BK61" s="190">
        <v>639704194.78999996</v>
      </c>
      <c r="BL61" s="190">
        <v>496908074.43000001</v>
      </c>
      <c r="BM61" s="190">
        <v>869070350.38999999</v>
      </c>
      <c r="BN61" s="190">
        <v>702478871.35000002</v>
      </c>
      <c r="BO61" s="190">
        <v>500271545.93000001</v>
      </c>
      <c r="BP61" s="190">
        <v>374639392.75</v>
      </c>
      <c r="BQ61" s="190">
        <v>933092174.58000004</v>
      </c>
      <c r="BR61" s="190">
        <v>814730000</v>
      </c>
      <c r="BS61" s="190">
        <v>658209862.01999998</v>
      </c>
      <c r="BT61" s="190">
        <v>420642649.88999999</v>
      </c>
      <c r="BU61" s="190">
        <v>1007096192.78</v>
      </c>
      <c r="BV61" s="190">
        <v>725162725.00999999</v>
      </c>
      <c r="BW61" s="190">
        <v>786944238.74000001</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95242273.629999995</v>
      </c>
      <c r="C65" s="190">
        <v>28971556.489999998</v>
      </c>
      <c r="D65" s="190">
        <v>10478204.369999999</v>
      </c>
      <c r="E65" s="190">
        <v>46344509.020000003</v>
      </c>
      <c r="F65" s="190">
        <v>27243457.18</v>
      </c>
      <c r="G65" s="190">
        <v>27737580.16</v>
      </c>
      <c r="H65" s="190">
        <v>775003.99</v>
      </c>
      <c r="I65" s="190">
        <v>30518868.780000001</v>
      </c>
      <c r="J65" s="190">
        <v>20610189.93</v>
      </c>
      <c r="K65" s="190">
        <v>14837689.359999999</v>
      </c>
      <c r="L65" s="190">
        <v>10351456.130000001</v>
      </c>
      <c r="M65" s="190">
        <v>54802146.340000004</v>
      </c>
      <c r="N65" s="190">
        <v>32745457.399999999</v>
      </c>
      <c r="O65" s="190">
        <v>18458085.66</v>
      </c>
      <c r="P65" s="190">
        <v>1034260.27</v>
      </c>
      <c r="Q65" s="190">
        <v>17154949.390000001</v>
      </c>
      <c r="R65" s="190">
        <v>12541798.699999999</v>
      </c>
      <c r="S65" s="190">
        <v>8266763.2999999998</v>
      </c>
      <c r="T65" s="190">
        <v>1817612.22</v>
      </c>
      <c r="U65" s="190">
        <v>5457633.1399999997</v>
      </c>
      <c r="V65" s="190">
        <v>4203934.51</v>
      </c>
      <c r="W65" s="190">
        <v>3280088.85</v>
      </c>
      <c r="X65" s="190">
        <v>1638355.54</v>
      </c>
      <c r="Y65" s="190">
        <v>929555.19</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3020.54</v>
      </c>
      <c r="AP65" s="190">
        <v>3020.54</v>
      </c>
      <c r="AQ65" s="190">
        <v>10356.16</v>
      </c>
      <c r="AR65" s="190">
        <v>0</v>
      </c>
      <c r="AS65" s="190">
        <v>0</v>
      </c>
      <c r="AT65" s="190">
        <v>556604.28</v>
      </c>
      <c r="AU65" s="190">
        <v>47918.79</v>
      </c>
      <c r="AV65" s="190">
        <v>665864.48</v>
      </c>
      <c r="AW65" s="190">
        <v>5051692.58</v>
      </c>
      <c r="AX65" s="190">
        <v>2496157.7200000002</v>
      </c>
      <c r="AY65" s="190">
        <v>1832311.81</v>
      </c>
      <c r="AZ65" s="190">
        <v>100000</v>
      </c>
      <c r="BA65" s="190">
        <v>-3923017.4</v>
      </c>
      <c r="BB65" s="190">
        <v>-497364.9</v>
      </c>
      <c r="BC65" s="190">
        <v>-499893.8</v>
      </c>
      <c r="BD65" s="190">
        <v>0</v>
      </c>
      <c r="BE65" s="190">
        <v>-126753.75</v>
      </c>
      <c r="BF65" s="190">
        <v>344265.81</v>
      </c>
      <c r="BG65" s="190">
        <v>344265.81</v>
      </c>
      <c r="BH65" s="190">
        <v>1026367.48</v>
      </c>
      <c r="BI65" s="190">
        <v>-554425.18000000005</v>
      </c>
      <c r="BJ65" s="190">
        <v>287254.11</v>
      </c>
      <c r="BK65" s="190">
        <v>52424.27</v>
      </c>
      <c r="BL65" s="190">
        <v>265460.88</v>
      </c>
      <c r="BM65" s="190">
        <v>178932.4</v>
      </c>
      <c r="BN65" s="190">
        <v>1871129.6000000001</v>
      </c>
      <c r="BO65" s="190">
        <v>1511721.55</v>
      </c>
      <c r="BP65" s="190">
        <v>-174029.22</v>
      </c>
      <c r="BQ65" s="190">
        <v>12349967.949999999</v>
      </c>
      <c r="BR65" s="190">
        <v>12720000</v>
      </c>
      <c r="BS65" s="190">
        <v>9766309.1799999997</v>
      </c>
      <c r="BT65" s="190">
        <v>5348519.25</v>
      </c>
      <c r="BU65" s="190">
        <v>2373601.7000000002</v>
      </c>
      <c r="BV65" s="190">
        <v>0</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95242273.629999995</v>
      </c>
      <c r="C67" s="4">
        <f t="shared" ref="C67:BN67" si="67">C65-C66</f>
        <v>28971556.489999998</v>
      </c>
      <c r="D67" s="4">
        <f t="shared" si="67"/>
        <v>10478204.369999999</v>
      </c>
      <c r="E67" s="4">
        <f t="shared" si="67"/>
        <v>46344509.020000003</v>
      </c>
      <c r="F67" s="4">
        <f t="shared" si="67"/>
        <v>27243457.18</v>
      </c>
      <c r="G67" s="4">
        <f t="shared" si="67"/>
        <v>27737580.16</v>
      </c>
      <c r="H67" s="4">
        <f t="shared" si="67"/>
        <v>775003.99</v>
      </c>
      <c r="I67" s="4">
        <f t="shared" si="67"/>
        <v>30518868.780000001</v>
      </c>
      <c r="J67" s="4">
        <f t="shared" si="67"/>
        <v>20610189.93</v>
      </c>
      <c r="K67" s="4">
        <f t="shared" si="67"/>
        <v>14837689.359999999</v>
      </c>
      <c r="L67" s="4">
        <f t="shared" si="67"/>
        <v>10351456.130000001</v>
      </c>
      <c r="M67" s="4">
        <f t="shared" si="67"/>
        <v>54802146.340000004</v>
      </c>
      <c r="N67" s="4">
        <f t="shared" si="67"/>
        <v>32745457.399999999</v>
      </c>
      <c r="O67" s="4">
        <f t="shared" si="67"/>
        <v>18458085.66</v>
      </c>
      <c r="P67" s="4">
        <f t="shared" si="67"/>
        <v>1034260.27</v>
      </c>
      <c r="Q67" s="4">
        <f t="shared" si="67"/>
        <v>17154949.390000001</v>
      </c>
      <c r="R67" s="4">
        <f t="shared" si="67"/>
        <v>12541798.699999999</v>
      </c>
      <c r="S67" s="4">
        <f t="shared" si="67"/>
        <v>8266763.2999999998</v>
      </c>
      <c r="T67" s="4">
        <f t="shared" si="67"/>
        <v>1817612.22</v>
      </c>
      <c r="U67" s="4">
        <f t="shared" si="67"/>
        <v>5457633.1399999997</v>
      </c>
      <c r="V67" s="4">
        <f t="shared" si="67"/>
        <v>4203934.51</v>
      </c>
      <c r="W67" s="4">
        <f t="shared" si="67"/>
        <v>3280088.85</v>
      </c>
      <c r="X67" s="4">
        <f t="shared" si="67"/>
        <v>1638355.54</v>
      </c>
      <c r="Y67" s="4">
        <f t="shared" si="67"/>
        <v>929555.19</v>
      </c>
      <c r="Z67" s="4">
        <f t="shared" si="67"/>
        <v>0</v>
      </c>
      <c r="AA67" s="4">
        <f t="shared" si="67"/>
        <v>0</v>
      </c>
      <c r="AB67" s="4">
        <f t="shared" si="67"/>
        <v>0</v>
      </c>
      <c r="AC67" s="4">
        <f t="shared" si="67"/>
        <v>0</v>
      </c>
      <c r="AD67" s="4">
        <f t="shared" si="67"/>
        <v>0</v>
      </c>
      <c r="AE67" s="4">
        <f t="shared" si="67"/>
        <v>0</v>
      </c>
      <c r="AF67" s="4">
        <f t="shared" si="67"/>
        <v>0</v>
      </c>
      <c r="AG67" s="4">
        <f t="shared" si="67"/>
        <v>0</v>
      </c>
      <c r="AH67" s="4">
        <f t="shared" si="67"/>
        <v>0</v>
      </c>
      <c r="AI67" s="4">
        <f t="shared" si="67"/>
        <v>0</v>
      </c>
      <c r="AJ67" s="4">
        <f t="shared" si="67"/>
        <v>0</v>
      </c>
      <c r="AK67" s="4">
        <f t="shared" si="67"/>
        <v>0</v>
      </c>
      <c r="AL67" s="4">
        <f t="shared" si="67"/>
        <v>0</v>
      </c>
      <c r="AM67" s="4">
        <f t="shared" si="67"/>
        <v>0</v>
      </c>
      <c r="AN67" s="4">
        <f t="shared" si="67"/>
        <v>0</v>
      </c>
      <c r="AO67" s="4">
        <f t="shared" si="67"/>
        <v>3020.54</v>
      </c>
      <c r="AP67" s="4">
        <f t="shared" si="67"/>
        <v>3020.54</v>
      </c>
      <c r="AQ67" s="4">
        <f t="shared" si="67"/>
        <v>10356.16</v>
      </c>
      <c r="AR67" s="4">
        <f t="shared" si="67"/>
        <v>0</v>
      </c>
      <c r="AS67" s="4">
        <f t="shared" si="67"/>
        <v>0</v>
      </c>
      <c r="AT67" s="4">
        <f t="shared" si="67"/>
        <v>556604.28</v>
      </c>
      <c r="AU67" s="4">
        <f t="shared" si="67"/>
        <v>47918.79</v>
      </c>
      <c r="AV67" s="4">
        <f t="shared" si="67"/>
        <v>665864.48</v>
      </c>
      <c r="AW67" s="4">
        <f t="shared" si="67"/>
        <v>5051692.58</v>
      </c>
      <c r="AX67" s="4">
        <f t="shared" si="67"/>
        <v>2496157.7200000002</v>
      </c>
      <c r="AY67" s="4">
        <f t="shared" si="67"/>
        <v>1832311.81</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-2359221.61</v>
      </c>
      <c r="C68" s="190">
        <v>1307558.08</v>
      </c>
      <c r="D68" s="190">
        <v>260047.72</v>
      </c>
      <c r="E68" s="190">
        <v>27676321.760000002</v>
      </c>
      <c r="F68" s="190">
        <v>23895992.73</v>
      </c>
      <c r="G68" s="190">
        <v>22668170.600000001</v>
      </c>
      <c r="H68" s="190">
        <v>-1043511.73</v>
      </c>
      <c r="I68" s="190">
        <v>-7276604.9100000001</v>
      </c>
      <c r="J68" s="190">
        <v>-1871592.45</v>
      </c>
      <c r="K68" s="190">
        <v>-2154259.86</v>
      </c>
      <c r="L68" s="190">
        <v>-731727.52</v>
      </c>
      <c r="M68" s="190">
        <v>-14226230.67</v>
      </c>
      <c r="N68" s="190">
        <v>-10314957.32</v>
      </c>
      <c r="O68" s="190">
        <v>-7357660</v>
      </c>
      <c r="P68" s="190">
        <v>-4232774.92</v>
      </c>
      <c r="Q68" s="190">
        <v>-21581599.199999999</v>
      </c>
      <c r="R68" s="190">
        <v>-17942236.75</v>
      </c>
      <c r="S68" s="190">
        <v>-12917148.289999999</v>
      </c>
      <c r="T68" s="190">
        <v>-7911472.3899999997</v>
      </c>
      <c r="U68" s="190">
        <v>-20355093.649999999</v>
      </c>
      <c r="V68" s="190">
        <v>-16614304.869999999</v>
      </c>
      <c r="W68" s="190">
        <v>-11733376.039999999</v>
      </c>
      <c r="X68" s="190">
        <v>-5998847.0300000003</v>
      </c>
      <c r="Y68" s="190">
        <v>-20637011.890000001</v>
      </c>
      <c r="Z68" s="190">
        <v>-16272157.35</v>
      </c>
      <c r="AA68" s="190">
        <v>-12430552.390000001</v>
      </c>
      <c r="AB68" s="190">
        <v>-4426213.4400000004</v>
      </c>
      <c r="AC68" s="190">
        <v>-25337302.25</v>
      </c>
      <c r="AD68" s="190">
        <v>-17411511.800000001</v>
      </c>
      <c r="AE68" s="190">
        <v>-7335849.6200000001</v>
      </c>
      <c r="AF68" s="190">
        <v>-5493875.6900000004</v>
      </c>
      <c r="AG68" s="190">
        <v>-19012808.809999999</v>
      </c>
      <c r="AH68" s="190">
        <v>-12888786.66</v>
      </c>
      <c r="AI68" s="190">
        <v>-3392337.25</v>
      </c>
      <c r="AJ68" s="190">
        <v>-2462071.08</v>
      </c>
      <c r="AK68" s="190">
        <v>-1020272.3</v>
      </c>
      <c r="AL68" s="190">
        <v>-806903.54</v>
      </c>
      <c r="AM68" s="190">
        <v>-193051.15</v>
      </c>
      <c r="AN68" s="190">
        <v>-3513.59</v>
      </c>
      <c r="AO68" s="190">
        <v>1374912.33</v>
      </c>
      <c r="AP68" s="190">
        <v>869291.8</v>
      </c>
      <c r="AQ68" s="190">
        <v>2451980.81</v>
      </c>
      <c r="AR68" s="190">
        <v>1449589.11</v>
      </c>
      <c r="AS68" s="190">
        <v>0</v>
      </c>
      <c r="AT68" s="190">
        <v>-41018279.990000002</v>
      </c>
      <c r="AU68" s="190">
        <v>-36487207.520000003</v>
      </c>
      <c r="AV68" s="190">
        <v>-3376979.14</v>
      </c>
      <c r="AW68" s="190">
        <v>-50497352.530000001</v>
      </c>
      <c r="AX68" s="190">
        <v>-26367719.059999999</v>
      </c>
      <c r="AY68" s="190">
        <v>-24396518</v>
      </c>
      <c r="AZ68" s="190">
        <v>-2917708.8</v>
      </c>
      <c r="BA68" s="190">
        <v>-25225980.809999999</v>
      </c>
      <c r="BB68" s="190">
        <v>-7438048.8600000003</v>
      </c>
      <c r="BC68" s="190">
        <v>-5495968.9100000001</v>
      </c>
      <c r="BD68" s="190">
        <v>-6057952.7199999997</v>
      </c>
      <c r="BE68" s="190">
        <v>-26456599.109999999</v>
      </c>
      <c r="BF68" s="190">
        <v>-12780406.130000001</v>
      </c>
      <c r="BG68" s="190">
        <v>-11107770.039999999</v>
      </c>
      <c r="BH68" s="190">
        <v>-1735818.19</v>
      </c>
      <c r="BI68" s="190">
        <v>-28358707.260000002</v>
      </c>
      <c r="BJ68" s="190">
        <v>-19582453.850000001</v>
      </c>
      <c r="BK68" s="190">
        <v>-12127010.279999999</v>
      </c>
      <c r="BL68" s="190">
        <v>-2445731.69</v>
      </c>
      <c r="BM68" s="190">
        <v>-26693808.859999999</v>
      </c>
      <c r="BN68" s="190">
        <v>-21740886.899999999</v>
      </c>
      <c r="BO68" s="190">
        <v>-11645839.699999999</v>
      </c>
      <c r="BP68" s="190">
        <v>-7526726.1299999999</v>
      </c>
      <c r="BQ68" s="190">
        <v>-25420934.84</v>
      </c>
      <c r="BR68" s="190">
        <v>0</v>
      </c>
      <c r="BS68" s="190">
        <v>-16481097.720000001</v>
      </c>
      <c r="BT68" s="190">
        <v>-5451391.75</v>
      </c>
      <c r="BU68" s="190">
        <v>-14348624.140000001</v>
      </c>
      <c r="BV68" s="190">
        <v>-7438579.8600000003</v>
      </c>
      <c r="BW68" s="190">
        <v>-15086567.960000001</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3714798615.8400002</v>
      </c>
      <c r="C70" s="190">
        <v>3580670332.1199999</v>
      </c>
      <c r="D70" s="190">
        <v>3721694337.1399999</v>
      </c>
      <c r="E70" s="190">
        <v>3152725257.1300001</v>
      </c>
      <c r="F70" s="190">
        <v>3043549912.8299999</v>
      </c>
      <c r="G70" s="190">
        <v>2904942506.0999999</v>
      </c>
      <c r="H70" s="190">
        <v>3006042763.3600001</v>
      </c>
      <c r="I70" s="190">
        <v>2880258171.6599998</v>
      </c>
      <c r="J70" s="190">
        <v>2810039902.6100001</v>
      </c>
      <c r="K70" s="190">
        <v>2676242325.2399998</v>
      </c>
      <c r="L70" s="190">
        <v>2770792599.6999998</v>
      </c>
      <c r="M70" s="190">
        <v>2655459613.3899999</v>
      </c>
      <c r="N70" s="190">
        <v>2546401388.6300001</v>
      </c>
      <c r="O70" s="190">
        <v>2398957888.52</v>
      </c>
      <c r="P70" s="190">
        <v>2605733811.6999998</v>
      </c>
      <c r="Q70" s="190">
        <v>2487328254.04</v>
      </c>
      <c r="R70" s="190">
        <v>2304068739.1300001</v>
      </c>
      <c r="S70" s="190">
        <v>2184782308.8099999</v>
      </c>
      <c r="T70" s="190">
        <v>2224397084.98</v>
      </c>
      <c r="U70" s="190">
        <v>2125429369.46</v>
      </c>
      <c r="V70" s="190">
        <v>2030685494.9300001</v>
      </c>
      <c r="W70" s="190">
        <v>1930708956.6900001</v>
      </c>
      <c r="X70" s="190">
        <v>1977896014.0699999</v>
      </c>
      <c r="Y70" s="190">
        <v>1892220602.73</v>
      </c>
      <c r="Z70" s="190">
        <v>1763420146.3699999</v>
      </c>
      <c r="AA70" s="190">
        <v>1643908869.0699999</v>
      </c>
      <c r="AB70" s="190">
        <v>1756834966.6400001</v>
      </c>
      <c r="AC70" s="190">
        <v>1650493578.27</v>
      </c>
      <c r="AD70" s="190">
        <v>1556751168.1600001</v>
      </c>
      <c r="AE70" s="190">
        <v>1439317961.3</v>
      </c>
      <c r="AF70" s="190">
        <v>1533876742.3699999</v>
      </c>
      <c r="AG70" s="190">
        <v>1476505584.9100001</v>
      </c>
      <c r="AH70" s="190">
        <v>1378242583.3099999</v>
      </c>
      <c r="AI70" s="190">
        <v>1311332115.0699999</v>
      </c>
      <c r="AJ70" s="190">
        <v>1382399929.6199999</v>
      </c>
      <c r="AK70" s="190">
        <v>1332248508.1300001</v>
      </c>
      <c r="AL70" s="190">
        <v>1288752066.0799999</v>
      </c>
      <c r="AM70" s="190">
        <v>331008478.93000001</v>
      </c>
      <c r="AN70" s="190">
        <v>301337851.48000002</v>
      </c>
      <c r="AO70" s="190">
        <v>233287089.21000001</v>
      </c>
      <c r="AP70" s="190">
        <v>127707873.51000001</v>
      </c>
      <c r="AQ70" s="190">
        <v>0</v>
      </c>
      <c r="AR70" s="190"/>
      <c r="AS70" s="190"/>
      <c r="AT70" s="190">
        <v>9485588152.4899998</v>
      </c>
      <c r="AU70" s="190">
        <v>9304015150.3199997</v>
      </c>
      <c r="AV70" s="190">
        <v>9051649388.7700005</v>
      </c>
      <c r="AW70" s="190">
        <v>8295168514.6400003</v>
      </c>
      <c r="AX70" s="190">
        <v>8139685182.96</v>
      </c>
      <c r="AY70" s="190">
        <v>7938750364.1499996</v>
      </c>
      <c r="AZ70" s="190">
        <v>7934784508.5</v>
      </c>
      <c r="BA70" s="190">
        <v>7385968978.54</v>
      </c>
      <c r="BB70" s="190">
        <v>7360716151.5900002</v>
      </c>
      <c r="BC70" s="190">
        <v>7179425965.6499996</v>
      </c>
      <c r="BD70" s="190">
        <v>7003465589.3699999</v>
      </c>
      <c r="BE70" s="190">
        <v>6586961901.7700005</v>
      </c>
      <c r="BF70" s="190">
        <v>6433916281.1800003</v>
      </c>
      <c r="BG70" s="190">
        <v>6292714866.6599998</v>
      </c>
      <c r="BH70" s="190">
        <v>6409286809.8599997</v>
      </c>
      <c r="BI70" s="190">
        <v>6025892686.6599998</v>
      </c>
      <c r="BJ70" s="190">
        <v>5870405150.8400002</v>
      </c>
      <c r="BK70" s="190">
        <v>5711754634.1499996</v>
      </c>
      <c r="BL70" s="190">
        <v>5611611741.0699997</v>
      </c>
      <c r="BM70" s="190">
        <v>5322099955.71</v>
      </c>
      <c r="BN70" s="190">
        <v>5214293132.5200005</v>
      </c>
      <c r="BO70" s="190">
        <v>5075362101.0900002</v>
      </c>
      <c r="BP70" s="190">
        <v>4954980669.5600004</v>
      </c>
      <c r="BQ70" s="190">
        <v>4702243132.8000002</v>
      </c>
      <c r="BR70" s="190">
        <v>0</v>
      </c>
      <c r="BS70" s="190">
        <v>4385655821.6400003</v>
      </c>
      <c r="BT70" s="190">
        <v>4238623191.5</v>
      </c>
      <c r="BU70" s="190">
        <v>3191216198.9499998</v>
      </c>
      <c r="BV70" s="190">
        <v>2850312166.9000001</v>
      </c>
      <c r="BW70" s="190">
        <v>2420499366.4499998</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Q31" zoomScale="95" zoomScaleNormal="95" workbookViewId="0">
      <selection activeCell="AO51" sqref="AO51"/>
    </sheetView>
  </sheetViews>
  <sheetFormatPr defaultRowHeight="14.4" x14ac:dyDescent="0.25"/>
  <cols>
    <col min="1" max="1" width="77.5546875" style="17" bestFit="1" customWidth="1"/>
    <col min="2" max="2" width="22.5546875" hidden="1" customWidth="1"/>
    <col min="3" max="4" width="20.33203125" hidden="1" customWidth="1"/>
    <col min="5" max="5" width="22.5546875" bestFit="1" customWidth="1"/>
    <col min="6" max="6" width="20.33203125" hidden="1" customWidth="1"/>
    <col min="7" max="7" width="19.33203125" hidden="1" customWidth="1"/>
    <col min="8" max="8" width="20.33203125" hidden="1" customWidth="1"/>
    <col min="9" max="9" width="22.5546875" bestFit="1" customWidth="1"/>
    <col min="10" max="11" width="20.33203125" hidden="1" customWidth="1"/>
    <col min="12" max="12" width="18.109375" hidden="1" customWidth="1"/>
    <col min="13" max="13" width="22.5546875" bestFit="1" customWidth="1"/>
    <col min="14" max="15" width="19.33203125" hidden="1" customWidth="1"/>
    <col min="16" max="16" width="20.33203125" hidden="1" customWidth="1"/>
    <col min="17" max="17" width="22.5546875" bestFit="1" customWidth="1"/>
    <col min="18" max="18" width="20.33203125" hidden="1" customWidth="1"/>
    <col min="19" max="19" width="18.109375" hidden="1" customWidth="1"/>
    <col min="20" max="20" width="20.33203125" hidden="1" customWidth="1"/>
    <col min="21" max="21" width="22.5546875" bestFit="1" customWidth="1"/>
    <col min="22" max="23" width="18.109375" hidden="1" customWidth="1"/>
    <col min="24" max="24" width="20.33203125" hidden="1" customWidth="1"/>
    <col min="25" max="25" width="22.5546875" bestFit="1" customWidth="1"/>
    <col min="26" max="27" width="18.109375" hidden="1" customWidth="1"/>
    <col min="28" max="28" width="20.33203125" hidden="1" customWidth="1"/>
    <col min="29" max="29" width="20.33203125" bestFit="1" customWidth="1"/>
    <col min="30" max="30" width="20.33203125" hidden="1" customWidth="1"/>
    <col min="31" max="31" width="18.109375" hidden="1" customWidth="1"/>
    <col min="32" max="32" width="20.33203125" hidden="1" customWidth="1"/>
    <col min="33" max="33" width="20.33203125" bestFit="1" customWidth="1"/>
    <col min="34" max="34" width="20.33203125" hidden="1" customWidth="1"/>
    <col min="35" max="35" width="18.109375" hidden="1" customWidth="1"/>
    <col min="36" max="36" width="20.33203125" hidden="1" customWidth="1"/>
    <col min="37" max="37" width="20.33203125" bestFit="1" customWidth="1"/>
    <col min="38" max="38" width="20.33203125" hidden="1" customWidth="1"/>
    <col min="39" max="39" width="17" hidden="1" customWidth="1"/>
    <col min="40" max="40" width="18.109375" hidden="1" customWidth="1"/>
    <col min="41" max="41" width="19.21875" customWidth="1"/>
    <col min="42" max="44" width="20.33203125" bestFit="1" customWidth="1"/>
    <col min="45"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19.33203125" bestFit="1" customWidth="1"/>
    <col min="70" max="70" width="18.109375" hidden="1" customWidth="1"/>
    <col min="71" max="71" width="18.109375" bestFit="1" customWidth="1"/>
    <col min="72" max="72" width="14.6640625" hidden="1" customWidth="1"/>
    <col min="73" max="73" width="20.33203125" bestFit="1" customWidth="1"/>
    <col min="74" max="74" width="12.21875" hidden="1" customWidth="1"/>
  </cols>
  <sheetData>
    <row r="1" spans="1:74" s="6" customFormat="1" x14ac:dyDescent="0.25">
      <c r="A1" s="104">
        <v>2293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90">
        <v>10241.66</v>
      </c>
      <c r="C3" s="190">
        <v>600</v>
      </c>
      <c r="D3" s="190">
        <v>0</v>
      </c>
      <c r="E3" s="190">
        <v>4970142.3499999996</v>
      </c>
      <c r="F3" s="190">
        <v>16430.900000000001</v>
      </c>
      <c r="G3" s="190">
        <v>16056.83</v>
      </c>
      <c r="H3" s="190">
        <v>-4906.3999999999996</v>
      </c>
      <c r="I3" s="190">
        <v>1855089.14</v>
      </c>
      <c r="J3" s="190">
        <v>156931.23000000001</v>
      </c>
      <c r="K3" s="190">
        <v>134596.9</v>
      </c>
      <c r="L3" s="190">
        <v>64015.67</v>
      </c>
      <c r="M3" s="190">
        <v>322189.39</v>
      </c>
      <c r="N3" s="190">
        <v>1341303.94</v>
      </c>
      <c r="O3" s="190">
        <v>1140990.74</v>
      </c>
      <c r="P3" s="190">
        <v>201441.39</v>
      </c>
      <c r="Q3" s="190">
        <v>767115.55</v>
      </c>
      <c r="R3" s="190">
        <v>292580</v>
      </c>
      <c r="S3" s="190">
        <v>470402.8</v>
      </c>
      <c r="T3" s="190">
        <v>0</v>
      </c>
      <c r="U3" s="190">
        <v>182405.1</v>
      </c>
      <c r="V3" s="190">
        <v>0</v>
      </c>
      <c r="W3" s="190">
        <v>0</v>
      </c>
      <c r="X3" s="190">
        <v>0</v>
      </c>
      <c r="Y3" s="190">
        <v>1292966.78</v>
      </c>
      <c r="Z3" s="190">
        <v>0</v>
      </c>
      <c r="AA3" s="190">
        <v>0</v>
      </c>
      <c r="AB3" s="190">
        <v>0</v>
      </c>
      <c r="AC3" s="190">
        <v>853849.7</v>
      </c>
      <c r="AD3" s="190">
        <v>482261.34</v>
      </c>
      <c r="AE3" s="190">
        <v>325258.98</v>
      </c>
      <c r="AF3" s="190">
        <v>0</v>
      </c>
      <c r="AG3" s="190">
        <v>399690.97</v>
      </c>
      <c r="AH3" s="190">
        <v>130179.67</v>
      </c>
      <c r="AI3" s="190">
        <v>5000</v>
      </c>
      <c r="AJ3" s="190">
        <v>5000</v>
      </c>
      <c r="AK3" s="190">
        <v>75561.5</v>
      </c>
      <c r="AL3" s="190">
        <v>69681.5</v>
      </c>
      <c r="AM3" s="190">
        <v>69681.5</v>
      </c>
      <c r="AN3" s="190">
        <v>69681.5</v>
      </c>
      <c r="AO3" s="190">
        <v>177708.28</v>
      </c>
      <c r="AP3" s="190">
        <v>146608.28</v>
      </c>
      <c r="AQ3" s="190">
        <v>67600</v>
      </c>
      <c r="AR3" s="190">
        <v>83000</v>
      </c>
      <c r="AS3" s="190">
        <v>0</v>
      </c>
      <c r="AT3" s="190">
        <v>915725.99</v>
      </c>
      <c r="AU3" s="190">
        <v>888021.74</v>
      </c>
      <c r="AV3" s="190">
        <v>464588.74</v>
      </c>
      <c r="AW3" s="190">
        <v>573336.46</v>
      </c>
      <c r="AX3" s="190">
        <v>488804.96</v>
      </c>
      <c r="AY3" s="190">
        <v>270000</v>
      </c>
      <c r="AZ3" s="190">
        <v>0</v>
      </c>
      <c r="BA3" s="190">
        <v>863329.02</v>
      </c>
      <c r="BB3" s="190">
        <v>813805.81</v>
      </c>
      <c r="BC3" s="190">
        <v>727743.76</v>
      </c>
      <c r="BD3" s="190">
        <v>17650.599999999999</v>
      </c>
      <c r="BE3" s="190">
        <v>8589013.4800000004</v>
      </c>
      <c r="BF3" s="190">
        <v>7499124.0300000003</v>
      </c>
      <c r="BG3" s="190">
        <v>7168613.4299999997</v>
      </c>
      <c r="BH3" s="190">
        <v>21398</v>
      </c>
      <c r="BI3" s="190">
        <v>6970503.7599999998</v>
      </c>
      <c r="BJ3" s="190">
        <v>0</v>
      </c>
      <c r="BK3" s="190">
        <v>211614.42</v>
      </c>
      <c r="BL3" s="190">
        <v>50000</v>
      </c>
      <c r="BM3" s="190">
        <v>27193335.649999999</v>
      </c>
      <c r="BN3" s="190">
        <v>40285.5</v>
      </c>
      <c r="BO3" s="190">
        <v>371490.58</v>
      </c>
      <c r="BP3" s="190">
        <v>0</v>
      </c>
      <c r="BQ3" s="190">
        <v>3580</v>
      </c>
      <c r="BR3" s="190">
        <v>1500</v>
      </c>
      <c r="BS3" s="190">
        <v>52101.23</v>
      </c>
      <c r="BT3" s="190">
        <v>1680</v>
      </c>
      <c r="BU3" s="190">
        <v>25980.76</v>
      </c>
      <c r="BV3" s="190">
        <v>0</v>
      </c>
    </row>
    <row r="4" spans="1:74" s="26" customFormat="1" x14ac:dyDescent="0.25">
      <c r="A4" s="17" t="s">
        <v>304</v>
      </c>
      <c r="B4" s="190">
        <v>60220811.460000001</v>
      </c>
      <c r="C4" s="190">
        <v>24578275.809999999</v>
      </c>
      <c r="D4" s="190">
        <v>17777812.129999999</v>
      </c>
      <c r="E4" s="190">
        <v>28835553.52</v>
      </c>
      <c r="F4" s="190">
        <v>39181672.270000003</v>
      </c>
      <c r="G4" s="190">
        <v>21317356.91</v>
      </c>
      <c r="H4" s="190">
        <v>12171223.18</v>
      </c>
      <c r="I4" s="190">
        <v>63446137.460000001</v>
      </c>
      <c r="J4" s="190">
        <v>52056893.68</v>
      </c>
      <c r="K4" s="190">
        <v>43674678.600000001</v>
      </c>
      <c r="L4" s="190">
        <v>12840007.220000001</v>
      </c>
      <c r="M4" s="190">
        <v>61224048.009999998</v>
      </c>
      <c r="N4" s="190">
        <v>32123532.359999999</v>
      </c>
      <c r="O4" s="190">
        <v>26300609.809999999</v>
      </c>
      <c r="P4" s="190">
        <v>13845204</v>
      </c>
      <c r="Q4" s="190">
        <v>47393806.950000003</v>
      </c>
      <c r="R4" s="190">
        <v>37578946.32</v>
      </c>
      <c r="S4" s="190">
        <v>20172843.32</v>
      </c>
      <c r="T4" s="190">
        <v>12460552.4</v>
      </c>
      <c r="U4" s="190">
        <v>174980422.69999999</v>
      </c>
      <c r="V4" s="190">
        <v>102571002.12</v>
      </c>
      <c r="W4" s="190">
        <v>40184926.649999999</v>
      </c>
      <c r="X4" s="190">
        <v>9600247.1899999995</v>
      </c>
      <c r="Y4" s="190">
        <v>176241441.44999999</v>
      </c>
      <c r="Z4" s="190">
        <v>96368336.950000003</v>
      </c>
      <c r="AA4" s="190">
        <v>49657024.939999998</v>
      </c>
      <c r="AB4" s="190">
        <v>35348778.57</v>
      </c>
      <c r="AC4" s="190">
        <v>188578926.15000001</v>
      </c>
      <c r="AD4" s="190">
        <v>103961370.38</v>
      </c>
      <c r="AE4" s="190">
        <v>56004281.920000002</v>
      </c>
      <c r="AF4" s="190">
        <v>35697092.039999999</v>
      </c>
      <c r="AG4" s="190">
        <v>51934506.200000003</v>
      </c>
      <c r="AH4" s="190">
        <v>20892529.25</v>
      </c>
      <c r="AI4" s="190">
        <v>5646578.3600000003</v>
      </c>
      <c r="AJ4" s="190">
        <v>2260622.92</v>
      </c>
      <c r="AK4" s="190">
        <v>26471414.289999999</v>
      </c>
      <c r="AL4" s="190">
        <v>3967162.18</v>
      </c>
      <c r="AM4" s="190">
        <v>3541198.67</v>
      </c>
      <c r="AN4" s="190">
        <v>2807412.67</v>
      </c>
      <c r="AO4" s="190">
        <v>32359339.129999999</v>
      </c>
      <c r="AP4" s="190">
        <v>25461777.760000002</v>
      </c>
      <c r="AQ4" s="190">
        <v>19660820.329999998</v>
      </c>
      <c r="AR4" s="190">
        <v>12054338.48</v>
      </c>
      <c r="AS4" s="190">
        <v>0</v>
      </c>
      <c r="AT4" s="190">
        <v>180806493.18000001</v>
      </c>
      <c r="AU4" s="190">
        <v>102706016.8</v>
      </c>
      <c r="AV4" s="190">
        <v>39566827.240000002</v>
      </c>
      <c r="AW4" s="190">
        <v>251397575.99000001</v>
      </c>
      <c r="AX4" s="190">
        <v>231787598.30000001</v>
      </c>
      <c r="AY4" s="190">
        <v>193913936.41999999</v>
      </c>
      <c r="AZ4" s="190">
        <v>732516.47</v>
      </c>
      <c r="BA4" s="190">
        <v>117069771.09999999</v>
      </c>
      <c r="BB4" s="190">
        <v>72571280.939999998</v>
      </c>
      <c r="BC4" s="190">
        <v>69853888.430000007</v>
      </c>
      <c r="BD4" s="190">
        <v>48611645.549999997</v>
      </c>
      <c r="BE4" s="190">
        <v>683013865.38</v>
      </c>
      <c r="BF4" s="190">
        <v>111516381.05</v>
      </c>
      <c r="BG4" s="190">
        <v>99482044.859999999</v>
      </c>
      <c r="BH4" s="190">
        <v>66469318.329999998</v>
      </c>
      <c r="BI4" s="190">
        <v>1370837016.3299999</v>
      </c>
      <c r="BJ4" s="190">
        <v>869403485.79999995</v>
      </c>
      <c r="BK4" s="190">
        <v>102523951.22</v>
      </c>
      <c r="BL4" s="190">
        <v>18067034.449999999</v>
      </c>
      <c r="BM4" s="190">
        <v>1276551302.9200001</v>
      </c>
      <c r="BN4" s="190">
        <v>227870170.09</v>
      </c>
      <c r="BO4" s="190">
        <v>1825260201.4100001</v>
      </c>
      <c r="BP4" s="190">
        <v>1033022955.65</v>
      </c>
      <c r="BQ4" s="190">
        <v>508204018.88</v>
      </c>
      <c r="BR4" s="190">
        <v>378968057.27999997</v>
      </c>
      <c r="BS4" s="190">
        <v>94153230.329999998</v>
      </c>
      <c r="BT4" s="190">
        <v>6757461.4400000004</v>
      </c>
      <c r="BU4" s="190">
        <v>585117171</v>
      </c>
      <c r="BV4" s="190">
        <v>0</v>
      </c>
    </row>
    <row r="5" spans="1:74" s="47" customFormat="1" x14ac:dyDescent="0.25">
      <c r="A5" s="135" t="s">
        <v>295</v>
      </c>
      <c r="E5" s="47">
        <f>E4-E3</f>
        <v>23865411.170000002</v>
      </c>
      <c r="F5" s="47">
        <f t="shared" ref="F5:AR5" si="0">F4-F3</f>
        <v>39165241.370000005</v>
      </c>
      <c r="G5" s="47">
        <f t="shared" si="0"/>
        <v>21301300.080000002</v>
      </c>
      <c r="H5" s="47">
        <f t="shared" si="0"/>
        <v>12176129.58</v>
      </c>
      <c r="I5" s="47">
        <f t="shared" si="0"/>
        <v>61591048.32</v>
      </c>
      <c r="J5" s="47">
        <f t="shared" si="0"/>
        <v>51899962.450000003</v>
      </c>
      <c r="K5" s="47">
        <f t="shared" si="0"/>
        <v>43540081.700000003</v>
      </c>
      <c r="L5" s="47">
        <f t="shared" si="0"/>
        <v>12775991.550000001</v>
      </c>
      <c r="M5" s="47">
        <f t="shared" si="0"/>
        <v>60901858.619999997</v>
      </c>
      <c r="N5" s="47">
        <f t="shared" si="0"/>
        <v>30782228.419999998</v>
      </c>
      <c r="O5" s="47">
        <f t="shared" si="0"/>
        <v>25159619.07</v>
      </c>
      <c r="P5" s="47">
        <f t="shared" si="0"/>
        <v>13643762.609999999</v>
      </c>
      <c r="Q5" s="47">
        <f t="shared" si="0"/>
        <v>46626691.400000006</v>
      </c>
      <c r="R5" s="47">
        <f t="shared" si="0"/>
        <v>37286366.32</v>
      </c>
      <c r="S5" s="47">
        <f t="shared" si="0"/>
        <v>19702440.52</v>
      </c>
      <c r="T5" s="47">
        <f t="shared" si="0"/>
        <v>12460552.4</v>
      </c>
      <c r="U5" s="47">
        <f t="shared" si="0"/>
        <v>174798017.59999999</v>
      </c>
      <c r="V5" s="47">
        <f t="shared" si="0"/>
        <v>102571002.12</v>
      </c>
      <c r="W5" s="47">
        <f t="shared" si="0"/>
        <v>40184926.649999999</v>
      </c>
      <c r="X5" s="47">
        <f t="shared" si="0"/>
        <v>9600247.1899999995</v>
      </c>
      <c r="Y5" s="47">
        <f t="shared" si="0"/>
        <v>174948474.66999999</v>
      </c>
      <c r="Z5" s="47">
        <f t="shared" si="0"/>
        <v>96368336.950000003</v>
      </c>
      <c r="AA5" s="47">
        <f t="shared" si="0"/>
        <v>49657024.939999998</v>
      </c>
      <c r="AB5" s="47">
        <f t="shared" si="0"/>
        <v>35348778.57</v>
      </c>
      <c r="AC5" s="47">
        <f t="shared" si="0"/>
        <v>187725076.45000002</v>
      </c>
      <c r="AD5" s="47">
        <f t="shared" si="0"/>
        <v>103479109.03999999</v>
      </c>
      <c r="AE5" s="47">
        <f t="shared" si="0"/>
        <v>55679022.940000005</v>
      </c>
      <c r="AF5" s="47">
        <f t="shared" si="0"/>
        <v>35697092.039999999</v>
      </c>
      <c r="AG5" s="47">
        <f t="shared" si="0"/>
        <v>51534815.230000004</v>
      </c>
      <c r="AH5" s="47">
        <f t="shared" si="0"/>
        <v>20762349.579999998</v>
      </c>
      <c r="AI5" s="47">
        <f t="shared" si="0"/>
        <v>5641578.3600000003</v>
      </c>
      <c r="AJ5" s="47">
        <f t="shared" si="0"/>
        <v>2255622.92</v>
      </c>
      <c r="AK5" s="47">
        <f t="shared" si="0"/>
        <v>26395852.789999999</v>
      </c>
      <c r="AL5" s="47">
        <f t="shared" si="0"/>
        <v>3897480.68</v>
      </c>
      <c r="AM5" s="47">
        <f t="shared" si="0"/>
        <v>3471517.17</v>
      </c>
      <c r="AN5" s="47">
        <f t="shared" si="0"/>
        <v>2737731.17</v>
      </c>
      <c r="AO5" s="47">
        <f t="shared" si="0"/>
        <v>32181630.849999998</v>
      </c>
      <c r="AP5" s="47">
        <f t="shared" si="0"/>
        <v>25315169.48</v>
      </c>
      <c r="AQ5" s="47">
        <f t="shared" si="0"/>
        <v>19593220.329999998</v>
      </c>
      <c r="AR5" s="47">
        <f t="shared" si="0"/>
        <v>11971338.48</v>
      </c>
    </row>
    <row r="6" spans="1:74" s="105" customFormat="1" x14ac:dyDescent="0.25">
      <c r="A6" s="136" t="s">
        <v>305</v>
      </c>
      <c r="B6" s="190">
        <v>0</v>
      </c>
      <c r="C6" s="190">
        <v>18609479.210000001</v>
      </c>
      <c r="D6" s="190">
        <v>0</v>
      </c>
      <c r="E6" s="190">
        <v>37807652.420000002</v>
      </c>
      <c r="F6" s="190">
        <v>0</v>
      </c>
      <c r="G6" s="190">
        <v>24188662.149999999</v>
      </c>
      <c r="H6" s="190">
        <v>0</v>
      </c>
      <c r="I6" s="190">
        <v>35440637.75</v>
      </c>
      <c r="J6" s="190">
        <v>0</v>
      </c>
      <c r="K6" s="190">
        <v>24114191.109999999</v>
      </c>
      <c r="L6" s="190">
        <v>0</v>
      </c>
      <c r="M6" s="190">
        <v>34959961.5</v>
      </c>
      <c r="N6" s="190">
        <v>0</v>
      </c>
      <c r="O6" s="190">
        <v>17224346.050000001</v>
      </c>
      <c r="P6" s="190">
        <v>0</v>
      </c>
      <c r="Q6" s="190">
        <v>32829402.239999998</v>
      </c>
      <c r="R6" s="190">
        <v>0</v>
      </c>
      <c r="S6" s="190">
        <v>16304147.16</v>
      </c>
      <c r="T6" s="190">
        <v>0</v>
      </c>
      <c r="U6" s="190">
        <v>27484041.66</v>
      </c>
      <c r="V6" s="190">
        <v>0</v>
      </c>
      <c r="W6" s="190">
        <v>13633692.060000001</v>
      </c>
      <c r="X6" s="190">
        <v>0</v>
      </c>
      <c r="Y6" s="190">
        <v>22381991.079999998</v>
      </c>
      <c r="Z6" s="190">
        <v>0</v>
      </c>
      <c r="AA6" s="190">
        <v>10454383.35</v>
      </c>
      <c r="AB6" s="190">
        <v>0</v>
      </c>
      <c r="AC6" s="190">
        <v>11203316.279999999</v>
      </c>
      <c r="AD6" s="190">
        <v>0</v>
      </c>
      <c r="AE6" s="190">
        <v>4861813.6900000004</v>
      </c>
      <c r="AF6" s="190">
        <v>0</v>
      </c>
      <c r="AG6" s="190">
        <v>7957339.1600000001</v>
      </c>
      <c r="AH6" s="190">
        <v>0</v>
      </c>
      <c r="AI6" s="190">
        <v>3978568.6</v>
      </c>
      <c r="AJ6" s="190">
        <v>0</v>
      </c>
      <c r="AK6" s="190">
        <v>7885187.7300000004</v>
      </c>
      <c r="AL6" s="190">
        <v>0</v>
      </c>
      <c r="AM6" s="190">
        <v>3958009.57</v>
      </c>
      <c r="AN6" s="190">
        <v>0</v>
      </c>
      <c r="AO6" s="190">
        <v>6177331.71</v>
      </c>
      <c r="AP6" s="190">
        <v>0</v>
      </c>
      <c r="AQ6" s="190">
        <v>5055507.91</v>
      </c>
      <c r="AR6" s="190">
        <v>5767930.5800000001</v>
      </c>
      <c r="AS6" s="190">
        <v>0</v>
      </c>
      <c r="AT6" s="190">
        <v>0</v>
      </c>
      <c r="AU6" s="190">
        <v>0</v>
      </c>
      <c r="AV6" s="190">
        <v>0</v>
      </c>
      <c r="AW6" s="190">
        <v>467047308.91000003</v>
      </c>
      <c r="AX6" s="190">
        <v>322210774.50999999</v>
      </c>
      <c r="AY6" s="190">
        <v>214415246.97</v>
      </c>
      <c r="AZ6" s="190">
        <v>106891762.23999999</v>
      </c>
      <c r="BA6" s="190">
        <v>478234075.06999999</v>
      </c>
      <c r="BB6" s="190">
        <v>357766299.13</v>
      </c>
      <c r="BC6" s="190">
        <v>237335309.81999999</v>
      </c>
      <c r="BD6" s="190">
        <v>118623693.14</v>
      </c>
      <c r="BE6" s="190">
        <v>404552322.94</v>
      </c>
      <c r="BF6" s="190">
        <v>305788725.56</v>
      </c>
      <c r="BG6" s="190">
        <v>208996928.00999999</v>
      </c>
      <c r="BH6" s="190">
        <v>112312929.75</v>
      </c>
      <c r="BI6" s="190">
        <v>275750634.47000003</v>
      </c>
      <c r="BJ6" s="190">
        <v>202256946.52000001</v>
      </c>
      <c r="BK6" s="190">
        <v>113461866.70999999</v>
      </c>
      <c r="BL6" s="190">
        <v>56664861.82</v>
      </c>
      <c r="BM6" s="190">
        <v>233663769.53999999</v>
      </c>
      <c r="BN6" s="190">
        <v>102939387.53</v>
      </c>
      <c r="BO6" s="190">
        <v>165653982.56</v>
      </c>
      <c r="BP6" s="190">
        <v>49234570.869999997</v>
      </c>
      <c r="BQ6" s="190">
        <v>130519869.31</v>
      </c>
      <c r="BR6" s="190">
        <v>62414344.259999998</v>
      </c>
      <c r="BS6" s="190">
        <v>56928281.189999998</v>
      </c>
      <c r="BT6" s="190">
        <v>29633190.559999999</v>
      </c>
      <c r="BU6" s="190">
        <v>42460875.850000001</v>
      </c>
      <c r="BV6" s="190">
        <v>0</v>
      </c>
    </row>
    <row r="7" spans="1:74" s="26" customFormat="1" x14ac:dyDescent="0.25">
      <c r="A7" s="17" t="s">
        <v>306</v>
      </c>
      <c r="B7" s="190">
        <v>0</v>
      </c>
      <c r="C7" s="190">
        <v>7943763.7300000004</v>
      </c>
      <c r="D7" s="190">
        <v>0</v>
      </c>
      <c r="E7" s="190">
        <v>25971884.399999999</v>
      </c>
      <c r="F7" s="190">
        <v>0</v>
      </c>
      <c r="G7" s="190">
        <v>8416974.0999999996</v>
      </c>
      <c r="H7" s="190">
        <v>0</v>
      </c>
      <c r="I7" s="190">
        <v>7090984.5700000003</v>
      </c>
      <c r="J7" s="190">
        <v>0</v>
      </c>
      <c r="K7" s="190">
        <v>3264639.28</v>
      </c>
      <c r="L7" s="190">
        <v>0</v>
      </c>
      <c r="M7" s="190">
        <v>5117837.59</v>
      </c>
      <c r="N7" s="190">
        <v>0</v>
      </c>
      <c r="O7" s="190">
        <v>2391488.0299999998</v>
      </c>
      <c r="P7" s="190">
        <v>0</v>
      </c>
      <c r="Q7" s="190">
        <v>5055901.84</v>
      </c>
      <c r="R7" s="190">
        <v>0</v>
      </c>
      <c r="S7" s="190">
        <v>2494246.64</v>
      </c>
      <c r="T7" s="190">
        <v>0</v>
      </c>
      <c r="U7" s="190">
        <v>4350113.88</v>
      </c>
      <c r="V7" s="190">
        <v>0</v>
      </c>
      <c r="W7" s="190">
        <v>2003224.18</v>
      </c>
      <c r="X7" s="190">
        <v>0</v>
      </c>
      <c r="Y7" s="190">
        <v>3599842.27</v>
      </c>
      <c r="Z7" s="190">
        <v>0</v>
      </c>
      <c r="AA7" s="190">
        <v>1780235.23</v>
      </c>
      <c r="AB7" s="190">
        <v>0</v>
      </c>
      <c r="AC7" s="190">
        <v>2025721.79</v>
      </c>
      <c r="AD7" s="190">
        <v>0</v>
      </c>
      <c r="AE7" s="190">
        <v>690884.18</v>
      </c>
      <c r="AF7" s="190">
        <v>0</v>
      </c>
      <c r="AG7" s="190">
        <v>822758.43</v>
      </c>
      <c r="AH7" s="190">
        <v>0</v>
      </c>
      <c r="AI7" s="190">
        <v>344885.94</v>
      </c>
      <c r="AJ7" s="190">
        <v>0</v>
      </c>
      <c r="AK7" s="190">
        <v>516614.44</v>
      </c>
      <c r="AL7" s="190">
        <v>0</v>
      </c>
      <c r="AM7" s="190">
        <v>255674.06</v>
      </c>
      <c r="AN7" s="190">
        <v>0</v>
      </c>
      <c r="AO7" s="190">
        <v>480260.76</v>
      </c>
      <c r="AP7" s="190">
        <v>0</v>
      </c>
      <c r="AQ7" s="190">
        <v>480260.76</v>
      </c>
      <c r="AR7" s="190">
        <v>216882.08</v>
      </c>
      <c r="AS7" s="190">
        <v>0</v>
      </c>
      <c r="AT7" s="190">
        <v>0</v>
      </c>
      <c r="AU7" s="190">
        <v>0</v>
      </c>
      <c r="AV7" s="190">
        <v>0</v>
      </c>
      <c r="AW7" s="190">
        <v>3799631.08</v>
      </c>
      <c r="AX7" s="190">
        <v>3384594.86</v>
      </c>
      <c r="AY7" s="190">
        <v>1952934.44</v>
      </c>
      <c r="AZ7" s="190">
        <v>567536.22</v>
      </c>
      <c r="BA7" s="190">
        <v>1586144.88</v>
      </c>
      <c r="BB7" s="190">
        <v>1189608.6599999999</v>
      </c>
      <c r="BC7" s="190">
        <v>793072.44</v>
      </c>
      <c r="BD7" s="190">
        <v>396536.22</v>
      </c>
      <c r="BE7" s="190">
        <v>2026799.88</v>
      </c>
      <c r="BF7" s="190">
        <v>1513263.66</v>
      </c>
      <c r="BG7" s="190">
        <v>968842.44</v>
      </c>
      <c r="BH7" s="190">
        <v>572304.69999999995</v>
      </c>
      <c r="BI7" s="190">
        <v>2294148.85</v>
      </c>
      <c r="BJ7" s="190">
        <v>1897612.63</v>
      </c>
      <c r="BK7" s="190">
        <v>1501076.41</v>
      </c>
      <c r="BL7" s="190">
        <v>397126.17</v>
      </c>
      <c r="BM7" s="190">
        <v>3779059.29</v>
      </c>
      <c r="BN7" s="190">
        <v>943096.31999999995</v>
      </c>
      <c r="BO7" s="190">
        <v>1696119.74</v>
      </c>
      <c r="BP7" s="190">
        <v>808679.94</v>
      </c>
      <c r="BQ7" s="190">
        <v>2290393.21</v>
      </c>
      <c r="BR7" s="190">
        <v>677235.94</v>
      </c>
      <c r="BS7" s="190">
        <v>16746446.949999999</v>
      </c>
      <c r="BT7" s="190">
        <v>1394056.95</v>
      </c>
      <c r="BU7" s="190">
        <v>2442875.52</v>
      </c>
      <c r="BV7" s="190">
        <v>0</v>
      </c>
    </row>
    <row r="8" spans="1:74" s="26" customFormat="1" x14ac:dyDescent="0.25">
      <c r="A8" s="17" t="s">
        <v>307</v>
      </c>
      <c r="B8" s="190">
        <v>0</v>
      </c>
      <c r="C8" s="190">
        <v>18216996.620000001</v>
      </c>
      <c r="D8" s="190">
        <v>0</v>
      </c>
      <c r="E8" s="190">
        <v>44118084.619999997</v>
      </c>
      <c r="F8" s="190">
        <v>0</v>
      </c>
      <c r="G8" s="190">
        <v>18143207.620000001</v>
      </c>
      <c r="H8" s="190">
        <v>0</v>
      </c>
      <c r="I8" s="190">
        <v>31691698.710000001</v>
      </c>
      <c r="J8" s="190">
        <v>0</v>
      </c>
      <c r="K8" s="190">
        <v>16703937.890000001</v>
      </c>
      <c r="L8" s="190">
        <v>0</v>
      </c>
      <c r="M8" s="190">
        <v>27324656.59</v>
      </c>
      <c r="N8" s="190">
        <v>0</v>
      </c>
      <c r="O8" s="190">
        <v>11520338.15</v>
      </c>
      <c r="P8" s="190">
        <v>0</v>
      </c>
      <c r="Q8" s="190">
        <v>23465747.539999999</v>
      </c>
      <c r="R8" s="190">
        <v>0</v>
      </c>
      <c r="S8" s="190">
        <v>11528436.73</v>
      </c>
      <c r="T8" s="190">
        <v>0</v>
      </c>
      <c r="U8" s="190">
        <v>16426474.23</v>
      </c>
      <c r="V8" s="190">
        <v>0</v>
      </c>
      <c r="W8" s="190">
        <v>7062238.1299999999</v>
      </c>
      <c r="X8" s="190">
        <v>0</v>
      </c>
      <c r="Y8" s="190">
        <v>14567104.789999999</v>
      </c>
      <c r="Z8" s="190">
        <v>0</v>
      </c>
      <c r="AA8" s="190">
        <v>5027600.82</v>
      </c>
      <c r="AB8" s="190">
        <v>0</v>
      </c>
      <c r="AC8" s="190">
        <v>4795014.71</v>
      </c>
      <c r="AD8" s="190">
        <v>0</v>
      </c>
      <c r="AE8" s="190">
        <v>391855.77</v>
      </c>
      <c r="AF8" s="190">
        <v>0</v>
      </c>
      <c r="AG8" s="190">
        <v>3267896.07</v>
      </c>
      <c r="AH8" s="190">
        <v>0</v>
      </c>
      <c r="AI8" s="190">
        <v>-291810.57</v>
      </c>
      <c r="AJ8" s="190">
        <v>0</v>
      </c>
      <c r="AK8" s="190">
        <v>-4663144.5199999996</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527845.37</v>
      </c>
      <c r="D9" s="190">
        <v>0</v>
      </c>
      <c r="E9" s="190">
        <v>400460.26</v>
      </c>
      <c r="F9" s="190">
        <v>0</v>
      </c>
      <c r="G9" s="190">
        <v>567133.53</v>
      </c>
      <c r="H9" s="190">
        <v>0</v>
      </c>
      <c r="I9" s="190">
        <v>315541.44</v>
      </c>
      <c r="J9" s="190">
        <v>0</v>
      </c>
      <c r="K9" s="190">
        <v>271326.99</v>
      </c>
      <c r="L9" s="190">
        <v>0</v>
      </c>
      <c r="M9" s="190">
        <v>262905.48</v>
      </c>
      <c r="N9" s="190">
        <v>0</v>
      </c>
      <c r="O9" s="190">
        <v>211459.86</v>
      </c>
      <c r="P9" s="190">
        <v>0</v>
      </c>
      <c r="Q9" s="190">
        <v>708521.66</v>
      </c>
      <c r="R9" s="190">
        <v>0</v>
      </c>
      <c r="S9" s="190">
        <v>-156539.56</v>
      </c>
      <c r="T9" s="190">
        <v>0</v>
      </c>
      <c r="U9" s="190">
        <v>94529.15</v>
      </c>
      <c r="V9" s="190">
        <v>0</v>
      </c>
      <c r="W9" s="190">
        <v>-49124.82</v>
      </c>
      <c r="X9" s="190">
        <v>0</v>
      </c>
      <c r="Y9" s="190">
        <v>442631.58</v>
      </c>
      <c r="Z9" s="190">
        <v>0</v>
      </c>
      <c r="AA9" s="190">
        <v>355433.64</v>
      </c>
      <c r="AB9" s="190">
        <v>0</v>
      </c>
      <c r="AC9" s="190">
        <v>122008.88</v>
      </c>
      <c r="AD9" s="190">
        <v>0</v>
      </c>
      <c r="AE9" s="190">
        <v>-166311.64000000001</v>
      </c>
      <c r="AF9" s="190">
        <v>0</v>
      </c>
      <c r="AG9" s="190">
        <v>92121.38</v>
      </c>
      <c r="AH9" s="190">
        <v>0</v>
      </c>
      <c r="AI9" s="190">
        <v>10876.46</v>
      </c>
      <c r="AJ9" s="190">
        <v>0</v>
      </c>
      <c r="AK9" s="190">
        <v>196954.43</v>
      </c>
      <c r="AL9" s="190">
        <v>0</v>
      </c>
      <c r="AM9" s="190">
        <v>14468.98</v>
      </c>
      <c r="AN9" s="190">
        <v>0</v>
      </c>
      <c r="AO9" s="190">
        <v>90111.08</v>
      </c>
      <c r="AP9" s="190">
        <v>0</v>
      </c>
      <c r="AQ9" s="190">
        <v>0</v>
      </c>
      <c r="AR9" s="190">
        <v>189932.79999999999</v>
      </c>
      <c r="AS9" s="190">
        <v>0</v>
      </c>
      <c r="AT9" s="190">
        <v>0</v>
      </c>
      <c r="AU9" s="190">
        <v>0</v>
      </c>
      <c r="AV9" s="190">
        <v>0</v>
      </c>
      <c r="AW9" s="190">
        <v>269102.78999999998</v>
      </c>
      <c r="AX9" s="190">
        <v>146154.56</v>
      </c>
      <c r="AY9" s="190">
        <v>-125360.21</v>
      </c>
      <c r="AZ9" s="190">
        <v>0</v>
      </c>
      <c r="BA9" s="190">
        <v>-191319.73</v>
      </c>
      <c r="BB9" s="190">
        <v>-54708.43</v>
      </c>
      <c r="BC9" s="190">
        <v>-7534.17</v>
      </c>
      <c r="BD9" s="190">
        <v>-12970.6</v>
      </c>
      <c r="BE9" s="190">
        <v>2450780.61</v>
      </c>
      <c r="BF9" s="190">
        <v>461041.96</v>
      </c>
      <c r="BG9" s="190">
        <v>260575.46</v>
      </c>
      <c r="BH9" s="190">
        <v>-14558</v>
      </c>
      <c r="BI9" s="190">
        <v>3395525.08</v>
      </c>
      <c r="BJ9" s="190">
        <v>-15527.85</v>
      </c>
      <c r="BK9" s="190">
        <v>13728.15</v>
      </c>
      <c r="BL9" s="190">
        <v>-38776.370000000003</v>
      </c>
      <c r="BM9" s="190">
        <v>925739.38</v>
      </c>
      <c r="BN9" s="190">
        <v>510508.23</v>
      </c>
      <c r="BO9" s="190">
        <v>-49398.94</v>
      </c>
      <c r="BP9" s="190">
        <v>1595890.7</v>
      </c>
      <c r="BQ9" s="190">
        <v>-3580</v>
      </c>
      <c r="BR9" s="190">
        <v>-1500</v>
      </c>
      <c r="BS9" s="190">
        <v>169771.53</v>
      </c>
      <c r="BT9" s="190">
        <v>-1680</v>
      </c>
      <c r="BU9" s="190">
        <v>0</v>
      </c>
      <c r="BV9" s="190">
        <v>0</v>
      </c>
    </row>
    <row r="10" spans="1:74" s="26" customFormat="1" x14ac:dyDescent="0.25">
      <c r="A10" s="17" t="s">
        <v>309</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2060.88</v>
      </c>
      <c r="AF10" s="190">
        <v>0</v>
      </c>
      <c r="AG10" s="190">
        <v>0</v>
      </c>
      <c r="AH10" s="190">
        <v>0</v>
      </c>
      <c r="AI10" s="190">
        <v>0</v>
      </c>
      <c r="AJ10" s="190">
        <v>0</v>
      </c>
      <c r="AK10" s="190">
        <v>0</v>
      </c>
      <c r="AL10" s="190">
        <v>0</v>
      </c>
      <c r="AM10" s="190">
        <v>0</v>
      </c>
      <c r="AN10" s="190">
        <v>0</v>
      </c>
      <c r="AO10" s="190">
        <v>0</v>
      </c>
      <c r="AP10" s="190">
        <v>0</v>
      </c>
      <c r="AQ10" s="190">
        <v>1516529.05</v>
      </c>
      <c r="AR10" s="190">
        <v>15552.35</v>
      </c>
      <c r="AS10" s="190">
        <v>0</v>
      </c>
      <c r="AT10" s="190">
        <v>0</v>
      </c>
      <c r="AU10" s="190">
        <v>0</v>
      </c>
      <c r="AV10" s="190">
        <v>0</v>
      </c>
      <c r="AW10" s="190">
        <v>0</v>
      </c>
      <c r="AX10" s="190">
        <v>0</v>
      </c>
      <c r="AY10" s="190">
        <v>1108956.43</v>
      </c>
      <c r="AZ10" s="190">
        <v>0</v>
      </c>
      <c r="BA10" s="190">
        <v>0</v>
      </c>
      <c r="BB10" s="190">
        <v>0</v>
      </c>
      <c r="BC10" s="190">
        <v>0</v>
      </c>
      <c r="BD10" s="190">
        <v>0</v>
      </c>
      <c r="BE10" s="190">
        <v>10234174.27</v>
      </c>
      <c r="BF10" s="190">
        <v>6735200.1100000003</v>
      </c>
      <c r="BG10" s="190">
        <v>2122271.27</v>
      </c>
      <c r="BH10" s="190">
        <v>0</v>
      </c>
      <c r="BI10" s="190">
        <v>5443986.7300000004</v>
      </c>
      <c r="BJ10" s="190">
        <v>2732944.24</v>
      </c>
      <c r="BK10" s="190">
        <v>1676945.26</v>
      </c>
      <c r="BL10" s="190">
        <v>15909.78</v>
      </c>
      <c r="BM10" s="190">
        <v>4369433.5199999996</v>
      </c>
      <c r="BN10" s="190">
        <v>256577.04</v>
      </c>
      <c r="BO10" s="190">
        <v>2074884.19</v>
      </c>
      <c r="BP10" s="190">
        <v>0</v>
      </c>
      <c r="BQ10" s="190">
        <v>1025342.66</v>
      </c>
      <c r="BR10" s="190">
        <v>43944</v>
      </c>
      <c r="BS10" s="190">
        <v>0</v>
      </c>
      <c r="BT10" s="190">
        <v>7101</v>
      </c>
      <c r="BU10" s="190">
        <v>0</v>
      </c>
      <c r="BV10" s="190">
        <v>0</v>
      </c>
    </row>
    <row r="11" spans="1:74" s="47" customFormat="1" x14ac:dyDescent="0.25">
      <c r="A11" s="135" t="s">
        <v>296</v>
      </c>
      <c r="E11" s="47">
        <f>E5-E6-E7-E8-E9-E10</f>
        <v>-84432670.530000001</v>
      </c>
      <c r="F11" s="47">
        <f t="shared" ref="F11:BQ11" si="1">F5-F6-F7-F8-F9-F10</f>
        <v>39165241.370000005</v>
      </c>
      <c r="G11" s="47">
        <f t="shared" si="1"/>
        <v>-30014677.32</v>
      </c>
      <c r="H11" s="47">
        <f t="shared" si="1"/>
        <v>12176129.58</v>
      </c>
      <c r="I11" s="47">
        <f t="shared" si="1"/>
        <v>-12947814.15</v>
      </c>
      <c r="J11" s="47">
        <f t="shared" si="1"/>
        <v>51899962.450000003</v>
      </c>
      <c r="K11" s="47">
        <f t="shared" si="1"/>
        <v>-814013.56999999634</v>
      </c>
      <c r="L11" s="47">
        <f t="shared" si="1"/>
        <v>12775991.550000001</v>
      </c>
      <c r="M11" s="47">
        <f t="shared" si="1"/>
        <v>-6763502.5400000028</v>
      </c>
      <c r="N11" s="47">
        <f t="shared" si="1"/>
        <v>30782228.419999998</v>
      </c>
      <c r="O11" s="47">
        <f t="shared" si="1"/>
        <v>-6188013.0200000005</v>
      </c>
      <c r="P11" s="47">
        <f t="shared" si="1"/>
        <v>13643762.609999999</v>
      </c>
      <c r="Q11" s="47">
        <f t="shared" si="1"/>
        <v>-15432881.879999992</v>
      </c>
      <c r="R11" s="47">
        <f t="shared" si="1"/>
        <v>37286366.32</v>
      </c>
      <c r="S11" s="47">
        <f t="shared" si="1"/>
        <v>-10467850.450000001</v>
      </c>
      <c r="T11" s="47">
        <f t="shared" si="1"/>
        <v>12460552.4</v>
      </c>
      <c r="U11" s="47">
        <f t="shared" si="1"/>
        <v>126442858.67999999</v>
      </c>
      <c r="V11" s="47">
        <f t="shared" si="1"/>
        <v>102571002.12</v>
      </c>
      <c r="W11" s="47">
        <f t="shared" si="1"/>
        <v>17534897.099999998</v>
      </c>
      <c r="X11" s="47">
        <f t="shared" si="1"/>
        <v>9600247.1899999995</v>
      </c>
      <c r="Y11" s="47">
        <f t="shared" si="1"/>
        <v>133956904.94999997</v>
      </c>
      <c r="Z11" s="47">
        <f t="shared" si="1"/>
        <v>96368336.950000003</v>
      </c>
      <c r="AA11" s="47">
        <f t="shared" si="1"/>
        <v>32039371.899999999</v>
      </c>
      <c r="AB11" s="47">
        <f t="shared" si="1"/>
        <v>35348778.57</v>
      </c>
      <c r="AC11" s="47">
        <f t="shared" si="1"/>
        <v>169579014.79000002</v>
      </c>
      <c r="AD11" s="47">
        <f t="shared" si="1"/>
        <v>103479109.03999999</v>
      </c>
      <c r="AE11" s="47">
        <f t="shared" si="1"/>
        <v>49898720.060000002</v>
      </c>
      <c r="AF11" s="47">
        <f t="shared" si="1"/>
        <v>35697092.039999999</v>
      </c>
      <c r="AG11" s="47">
        <f t="shared" si="1"/>
        <v>39394700.190000005</v>
      </c>
      <c r="AH11" s="47">
        <f t="shared" si="1"/>
        <v>20762349.579999998</v>
      </c>
      <c r="AI11" s="47">
        <f t="shared" si="1"/>
        <v>1599057.9300000004</v>
      </c>
      <c r="AJ11" s="47">
        <f t="shared" si="1"/>
        <v>2255622.92</v>
      </c>
      <c r="AK11" s="47">
        <f t="shared" si="1"/>
        <v>22460240.709999997</v>
      </c>
      <c r="AL11" s="47">
        <f t="shared" si="1"/>
        <v>3897480.68</v>
      </c>
      <c r="AM11" s="47">
        <f t="shared" si="1"/>
        <v>-756635.44</v>
      </c>
      <c r="AN11" s="47">
        <f t="shared" si="1"/>
        <v>2737731.17</v>
      </c>
      <c r="AO11" s="47">
        <f t="shared" si="1"/>
        <v>25433927.299999997</v>
      </c>
      <c r="AP11" s="47">
        <f t="shared" si="1"/>
        <v>25315169.48</v>
      </c>
      <c r="AQ11" s="47">
        <f t="shared" si="1"/>
        <v>12540922.609999998</v>
      </c>
      <c r="AR11" s="47">
        <f t="shared" si="1"/>
        <v>5781040.6700000009</v>
      </c>
      <c r="AS11" s="47">
        <f t="shared" si="1"/>
        <v>0</v>
      </c>
      <c r="AT11" s="47">
        <f t="shared" si="1"/>
        <v>0</v>
      </c>
      <c r="AU11" s="47">
        <f t="shared" si="1"/>
        <v>0</v>
      </c>
      <c r="AV11" s="47">
        <f t="shared" si="1"/>
        <v>0</v>
      </c>
      <c r="AW11" s="47">
        <f t="shared" si="1"/>
        <v>-471116042.78000003</v>
      </c>
      <c r="AX11" s="47">
        <f t="shared" si="1"/>
        <v>-325741523.93000001</v>
      </c>
      <c r="AY11" s="47">
        <f t="shared" si="1"/>
        <v>-217351777.63</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712655645.71999979</v>
      </c>
      <c r="F12" s="26">
        <f t="shared" si="3"/>
        <v>712011638.26999998</v>
      </c>
      <c r="G12" s="26">
        <f t="shared" si="3"/>
        <v>706507482.50999999</v>
      </c>
      <c r="H12" s="26">
        <f t="shared" si="3"/>
        <v>719703422.57000005</v>
      </c>
      <c r="I12" s="26">
        <f t="shared" si="3"/>
        <v>724088791.25999999</v>
      </c>
      <c r="J12" s="26">
        <f t="shared" si="3"/>
        <v>660102135.26999998</v>
      </c>
      <c r="K12" s="26">
        <f t="shared" si="3"/>
        <v>654397807.84000003</v>
      </c>
      <c r="L12" s="26">
        <f t="shared" si="3"/>
        <v>657598710.34000003</v>
      </c>
      <c r="M12" s="26">
        <f t="shared" si="3"/>
        <v>657770407.97000003</v>
      </c>
      <c r="N12" s="26">
        <f t="shared" si="3"/>
        <v>658741725.48000002</v>
      </c>
      <c r="O12" s="26">
        <f t="shared" si="3"/>
        <v>642750663.66999996</v>
      </c>
      <c r="P12" s="26">
        <f t="shared" si="3"/>
        <v>638106996.24000001</v>
      </c>
      <c r="Q12" s="26">
        <f t="shared" si="3"/>
        <v>646286156.85000002</v>
      </c>
      <c r="R12" s="193">
        <f t="shared" ref="R12" si="4">V34</f>
        <v>687749387.55999994</v>
      </c>
      <c r="S12" s="193">
        <f t="shared" ref="S12" si="5">W34</f>
        <v>656425843.01999998</v>
      </c>
      <c r="T12" s="193">
        <f t="shared" ref="T12" si="6">X34</f>
        <v>675710284.61000001</v>
      </c>
      <c r="U12" s="193">
        <f t="shared" ref="U12" si="7">Y34</f>
        <v>514551138.61000001</v>
      </c>
      <c r="V12" s="193">
        <f t="shared" ref="V12" si="8">Z34</f>
        <v>496788347.32999998</v>
      </c>
      <c r="W12" s="193">
        <f t="shared" ref="W12" si="9">AA34</f>
        <v>438036109.13999999</v>
      </c>
      <c r="X12" s="193">
        <f t="shared" ref="X12" si="10">AB34</f>
        <v>424560822.61000001</v>
      </c>
      <c r="Y12" s="193">
        <f t="shared" ref="Y12" si="11">AC34</f>
        <v>406249339.64999998</v>
      </c>
      <c r="Z12" s="193">
        <f t="shared" ref="Z12" si="12">AD34</f>
        <v>313155620.74000001</v>
      </c>
      <c r="AA12" s="193">
        <f t="shared" ref="AA12" si="13">AE34</f>
        <v>255703474.93000001</v>
      </c>
      <c r="AB12" s="193">
        <f t="shared" ref="AB12" si="14">AF34</f>
        <v>233981981.53999999</v>
      </c>
      <c r="AC12" s="193">
        <f t="shared" ref="AC12" si="15">AG34</f>
        <v>214815697.09999999</v>
      </c>
      <c r="AD12" s="193">
        <f t="shared" ref="AD12" si="16">AH34</f>
        <v>135604625.02000001</v>
      </c>
      <c r="AE12" s="193">
        <f t="shared" ref="AE12" si="17">AI34</f>
        <v>127685400.67</v>
      </c>
      <c r="AF12" s="193">
        <f t="shared" ref="AF12" si="18">AJ34</f>
        <v>128100120.87</v>
      </c>
      <c r="AG12" s="193">
        <f t="shared" ref="AG12" si="19">AK34</f>
        <v>127919192.84999999</v>
      </c>
      <c r="AH12" s="193">
        <f t="shared" ref="AH12" si="20">AL34</f>
        <v>97138985.359999999</v>
      </c>
      <c r="AI12" s="193">
        <f t="shared" ref="AI12" si="21">AM34</f>
        <v>98232147.599999994</v>
      </c>
      <c r="AJ12" s="193">
        <f t="shared" ref="AJ12" si="22">AN34</f>
        <v>101951344.34</v>
      </c>
      <c r="AK12" s="193">
        <f t="shared" ref="AK12" si="23">AO34</f>
        <v>82896917.930000007</v>
      </c>
      <c r="AL12" s="193">
        <f t="shared" ref="AL12" si="24">AP34</f>
        <v>64196426.759999998</v>
      </c>
      <c r="AM12" s="193">
        <f t="shared" ref="AM12" si="25">AQ34</f>
        <v>0</v>
      </c>
      <c r="AN12" s="193">
        <f t="shared" ref="AN12" si="26">AR34</f>
        <v>0</v>
      </c>
      <c r="AO12" s="193">
        <f t="shared" ref="AO12" si="27">AS34</f>
        <v>0</v>
      </c>
      <c r="AP12" s="193">
        <f t="shared" ref="AP12" si="28">AT34</f>
        <v>5119825755.0799999</v>
      </c>
      <c r="AQ12" s="193">
        <f t="shared" ref="AQ12" si="29">AU34</f>
        <v>5166324238.8199997</v>
      </c>
      <c r="AR12" s="193">
        <f t="shared" ref="AR12" si="30">AV34</f>
        <v>5229742144.5900002</v>
      </c>
      <c r="AS12" s="193">
        <f t="shared" ref="AS12" si="31">AW34</f>
        <v>5303368604.3599997</v>
      </c>
      <c r="AT12" s="193">
        <f t="shared" ref="AT12" si="32">AX34</f>
        <v>5412891640.3100004</v>
      </c>
      <c r="AU12" s="193">
        <f t="shared" ref="AU12" si="33">AY34</f>
        <v>5477269087.8599997</v>
      </c>
      <c r="AV12" s="193">
        <f t="shared" ref="AV12" si="34">AZ34</f>
        <v>5394582476.9899998</v>
      </c>
      <c r="AW12" s="193">
        <f t="shared" ref="AW12" si="35">BA34</f>
        <v>5501322858.9799995</v>
      </c>
      <c r="AX12" s="193">
        <f t="shared" ref="AX12" si="36">BB34</f>
        <v>5577867470.3299999</v>
      </c>
      <c r="AY12" s="193">
        <f t="shared" ref="AY12" si="37">BC34</f>
        <v>5696283898.6499996</v>
      </c>
      <c r="AZ12" s="193">
        <f t="shared" ref="AZ12" si="38">BD34</f>
        <v>5779603253.5100002</v>
      </c>
      <c r="BA12" s="193">
        <f t="shared" ref="BA12" si="39">BE34</f>
        <v>5840992847.29</v>
      </c>
      <c r="BB12" s="193">
        <f t="shared" ref="BB12" si="40">BF34</f>
        <v>5434316703.3800001</v>
      </c>
      <c r="BC12" s="193">
        <f t="shared" ref="BC12" si="41">BG34</f>
        <v>5519652065.3800001</v>
      </c>
      <c r="BD12" s="193">
        <f t="shared" ref="BD12" si="42">BH34</f>
        <v>5587811046.9799995</v>
      </c>
      <c r="BE12" s="193">
        <f t="shared" ref="BE12" si="43">BI34</f>
        <v>5587556850.7200003</v>
      </c>
      <c r="BF12" s="193">
        <f t="shared" ref="BF12" si="44">BJ34</f>
        <v>5175235607.8500004</v>
      </c>
      <c r="BG12" s="193">
        <f t="shared" ref="BG12" si="45">BK34</f>
        <v>4543535291.6599998</v>
      </c>
      <c r="BH12" s="193">
        <f t="shared" ref="BH12" si="46">BL34</f>
        <v>4478639735.0500002</v>
      </c>
      <c r="BI12" s="193">
        <f t="shared" ref="BI12" si="47">BM34</f>
        <v>4520776529.7700005</v>
      </c>
      <c r="BJ12" s="193">
        <f t="shared" ref="BJ12" si="48">BN34</f>
        <v>3620875395.5999999</v>
      </c>
      <c r="BK12" s="193">
        <f t="shared" ref="BK12" si="49">BO34</f>
        <v>3684993020.0500002</v>
      </c>
      <c r="BL12" s="193">
        <f t="shared" ref="BL12" si="50">BP34</f>
        <v>3523637936.8200002</v>
      </c>
      <c r="BM12" s="193">
        <f t="shared" ref="BM12" si="51">BQ34</f>
        <v>64196426.759999998</v>
      </c>
      <c r="BN12" s="193">
        <f t="shared" ref="BN12" si="52">BR34</f>
        <v>0</v>
      </c>
    </row>
    <row r="13" spans="1:74" s="220" customFormat="1" x14ac:dyDescent="0.25">
      <c r="A13" s="220" t="s">
        <v>350</v>
      </c>
      <c r="E13" s="220">
        <f>E11/E12</f>
        <v>-0.11847611260372073</v>
      </c>
      <c r="F13" s="220">
        <f t="shared" ref="F13:AR13" si="53">F11/F12</f>
        <v>5.5006462345420622E-2</v>
      </c>
      <c r="G13" s="220">
        <f t="shared" si="53"/>
        <v>-4.2483169765403256E-2</v>
      </c>
      <c r="H13" s="220">
        <f t="shared" si="53"/>
        <v>1.6918259936183257E-2</v>
      </c>
      <c r="I13" s="220">
        <f t="shared" si="53"/>
        <v>-1.7881528213507178E-2</v>
      </c>
      <c r="J13" s="220">
        <f t="shared" si="53"/>
        <v>7.8624139624652908E-2</v>
      </c>
      <c r="K13" s="220">
        <f t="shared" si="53"/>
        <v>-1.2439124340694954E-3</v>
      </c>
      <c r="L13" s="220">
        <f t="shared" si="53"/>
        <v>1.9428249096465525E-2</v>
      </c>
      <c r="M13" s="220">
        <f t="shared" si="53"/>
        <v>-1.0282467040244955E-2</v>
      </c>
      <c r="N13" s="220">
        <f t="shared" si="53"/>
        <v>4.6728827443821265E-2</v>
      </c>
      <c r="O13" s="220">
        <f t="shared" si="53"/>
        <v>-9.62739265746918E-3</v>
      </c>
      <c r="P13" s="220">
        <f t="shared" si="53"/>
        <v>2.1381622032660506E-2</v>
      </c>
      <c r="Q13" s="220">
        <f t="shared" si="53"/>
        <v>-2.3879332268572622E-2</v>
      </c>
      <c r="R13" s="220">
        <f t="shared" si="53"/>
        <v>5.4215048380173367E-2</v>
      </c>
      <c r="S13" s="220">
        <f t="shared" si="53"/>
        <v>-1.5946737261045139E-2</v>
      </c>
      <c r="T13" s="220">
        <f t="shared" si="53"/>
        <v>1.844067299817978E-2</v>
      </c>
      <c r="U13" s="220">
        <f t="shared" si="53"/>
        <v>0.24573428993194077</v>
      </c>
      <c r="V13" s="220">
        <f t="shared" si="53"/>
        <v>0.20646821261261489</v>
      </c>
      <c r="W13" s="220">
        <f t="shared" si="53"/>
        <v>4.0030711473596117E-2</v>
      </c>
      <c r="X13" s="220">
        <f t="shared" si="53"/>
        <v>2.2612183411041556E-2</v>
      </c>
      <c r="Y13" s="220">
        <f t="shared" si="53"/>
        <v>0.32974060970882857</v>
      </c>
      <c r="Z13" s="220">
        <f t="shared" si="53"/>
        <v>0.30773305847832949</v>
      </c>
      <c r="AA13" s="220">
        <f t="shared" si="53"/>
        <v>0.12529893036757098</v>
      </c>
      <c r="AB13" s="220">
        <f t="shared" si="53"/>
        <v>0.15107478933781493</v>
      </c>
      <c r="AC13" s="220">
        <f t="shared" si="53"/>
        <v>0.7894163093261215</v>
      </c>
      <c r="AD13" s="220">
        <f t="shared" si="53"/>
        <v>0.76309424567737349</v>
      </c>
      <c r="AE13" s="220">
        <f t="shared" si="53"/>
        <v>0.39079424740939728</v>
      </c>
      <c r="AF13" s="220">
        <f t="shared" si="53"/>
        <v>0.27866556094998945</v>
      </c>
      <c r="AG13" s="220">
        <f t="shared" si="53"/>
        <v>0.30796551566890229</v>
      </c>
      <c r="AH13" s="220">
        <f t="shared" si="53"/>
        <v>0.21373858809677809</v>
      </c>
      <c r="AI13" s="220">
        <f t="shared" si="53"/>
        <v>1.6278356618154612E-2</v>
      </c>
      <c r="AJ13" s="220">
        <f t="shared" si="53"/>
        <v>2.2124503944525423E-2</v>
      </c>
      <c r="AK13" s="220">
        <f t="shared" si="53"/>
        <v>0.270941806653969</v>
      </c>
      <c r="AL13" s="220">
        <f t="shared" si="53"/>
        <v>6.0711800900863727E-2</v>
      </c>
      <c r="AM13" s="220" t="e">
        <f t="shared" si="53"/>
        <v>#DIV/0!</v>
      </c>
      <c r="AN13" s="220" t="e">
        <f t="shared" si="53"/>
        <v>#DIV/0!</v>
      </c>
      <c r="AO13" s="220" t="e">
        <f t="shared" si="53"/>
        <v>#DIV/0!</v>
      </c>
      <c r="AP13" s="220">
        <f t="shared" si="53"/>
        <v>4.9445373125993107E-3</v>
      </c>
      <c r="AQ13" s="220">
        <f t="shared" si="53"/>
        <v>2.4274362255018614E-3</v>
      </c>
      <c r="AR13" s="220">
        <f t="shared" si="53"/>
        <v>1.1054160052576018E-3</v>
      </c>
    </row>
    <row r="14" spans="1:74" s="48" customFormat="1" x14ac:dyDescent="0.25">
      <c r="A14" s="46" t="s">
        <v>293</v>
      </c>
    </row>
    <row r="15" spans="1:74" s="26" customFormat="1" x14ac:dyDescent="0.25">
      <c r="A15" s="17" t="s">
        <v>313</v>
      </c>
      <c r="B15" s="190">
        <v>0</v>
      </c>
      <c r="C15" s="190">
        <v>0</v>
      </c>
      <c r="D15" s="190">
        <v>0</v>
      </c>
      <c r="E15" s="190">
        <v>24066027.059999999</v>
      </c>
      <c r="F15" s="190">
        <v>-109372.6</v>
      </c>
      <c r="G15" s="190">
        <v>-109372.6</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0</v>
      </c>
      <c r="C16" s="190">
        <v>0</v>
      </c>
      <c r="D16" s="190">
        <v>0</v>
      </c>
      <c r="E16" s="190">
        <v>473809034.79000002</v>
      </c>
      <c r="F16" s="190">
        <v>475594004.85000002</v>
      </c>
      <c r="G16" s="190">
        <v>475594004.85000002</v>
      </c>
      <c r="H16" s="190">
        <v>512121087.44999999</v>
      </c>
      <c r="I16" s="190">
        <v>0</v>
      </c>
      <c r="J16" s="190">
        <v>0</v>
      </c>
      <c r="K16" s="190">
        <v>0</v>
      </c>
      <c r="L16" s="190">
        <v>0</v>
      </c>
      <c r="M16" s="190">
        <v>66253681.619999997</v>
      </c>
      <c r="N16" s="190">
        <v>0</v>
      </c>
      <c r="O16" s="190">
        <v>0</v>
      </c>
      <c r="P16" s="190">
        <v>0</v>
      </c>
      <c r="Q16" s="190">
        <v>132325433.64</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8317411.9100000001</v>
      </c>
      <c r="AL16" s="190">
        <v>0</v>
      </c>
      <c r="AM16" s="190">
        <v>0</v>
      </c>
      <c r="AN16" s="190">
        <v>0</v>
      </c>
      <c r="AO16" s="190">
        <v>0</v>
      </c>
      <c r="AP16" s="190">
        <v>0</v>
      </c>
      <c r="AQ16" s="190">
        <v>0</v>
      </c>
      <c r="AR16" s="190">
        <v>10409344.18</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449743007.73000002</v>
      </c>
      <c r="F17" s="47">
        <f t="shared" ref="F17:AV17" si="54">F16-F15</f>
        <v>475703377.45000005</v>
      </c>
      <c r="G17" s="47">
        <f t="shared" si="54"/>
        <v>475703377.45000005</v>
      </c>
      <c r="H17" s="47">
        <f t="shared" si="54"/>
        <v>512121087.44999999</v>
      </c>
      <c r="I17" s="47">
        <f t="shared" si="54"/>
        <v>0</v>
      </c>
      <c r="J17" s="47">
        <f t="shared" si="54"/>
        <v>0</v>
      </c>
      <c r="K17" s="47">
        <f t="shared" si="54"/>
        <v>0</v>
      </c>
      <c r="L17" s="47">
        <f t="shared" si="54"/>
        <v>0</v>
      </c>
      <c r="M17" s="47">
        <f t="shared" si="54"/>
        <v>66253681.619999997</v>
      </c>
      <c r="N17" s="47">
        <f t="shared" si="54"/>
        <v>0</v>
      </c>
      <c r="O17" s="47">
        <f t="shared" si="54"/>
        <v>0</v>
      </c>
      <c r="P17" s="47">
        <f t="shared" si="54"/>
        <v>0</v>
      </c>
      <c r="Q17" s="47">
        <f t="shared" si="54"/>
        <v>132325433.64</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8317411.9100000001</v>
      </c>
      <c r="AL17" s="47">
        <f t="shared" si="54"/>
        <v>0</v>
      </c>
      <c r="AM17" s="47">
        <f t="shared" si="54"/>
        <v>0</v>
      </c>
      <c r="AN17" s="47">
        <f t="shared" si="54"/>
        <v>0</v>
      </c>
      <c r="AO17" s="47">
        <f t="shared" si="54"/>
        <v>0</v>
      </c>
      <c r="AP17" s="47">
        <f t="shared" si="54"/>
        <v>0</v>
      </c>
      <c r="AQ17" s="47">
        <f t="shared" si="54"/>
        <v>0</v>
      </c>
      <c r="AR17" s="47">
        <f t="shared" si="54"/>
        <v>10409344.18</v>
      </c>
      <c r="AS17" s="47">
        <f t="shared" si="54"/>
        <v>0</v>
      </c>
      <c r="AT17" s="47">
        <f t="shared" si="54"/>
        <v>0</v>
      </c>
      <c r="AU17" s="47">
        <f t="shared" si="54"/>
        <v>0</v>
      </c>
      <c r="AV17" s="47">
        <f t="shared" si="54"/>
        <v>0</v>
      </c>
    </row>
    <row r="18" spans="1:74" s="48" customFormat="1" x14ac:dyDescent="0.25">
      <c r="A18" s="46" t="s">
        <v>294</v>
      </c>
    </row>
    <row r="19" spans="1:74" s="193" customFormat="1" x14ac:dyDescent="0.25">
      <c r="A19" s="193" t="s">
        <v>299</v>
      </c>
      <c r="E19" s="193">
        <f>E5+E17</f>
        <v>473608418.90000004</v>
      </c>
      <c r="F19" s="193">
        <f t="shared" ref="F19:AS19" si="55">F5+F17</f>
        <v>514868618.82000005</v>
      </c>
      <c r="G19" s="193">
        <f t="shared" si="55"/>
        <v>497004677.53000003</v>
      </c>
      <c r="H19" s="193">
        <f t="shared" si="55"/>
        <v>524297217.02999997</v>
      </c>
      <c r="I19" s="193">
        <f t="shared" si="55"/>
        <v>61591048.32</v>
      </c>
      <c r="J19" s="193">
        <f t="shared" si="55"/>
        <v>51899962.450000003</v>
      </c>
      <c r="K19" s="193">
        <f t="shared" si="55"/>
        <v>43540081.700000003</v>
      </c>
      <c r="L19" s="193">
        <f t="shared" si="55"/>
        <v>12775991.550000001</v>
      </c>
      <c r="M19" s="193">
        <f t="shared" si="55"/>
        <v>127155540.23999999</v>
      </c>
      <c r="N19" s="193">
        <f t="shared" si="55"/>
        <v>30782228.419999998</v>
      </c>
      <c r="O19" s="193">
        <f t="shared" si="55"/>
        <v>25159619.07</v>
      </c>
      <c r="P19" s="193">
        <f t="shared" si="55"/>
        <v>13643762.609999999</v>
      </c>
      <c r="Q19" s="193">
        <f t="shared" si="55"/>
        <v>178952125.04000002</v>
      </c>
      <c r="R19" s="193">
        <f t="shared" si="55"/>
        <v>37286366.32</v>
      </c>
      <c r="S19" s="193">
        <f t="shared" si="55"/>
        <v>19702440.52</v>
      </c>
      <c r="T19" s="193">
        <f t="shared" si="55"/>
        <v>12460552.4</v>
      </c>
      <c r="U19" s="193">
        <f t="shared" si="55"/>
        <v>174798017.59999999</v>
      </c>
      <c r="V19" s="193">
        <f t="shared" si="55"/>
        <v>102571002.12</v>
      </c>
      <c r="W19" s="193">
        <f t="shared" si="55"/>
        <v>40184926.649999999</v>
      </c>
      <c r="X19" s="193">
        <f t="shared" si="55"/>
        <v>9600247.1899999995</v>
      </c>
      <c r="Y19" s="193">
        <f t="shared" si="55"/>
        <v>174948474.66999999</v>
      </c>
      <c r="Z19" s="193">
        <f t="shared" si="55"/>
        <v>96368336.950000003</v>
      </c>
      <c r="AA19" s="193">
        <f t="shared" si="55"/>
        <v>49657024.939999998</v>
      </c>
      <c r="AB19" s="193">
        <f t="shared" si="55"/>
        <v>35348778.57</v>
      </c>
      <c r="AC19" s="193">
        <f t="shared" si="55"/>
        <v>187725076.45000002</v>
      </c>
      <c r="AD19" s="193">
        <f t="shared" si="55"/>
        <v>103479109.03999999</v>
      </c>
      <c r="AE19" s="193">
        <f t="shared" si="55"/>
        <v>55679022.940000005</v>
      </c>
      <c r="AF19" s="193">
        <f t="shared" si="55"/>
        <v>35697092.039999999</v>
      </c>
      <c r="AG19" s="193">
        <f t="shared" si="55"/>
        <v>51534815.230000004</v>
      </c>
      <c r="AH19" s="193">
        <f t="shared" si="55"/>
        <v>20762349.579999998</v>
      </c>
      <c r="AI19" s="193">
        <f t="shared" si="55"/>
        <v>5641578.3600000003</v>
      </c>
      <c r="AJ19" s="193">
        <f t="shared" si="55"/>
        <v>2255622.92</v>
      </c>
      <c r="AK19" s="193">
        <f t="shared" si="55"/>
        <v>34713264.700000003</v>
      </c>
      <c r="AL19" s="193">
        <f t="shared" si="55"/>
        <v>3897480.68</v>
      </c>
      <c r="AM19" s="193">
        <f t="shared" si="55"/>
        <v>3471517.17</v>
      </c>
      <c r="AN19" s="193">
        <f t="shared" si="55"/>
        <v>2737731.17</v>
      </c>
      <c r="AO19" s="193">
        <f t="shared" si="55"/>
        <v>32181630.849999998</v>
      </c>
      <c r="AP19" s="193">
        <f t="shared" si="55"/>
        <v>25315169.48</v>
      </c>
      <c r="AQ19" s="193">
        <f t="shared" si="55"/>
        <v>19593220.329999998</v>
      </c>
      <c r="AR19" s="193">
        <f t="shared" si="55"/>
        <v>22380682.66</v>
      </c>
      <c r="AS19" s="193">
        <f t="shared" si="55"/>
        <v>0</v>
      </c>
    </row>
    <row r="20" spans="1:74" s="193" customFormat="1" x14ac:dyDescent="0.25">
      <c r="A20" s="193" t="s">
        <v>300</v>
      </c>
      <c r="B20" s="190">
        <v>-204865802.30000001</v>
      </c>
      <c r="C20" s="190">
        <v>-34056397.049999997</v>
      </c>
      <c r="D20" s="190">
        <v>-21880228.300000001</v>
      </c>
      <c r="E20" s="190">
        <v>398329906.70999998</v>
      </c>
      <c r="F20" s="190">
        <v>22057931.399999999</v>
      </c>
      <c r="G20" s="190">
        <v>-108047538.38</v>
      </c>
      <c r="H20" s="190">
        <v>91197203.870000005</v>
      </c>
      <c r="I20" s="190">
        <v>505346104.88999999</v>
      </c>
      <c r="J20" s="190">
        <v>222610853.25999999</v>
      </c>
      <c r="K20" s="190">
        <v>52297990.909999996</v>
      </c>
      <c r="L20" s="190">
        <v>80416090.650000006</v>
      </c>
      <c r="M20" s="190">
        <v>339503977.39999998</v>
      </c>
      <c r="N20" s="190">
        <v>190646009.99000001</v>
      </c>
      <c r="O20" s="190">
        <v>70588324.090000004</v>
      </c>
      <c r="P20" s="190">
        <v>142675186.96000001</v>
      </c>
      <c r="Q20" s="190">
        <v>508017310.10000002</v>
      </c>
      <c r="R20" s="190">
        <v>321017919.66000003</v>
      </c>
      <c r="S20" s="190">
        <v>84241772.310000002</v>
      </c>
      <c r="T20" s="190">
        <v>165971258.36000001</v>
      </c>
      <c r="U20" s="190">
        <v>413669738.88</v>
      </c>
      <c r="V20" s="190">
        <v>176625941.65000001</v>
      </c>
      <c r="W20" s="190">
        <v>-63675890.590000004</v>
      </c>
      <c r="X20" s="190">
        <v>37386371.759999998</v>
      </c>
      <c r="Y20" s="190">
        <v>246398895.37</v>
      </c>
      <c r="Z20" s="190">
        <v>20417199.34</v>
      </c>
      <c r="AA20" s="190">
        <v>-157738332.30000001</v>
      </c>
      <c r="AB20" s="190">
        <v>42416729.969999999</v>
      </c>
      <c r="AC20" s="190">
        <v>306295910.07999998</v>
      </c>
      <c r="AD20" s="190">
        <v>209983030.33000001</v>
      </c>
      <c r="AE20" s="190">
        <v>52398903.630000003</v>
      </c>
      <c r="AF20" s="190">
        <v>124686672.64</v>
      </c>
      <c r="AG20" s="190">
        <v>132187072.02</v>
      </c>
      <c r="AH20" s="190">
        <v>679972.5</v>
      </c>
      <c r="AI20" s="190">
        <v>-34746417.619999997</v>
      </c>
      <c r="AJ20" s="190">
        <v>61533081.909999996</v>
      </c>
      <c r="AK20" s="190">
        <v>134205495.3</v>
      </c>
      <c r="AL20" s="190">
        <v>89952114.109999999</v>
      </c>
      <c r="AM20" s="190">
        <v>23159448.66</v>
      </c>
      <c r="AN20" s="190">
        <v>52529154.340000004</v>
      </c>
      <c r="AO20" s="190">
        <v>108319136.56999999</v>
      </c>
      <c r="AP20" s="190">
        <v>34728334.869999997</v>
      </c>
      <c r="AQ20" s="190">
        <v>44102238.759999998</v>
      </c>
      <c r="AR20" s="190">
        <v>17055404.859999999</v>
      </c>
      <c r="AS20" s="190">
        <v>0</v>
      </c>
      <c r="AT20" s="190">
        <v>2089846017.8800001</v>
      </c>
      <c r="AU20" s="190">
        <v>1599888081.8099999</v>
      </c>
      <c r="AV20" s="190">
        <v>1055798280.0700001</v>
      </c>
      <c r="AW20" s="190">
        <v>1336270367.45</v>
      </c>
      <c r="AX20" s="190">
        <v>1192408273.4000001</v>
      </c>
      <c r="AY20" s="190">
        <v>889923241.13999999</v>
      </c>
      <c r="AZ20" s="190">
        <v>788427165.83000004</v>
      </c>
      <c r="BA20" s="190">
        <v>1252717668.0899999</v>
      </c>
      <c r="BB20" s="190">
        <v>807940999.38999999</v>
      </c>
      <c r="BC20" s="190">
        <v>713289532.66999996</v>
      </c>
      <c r="BD20" s="190">
        <v>410809880.20999998</v>
      </c>
      <c r="BE20" s="190">
        <v>821693394.29999995</v>
      </c>
      <c r="BF20" s="190">
        <v>845972023.45000005</v>
      </c>
      <c r="BG20" s="190">
        <v>673455379.76999998</v>
      </c>
      <c r="BH20" s="190">
        <v>959479476.41999996</v>
      </c>
      <c r="BI20" s="190">
        <v>1044659243.4</v>
      </c>
      <c r="BJ20" s="190">
        <v>796479775.66999996</v>
      </c>
      <c r="BK20" s="190">
        <v>324143510.37</v>
      </c>
      <c r="BL20" s="190">
        <v>233531826.72</v>
      </c>
      <c r="BM20" s="190">
        <v>1053290717.92</v>
      </c>
      <c r="BN20" s="190">
        <v>513631576.39999998</v>
      </c>
      <c r="BO20" s="190">
        <v>1073187941.83</v>
      </c>
      <c r="BP20" s="190">
        <v>259841859.31999999</v>
      </c>
      <c r="BQ20" s="190">
        <v>1294995783.27</v>
      </c>
      <c r="BR20" s="190">
        <v>527169463.72000003</v>
      </c>
      <c r="BS20" s="190">
        <v>898446895.69000006</v>
      </c>
      <c r="BT20" s="190">
        <v>436278873.26999998</v>
      </c>
      <c r="BU20" s="190">
        <v>359005459.04000002</v>
      </c>
      <c r="BV20" s="190">
        <v>0</v>
      </c>
    </row>
    <row r="21" spans="1:74" s="221" customFormat="1" x14ac:dyDescent="0.25">
      <c r="A21" s="221" t="s">
        <v>665</v>
      </c>
      <c r="E21" s="221">
        <f>E20/E19</f>
        <v>0.84105326428773908</v>
      </c>
      <c r="F21" s="221">
        <f t="shared" ref="F21:AS21" si="56">F20/F19</f>
        <v>4.2841864106135261E-2</v>
      </c>
      <c r="G21" s="221">
        <f t="shared" si="56"/>
        <v>-0.21739742755937758</v>
      </c>
      <c r="H21" s="221">
        <f t="shared" si="56"/>
        <v>0.17394180420526961</v>
      </c>
      <c r="I21" s="221">
        <f t="shared" si="56"/>
        <v>8.2048628603371689</v>
      </c>
      <c r="J21" s="221">
        <f t="shared" si="56"/>
        <v>4.2892295630167645</v>
      </c>
      <c r="K21" s="221">
        <f t="shared" si="56"/>
        <v>1.2011459066692562</v>
      </c>
      <c r="L21" s="221">
        <f t="shared" si="56"/>
        <v>6.2943130742756326</v>
      </c>
      <c r="M21" s="221">
        <f t="shared" si="56"/>
        <v>2.6699896580141336</v>
      </c>
      <c r="N21" s="221">
        <f t="shared" si="56"/>
        <v>6.1933790948719114</v>
      </c>
      <c r="O21" s="221">
        <f t="shared" si="56"/>
        <v>2.8056197470083557</v>
      </c>
      <c r="P21" s="221">
        <f t="shared" si="56"/>
        <v>10.457173071556396</v>
      </c>
      <c r="Q21" s="221">
        <f t="shared" si="56"/>
        <v>2.8388448026892452</v>
      </c>
      <c r="R21" s="221">
        <f t="shared" si="56"/>
        <v>8.6095254470481759</v>
      </c>
      <c r="S21" s="221">
        <f t="shared" si="56"/>
        <v>4.2757024047089978</v>
      </c>
      <c r="T21" s="221">
        <f t="shared" si="56"/>
        <v>13.319735195688436</v>
      </c>
      <c r="U21" s="221">
        <f t="shared" si="56"/>
        <v>2.3665585260047024</v>
      </c>
      <c r="V21" s="221">
        <f t="shared" si="56"/>
        <v>1.721987091862099</v>
      </c>
      <c r="W21" s="221">
        <f t="shared" si="56"/>
        <v>-1.5845715271449925</v>
      </c>
      <c r="X21" s="221">
        <f t="shared" si="56"/>
        <v>3.8943134504852264</v>
      </c>
      <c r="Y21" s="221">
        <f t="shared" si="56"/>
        <v>1.4084083661476603</v>
      </c>
      <c r="Z21" s="221">
        <f t="shared" si="56"/>
        <v>0.21186626215821605</v>
      </c>
      <c r="AA21" s="221">
        <f t="shared" si="56"/>
        <v>-3.1765562373217766</v>
      </c>
      <c r="AB21" s="221">
        <f t="shared" si="56"/>
        <v>1.1999489568219046</v>
      </c>
      <c r="AC21" s="221">
        <f t="shared" si="56"/>
        <v>1.6316195783336434</v>
      </c>
      <c r="AD21" s="221">
        <f t="shared" si="56"/>
        <v>2.0292311392904514</v>
      </c>
      <c r="AE21" s="221">
        <f t="shared" si="56"/>
        <v>0.94108877748205688</v>
      </c>
      <c r="AF21" s="221">
        <f t="shared" si="56"/>
        <v>3.4929083999414763</v>
      </c>
      <c r="AG21" s="221">
        <f t="shared" si="56"/>
        <v>2.5650052577087696</v>
      </c>
      <c r="AH21" s="221">
        <f t="shared" si="56"/>
        <v>3.2750267371232655E-2</v>
      </c>
      <c r="AI21" s="221">
        <f t="shared" si="56"/>
        <v>-6.1589887444193891</v>
      </c>
      <c r="AJ21" s="221">
        <f t="shared" si="56"/>
        <v>27.279861968240684</v>
      </c>
      <c r="AK21" s="221">
        <f t="shared" si="56"/>
        <v>3.866115632160636</v>
      </c>
      <c r="AL21" s="221">
        <f t="shared" si="56"/>
        <v>23.079553561763902</v>
      </c>
      <c r="AM21" s="221">
        <f t="shared" si="56"/>
        <v>6.6712758502646263</v>
      </c>
      <c r="AN21" s="221">
        <f t="shared" si="56"/>
        <v>19.187111910626346</v>
      </c>
      <c r="AO21" s="221">
        <f t="shared" si="56"/>
        <v>3.3658684693414163</v>
      </c>
      <c r="AP21" s="221">
        <f t="shared" si="56"/>
        <v>1.3718389243823461</v>
      </c>
      <c r="AQ21" s="221">
        <f t="shared" si="56"/>
        <v>2.2508928097171048</v>
      </c>
      <c r="AR21" s="221">
        <f t="shared" si="56"/>
        <v>0.76205918823389451</v>
      </c>
      <c r="AS21" s="221" t="e">
        <f t="shared" si="56"/>
        <v>#DIV/0!</v>
      </c>
    </row>
    <row r="22" spans="1:74" s="193" customFormat="1" x14ac:dyDescent="0.25">
      <c r="A22" s="193" t="s">
        <v>301</v>
      </c>
      <c r="E22" s="193">
        <f>I35</f>
        <v>1547342145.5699999</v>
      </c>
      <c r="F22" s="193">
        <f t="shared" ref="F22:Y22" si="57">J35</f>
        <v>935254236.98000002</v>
      </c>
      <c r="G22" s="193">
        <f t="shared" si="57"/>
        <v>726701245.64999998</v>
      </c>
      <c r="H22" s="193">
        <f t="shared" si="57"/>
        <v>796484046.78999996</v>
      </c>
      <c r="I22" s="193">
        <f t="shared" si="57"/>
        <v>693588693.25999999</v>
      </c>
      <c r="J22" s="193">
        <f t="shared" si="57"/>
        <v>797669458.75</v>
      </c>
      <c r="K22" s="193">
        <f t="shared" si="57"/>
        <v>619994822.77999997</v>
      </c>
      <c r="L22" s="193">
        <f t="shared" si="57"/>
        <v>669893756.87</v>
      </c>
      <c r="M22" s="193">
        <f t="shared" si="57"/>
        <v>647204677.45000005</v>
      </c>
      <c r="N22" s="193">
        <f t="shared" si="57"/>
        <v>629117054.61000001</v>
      </c>
      <c r="O22" s="193">
        <f t="shared" si="57"/>
        <v>835542721.87</v>
      </c>
      <c r="P22" s="193">
        <f t="shared" si="57"/>
        <v>884858061.70000005</v>
      </c>
      <c r="Q22" s="193">
        <f t="shared" si="57"/>
        <v>932276706.14999998</v>
      </c>
      <c r="R22" s="193">
        <f t="shared" si="57"/>
        <v>952923862.08000004</v>
      </c>
      <c r="S22" s="193">
        <f t="shared" si="57"/>
        <v>769157162.38</v>
      </c>
      <c r="T22" s="193">
        <f t="shared" si="57"/>
        <v>991763885.86000001</v>
      </c>
      <c r="U22" s="193">
        <f t="shared" si="57"/>
        <v>956043885.24000001</v>
      </c>
      <c r="V22" s="193">
        <f t="shared" si="57"/>
        <v>803173622.38</v>
      </c>
      <c r="W22" s="193">
        <f t="shared" si="57"/>
        <v>667828913.97000003</v>
      </c>
      <c r="X22" s="193">
        <f t="shared" si="57"/>
        <v>1014024416.74</v>
      </c>
      <c r="Y22" s="193">
        <f t="shared" si="57"/>
        <v>1002302902.5700001</v>
      </c>
      <c r="Z22" s="193">
        <f t="shared" ref="Z22" si="58">AD35</f>
        <v>982362386.38999999</v>
      </c>
      <c r="AA22" s="193">
        <f t="shared" ref="AA22" si="59">AE35</f>
        <v>862194779.22000003</v>
      </c>
      <c r="AB22" s="193">
        <f t="shared" ref="AB22" si="60">AF35</f>
        <v>1151874426.3</v>
      </c>
      <c r="AC22" s="193">
        <f t="shared" ref="AC22" si="61">AG35</f>
        <v>1057191976.45</v>
      </c>
      <c r="AD22" s="193">
        <f t="shared" ref="AD22" si="62">AH35</f>
        <v>960610001.01999998</v>
      </c>
      <c r="AE22" s="193">
        <f t="shared" ref="AE22" si="63">AI35</f>
        <v>930790908.42999995</v>
      </c>
      <c r="AF22" s="193">
        <f t="shared" ref="AF22" si="64">AJ35</f>
        <v>1127355392.73</v>
      </c>
      <c r="AG22" s="193">
        <f t="shared" ref="AG22" si="65">AK35</f>
        <v>1066884381.7</v>
      </c>
      <c r="AH22" s="193">
        <f t="shared" ref="AH22" si="66">AL35</f>
        <v>1057983159.11</v>
      </c>
      <c r="AI22" s="193">
        <f t="shared" ref="AI22" si="67">AM35</f>
        <v>74808751.980000004</v>
      </c>
      <c r="AJ22" s="193">
        <f t="shared" ref="AJ22" si="68">AN35</f>
        <v>78505801.079999998</v>
      </c>
      <c r="AK22" s="193">
        <f t="shared" ref="AK22" si="69">AO35</f>
        <v>50145116.420000002</v>
      </c>
      <c r="AL22" s="193">
        <f t="shared" ref="AL22" si="70">AP35</f>
        <v>52609626.460000001</v>
      </c>
      <c r="AM22" s="193">
        <f t="shared" ref="AM22" si="71">AQ35</f>
        <v>0</v>
      </c>
      <c r="AN22" s="193">
        <f t="shared" ref="AN22" si="72">AR35</f>
        <v>0</v>
      </c>
      <c r="AO22" s="193">
        <f t="shared" ref="AO22" si="73">AS35</f>
        <v>0</v>
      </c>
      <c r="AP22" s="193">
        <f t="shared" ref="AP22" si="74">AT35</f>
        <v>0</v>
      </c>
      <c r="AQ22" s="193">
        <f t="shared" ref="AQ22" si="75">AU35</f>
        <v>0</v>
      </c>
      <c r="AR22" s="193">
        <f t="shared" ref="AR22" si="76">AV35</f>
        <v>0</v>
      </c>
      <c r="AS22" s="193">
        <f t="shared" ref="AS22" si="77">AW35</f>
        <v>0</v>
      </c>
    </row>
    <row r="23" spans="1:74" s="193" customFormat="1" x14ac:dyDescent="0.25">
      <c r="A23" s="193" t="s">
        <v>302</v>
      </c>
      <c r="E23" s="193">
        <f>E20+E22-E19</f>
        <v>1472063633.3799999</v>
      </c>
      <c r="F23" s="193">
        <f t="shared" ref="F23:AS23" si="78">F20+F22-F19</f>
        <v>442443549.55999994</v>
      </c>
      <c r="G23" s="193">
        <f t="shared" si="78"/>
        <v>121649029.73999995</v>
      </c>
      <c r="H23" s="193">
        <f t="shared" si="78"/>
        <v>363384033.63</v>
      </c>
      <c r="I23" s="193">
        <f t="shared" si="78"/>
        <v>1137343749.8300002</v>
      </c>
      <c r="J23" s="193">
        <f t="shared" si="78"/>
        <v>968380349.55999994</v>
      </c>
      <c r="K23" s="193">
        <f t="shared" si="78"/>
        <v>628752731.98999989</v>
      </c>
      <c r="L23" s="193">
        <f t="shared" si="78"/>
        <v>737533855.97000003</v>
      </c>
      <c r="M23" s="193">
        <f t="shared" si="78"/>
        <v>859553114.61000001</v>
      </c>
      <c r="N23" s="193">
        <f t="shared" si="78"/>
        <v>788980836.18000007</v>
      </c>
      <c r="O23" s="193">
        <f t="shared" si="78"/>
        <v>880971426.88999999</v>
      </c>
      <c r="P23" s="193">
        <f t="shared" si="78"/>
        <v>1013889486.0500001</v>
      </c>
      <c r="Q23" s="193">
        <f t="shared" si="78"/>
        <v>1261341891.21</v>
      </c>
      <c r="R23" s="193">
        <f t="shared" si="78"/>
        <v>1236655415.4200001</v>
      </c>
      <c r="S23" s="193">
        <f t="shared" si="78"/>
        <v>833696494.17000008</v>
      </c>
      <c r="T23" s="193">
        <f t="shared" si="78"/>
        <v>1145274591.8199999</v>
      </c>
      <c r="U23" s="193">
        <f t="shared" si="78"/>
        <v>1194915606.52</v>
      </c>
      <c r="V23" s="193">
        <f t="shared" si="78"/>
        <v>877228561.90999997</v>
      </c>
      <c r="W23" s="193">
        <f t="shared" si="78"/>
        <v>563968096.73000002</v>
      </c>
      <c r="X23" s="193">
        <f t="shared" si="78"/>
        <v>1041810541.3099999</v>
      </c>
      <c r="Y23" s="193">
        <f t="shared" si="78"/>
        <v>1073753323.27</v>
      </c>
      <c r="Z23" s="193">
        <f t="shared" si="78"/>
        <v>906411248.77999997</v>
      </c>
      <c r="AA23" s="193">
        <f t="shared" si="78"/>
        <v>654799421.98000002</v>
      </c>
      <c r="AB23" s="193">
        <f t="shared" si="78"/>
        <v>1158942377.7</v>
      </c>
      <c r="AC23" s="193">
        <f t="shared" si="78"/>
        <v>1175762810.0799999</v>
      </c>
      <c r="AD23" s="193">
        <f t="shared" si="78"/>
        <v>1067113922.3099999</v>
      </c>
      <c r="AE23" s="193">
        <f t="shared" si="78"/>
        <v>927510789.11999989</v>
      </c>
      <c r="AF23" s="193">
        <f t="shared" si="78"/>
        <v>1216344973.3300002</v>
      </c>
      <c r="AG23" s="193">
        <f t="shared" si="78"/>
        <v>1147536638.49</v>
      </c>
      <c r="AH23" s="193">
        <f t="shared" si="78"/>
        <v>1037900782.03</v>
      </c>
      <c r="AI23" s="193">
        <f t="shared" si="78"/>
        <v>34420756.000000007</v>
      </c>
      <c r="AJ23" s="193">
        <f t="shared" si="78"/>
        <v>137783260.07000002</v>
      </c>
      <c r="AK23" s="193">
        <f t="shared" si="78"/>
        <v>149637347.01999998</v>
      </c>
      <c r="AL23" s="193">
        <f t="shared" si="78"/>
        <v>138664259.88999999</v>
      </c>
      <c r="AM23" s="193">
        <f t="shared" si="78"/>
        <v>19687931.490000002</v>
      </c>
      <c r="AN23" s="193">
        <f t="shared" si="78"/>
        <v>49791423.170000002</v>
      </c>
      <c r="AO23" s="193">
        <f t="shared" si="78"/>
        <v>76137505.719999999</v>
      </c>
      <c r="AP23" s="193">
        <f t="shared" si="78"/>
        <v>9413165.3899999969</v>
      </c>
      <c r="AQ23" s="193">
        <f t="shared" si="78"/>
        <v>24509018.43</v>
      </c>
      <c r="AR23" s="193">
        <f t="shared" si="78"/>
        <v>-5325277.8000000007</v>
      </c>
      <c r="AS23" s="193">
        <f t="shared" si="78"/>
        <v>0</v>
      </c>
    </row>
    <row r="24" spans="1:74" s="221" customFormat="1" x14ac:dyDescent="0.25">
      <c r="A24" s="221" t="s">
        <v>303</v>
      </c>
      <c r="B24" s="190">
        <v>198872529.78999999</v>
      </c>
      <c r="C24" s="190">
        <v>197346163.38</v>
      </c>
      <c r="D24" s="190">
        <v>465595769.37</v>
      </c>
      <c r="E24" s="190">
        <v>-208447636.72999999</v>
      </c>
      <c r="F24" s="190">
        <v>-63229860.229999997</v>
      </c>
      <c r="G24" s="190">
        <v>-57466764.079999998</v>
      </c>
      <c r="H24" s="190">
        <v>8204678.2000000002</v>
      </c>
      <c r="I24" s="190">
        <v>175600070.94999999</v>
      </c>
      <c r="J24" s="190">
        <v>14236594.119999999</v>
      </c>
      <c r="K24" s="190">
        <v>27918489.920000002</v>
      </c>
      <c r="L24" s="190">
        <v>-1441059</v>
      </c>
      <c r="M24" s="190">
        <v>-176498537.03</v>
      </c>
      <c r="N24" s="190">
        <v>-274611973</v>
      </c>
      <c r="O24" s="190">
        <v>-275576200</v>
      </c>
      <c r="P24" s="190">
        <v>0</v>
      </c>
      <c r="Q24" s="190">
        <v>-98254170</v>
      </c>
      <c r="R24" s="190">
        <v>-98254170</v>
      </c>
      <c r="S24" s="190">
        <v>-98254170</v>
      </c>
      <c r="T24" s="190">
        <v>0</v>
      </c>
      <c r="U24" s="190">
        <v>-98254170</v>
      </c>
      <c r="V24" s="190">
        <v>-98254170</v>
      </c>
      <c r="W24" s="190">
        <v>-98254170</v>
      </c>
      <c r="X24" s="190">
        <v>-92555.56</v>
      </c>
      <c r="Y24" s="190">
        <v>-140363100</v>
      </c>
      <c r="Z24" s="190">
        <v>-140363100</v>
      </c>
      <c r="AA24" s="190">
        <v>-140363100</v>
      </c>
      <c r="AB24" s="190">
        <v>0</v>
      </c>
      <c r="AC24" s="190">
        <v>-199315602</v>
      </c>
      <c r="AD24" s="190">
        <v>-199315602</v>
      </c>
      <c r="AE24" s="190">
        <v>-199315602</v>
      </c>
      <c r="AF24" s="190">
        <v>0</v>
      </c>
      <c r="AG24" s="190">
        <v>-99967301.810000002</v>
      </c>
      <c r="AH24" s="190">
        <v>-98308305</v>
      </c>
      <c r="AI24" s="190">
        <v>-98254170</v>
      </c>
      <c r="AJ24" s="190">
        <v>0</v>
      </c>
      <c r="AK24" s="190">
        <v>887178803.16999996</v>
      </c>
      <c r="AL24" s="190">
        <v>892730660.5</v>
      </c>
      <c r="AM24" s="190">
        <v>-21052620</v>
      </c>
      <c r="AN24" s="190">
        <v>-21052620</v>
      </c>
      <c r="AO24" s="190">
        <v>-48762049.93</v>
      </c>
      <c r="AP24" s="190">
        <v>-33590392.990000002</v>
      </c>
      <c r="AQ24" s="190">
        <v>-28145318.309999999</v>
      </c>
      <c r="AR24" s="190">
        <v>51985750.189999998</v>
      </c>
      <c r="AS24" s="190">
        <v>0</v>
      </c>
      <c r="AT24" s="190">
        <v>-11287580.49</v>
      </c>
      <c r="AU24" s="190">
        <v>-11287580.49</v>
      </c>
      <c r="AV24" s="190">
        <v>0</v>
      </c>
      <c r="AW24" s="190">
        <v>-271140480</v>
      </c>
      <c r="AX24" s="190">
        <v>-265331306.06</v>
      </c>
      <c r="AY24" s="190">
        <v>-220552618.06</v>
      </c>
      <c r="AZ24" s="190">
        <v>0</v>
      </c>
      <c r="BA24" s="190">
        <v>0</v>
      </c>
      <c r="BB24" s="190">
        <v>0</v>
      </c>
      <c r="BC24" s="190">
        <v>0</v>
      </c>
      <c r="BD24" s="190">
        <v>0</v>
      </c>
      <c r="BE24" s="190">
        <v>-268690480</v>
      </c>
      <c r="BF24" s="190">
        <v>-271140480</v>
      </c>
      <c r="BG24" s="190">
        <v>-271140480</v>
      </c>
      <c r="BH24" s="190">
        <v>0</v>
      </c>
      <c r="BI24" s="190">
        <v>-15606000</v>
      </c>
      <c r="BJ24" s="190">
        <v>0</v>
      </c>
      <c r="BK24" s="190">
        <v>0</v>
      </c>
      <c r="BL24" s="190">
        <v>0</v>
      </c>
      <c r="BM24" s="190">
        <v>-5320000</v>
      </c>
      <c r="BN24" s="190">
        <v>-6120000</v>
      </c>
      <c r="BO24" s="190">
        <v>562994338.32000005</v>
      </c>
      <c r="BP24" s="190">
        <v>613134338.32000005</v>
      </c>
      <c r="BQ24" s="190">
        <v>0</v>
      </c>
      <c r="BR24" s="190">
        <v>4623692.53</v>
      </c>
      <c r="BS24" s="190">
        <v>-400000000</v>
      </c>
      <c r="BT24" s="190">
        <v>-237866348.78</v>
      </c>
      <c r="BU24" s="190">
        <v>1108113819.7</v>
      </c>
      <c r="BV24" s="190">
        <v>0</v>
      </c>
    </row>
    <row r="25" spans="1:74" s="242" customFormat="1" ht="138.6" customHeight="1" x14ac:dyDescent="0.25">
      <c r="A25" s="275" t="s">
        <v>741</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629</v>
      </c>
      <c r="E26" s="26">
        <f>现金流量表!E15</f>
        <v>160000000</v>
      </c>
      <c r="F26" s="26">
        <f>现金流量表!F15</f>
        <v>1215475000</v>
      </c>
      <c r="G26" s="26">
        <f>现金流量表!G15</f>
        <v>874575000</v>
      </c>
      <c r="H26" s="26">
        <f>现金流量表!H15</f>
        <v>141400000</v>
      </c>
      <c r="I26" s="26">
        <f>现金流量表!I15</f>
        <v>1839535840</v>
      </c>
      <c r="J26" s="26">
        <f>现金流量表!J15</f>
        <v>1074457920</v>
      </c>
      <c r="K26" s="26">
        <f>现金流量表!K15</f>
        <v>974667920</v>
      </c>
      <c r="L26" s="26">
        <f>现金流量表!L15</f>
        <v>337267920</v>
      </c>
      <c r="M26" s="26">
        <f>现金流量表!M15</f>
        <v>1007062463.98</v>
      </c>
      <c r="N26" s="26">
        <f>现金流量表!N15</f>
        <v>698850000</v>
      </c>
      <c r="O26" s="26">
        <f>现金流量表!O15</f>
        <v>410950000</v>
      </c>
      <c r="P26" s="26">
        <f>现金流量表!P15</f>
        <v>103000000</v>
      </c>
      <c r="Q26" s="26">
        <f>现金流量表!Q15</f>
        <v>867540000</v>
      </c>
      <c r="R26" s="26">
        <f>现金流量表!R15</f>
        <v>644540000</v>
      </c>
      <c r="S26" s="26">
        <f>现金流量表!S15</f>
        <v>479000000</v>
      </c>
      <c r="T26" s="26">
        <f>现金流量表!T15</f>
        <v>40000000</v>
      </c>
      <c r="U26" s="26">
        <f>现金流量表!U15</f>
        <v>801610277.75</v>
      </c>
      <c r="V26" s="26">
        <f>现金流量表!V15</f>
        <v>400000000</v>
      </c>
      <c r="W26" s="26">
        <f>现金流量表!W15</f>
        <v>300000000</v>
      </c>
      <c r="X26" s="26">
        <f>现金流量表!X15</f>
        <v>150000000</v>
      </c>
      <c r="Y26" s="26">
        <f>现金流量表!Y15</f>
        <v>300000000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5000000</v>
      </c>
      <c r="AP26" s="26">
        <f>现金流量表!AP15</f>
        <v>196.18</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630</v>
      </c>
      <c r="E27" s="26">
        <f>现金流量表!E22</f>
        <v>541873470.29999995</v>
      </c>
      <c r="F27" s="26">
        <f>现金流量表!F22</f>
        <v>1416100000</v>
      </c>
      <c r="G27" s="26">
        <f>现金流量表!G22</f>
        <v>716700000</v>
      </c>
      <c r="H27" s="26">
        <f>现金流量表!H22</f>
        <v>198515200</v>
      </c>
      <c r="I27" s="26">
        <f>现金流量表!I22</f>
        <v>2027111639.0599999</v>
      </c>
      <c r="J27" s="26">
        <f>现金流量表!J22</f>
        <v>1438430790</v>
      </c>
      <c r="K27" s="26">
        <f>现金流量表!K22</f>
        <v>1056401875</v>
      </c>
      <c r="L27" s="26">
        <f>现金流量表!L22</f>
        <v>314340253.99000001</v>
      </c>
      <c r="M27" s="26">
        <f>现金流量表!M22</f>
        <v>1177383586.3299999</v>
      </c>
      <c r="N27" s="26">
        <f>现金流量表!N22</f>
        <v>526241278.39999998</v>
      </c>
      <c r="O27" s="26">
        <f>现金流量表!O22</f>
        <v>222686000</v>
      </c>
      <c r="P27" s="26">
        <f>现金流量表!P22</f>
        <v>214631257.19</v>
      </c>
      <c r="Q27" s="26">
        <f>现金流量表!Q22</f>
        <v>1423250000</v>
      </c>
      <c r="R27" s="26">
        <f>现金流量表!R22</f>
        <v>1164750000</v>
      </c>
      <c r="S27" s="26">
        <f>现金流量表!S22</f>
        <v>564000000</v>
      </c>
      <c r="T27" s="26">
        <f>现金流量表!T22</f>
        <v>249665000</v>
      </c>
      <c r="U27" s="26">
        <f>现金流量表!U22</f>
        <v>992150277.75</v>
      </c>
      <c r="V27" s="26">
        <f>现金流量表!V22</f>
        <v>450000000</v>
      </c>
      <c r="W27" s="26">
        <f>现金流量表!W22</f>
        <v>400000000</v>
      </c>
      <c r="X27" s="26">
        <f>现金流量表!X22</f>
        <v>300000000</v>
      </c>
      <c r="Y27" s="26">
        <f>现金流量表!Y22</f>
        <v>300000000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8640000</v>
      </c>
      <c r="AH27" s="26">
        <f>现金流量表!AH22</f>
        <v>0</v>
      </c>
      <c r="AI27" s="26">
        <f>现金流量表!AI22</f>
        <v>0</v>
      </c>
      <c r="AJ27" s="26">
        <f>现金流量表!AJ22</f>
        <v>0</v>
      </c>
      <c r="AK27" s="26">
        <f>现金流量表!AK22</f>
        <v>328334.73</v>
      </c>
      <c r="AL27" s="26">
        <f>现金流量表!AL22</f>
        <v>328334.73</v>
      </c>
      <c r="AM27" s="26">
        <f>现金流量表!AM22</f>
        <v>328334.73</v>
      </c>
      <c r="AN27" s="26">
        <f>现金流量表!AN22</f>
        <v>328334.73</v>
      </c>
      <c r="AO27" s="26">
        <f>现金流量表!AO22</f>
        <v>897156</v>
      </c>
      <c r="AP27" s="26">
        <f>现金流量表!AP22</f>
        <v>897156</v>
      </c>
      <c r="AQ27" s="26">
        <f>现金流量表!AQ22</f>
        <v>5000000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631</v>
      </c>
      <c r="E28" s="26">
        <f>E27-E26</f>
        <v>381873470.29999995</v>
      </c>
      <c r="F28" s="26">
        <f t="shared" ref="F28:BQ28" si="79">F27-F26</f>
        <v>200625000</v>
      </c>
      <c r="G28" s="26">
        <f t="shared" si="79"/>
        <v>-157875000</v>
      </c>
      <c r="H28" s="26">
        <f t="shared" si="79"/>
        <v>57115200</v>
      </c>
      <c r="I28" s="26">
        <f t="shared" si="79"/>
        <v>187575799.05999994</v>
      </c>
      <c r="J28" s="26">
        <f t="shared" si="79"/>
        <v>363972870</v>
      </c>
      <c r="K28" s="26">
        <f t="shared" si="79"/>
        <v>81733955</v>
      </c>
      <c r="L28" s="26">
        <f t="shared" si="79"/>
        <v>-22927666.00999999</v>
      </c>
      <c r="M28" s="26">
        <f t="shared" si="79"/>
        <v>170321122.3499999</v>
      </c>
      <c r="N28" s="26">
        <f t="shared" si="79"/>
        <v>-172608721.60000002</v>
      </c>
      <c r="O28" s="26">
        <f t="shared" si="79"/>
        <v>-188264000</v>
      </c>
      <c r="P28" s="26">
        <f t="shared" si="79"/>
        <v>111631257.19</v>
      </c>
      <c r="Q28" s="26">
        <f t="shared" si="79"/>
        <v>555710000</v>
      </c>
      <c r="R28" s="26">
        <f t="shared" si="79"/>
        <v>520210000</v>
      </c>
      <c r="S28" s="26">
        <f t="shared" si="79"/>
        <v>85000000</v>
      </c>
      <c r="T28" s="26">
        <f t="shared" si="79"/>
        <v>209665000</v>
      </c>
      <c r="U28" s="26">
        <f t="shared" si="79"/>
        <v>190540000</v>
      </c>
      <c r="V28" s="26">
        <f t="shared" si="79"/>
        <v>50000000</v>
      </c>
      <c r="W28" s="26">
        <f t="shared" si="79"/>
        <v>100000000</v>
      </c>
      <c r="X28" s="26">
        <f t="shared" si="79"/>
        <v>150000000</v>
      </c>
      <c r="Y28" s="26">
        <f t="shared" si="79"/>
        <v>0</v>
      </c>
      <c r="Z28" s="26">
        <f t="shared" si="79"/>
        <v>0</v>
      </c>
      <c r="AA28" s="26">
        <f t="shared" si="79"/>
        <v>0</v>
      </c>
      <c r="AB28" s="26">
        <f t="shared" si="79"/>
        <v>0</v>
      </c>
      <c r="AC28" s="26">
        <f t="shared" si="79"/>
        <v>0</v>
      </c>
      <c r="AD28" s="26">
        <f t="shared" si="79"/>
        <v>0</v>
      </c>
      <c r="AE28" s="26">
        <f t="shared" si="79"/>
        <v>0</v>
      </c>
      <c r="AF28" s="26">
        <f t="shared" si="79"/>
        <v>0</v>
      </c>
      <c r="AG28" s="26">
        <f t="shared" si="79"/>
        <v>8640000</v>
      </c>
      <c r="AH28" s="26">
        <f t="shared" si="79"/>
        <v>0</v>
      </c>
      <c r="AI28" s="26">
        <f t="shared" si="79"/>
        <v>0</v>
      </c>
      <c r="AJ28" s="26">
        <f t="shared" si="79"/>
        <v>0</v>
      </c>
      <c r="AK28" s="26">
        <f t="shared" si="79"/>
        <v>328334.73</v>
      </c>
      <c r="AL28" s="26">
        <f t="shared" si="79"/>
        <v>328334.73</v>
      </c>
      <c r="AM28" s="26">
        <f t="shared" si="79"/>
        <v>328334.73</v>
      </c>
      <c r="AN28" s="26">
        <f t="shared" si="79"/>
        <v>328334.73</v>
      </c>
      <c r="AO28" s="26">
        <f t="shared" si="79"/>
        <v>-4102844</v>
      </c>
      <c r="AP28" s="26">
        <f t="shared" si="79"/>
        <v>896959.82</v>
      </c>
      <c r="AQ28" s="26">
        <f t="shared" si="79"/>
        <v>5000000</v>
      </c>
      <c r="AR28" s="26">
        <f t="shared" si="79"/>
        <v>0</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632</v>
      </c>
      <c r="E29" s="182">
        <f>POWER(E28/U28,1/5)-1</f>
        <v>0.14917631230469941</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39447</v>
      </c>
      <c r="AR30" s="1">
        <v>39082</v>
      </c>
      <c r="AS30" s="1">
        <v>25569</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90">
        <v>1355409607.72</v>
      </c>
      <c r="C31" s="190">
        <v>1333068745.54</v>
      </c>
      <c r="D31" s="190">
        <v>1293989081.75</v>
      </c>
      <c r="E31" s="190">
        <v>1367394571.5699999</v>
      </c>
      <c r="F31" s="190">
        <v>1443240135.76</v>
      </c>
      <c r="G31" s="190">
        <v>1468688926.72</v>
      </c>
      <c r="H31" s="190">
        <v>1685717796.96</v>
      </c>
      <c r="I31" s="190">
        <v>1272651203.6099999</v>
      </c>
      <c r="J31" s="190">
        <v>1314956821.5599999</v>
      </c>
      <c r="K31" s="190">
        <v>1063497750.8</v>
      </c>
      <c r="L31" s="190">
        <v>1020238065.86</v>
      </c>
      <c r="M31" s="190">
        <v>1024693184.55</v>
      </c>
      <c r="N31" s="190">
        <v>890121493.55999994</v>
      </c>
      <c r="O31" s="190">
        <v>822129414.73000002</v>
      </c>
      <c r="P31" s="190">
        <v>825330317.23000002</v>
      </c>
      <c r="Q31" s="190">
        <v>825502014.86000001</v>
      </c>
      <c r="R31" s="190">
        <v>658741725.48000002</v>
      </c>
      <c r="S31" s="190">
        <v>642750663.66999996</v>
      </c>
      <c r="T31" s="190">
        <v>638106996.24000001</v>
      </c>
      <c r="U31" s="190">
        <v>646286156.85000002</v>
      </c>
      <c r="V31" s="190">
        <v>687749387.55999994</v>
      </c>
      <c r="W31" s="190">
        <v>656425843.01999998</v>
      </c>
      <c r="X31" s="190">
        <v>675710284.61000001</v>
      </c>
      <c r="Y31" s="190">
        <v>514551138.61000001</v>
      </c>
      <c r="Z31" s="190">
        <v>496788347.32999998</v>
      </c>
      <c r="AA31" s="190">
        <v>438036109.13999999</v>
      </c>
      <c r="AB31" s="190">
        <v>424560822.61000001</v>
      </c>
      <c r="AC31" s="190">
        <v>406249339.64999998</v>
      </c>
      <c r="AD31" s="190">
        <v>313155620.74000001</v>
      </c>
      <c r="AE31" s="190">
        <v>255703474.93000001</v>
      </c>
      <c r="AF31" s="190">
        <v>233981981.53999999</v>
      </c>
      <c r="AG31" s="190">
        <v>214815697.09999999</v>
      </c>
      <c r="AH31" s="190">
        <v>135625805.69</v>
      </c>
      <c r="AI31" s="190">
        <v>127706581.34</v>
      </c>
      <c r="AJ31" s="190">
        <v>128121301.54000001</v>
      </c>
      <c r="AK31" s="190">
        <v>127940373.52</v>
      </c>
      <c r="AL31" s="190">
        <v>97160166.030000001</v>
      </c>
      <c r="AM31" s="190">
        <v>98253328.269999996</v>
      </c>
      <c r="AN31" s="190">
        <v>101972525.01000001</v>
      </c>
      <c r="AO31" s="190">
        <v>82896917.930000007</v>
      </c>
      <c r="AP31" s="190">
        <v>64196426.759999998</v>
      </c>
      <c r="AQ31" s="190">
        <v>0</v>
      </c>
      <c r="AR31" s="190"/>
      <c r="AS31" s="190"/>
      <c r="AT31" s="190">
        <v>5119825755.0799999</v>
      </c>
      <c r="AU31" s="190">
        <v>5166324238.8199997</v>
      </c>
      <c r="AV31" s="190">
        <v>5229742144.5900002</v>
      </c>
      <c r="AW31" s="190">
        <v>5303368604.3599997</v>
      </c>
      <c r="AX31" s="190">
        <v>5412891640.3100004</v>
      </c>
      <c r="AY31" s="190">
        <v>5477269087.8599997</v>
      </c>
      <c r="AZ31" s="190">
        <v>5394582476.9899998</v>
      </c>
      <c r="BA31" s="190">
        <v>5501322858.9799995</v>
      </c>
      <c r="BB31" s="190">
        <v>5577867470.3299999</v>
      </c>
      <c r="BC31" s="190">
        <v>5696283898.6499996</v>
      </c>
      <c r="BD31" s="190">
        <v>5779603253.5100002</v>
      </c>
      <c r="BE31" s="190">
        <v>5840992847.29</v>
      </c>
      <c r="BF31" s="190">
        <v>5434316703.3800001</v>
      </c>
      <c r="BG31" s="190">
        <v>5519652065.3800001</v>
      </c>
      <c r="BH31" s="190">
        <v>5587811046.9799995</v>
      </c>
      <c r="BI31" s="190">
        <v>5587556850.7200003</v>
      </c>
      <c r="BJ31" s="190">
        <v>5175235607.8500004</v>
      </c>
      <c r="BK31" s="190">
        <v>4543535291.6599998</v>
      </c>
      <c r="BL31" s="190">
        <v>4478639735.0500002</v>
      </c>
      <c r="BM31" s="190">
        <v>4520776529.7700005</v>
      </c>
      <c r="BN31" s="190">
        <v>3620875395.5999999</v>
      </c>
      <c r="BO31" s="190">
        <v>3684993020.0500002</v>
      </c>
      <c r="BP31" s="190">
        <v>3523637936.8200002</v>
      </c>
      <c r="BQ31" s="190">
        <v>3558533656.5999999</v>
      </c>
      <c r="BR31" s="190">
        <v>0</v>
      </c>
      <c r="BS31" s="190">
        <v>3540915525.1199999</v>
      </c>
      <c r="BT31" s="190">
        <v>1786934979.5599999</v>
      </c>
      <c r="BU31" s="190">
        <v>1665815375.1099999</v>
      </c>
      <c r="BV31" s="190">
        <v>1686369507.6900001</v>
      </c>
    </row>
    <row r="32" spans="1:74" s="54" customFormat="1" ht="15" customHeight="1" x14ac:dyDescent="0.25">
      <c r="A32" s="138" t="s">
        <v>311</v>
      </c>
      <c r="B32" s="190">
        <v>243655266.56</v>
      </c>
      <c r="C32" s="190">
        <v>243655266.56</v>
      </c>
      <c r="D32" s="190">
        <v>235212831.53</v>
      </c>
      <c r="E32" s="190">
        <v>242110082.27000001</v>
      </c>
      <c r="F32" s="190">
        <v>316329792.22000003</v>
      </c>
      <c r="G32" s="190">
        <v>319336551.69</v>
      </c>
      <c r="H32" s="190">
        <v>321700134.58999997</v>
      </c>
      <c r="I32" s="190">
        <v>171198432.88999999</v>
      </c>
      <c r="J32" s="190">
        <v>196618493.28999999</v>
      </c>
      <c r="K32" s="190">
        <v>196618493.28999999</v>
      </c>
      <c r="L32" s="190">
        <v>196618493.28999999</v>
      </c>
      <c r="M32" s="190">
        <v>196618493.28999999</v>
      </c>
      <c r="N32" s="190">
        <v>169278079.88999999</v>
      </c>
      <c r="O32" s="190">
        <v>167731606.88999999</v>
      </c>
      <c r="P32" s="190">
        <v>167731606.88999999</v>
      </c>
      <c r="Q32" s="190">
        <v>167731606.88999999</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21180.67</v>
      </c>
      <c r="AI32" s="190">
        <v>21180.67</v>
      </c>
      <c r="AJ32" s="190">
        <v>21180.67</v>
      </c>
      <c r="AK32" s="190">
        <v>21180.67</v>
      </c>
      <c r="AL32" s="190">
        <v>21180.67</v>
      </c>
      <c r="AM32" s="190">
        <v>21180.67</v>
      </c>
      <c r="AN32" s="190">
        <v>21180.67</v>
      </c>
      <c r="AO32" s="190">
        <v>0</v>
      </c>
      <c r="AP32" s="190">
        <v>0</v>
      </c>
      <c r="AQ32" s="190">
        <v>0</v>
      </c>
      <c r="AR32" s="190"/>
      <c r="AS32" s="190"/>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227475238.28</v>
      </c>
      <c r="C33" s="190">
        <v>224516989.86000001</v>
      </c>
      <c r="D33" s="190">
        <v>204255161.68000001</v>
      </c>
      <c r="E33" s="190">
        <v>228463347.99000001</v>
      </c>
      <c r="F33" s="190">
        <v>189611525</v>
      </c>
      <c r="G33" s="190">
        <v>190034675</v>
      </c>
      <c r="H33" s="190">
        <v>388188950</v>
      </c>
      <c r="I33" s="190">
        <v>388797125</v>
      </c>
      <c r="J33" s="190">
        <v>406326690</v>
      </c>
      <c r="K33" s="190">
        <v>160371775</v>
      </c>
      <c r="L33" s="190">
        <v>103916150</v>
      </c>
      <c r="M33" s="190">
        <v>103985900</v>
      </c>
      <c r="N33" s="190">
        <v>60741278.399999999</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c r="AS33" s="190"/>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896821141.30999994</v>
      </c>
      <c r="F34" s="49">
        <f t="shared" ref="F34:BP34" si="81">F31-F32-F33</f>
        <v>937298818.53999996</v>
      </c>
      <c r="G34" s="49">
        <f t="shared" si="81"/>
        <v>959317700.02999997</v>
      </c>
      <c r="H34" s="49">
        <f t="shared" si="81"/>
        <v>975828712.37000012</v>
      </c>
      <c r="I34" s="49">
        <f t="shared" si="81"/>
        <v>712655645.71999979</v>
      </c>
      <c r="J34" s="49">
        <f t="shared" si="81"/>
        <v>712011638.26999998</v>
      </c>
      <c r="K34" s="49">
        <f t="shared" si="81"/>
        <v>706507482.50999999</v>
      </c>
      <c r="L34" s="49">
        <f t="shared" si="81"/>
        <v>719703422.57000005</v>
      </c>
      <c r="M34" s="49">
        <f t="shared" si="81"/>
        <v>724088791.25999999</v>
      </c>
      <c r="N34" s="49">
        <f t="shared" si="81"/>
        <v>660102135.26999998</v>
      </c>
      <c r="O34" s="49">
        <f t="shared" si="81"/>
        <v>654397807.84000003</v>
      </c>
      <c r="P34" s="49">
        <f t="shared" si="81"/>
        <v>657598710.34000003</v>
      </c>
      <c r="Q34" s="49">
        <f t="shared" si="81"/>
        <v>657770407.97000003</v>
      </c>
      <c r="R34" s="49">
        <f t="shared" si="81"/>
        <v>658741725.48000002</v>
      </c>
      <c r="S34" s="49">
        <f t="shared" si="81"/>
        <v>642750663.66999996</v>
      </c>
      <c r="T34" s="49">
        <f t="shared" si="81"/>
        <v>638106996.24000001</v>
      </c>
      <c r="U34" s="49">
        <f t="shared" si="81"/>
        <v>646286156.85000002</v>
      </c>
      <c r="V34" s="49">
        <f t="shared" si="81"/>
        <v>687749387.55999994</v>
      </c>
      <c r="W34" s="49">
        <f t="shared" si="81"/>
        <v>656425843.01999998</v>
      </c>
      <c r="X34" s="49">
        <f t="shared" si="81"/>
        <v>675710284.61000001</v>
      </c>
      <c r="Y34" s="49">
        <f t="shared" si="81"/>
        <v>514551138.61000001</v>
      </c>
      <c r="Z34" s="49">
        <f t="shared" si="81"/>
        <v>496788347.32999998</v>
      </c>
      <c r="AA34" s="49">
        <f t="shared" si="81"/>
        <v>438036109.13999999</v>
      </c>
      <c r="AB34" s="49">
        <f t="shared" si="81"/>
        <v>424560822.61000001</v>
      </c>
      <c r="AC34" s="49">
        <f t="shared" si="81"/>
        <v>406249339.64999998</v>
      </c>
      <c r="AD34" s="49">
        <f t="shared" si="81"/>
        <v>313155620.74000001</v>
      </c>
      <c r="AE34" s="49">
        <f t="shared" si="81"/>
        <v>255703474.93000001</v>
      </c>
      <c r="AF34" s="49">
        <f t="shared" si="81"/>
        <v>233981981.53999999</v>
      </c>
      <c r="AG34" s="49">
        <f t="shared" si="81"/>
        <v>214815697.09999999</v>
      </c>
      <c r="AH34" s="49">
        <f t="shared" si="81"/>
        <v>135604625.02000001</v>
      </c>
      <c r="AI34" s="49">
        <f t="shared" si="81"/>
        <v>127685400.67</v>
      </c>
      <c r="AJ34" s="49">
        <f t="shared" si="81"/>
        <v>128100120.87</v>
      </c>
      <c r="AK34" s="49">
        <f t="shared" si="81"/>
        <v>127919192.84999999</v>
      </c>
      <c r="AL34" s="49">
        <f t="shared" si="81"/>
        <v>97138985.359999999</v>
      </c>
      <c r="AM34" s="49">
        <f t="shared" si="81"/>
        <v>98232147.599999994</v>
      </c>
      <c r="AN34" s="49">
        <f t="shared" si="81"/>
        <v>101951344.34</v>
      </c>
      <c r="AO34" s="49">
        <f t="shared" si="81"/>
        <v>82896917.930000007</v>
      </c>
      <c r="AP34" s="49">
        <f t="shared" si="81"/>
        <v>64196426.759999998</v>
      </c>
      <c r="AQ34" s="49">
        <f t="shared" si="81"/>
        <v>0</v>
      </c>
      <c r="AR34" s="49">
        <f t="shared" si="81"/>
        <v>0</v>
      </c>
      <c r="AS34" s="49">
        <f t="shared" si="81"/>
        <v>0</v>
      </c>
      <c r="AT34" s="49">
        <f t="shared" si="81"/>
        <v>5119825755.0799999</v>
      </c>
      <c r="AU34" s="49">
        <f t="shared" si="81"/>
        <v>5166324238.8199997</v>
      </c>
      <c r="AV34" s="49">
        <f t="shared" si="81"/>
        <v>5229742144.5900002</v>
      </c>
      <c r="AW34" s="49">
        <f t="shared" si="81"/>
        <v>5303368604.3599997</v>
      </c>
      <c r="AX34" s="49">
        <f t="shared" si="81"/>
        <v>5412891640.3100004</v>
      </c>
      <c r="AY34" s="49">
        <f t="shared" si="81"/>
        <v>5477269087.8599997</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64196426.759999998</v>
      </c>
      <c r="BR34" s="49">
        <f>AQ31-AQ32-AQ33</f>
        <v>0</v>
      </c>
      <c r="BS34" s="49">
        <f>AR31-AR32-AR33</f>
        <v>0</v>
      </c>
      <c r="BT34" s="49"/>
      <c r="BU34" s="50"/>
    </row>
    <row r="35" spans="1:74" s="106" customFormat="1" ht="15" thickBot="1" x14ac:dyDescent="0.3">
      <c r="A35" s="140" t="s">
        <v>317</v>
      </c>
      <c r="B35" s="33">
        <f>SUM(B22:B31)</f>
        <v>1554325510.51</v>
      </c>
      <c r="C35" s="33">
        <f>SUM(C22:C31)</f>
        <v>1530458189.9200001</v>
      </c>
      <c r="D35" s="33">
        <f>SUM(D22:D31)</f>
        <v>1759628041.1199999</v>
      </c>
      <c r="E35" s="33">
        <f>资产资本表!E17</f>
        <v>733176594.04999995</v>
      </c>
      <c r="F35" s="33">
        <f>资产资本表!F17</f>
        <v>542119136.30999994</v>
      </c>
      <c r="G35" s="33">
        <f>资产资本表!G17</f>
        <v>792389362.92999995</v>
      </c>
      <c r="H35" s="33">
        <f>资产资本表!H17</f>
        <v>1064862608.49</v>
      </c>
      <c r="I35" s="33">
        <f>资产资本表!I17</f>
        <v>1547342145.5699999</v>
      </c>
      <c r="J35" s="33">
        <f>资产资本表!J17</f>
        <v>935254236.98000002</v>
      </c>
      <c r="K35" s="33">
        <f>资产资本表!K17</f>
        <v>726701245.64999998</v>
      </c>
      <c r="L35" s="33">
        <f>资产资本表!L17</f>
        <v>796484046.78999996</v>
      </c>
      <c r="M35" s="33">
        <f>资产资本表!M17</f>
        <v>693588693.25999999</v>
      </c>
      <c r="N35" s="33">
        <f>资产资本表!N17</f>
        <v>797669458.75</v>
      </c>
      <c r="O35" s="33">
        <f>资产资本表!O17</f>
        <v>619994822.77999997</v>
      </c>
      <c r="P35" s="33">
        <f>资产资本表!P17</f>
        <v>669893756.87</v>
      </c>
      <c r="Q35" s="33">
        <f>资产资本表!Q17</f>
        <v>647204677.45000005</v>
      </c>
      <c r="R35" s="33">
        <f>资产资本表!R17</f>
        <v>629117054.61000001</v>
      </c>
      <c r="S35" s="33">
        <f>资产资本表!S17</f>
        <v>835542721.87</v>
      </c>
      <c r="T35" s="33">
        <f>资产资本表!T17</f>
        <v>884858061.70000005</v>
      </c>
      <c r="U35" s="33">
        <f>资产资本表!U17</f>
        <v>932276706.14999998</v>
      </c>
      <c r="V35" s="33">
        <f>资产资本表!V17</f>
        <v>952923862.08000004</v>
      </c>
      <c r="W35" s="33">
        <f>资产资本表!W17</f>
        <v>769157162.38</v>
      </c>
      <c r="X35" s="33">
        <f>资产资本表!X17</f>
        <v>991763885.86000001</v>
      </c>
      <c r="Y35" s="33">
        <f>资产资本表!Y17</f>
        <v>956043885.24000001</v>
      </c>
      <c r="Z35" s="33">
        <f>资产资本表!Z17</f>
        <v>803173622.38</v>
      </c>
      <c r="AA35" s="33">
        <f>资产资本表!AA17</f>
        <v>667828913.97000003</v>
      </c>
      <c r="AB35" s="33">
        <f>资产资本表!AB17</f>
        <v>1014024416.74</v>
      </c>
      <c r="AC35" s="33">
        <f>资产资本表!AC17</f>
        <v>1002302902.5700001</v>
      </c>
      <c r="AD35" s="33">
        <f>资产资本表!AD17</f>
        <v>982362386.38999999</v>
      </c>
      <c r="AE35" s="33">
        <f>资产资本表!AE17</f>
        <v>862194779.22000003</v>
      </c>
      <c r="AF35" s="33">
        <f>资产资本表!AF17</f>
        <v>1151874426.3</v>
      </c>
      <c r="AG35" s="33">
        <f>资产资本表!AG17</f>
        <v>1057191976.45</v>
      </c>
      <c r="AH35" s="33">
        <f>资产资本表!AH17</f>
        <v>960610001.01999998</v>
      </c>
      <c r="AI35" s="33">
        <f>资产资本表!AI17</f>
        <v>930790908.42999995</v>
      </c>
      <c r="AJ35" s="33">
        <f>资产资本表!AJ17</f>
        <v>1127355392.73</v>
      </c>
      <c r="AK35" s="33">
        <f>资产资本表!AK17</f>
        <v>1066884381.7</v>
      </c>
      <c r="AL35" s="33">
        <f>资产资本表!AL17</f>
        <v>1057983159.11</v>
      </c>
      <c r="AM35" s="33">
        <f>资产资本表!AM17</f>
        <v>74808751.980000004</v>
      </c>
      <c r="AN35" s="33">
        <f>资产资本表!AN17</f>
        <v>78505801.079999998</v>
      </c>
      <c r="AO35" s="33">
        <f>资产资本表!AO17</f>
        <v>50145116.420000002</v>
      </c>
      <c r="AP35" s="33">
        <f>资产资本表!AP17</f>
        <v>52609626.460000001</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39447</v>
      </c>
      <c r="AR38" s="1">
        <v>39082</v>
      </c>
      <c r="AS38" s="1">
        <v>25569</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3" customFormat="1" x14ac:dyDescent="0.25">
      <c r="A40" s="193" t="s">
        <v>742</v>
      </c>
      <c r="B40" s="190">
        <v>468058695.66000003</v>
      </c>
      <c r="C40" s="190">
        <v>465145228.47000003</v>
      </c>
      <c r="D40" s="190">
        <v>455644061.94999999</v>
      </c>
      <c r="E40" s="190">
        <v>20118946.59</v>
      </c>
      <c r="F40" s="190">
        <v>20120320</v>
      </c>
      <c r="G40" s="190">
        <v>20120320</v>
      </c>
      <c r="H40" s="190">
        <v>0</v>
      </c>
      <c r="I40" s="190">
        <v>23602222.899999999</v>
      </c>
      <c r="J40" s="190">
        <v>23502222.899999999</v>
      </c>
      <c r="K40" s="190">
        <v>1502222.9</v>
      </c>
      <c r="L40" s="190">
        <v>0</v>
      </c>
      <c r="M40" s="190">
        <v>5686000</v>
      </c>
      <c r="N40" s="190">
        <v>6114227</v>
      </c>
      <c r="O40" s="190">
        <v>5150000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917083360</v>
      </c>
      <c r="AL40" s="190">
        <v>917083360</v>
      </c>
      <c r="AM40" s="190">
        <v>0</v>
      </c>
      <c r="AN40" s="190">
        <v>0</v>
      </c>
      <c r="AO40" s="190">
        <v>0</v>
      </c>
      <c r="AP40" s="190">
        <v>0</v>
      </c>
      <c r="AQ40" s="190">
        <v>20440920.940000001</v>
      </c>
      <c r="AR40" s="190">
        <v>15488720.49</v>
      </c>
      <c r="AS40" s="190">
        <v>0</v>
      </c>
      <c r="AT40" s="190">
        <v>15000000</v>
      </c>
      <c r="AU40" s="190">
        <v>15000000</v>
      </c>
      <c r="AV40" s="190">
        <v>0</v>
      </c>
      <c r="AW40" s="190">
        <v>0</v>
      </c>
      <c r="AX40" s="190">
        <v>1000000</v>
      </c>
      <c r="AY40" s="190">
        <v>1000000</v>
      </c>
      <c r="AZ40" s="190">
        <v>0</v>
      </c>
      <c r="BA40" s="190">
        <v>0</v>
      </c>
      <c r="BB40" s="190">
        <v>0</v>
      </c>
      <c r="BC40" s="190">
        <v>0</v>
      </c>
      <c r="BD40" s="190">
        <v>0</v>
      </c>
      <c r="BE40" s="190">
        <v>2450000</v>
      </c>
      <c r="BF40" s="190">
        <v>0</v>
      </c>
      <c r="BG40" s="190">
        <v>0</v>
      </c>
      <c r="BH40" s="190">
        <v>0</v>
      </c>
      <c r="BI40" s="190">
        <v>0</v>
      </c>
      <c r="BJ40" s="190">
        <v>0</v>
      </c>
      <c r="BK40" s="190">
        <v>0</v>
      </c>
      <c r="BL40" s="190">
        <v>0</v>
      </c>
      <c r="BM40" s="190">
        <v>800000</v>
      </c>
      <c r="BN40" s="190">
        <v>0</v>
      </c>
      <c r="BO40" s="190">
        <v>615571049.24000001</v>
      </c>
      <c r="BP40" s="190">
        <v>614591049.24000001</v>
      </c>
      <c r="BQ40" s="190">
        <v>0</v>
      </c>
      <c r="BR40" s="190">
        <v>0</v>
      </c>
      <c r="BS40" s="190">
        <v>0</v>
      </c>
      <c r="BT40" s="190">
        <v>0</v>
      </c>
      <c r="BU40" s="190">
        <v>1165397962.47</v>
      </c>
      <c r="BV40" s="190">
        <v>0</v>
      </c>
    </row>
    <row r="41" spans="1:74" s="53" customFormat="1" ht="21.75" customHeight="1" x14ac:dyDescent="0.25">
      <c r="A41" s="141" t="s">
        <v>633</v>
      </c>
      <c r="B41" s="53">
        <v>1419647033.29</v>
      </c>
      <c r="C41" s="53">
        <v>682396282.87</v>
      </c>
      <c r="D41" s="53">
        <v>73246783.790000007</v>
      </c>
      <c r="E41" s="53">
        <v>140363100</v>
      </c>
      <c r="I41" s="53">
        <v>140363100</v>
      </c>
      <c r="M41" s="53">
        <v>280726200</v>
      </c>
      <c r="Q41" s="53">
        <v>98254170</v>
      </c>
      <c r="U41" s="53">
        <v>98254170</v>
      </c>
      <c r="Y41" s="53">
        <v>140363100</v>
      </c>
      <c r="AC41" s="53">
        <v>199315602</v>
      </c>
      <c r="AG41" s="53">
        <v>98254170</v>
      </c>
      <c r="AK41" s="53">
        <v>21052620</v>
      </c>
      <c r="AO41" s="53">
        <v>42105240</v>
      </c>
    </row>
    <row r="42" spans="1:74" s="26" customFormat="1" x14ac:dyDescent="0.25">
      <c r="A42" s="17" t="s">
        <v>322</v>
      </c>
      <c r="E42" s="26">
        <f>E40-E41</f>
        <v>-120244153.41</v>
      </c>
      <c r="F42" s="26">
        <f t="shared" ref="F42:Y42" si="82">F40-F41</f>
        <v>20120320</v>
      </c>
      <c r="G42" s="26">
        <f t="shared" si="82"/>
        <v>20120320</v>
      </c>
      <c r="H42" s="26">
        <f t="shared" si="82"/>
        <v>0</v>
      </c>
      <c r="I42" s="26">
        <f>I40-I41</f>
        <v>-116760877.09999999</v>
      </c>
      <c r="J42" s="26">
        <f t="shared" si="82"/>
        <v>23502222.899999999</v>
      </c>
      <c r="K42" s="26">
        <f t="shared" si="82"/>
        <v>1502222.9</v>
      </c>
      <c r="L42" s="26">
        <f t="shared" si="82"/>
        <v>0</v>
      </c>
      <c r="M42" s="26">
        <f t="shared" si="82"/>
        <v>-275040200</v>
      </c>
      <c r="N42" s="26">
        <f t="shared" si="82"/>
        <v>6114227</v>
      </c>
      <c r="O42" s="26">
        <f t="shared" si="82"/>
        <v>5150000</v>
      </c>
      <c r="P42" s="26">
        <f t="shared" si="82"/>
        <v>0</v>
      </c>
      <c r="Q42" s="26">
        <f t="shared" si="82"/>
        <v>-98254170</v>
      </c>
      <c r="R42" s="26">
        <f t="shared" si="82"/>
        <v>0</v>
      </c>
      <c r="S42" s="26">
        <f t="shared" si="82"/>
        <v>0</v>
      </c>
      <c r="T42" s="26">
        <f t="shared" si="82"/>
        <v>0</v>
      </c>
      <c r="U42" s="26">
        <f t="shared" si="82"/>
        <v>-98254170</v>
      </c>
      <c r="V42" s="26">
        <f t="shared" si="82"/>
        <v>0</v>
      </c>
      <c r="W42" s="26">
        <f t="shared" si="82"/>
        <v>0</v>
      </c>
      <c r="X42" s="26">
        <f t="shared" si="82"/>
        <v>0</v>
      </c>
      <c r="Y42" s="26">
        <f t="shared" si="82"/>
        <v>-140363100</v>
      </c>
      <c r="Z42" s="26">
        <f t="shared" ref="Z42:BQ42" si="83">Z40-Z41</f>
        <v>0</v>
      </c>
      <c r="AA42" s="26">
        <f t="shared" si="83"/>
        <v>0</v>
      </c>
      <c r="AB42" s="26">
        <f t="shared" si="83"/>
        <v>0</v>
      </c>
      <c r="AC42" s="26">
        <f t="shared" si="83"/>
        <v>-199315602</v>
      </c>
      <c r="AD42" s="26">
        <f t="shared" si="83"/>
        <v>0</v>
      </c>
      <c r="AE42" s="26">
        <f t="shared" si="83"/>
        <v>0</v>
      </c>
      <c r="AF42" s="26">
        <f t="shared" si="83"/>
        <v>0</v>
      </c>
      <c r="AG42" s="26">
        <f t="shared" si="83"/>
        <v>-98254170</v>
      </c>
      <c r="AH42" s="26">
        <f t="shared" si="83"/>
        <v>0</v>
      </c>
      <c r="AI42" s="26">
        <f t="shared" si="83"/>
        <v>0</v>
      </c>
      <c r="AJ42" s="26">
        <f t="shared" si="83"/>
        <v>0</v>
      </c>
      <c r="AK42" s="26">
        <f t="shared" si="83"/>
        <v>896030740</v>
      </c>
      <c r="AL42" s="193">
        <f t="shared" si="83"/>
        <v>917083360</v>
      </c>
      <c r="AM42" s="193">
        <f t="shared" si="83"/>
        <v>0</v>
      </c>
      <c r="AN42" s="193">
        <f t="shared" si="83"/>
        <v>0</v>
      </c>
      <c r="AO42" s="193">
        <f t="shared" si="83"/>
        <v>-42105240</v>
      </c>
      <c r="AP42" s="193">
        <f t="shared" si="83"/>
        <v>0</v>
      </c>
      <c r="AQ42" s="193">
        <f t="shared" si="83"/>
        <v>20440920.940000001</v>
      </c>
      <c r="AR42" s="193">
        <f t="shared" si="83"/>
        <v>15488720.49</v>
      </c>
      <c r="AS42" s="193">
        <f t="shared" si="83"/>
        <v>0</v>
      </c>
      <c r="AT42" s="193">
        <f t="shared" si="83"/>
        <v>15000000</v>
      </c>
      <c r="AU42" s="193">
        <f t="shared" si="83"/>
        <v>15000000</v>
      </c>
      <c r="AV42" s="193">
        <f t="shared" si="83"/>
        <v>0</v>
      </c>
      <c r="AW42" s="193">
        <f t="shared" si="83"/>
        <v>0</v>
      </c>
      <c r="AX42" s="193">
        <f t="shared" si="83"/>
        <v>1000000</v>
      </c>
      <c r="AY42" s="193">
        <f t="shared" si="83"/>
        <v>1000000</v>
      </c>
      <c r="AZ42" s="193">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705678113.75999999</v>
      </c>
      <c r="C44" s="190">
        <v>488258116.19</v>
      </c>
      <c r="D44" s="190">
        <v>7086499.4900000002</v>
      </c>
      <c r="E44" s="190">
        <v>247500960</v>
      </c>
      <c r="F44" s="190">
        <v>620688039.99000001</v>
      </c>
      <c r="G44" s="190">
        <v>614687388.02999997</v>
      </c>
      <c r="H44" s="190">
        <v>75892300</v>
      </c>
      <c r="I44" s="190">
        <v>578377380</v>
      </c>
      <c r="J44" s="190">
        <v>324840756</v>
      </c>
      <c r="K44" s="190">
        <v>170000000</v>
      </c>
      <c r="L44" s="190">
        <v>0</v>
      </c>
      <c r="M44" s="190">
        <v>100000000</v>
      </c>
      <c r="N44" s="190">
        <v>0</v>
      </c>
      <c r="O44" s="190">
        <v>0</v>
      </c>
      <c r="P44" s="190">
        <v>0</v>
      </c>
      <c r="Q44" s="190">
        <v>0</v>
      </c>
      <c r="R44" s="190">
        <v>0</v>
      </c>
      <c r="S44" s="190">
        <v>0</v>
      </c>
      <c r="T44" s="190">
        <v>0</v>
      </c>
      <c r="U44" s="190">
        <v>0</v>
      </c>
      <c r="V44" s="190">
        <v>0</v>
      </c>
      <c r="W44" s="190">
        <v>0</v>
      </c>
      <c r="X44" s="190">
        <v>35000000</v>
      </c>
      <c r="Y44" s="190">
        <v>0</v>
      </c>
      <c r="Z44" s="190">
        <v>0</v>
      </c>
      <c r="AA44" s="190">
        <v>0</v>
      </c>
      <c r="AB44" s="190">
        <v>0</v>
      </c>
      <c r="AC44" s="190">
        <v>0</v>
      </c>
      <c r="AD44" s="190">
        <v>0</v>
      </c>
      <c r="AE44" s="190">
        <v>0</v>
      </c>
      <c r="AF44" s="190">
        <v>0</v>
      </c>
      <c r="AG44" s="190">
        <v>20000000</v>
      </c>
      <c r="AH44" s="190">
        <v>20000000</v>
      </c>
      <c r="AI44" s="190">
        <v>0</v>
      </c>
      <c r="AJ44" s="190">
        <v>0</v>
      </c>
      <c r="AK44" s="190">
        <v>0</v>
      </c>
      <c r="AL44" s="190">
        <v>0</v>
      </c>
      <c r="AM44" s="190">
        <v>0</v>
      </c>
      <c r="AN44" s="190">
        <v>0</v>
      </c>
      <c r="AO44" s="190">
        <v>57800000</v>
      </c>
      <c r="AP44" s="190">
        <v>57800000</v>
      </c>
      <c r="AQ44" s="190">
        <v>108000000</v>
      </c>
      <c r="AR44" s="190">
        <v>91000000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row>
    <row r="45" spans="1:74" s="193" customFormat="1" x14ac:dyDescent="0.25">
      <c r="A45" s="193" t="s">
        <v>323</v>
      </c>
      <c r="E45" s="193">
        <f>股权价值增加表!E53</f>
        <v>21110212.079999998</v>
      </c>
      <c r="F45" s="193">
        <f>股权价值增加表!F53</f>
        <v>0</v>
      </c>
      <c r="G45" s="193">
        <f>股权价值增加表!G53</f>
        <v>0</v>
      </c>
      <c r="H45" s="193">
        <f>股权价值增加表!H53</f>
        <v>0</v>
      </c>
      <c r="I45" s="193">
        <f>股权价值增加表!I53</f>
        <v>9305327.8499999996</v>
      </c>
      <c r="J45" s="193">
        <f>股权价值增加表!J53</f>
        <v>0</v>
      </c>
      <c r="K45" s="193">
        <f>股权价值增加表!K53</f>
        <v>0</v>
      </c>
      <c r="L45" s="193">
        <f>股权价值增加表!L53</f>
        <v>0</v>
      </c>
      <c r="M45" s="193">
        <f>股权价值增加表!M53</f>
        <v>1760420.36</v>
      </c>
      <c r="N45" s="193">
        <f>股权价值增加表!N53</f>
        <v>0</v>
      </c>
      <c r="O45" s="193">
        <f>股权价值增加表!O53</f>
        <v>0</v>
      </c>
      <c r="P45" s="193">
        <f>股权价值增加表!P53</f>
        <v>0</v>
      </c>
      <c r="Q45" s="193">
        <f>股权价值增加表!Q53</f>
        <v>0</v>
      </c>
      <c r="R45" s="193">
        <f>股权价值增加表!R53</f>
        <v>0</v>
      </c>
      <c r="S45" s="193">
        <f>股权价值增加表!S53</f>
        <v>0</v>
      </c>
      <c r="T45" s="193">
        <f>股权价值增加表!T53</f>
        <v>0</v>
      </c>
      <c r="U45" s="193">
        <f>股权价值增加表!U53</f>
        <v>0</v>
      </c>
      <c r="V45" s="193">
        <f>股权价值增加表!V53</f>
        <v>0</v>
      </c>
      <c r="W45" s="193">
        <f>股权价值增加表!W53</f>
        <v>0</v>
      </c>
      <c r="X45" s="193">
        <f>股权价值增加表!X53</f>
        <v>0</v>
      </c>
      <c r="Y45" s="193">
        <f>股权价值增加表!Y53</f>
        <v>0</v>
      </c>
      <c r="Z45" s="193">
        <f>股权价值增加表!Z53</f>
        <v>0</v>
      </c>
      <c r="AA45" s="193">
        <f>股权价值增加表!AA53</f>
        <v>0</v>
      </c>
      <c r="AB45" s="193">
        <f>股权价值增加表!AB53</f>
        <v>0</v>
      </c>
      <c r="AC45" s="193">
        <f>股权价值增加表!AC53</f>
        <v>0</v>
      </c>
      <c r="AD45" s="193">
        <f>股权价值增加表!AD53</f>
        <v>0</v>
      </c>
      <c r="AE45" s="193">
        <f>股权价值增加表!AE53</f>
        <v>0</v>
      </c>
      <c r="AF45" s="193">
        <f>股权价值增加表!AF53</f>
        <v>0</v>
      </c>
      <c r="AG45" s="193">
        <f>股权价值增加表!AG53</f>
        <v>54135</v>
      </c>
      <c r="AH45" s="193">
        <f>股权价值增加表!AH53</f>
        <v>0</v>
      </c>
      <c r="AI45" s="193">
        <f>股权价值增加表!AI53</f>
        <v>0</v>
      </c>
      <c r="AJ45" s="193">
        <f>股权价值增加表!AJ53</f>
        <v>0</v>
      </c>
      <c r="AK45" s="193">
        <f>股权价值增加表!AK53</f>
        <v>0</v>
      </c>
      <c r="AL45" s="193">
        <f>股权价值增加表!AL53</f>
        <v>0</v>
      </c>
      <c r="AM45" s="193">
        <f>股权价值增加表!AM53</f>
        <v>0</v>
      </c>
      <c r="AN45" s="193">
        <f>股权价值增加表!AN53</f>
        <v>0</v>
      </c>
      <c r="AO45" s="193">
        <f>股权价值增加表!AO53</f>
        <v>1186365.49</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0</v>
      </c>
      <c r="C46" s="190">
        <v>120284.89</v>
      </c>
      <c r="D46" s="190">
        <v>92918.44</v>
      </c>
      <c r="E46" s="190">
        <v>378668.3</v>
      </c>
      <c r="F46" s="190">
        <v>93686.35</v>
      </c>
      <c r="G46" s="190">
        <v>262805.84000000003</v>
      </c>
      <c r="H46" s="190">
        <v>526149.98</v>
      </c>
      <c r="I46" s="190">
        <v>690979.23</v>
      </c>
      <c r="J46" s="190">
        <v>0</v>
      </c>
      <c r="K46" s="190">
        <v>0</v>
      </c>
      <c r="L46" s="190">
        <v>0</v>
      </c>
      <c r="M46" s="190">
        <v>302083.33</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10444.44</v>
      </c>
      <c r="AP46" s="190">
        <v>49021.5</v>
      </c>
      <c r="AQ46" s="190">
        <v>0</v>
      </c>
      <c r="AR46" s="190"/>
      <c r="AS46" s="190"/>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707483601.80999994</v>
      </c>
      <c r="C47" s="190">
        <v>490369094.81</v>
      </c>
      <c r="D47" s="190">
        <v>0</v>
      </c>
      <c r="E47" s="190">
        <v>400000000</v>
      </c>
      <c r="F47" s="190">
        <v>632765109.16999996</v>
      </c>
      <c r="G47" s="190">
        <v>631851586.58000004</v>
      </c>
      <c r="H47" s="190">
        <v>64471629.520000003</v>
      </c>
      <c r="I47" s="190">
        <v>190000000</v>
      </c>
      <c r="J47" s="190">
        <v>100000000</v>
      </c>
      <c r="K47" s="190">
        <v>0</v>
      </c>
      <c r="L47" s="190">
        <v>0</v>
      </c>
      <c r="M47" s="190">
        <v>0</v>
      </c>
      <c r="N47" s="190">
        <v>0</v>
      </c>
      <c r="O47" s="190">
        <v>0</v>
      </c>
      <c r="P47" s="190">
        <v>0</v>
      </c>
      <c r="Q47" s="190">
        <v>0</v>
      </c>
      <c r="R47" s="190">
        <v>0</v>
      </c>
      <c r="S47" s="190">
        <v>0</v>
      </c>
      <c r="T47" s="190">
        <v>0</v>
      </c>
      <c r="U47" s="190">
        <v>0</v>
      </c>
      <c r="V47" s="190">
        <v>0</v>
      </c>
      <c r="W47" s="190">
        <v>0</v>
      </c>
      <c r="X47" s="190">
        <v>35000000</v>
      </c>
      <c r="Y47" s="190">
        <v>0</v>
      </c>
      <c r="Z47" s="190">
        <v>0</v>
      </c>
      <c r="AA47" s="190">
        <v>0</v>
      </c>
      <c r="AB47" s="190">
        <v>0</v>
      </c>
      <c r="AC47" s="190">
        <v>0</v>
      </c>
      <c r="AD47" s="190">
        <v>0</v>
      </c>
      <c r="AE47" s="190">
        <v>0</v>
      </c>
      <c r="AF47" s="190">
        <v>0</v>
      </c>
      <c r="AG47" s="190">
        <v>20000000</v>
      </c>
      <c r="AH47" s="190">
        <v>20000000</v>
      </c>
      <c r="AI47" s="190">
        <v>0</v>
      </c>
      <c r="AJ47" s="190">
        <v>0</v>
      </c>
      <c r="AK47" s="190">
        <v>0</v>
      </c>
      <c r="AL47" s="190">
        <v>0</v>
      </c>
      <c r="AM47" s="190">
        <v>0</v>
      </c>
      <c r="AN47" s="190">
        <v>0</v>
      </c>
      <c r="AO47" s="190">
        <v>62800000</v>
      </c>
      <c r="AP47" s="190">
        <v>47800000</v>
      </c>
      <c r="AQ47" s="190">
        <v>131000000</v>
      </c>
      <c r="AR47" s="190">
        <v>78000000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2814887.33</v>
      </c>
      <c r="BS47" s="190">
        <v>0</v>
      </c>
      <c r="BT47" s="190">
        <v>0</v>
      </c>
      <c r="BU47" s="190">
        <v>70000000</v>
      </c>
      <c r="BV47" s="190">
        <v>0</v>
      </c>
    </row>
    <row r="48" spans="1:74" s="193" customFormat="1" x14ac:dyDescent="0.25">
      <c r="A48" s="193" t="s">
        <v>597</v>
      </c>
      <c r="B48" s="190">
        <v>0</v>
      </c>
      <c r="C48" s="190">
        <v>0</v>
      </c>
      <c r="D48" s="190">
        <v>0</v>
      </c>
      <c r="E48" s="190">
        <v>0</v>
      </c>
      <c r="F48" s="190">
        <v>0</v>
      </c>
      <c r="G48" s="190">
        <v>0</v>
      </c>
      <c r="H48" s="190">
        <v>0</v>
      </c>
      <c r="I48" s="190">
        <v>0</v>
      </c>
      <c r="J48" s="190">
        <v>0</v>
      </c>
      <c r="K48" s="190">
        <v>0</v>
      </c>
      <c r="L48" s="190">
        <v>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598</v>
      </c>
      <c r="E49" s="193">
        <f>E44+E48-E45-E46-E47</f>
        <v>-173987920.38</v>
      </c>
      <c r="F49" s="193">
        <f t="shared" ref="F49:BQ49" si="85">F44+F48-F45-F46-F47</f>
        <v>-12170755.529999971</v>
      </c>
      <c r="G49" s="193">
        <f t="shared" si="85"/>
        <v>-17427004.390000105</v>
      </c>
      <c r="H49" s="193">
        <f t="shared" si="85"/>
        <v>10894520.499999993</v>
      </c>
      <c r="I49" s="193">
        <f t="shared" si="85"/>
        <v>378381072.91999996</v>
      </c>
      <c r="J49" s="193">
        <f t="shared" si="85"/>
        <v>224840756</v>
      </c>
      <c r="K49" s="193">
        <f t="shared" si="85"/>
        <v>170000000</v>
      </c>
      <c r="L49" s="193">
        <f t="shared" si="85"/>
        <v>0</v>
      </c>
      <c r="M49" s="193">
        <f t="shared" si="85"/>
        <v>97937496.310000002</v>
      </c>
      <c r="N49" s="193">
        <f t="shared" si="85"/>
        <v>0</v>
      </c>
      <c r="O49" s="193">
        <f t="shared" si="85"/>
        <v>0</v>
      </c>
      <c r="P49" s="193">
        <f t="shared" si="85"/>
        <v>0</v>
      </c>
      <c r="Q49" s="193">
        <f t="shared" si="85"/>
        <v>0</v>
      </c>
      <c r="R49" s="193">
        <f t="shared" si="85"/>
        <v>0</v>
      </c>
      <c r="S49" s="193">
        <f t="shared" si="85"/>
        <v>0</v>
      </c>
      <c r="T49" s="193">
        <f t="shared" si="85"/>
        <v>0</v>
      </c>
      <c r="U49" s="193">
        <f t="shared" si="85"/>
        <v>0</v>
      </c>
      <c r="V49" s="193">
        <f t="shared" si="85"/>
        <v>0</v>
      </c>
      <c r="W49" s="193">
        <f t="shared" si="85"/>
        <v>0</v>
      </c>
      <c r="X49" s="193">
        <f t="shared" si="85"/>
        <v>0</v>
      </c>
      <c r="Y49" s="193">
        <f t="shared" si="85"/>
        <v>0</v>
      </c>
      <c r="Z49" s="193">
        <f t="shared" si="85"/>
        <v>0</v>
      </c>
      <c r="AA49" s="193">
        <f t="shared" si="85"/>
        <v>0</v>
      </c>
      <c r="AB49" s="193">
        <f t="shared" si="85"/>
        <v>0</v>
      </c>
      <c r="AC49" s="193">
        <f t="shared" si="85"/>
        <v>0</v>
      </c>
      <c r="AD49" s="193">
        <f t="shared" si="85"/>
        <v>0</v>
      </c>
      <c r="AE49" s="193">
        <f t="shared" si="85"/>
        <v>0</v>
      </c>
      <c r="AF49" s="193">
        <f t="shared" si="85"/>
        <v>0</v>
      </c>
      <c r="AG49" s="193">
        <f t="shared" si="85"/>
        <v>-54135</v>
      </c>
      <c r="AH49" s="193">
        <f t="shared" si="85"/>
        <v>0</v>
      </c>
      <c r="AI49" s="193">
        <f t="shared" si="85"/>
        <v>0</v>
      </c>
      <c r="AJ49" s="193">
        <f t="shared" si="85"/>
        <v>0</v>
      </c>
      <c r="AK49" s="193">
        <f t="shared" si="85"/>
        <v>0</v>
      </c>
      <c r="AL49" s="193">
        <f t="shared" si="85"/>
        <v>0</v>
      </c>
      <c r="AM49" s="193">
        <f t="shared" si="85"/>
        <v>0</v>
      </c>
      <c r="AN49" s="193">
        <f t="shared" si="85"/>
        <v>0</v>
      </c>
      <c r="AO49" s="193">
        <f t="shared" si="85"/>
        <v>-6196809.9299999997</v>
      </c>
      <c r="AP49" s="193">
        <f t="shared" si="85"/>
        <v>9950978.5</v>
      </c>
      <c r="AQ49" s="193">
        <f t="shared" si="85"/>
        <v>-23000000</v>
      </c>
      <c r="AR49" s="193">
        <f t="shared" si="85"/>
        <v>13000000</v>
      </c>
      <c r="AS49" s="193">
        <f t="shared" si="85"/>
        <v>0</v>
      </c>
      <c r="AT49" s="193">
        <f t="shared" si="85"/>
        <v>0</v>
      </c>
      <c r="AU49" s="193">
        <f t="shared" si="85"/>
        <v>0</v>
      </c>
      <c r="AV49" s="193">
        <f t="shared" si="85"/>
        <v>0</v>
      </c>
      <c r="AW49" s="193">
        <f t="shared" si="85"/>
        <v>0</v>
      </c>
      <c r="AX49" s="193">
        <f t="shared" si="85"/>
        <v>0</v>
      </c>
      <c r="AY49" s="193">
        <f t="shared" si="85"/>
        <v>0</v>
      </c>
      <c r="AZ49" s="193">
        <f t="shared" si="85"/>
        <v>0</v>
      </c>
      <c r="BA49" s="193">
        <f t="shared" si="85"/>
        <v>0</v>
      </c>
      <c r="BB49" s="193">
        <f t="shared" si="85"/>
        <v>0</v>
      </c>
      <c r="BC49" s="193">
        <f t="shared" si="85"/>
        <v>0</v>
      </c>
      <c r="BD49" s="193">
        <f t="shared" si="85"/>
        <v>0</v>
      </c>
      <c r="BE49" s="193">
        <f t="shared" si="85"/>
        <v>0</v>
      </c>
      <c r="BF49" s="193">
        <f t="shared" si="85"/>
        <v>0</v>
      </c>
      <c r="BG49" s="193">
        <f t="shared" si="85"/>
        <v>0</v>
      </c>
      <c r="BH49" s="193">
        <f t="shared" si="85"/>
        <v>0</v>
      </c>
      <c r="BI49" s="193">
        <f t="shared" si="85"/>
        <v>0</v>
      </c>
      <c r="BJ49" s="193">
        <f t="shared" si="85"/>
        <v>0</v>
      </c>
      <c r="BK49" s="193">
        <f t="shared" si="85"/>
        <v>0</v>
      </c>
      <c r="BL49" s="193">
        <f t="shared" si="85"/>
        <v>0</v>
      </c>
      <c r="BM49" s="193">
        <f t="shared" si="85"/>
        <v>0</v>
      </c>
      <c r="BN49" s="193">
        <f t="shared" si="85"/>
        <v>0</v>
      </c>
      <c r="BO49" s="193">
        <f t="shared" si="85"/>
        <v>0</v>
      </c>
      <c r="BP49" s="193">
        <f t="shared" si="85"/>
        <v>0</v>
      </c>
      <c r="BQ49" s="193">
        <f t="shared" si="85"/>
        <v>0</v>
      </c>
      <c r="BR49" s="193">
        <f t="shared" ref="BR49:BV49" si="86">BR44+BR48-BR45-BR46-BR47</f>
        <v>-2814887.33</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7" t="s">
        <v>666</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15" sqref="E15"/>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38" width="19.33203125" hidden="1" customWidth="1"/>
    <col min="39" max="40" width="17.21875" hidden="1" customWidth="1"/>
    <col min="41" max="41" width="17.21875" bestFit="1" customWidth="1"/>
    <col min="42" max="42" width="17.21875" hidden="1" customWidth="1"/>
    <col min="43" max="43" width="9.5546875" bestFit="1" customWidth="1"/>
    <col min="44" max="44" width="20.44140625" bestFit="1" customWidth="1"/>
    <col min="45"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2293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21110212.079999998</v>
      </c>
      <c r="F3" s="26">
        <f>股权价值增加表!F53</f>
        <v>0</v>
      </c>
      <c r="G3" s="26">
        <f>股权价值增加表!G53</f>
        <v>0</v>
      </c>
      <c r="H3" s="26">
        <f>股权价值增加表!H53</f>
        <v>0</v>
      </c>
      <c r="I3" s="26">
        <f>股权价值增加表!I53</f>
        <v>9305327.8499999996</v>
      </c>
      <c r="J3" s="26">
        <f>股权价值增加表!J53</f>
        <v>0</v>
      </c>
      <c r="K3" s="26">
        <f>股权价值增加表!K53</f>
        <v>0</v>
      </c>
      <c r="L3" s="26">
        <f>股权价值增加表!L53</f>
        <v>0</v>
      </c>
      <c r="M3" s="26">
        <f>股权价值增加表!M53</f>
        <v>1760420.36</v>
      </c>
      <c r="N3" s="26">
        <f>股权价值增加表!N53</f>
        <v>0</v>
      </c>
      <c r="O3" s="26">
        <f>股权价值增加表!O53</f>
        <v>0</v>
      </c>
      <c r="P3" s="26">
        <f>股权价值增加表!P53</f>
        <v>0</v>
      </c>
      <c r="Q3" s="26">
        <f>股权价值增加表!Q53</f>
        <v>0</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0</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54135</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1186365.49</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253403062.44</v>
      </c>
      <c r="F4" s="26">
        <f>资产资本表!F89</f>
        <v>425684276.73000002</v>
      </c>
      <c r="G4" s="26">
        <f>资产资本表!G89</f>
        <v>429186159.48000002</v>
      </c>
      <c r="H4" s="26">
        <f>资产资本表!H89</f>
        <v>547061833.96000004</v>
      </c>
      <c r="I4" s="26">
        <f>资产资本表!I89</f>
        <v>498862452.37</v>
      </c>
      <c r="J4" s="26">
        <f>资产资本表!J89</f>
        <v>333090977.89999998</v>
      </c>
      <c r="K4" s="26">
        <f>资产资本表!K89</f>
        <v>287439146.66000003</v>
      </c>
      <c r="L4" s="26">
        <f>资产资本表!L89</f>
        <v>110690043.33</v>
      </c>
      <c r="M4" s="26">
        <f>资产资本表!M89</f>
        <v>114682220.78999999</v>
      </c>
      <c r="N4" s="26">
        <f>资产资本表!N89</f>
        <v>0</v>
      </c>
      <c r="O4" s="26">
        <f>资产资本表!O89</f>
        <v>3913327.12</v>
      </c>
      <c r="P4" s="26">
        <f>资产资本表!P89</f>
        <v>2666935.96</v>
      </c>
      <c r="Q4" s="26">
        <f>资产资本表!Q89</f>
        <v>5587351.7300000004</v>
      </c>
      <c r="R4" s="26">
        <f>资产资本表!R89</f>
        <v>4419412.5999999996</v>
      </c>
      <c r="S4" s="26">
        <f>资产资本表!S89</f>
        <v>7430086.4699999997</v>
      </c>
      <c r="T4" s="26">
        <f>资产资本表!T89</f>
        <v>5284150.0999999996</v>
      </c>
      <c r="U4" s="26">
        <f>资产资本表!U89</f>
        <v>7877039.8899999997</v>
      </c>
      <c r="V4" s="26">
        <f>资产资本表!V89</f>
        <v>0</v>
      </c>
      <c r="W4" s="26">
        <f>资产资本表!W89</f>
        <v>0</v>
      </c>
      <c r="X4" s="26">
        <f>资产资本表!X89</f>
        <v>0</v>
      </c>
      <c r="Y4" s="26">
        <f>资产资本表!Y89</f>
        <v>0</v>
      </c>
      <c r="Z4" s="26">
        <f>资产资本表!Z89</f>
        <v>0</v>
      </c>
      <c r="AA4" s="26">
        <f>资产资本表!AA89</f>
        <v>0</v>
      </c>
      <c r="AB4" s="26">
        <f>资产资本表!AB89</f>
        <v>0</v>
      </c>
      <c r="AC4" s="26">
        <f>资产资本表!AC89</f>
        <v>0</v>
      </c>
      <c r="AD4" s="26">
        <f>资产资本表!AD89</f>
        <v>0</v>
      </c>
      <c r="AE4" s="26">
        <f>资产资本表!AE89</f>
        <v>0</v>
      </c>
      <c r="AF4" s="26">
        <f>资产资本表!AF89</f>
        <v>0</v>
      </c>
      <c r="AG4" s="26">
        <f>资产资本表!AG89</f>
        <v>0</v>
      </c>
      <c r="AH4" s="26">
        <f>资产资本表!AH89</f>
        <v>0</v>
      </c>
      <c r="AI4" s="26">
        <f>资产资本表!AI89</f>
        <v>0</v>
      </c>
      <c r="AJ4" s="26">
        <f>资产资本表!AJ89</f>
        <v>0</v>
      </c>
      <c r="AK4" s="26">
        <f>资产资本表!AK89</f>
        <v>0</v>
      </c>
      <c r="AL4" s="26">
        <f>资产资本表!AL89</f>
        <v>0</v>
      </c>
      <c r="AM4" s="26">
        <f>资产资本表!AM89</f>
        <v>0</v>
      </c>
      <c r="AN4" s="26">
        <f>资产资本表!AN89</f>
        <v>0</v>
      </c>
      <c r="AO4" s="26">
        <f>资产资本表!AO89</f>
        <v>5010444.4400000004</v>
      </c>
      <c r="AP4" s="26">
        <f>资产资本表!AP89</f>
        <v>28049021.5</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5.6124364773870603E-2</v>
      </c>
      <c r="F5" s="63">
        <f t="shared" ref="F5:BQ5" si="0">IF(F4+J4=0,0,F3/((F4+J4)/2))</f>
        <v>0</v>
      </c>
      <c r="G5" s="63">
        <f t="shared" si="0"/>
        <v>0</v>
      </c>
      <c r="H5" s="63">
        <f t="shared" si="0"/>
        <v>0</v>
      </c>
      <c r="I5" s="63">
        <f t="shared" si="0"/>
        <v>3.0333008359680957E-2</v>
      </c>
      <c r="J5" s="63">
        <f t="shared" si="0"/>
        <v>0</v>
      </c>
      <c r="K5" s="63">
        <f t="shared" si="0"/>
        <v>0</v>
      </c>
      <c r="L5" s="63">
        <f t="shared" si="0"/>
        <v>0</v>
      </c>
      <c r="M5" s="63">
        <f t="shared" si="0"/>
        <v>2.9274575823527674E-2</v>
      </c>
      <c r="N5" s="63">
        <f t="shared" si="0"/>
        <v>0</v>
      </c>
      <c r="O5" s="63">
        <f t="shared" si="0"/>
        <v>0</v>
      </c>
      <c r="P5" s="63">
        <f t="shared" si="0"/>
        <v>0</v>
      </c>
      <c r="Q5" s="63">
        <f t="shared" si="0"/>
        <v>0</v>
      </c>
      <c r="R5" s="63">
        <f t="shared" si="0"/>
        <v>0</v>
      </c>
      <c r="S5" s="63">
        <f t="shared" si="0"/>
        <v>0</v>
      </c>
      <c r="T5" s="63">
        <f t="shared" si="0"/>
        <v>0</v>
      </c>
      <c r="U5" s="63">
        <f t="shared" si="0"/>
        <v>0</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0.47355698848942823</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0.18164803354749867</v>
      </c>
      <c r="F6" s="63">
        <f>股权价值增加表!F41</f>
        <v>0.22546703507762034</v>
      </c>
      <c r="G6" s="63">
        <f>股权价值增加表!G41</f>
        <v>0.21120747006595628</v>
      </c>
      <c r="H6" s="63">
        <f>股权价值增加表!H41</f>
        <v>0.14919107551967287</v>
      </c>
      <c r="I6" s="63">
        <f>股权价值增加表!I41</f>
        <v>0.18868734339860857</v>
      </c>
      <c r="J6" s="63">
        <f>股权价值增加表!J41</f>
        <v>0.18929170558724998</v>
      </c>
      <c r="K6" s="63">
        <f>股权价值增加表!K41</f>
        <v>0.21637124685948239</v>
      </c>
      <c r="L6" s="63">
        <f>股权价值增加表!L41</f>
        <v>0.16887578829307417</v>
      </c>
      <c r="M6" s="63">
        <f>股权价值增加表!M41</f>
        <v>0.17271293697664791</v>
      </c>
      <c r="N6" s="63">
        <f>股权价值增加表!N41</f>
        <v>0.12826363295525423</v>
      </c>
      <c r="O6" s="63">
        <f>股权价值增加表!O41</f>
        <v>0.13836229530269112</v>
      </c>
      <c r="P6" s="63">
        <f>股权价值增加表!P41</f>
        <v>0.1517306865567328</v>
      </c>
      <c r="Q6" s="63">
        <f>股权价值增加表!Q41</f>
        <v>0.11905469539985003</v>
      </c>
      <c r="R6" s="63">
        <f>股权价值增加表!R41</f>
        <v>0.12709755980629805</v>
      </c>
      <c r="S6" s="63">
        <f>股权价值增加表!S41</f>
        <v>0.13848237148802525</v>
      </c>
      <c r="T6" s="63">
        <f>股权价值增加表!T41</f>
        <v>0.15173175637397632</v>
      </c>
      <c r="U6" s="63">
        <f>股权价值增加表!U41</f>
        <v>0.15332220534611532</v>
      </c>
      <c r="V6" s="63">
        <f>股权价值增加表!V41</f>
        <v>0.13812266847290694</v>
      </c>
      <c r="W6" s="63">
        <f>股权价值增加表!W41</f>
        <v>0.15588724823943437</v>
      </c>
      <c r="X6" s="63">
        <f>股权价值增加表!X41</f>
        <v>0.18554166485136664</v>
      </c>
      <c r="Y6" s="63">
        <f>股权价值增加表!Y41</f>
        <v>0.13983380839095075</v>
      </c>
      <c r="Z6" s="63">
        <f>股权价值增加表!Z41</f>
        <v>0.14288563619077771</v>
      </c>
      <c r="AA6" s="63">
        <f>股权价值增加表!AA41</f>
        <v>0.15786650531411367</v>
      </c>
      <c r="AB6" s="63">
        <f>股权价值增加表!AB41</f>
        <v>0.17775303416152666</v>
      </c>
      <c r="AC6" s="63">
        <f>股权价值增加表!AC41</f>
        <v>0.15938577988311911</v>
      </c>
      <c r="AD6" s="63">
        <f>股权价值增加表!AD41</f>
        <v>0.14636807825946443</v>
      </c>
      <c r="AE6" s="63">
        <f>股权价值增加表!AE41</f>
        <v>0.13490178462743299</v>
      </c>
      <c r="AF6" s="63">
        <f>股权价值增加表!AF41</f>
        <v>0.24934101101669059</v>
      </c>
      <c r="AG6" s="63">
        <f>股权价值增加表!AG41</f>
        <v>0.25297442216995653</v>
      </c>
      <c r="AH6" s="63">
        <f>股权价值增加表!AH41</f>
        <v>0.32615940130561177</v>
      </c>
      <c r="AI6" s="63">
        <f>股权价值增加表!AI41</f>
        <v>0.31745742238108354</v>
      </c>
      <c r="AJ6" s="63">
        <f>股权价值增加表!AJ41</f>
        <v>0.27861177692076217</v>
      </c>
      <c r="AK6" s="63">
        <f>股权价值增加表!AK41</f>
        <v>0.25934275451686561</v>
      </c>
      <c r="AL6" s="63">
        <f>股权价值增加表!AL41</f>
        <v>0.24043040427877729</v>
      </c>
      <c r="AM6" s="63">
        <f>股权价值增加表!AM41</f>
        <v>0.24135559535712536</v>
      </c>
      <c r="AN6" s="63">
        <f>股权价值增加表!AN41</f>
        <v>0.24818052352343017</v>
      </c>
      <c r="AO6" s="63">
        <f>股权价值增加表!AO41</f>
        <v>0.19181069550708496</v>
      </c>
      <c r="AP6" s="63">
        <f>股权价值增加表!AP41</f>
        <v>0.19844715877888316</v>
      </c>
      <c r="AQ6" s="63">
        <f>股权价值增加表!AQ41</f>
        <v>0.23411029698131777</v>
      </c>
      <c r="AR6" s="63">
        <f>股权价值增加表!AR41</f>
        <v>7.5682131528702401E-2</v>
      </c>
      <c r="AS6" s="63" t="e">
        <f>股权价值增加表!AS41</f>
        <v>#DIV/0!</v>
      </c>
      <c r="AT6" s="63">
        <f>股权价值增加表!AT41</f>
        <v>15.592366512196667</v>
      </c>
      <c r="AU6" s="63">
        <f>股权价值增加表!AU41</f>
        <v>15.376416082794156</v>
      </c>
      <c r="AV6" s="63">
        <f>股权价值增加表!AV41</f>
        <v>92.644454630179325</v>
      </c>
      <c r="AW6" s="63">
        <f>股权价值增加表!AW41</f>
        <v>10.916220541131098</v>
      </c>
      <c r="AX6" s="63">
        <f>股权价值增加表!AX41</f>
        <v>18.231369460204579</v>
      </c>
      <c r="AY6" s="63">
        <f>股权价值增加表!AY41</f>
        <v>16.021387764306059</v>
      </c>
      <c r="AZ6" s="63">
        <f>股权价值增加表!AZ41</f>
        <v>93.098322439196252</v>
      </c>
      <c r="BA6" s="63">
        <f>股权价值增加表!BA41</f>
        <v>18.631308838172576</v>
      </c>
      <c r="BB6" s="63">
        <f>股权价值增加表!BB41</f>
        <v>55.304324722487436</v>
      </c>
      <c r="BC6" s="63">
        <f>股权价值增加表!BC41</f>
        <v>67.277250227328935</v>
      </c>
      <c r="BD6" s="63">
        <f>股权价值增加表!BD41</f>
        <v>39.372760490940244</v>
      </c>
      <c r="BE6" s="63">
        <f>股权价值增加表!BE41</f>
        <v>16.764297507062913</v>
      </c>
      <c r="BF6" s="63">
        <f>股权价值增加表!BF41</f>
        <v>27.049077122304052</v>
      </c>
      <c r="BG6" s="63">
        <f>股权价值增加表!BG41</f>
        <v>24.303157252166653</v>
      </c>
      <c r="BH6" s="63">
        <f>股权价值增加表!BH41</f>
        <v>70.000749015543192</v>
      </c>
      <c r="BI6" s="63">
        <f>股权价值增加表!BI41</f>
        <v>13.790967082937895</v>
      </c>
      <c r="BJ6" s="63">
        <f>股权价值增加表!BJ41</f>
        <v>15.67040258955069</v>
      </c>
      <c r="BK6" s="63">
        <f>股权价值增加表!BK41</f>
        <v>20.530470057823827</v>
      </c>
      <c r="BL6" s="63">
        <f>股权价值增加表!BL41</f>
        <v>76.496332781702776</v>
      </c>
      <c r="BM6" s="63">
        <f>股权价值增加表!BM41</f>
        <v>9.3062959249435355</v>
      </c>
      <c r="BN6" s="63">
        <f>股权价值增加表!BN41</f>
        <v>8.0800067537645504</v>
      </c>
      <c r="BO6" s="63">
        <f>股权价值增加表!BO41</f>
        <v>9.6301249443167141</v>
      </c>
      <c r="BP6" s="63">
        <f>股权价值增加表!BP41</f>
        <v>16.511200920697274</v>
      </c>
      <c r="BQ6" s="63">
        <f>股权价值增加表!BQ41</f>
        <v>3.0916829946917983</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4.5929484278594501E-2</v>
      </c>
      <c r="F7" s="63">
        <f t="shared" ref="F7:BQ7" si="2">F5*(1-F6)</f>
        <v>0</v>
      </c>
      <c r="G7" s="63">
        <f t="shared" si="2"/>
        <v>0</v>
      </c>
      <c r="H7" s="63">
        <f t="shared" si="2"/>
        <v>0</v>
      </c>
      <c r="I7" s="63">
        <f t="shared" si="2"/>
        <v>2.4609553595004972E-2</v>
      </c>
      <c r="J7" s="63">
        <f t="shared" si="2"/>
        <v>0</v>
      </c>
      <c r="K7" s="63">
        <f t="shared" si="2"/>
        <v>0</v>
      </c>
      <c r="L7" s="63">
        <f t="shared" si="2"/>
        <v>0</v>
      </c>
      <c r="M7" s="63">
        <f t="shared" si="2"/>
        <v>2.4218477854300639E-2</v>
      </c>
      <c r="N7" s="63">
        <f t="shared" si="2"/>
        <v>0</v>
      </c>
      <c r="O7" s="63">
        <f t="shared" si="2"/>
        <v>0</v>
      </c>
      <c r="P7" s="63">
        <f t="shared" si="2"/>
        <v>0</v>
      </c>
      <c r="Q7" s="63">
        <f t="shared" si="2"/>
        <v>0</v>
      </c>
      <c r="R7" s="63">
        <f t="shared" si="2"/>
        <v>0</v>
      </c>
      <c r="S7" s="63">
        <f t="shared" si="2"/>
        <v>0</v>
      </c>
      <c r="T7" s="63">
        <f t="shared" si="2"/>
        <v>0</v>
      </c>
      <c r="U7" s="63">
        <f t="shared" si="2"/>
        <v>0</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0.38272369316503035</v>
      </c>
      <c r="AP7" s="63">
        <f t="shared" si="2"/>
        <v>0</v>
      </c>
      <c r="AQ7" s="63">
        <f t="shared" si="2"/>
        <v>0</v>
      </c>
      <c r="AR7" s="63">
        <f t="shared" si="2"/>
        <v>0</v>
      </c>
      <c r="AS7" s="63" t="e">
        <f t="shared" si="2"/>
        <v>#DIV/0!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3152725257.1299996</v>
      </c>
      <c r="F8" s="26">
        <f>资产资本表!F107</f>
        <v>3043549912.8300004</v>
      </c>
      <c r="G8" s="26">
        <f>资产资本表!G107</f>
        <v>2904942506.0999999</v>
      </c>
      <c r="H8" s="26">
        <f>资产资本表!H107</f>
        <v>3006042763.3599997</v>
      </c>
      <c r="I8" s="26">
        <f>资产资本表!I107</f>
        <v>2880258171.6600003</v>
      </c>
      <c r="J8" s="26">
        <f>资产资本表!J107</f>
        <v>2810039902.6100001</v>
      </c>
      <c r="K8" s="26">
        <f>资产资本表!K107</f>
        <v>2676242325.2400002</v>
      </c>
      <c r="L8" s="26">
        <f>资产资本表!L107</f>
        <v>2770792599.6999998</v>
      </c>
      <c r="M8" s="26">
        <f>资产资本表!M107</f>
        <v>2655459613.3900003</v>
      </c>
      <c r="N8" s="26">
        <f>资产资本表!N107</f>
        <v>2546401388.6300001</v>
      </c>
      <c r="O8" s="26">
        <f>资产资本表!O107</f>
        <v>2398957888.52</v>
      </c>
      <c r="P8" s="26">
        <f>资产资本表!P107</f>
        <v>2605733811.6999998</v>
      </c>
      <c r="Q8" s="26">
        <f>资产资本表!Q107</f>
        <v>2487328254.04</v>
      </c>
      <c r="R8" s="26">
        <f>资产资本表!R107</f>
        <v>2304068739.1300001</v>
      </c>
      <c r="S8" s="26">
        <f>资产资本表!S107</f>
        <v>2184782308.8099999</v>
      </c>
      <c r="T8" s="26">
        <f>资产资本表!T107</f>
        <v>2224397084.98</v>
      </c>
      <c r="U8" s="26">
        <f>资产资本表!U107</f>
        <v>2125429369.46</v>
      </c>
      <c r="V8" s="26">
        <f>资产资本表!V107</f>
        <v>2030685494.9300001</v>
      </c>
      <c r="W8" s="26">
        <f>资产资本表!W107</f>
        <v>1930708956.6900001</v>
      </c>
      <c r="X8" s="26">
        <f>资产资本表!X107</f>
        <v>1977896014.0699999</v>
      </c>
      <c r="Y8" s="26">
        <f>资产资本表!Y107</f>
        <v>1892220602.73</v>
      </c>
      <c r="Z8" s="26">
        <f>资产资本表!Z107</f>
        <v>1763420146.3699999</v>
      </c>
      <c r="AA8" s="26">
        <f>资产资本表!AA107</f>
        <v>1643908869.0699999</v>
      </c>
      <c r="AB8" s="26">
        <f>资产资本表!AB107</f>
        <v>1756834966.6400001</v>
      </c>
      <c r="AC8" s="26">
        <f>资产资本表!AC107</f>
        <v>1650493578.27</v>
      </c>
      <c r="AD8" s="26">
        <f>资产资本表!AD107</f>
        <v>1556751168.1600001</v>
      </c>
      <c r="AE8" s="26">
        <f>资产资本表!AE107</f>
        <v>1439317961.3</v>
      </c>
      <c r="AF8" s="26">
        <f>资产资本表!AF107</f>
        <v>1533876742.3699999</v>
      </c>
      <c r="AG8" s="26">
        <f>资产资本表!AG107</f>
        <v>1476505584.9100001</v>
      </c>
      <c r="AH8" s="26">
        <f>资产资本表!AH107</f>
        <v>1378242583.3099999</v>
      </c>
      <c r="AI8" s="26">
        <f>资产资本表!AI107</f>
        <v>1311332115.0699999</v>
      </c>
      <c r="AJ8" s="26">
        <f>资产资本表!AJ107</f>
        <v>1382399929.6200001</v>
      </c>
      <c r="AK8" s="26">
        <f>资产资本表!AK107</f>
        <v>1332248508.1299999</v>
      </c>
      <c r="AL8" s="26">
        <f>资产资本表!AL107</f>
        <v>1288752066.0799999</v>
      </c>
      <c r="AM8" s="26">
        <f>资产资本表!AM107</f>
        <v>331008478.93000001</v>
      </c>
      <c r="AN8" s="26">
        <f>资产资本表!AN107</f>
        <v>301337851.48000002</v>
      </c>
      <c r="AO8" s="26">
        <f>资产资本表!AO107</f>
        <v>233287089.20999998</v>
      </c>
      <c r="AP8" s="26">
        <f>资产资本表!AP107</f>
        <v>127707873.51000001</v>
      </c>
      <c r="AQ8" s="26">
        <f>资产资本表!AQ107</f>
        <v>0</v>
      </c>
      <c r="AR8" s="26">
        <f>资产资本表!AR107</f>
        <v>10641944677.480001</v>
      </c>
      <c r="AS8" s="26">
        <f>资产资本表!AS107</f>
        <v>9626236984.1700001</v>
      </c>
      <c r="AT8" s="26">
        <f>资产资本表!AT107</f>
        <v>9485588152.4899998</v>
      </c>
      <c r="AU8" s="26">
        <f>资产资本表!AU107</f>
        <v>9304015150.3199997</v>
      </c>
      <c r="AV8" s="26">
        <f>资产资本表!AV107</f>
        <v>9051649388.7700005</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740</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332</v>
      </c>
      <c r="E10" s="26">
        <f>资产资本表!E70</f>
        <v>3415975678.7199993</v>
      </c>
      <c r="F10" s="26">
        <f>资产资本表!F70</f>
        <v>3469234189.5599999</v>
      </c>
      <c r="G10" s="26">
        <f>资产资本表!G70</f>
        <v>3334128665.5799999</v>
      </c>
      <c r="H10" s="26">
        <f>资产资本表!H70</f>
        <v>3553104597.3199997</v>
      </c>
      <c r="I10" s="26">
        <f>资产资本表!I70</f>
        <v>3379120624.0300002</v>
      </c>
      <c r="J10" s="26">
        <f>资产资本表!J70</f>
        <v>3143130880.5099998</v>
      </c>
      <c r="K10" s="26">
        <f>资产资本表!K70</f>
        <v>2963681471.9000001</v>
      </c>
      <c r="L10" s="26">
        <f>资产资本表!L70</f>
        <v>2881482643.0299997</v>
      </c>
      <c r="M10" s="26">
        <f>资产资本表!M70</f>
        <v>2770141834.1799998</v>
      </c>
      <c r="N10" s="26">
        <f>资产资本表!N70</f>
        <v>2546401388.6300001</v>
      </c>
      <c r="O10" s="26">
        <f>资产资本表!O70</f>
        <v>2402871215.6399999</v>
      </c>
      <c r="P10" s="26">
        <f>资产资本表!P70</f>
        <v>2608400747.6599998</v>
      </c>
      <c r="Q10" s="26">
        <f>资产资本表!Q70</f>
        <v>2492915605.7700005</v>
      </c>
      <c r="R10" s="26">
        <f>资产资本表!R70</f>
        <v>2308488151.73</v>
      </c>
      <c r="S10" s="26">
        <f>资产资本表!S70</f>
        <v>2192212395.2799997</v>
      </c>
      <c r="T10" s="26">
        <f>资产资本表!T70</f>
        <v>2229681235.0799999</v>
      </c>
      <c r="U10" s="26">
        <f>资产资本表!U70</f>
        <v>2133306409.3499999</v>
      </c>
      <c r="V10" s="26">
        <f>资产资本表!V70</f>
        <v>2030685494.9299998</v>
      </c>
      <c r="W10" s="26">
        <f>资产资本表!W70</f>
        <v>1930708956.6900001</v>
      </c>
      <c r="X10" s="26">
        <f>资产资本表!X70</f>
        <v>1977896014.0700002</v>
      </c>
      <c r="Y10" s="26">
        <f>资产资本表!Y70</f>
        <v>1892220602.73</v>
      </c>
      <c r="Z10" s="26">
        <f>资产资本表!Z70</f>
        <v>1763420146.3699999</v>
      </c>
      <c r="AA10" s="26">
        <f>资产资本表!AA70</f>
        <v>1643908869.0700002</v>
      </c>
      <c r="AB10" s="26">
        <f>资产资本表!AB70</f>
        <v>1756834966.6400001</v>
      </c>
      <c r="AC10" s="26">
        <f>资产资本表!AC70</f>
        <v>1650493578.27</v>
      </c>
      <c r="AD10" s="26">
        <f>资产资本表!AD70</f>
        <v>1556751168.1599998</v>
      </c>
      <c r="AE10" s="26">
        <f>资产资本表!AE70</f>
        <v>1439317961.3000002</v>
      </c>
      <c r="AF10" s="26">
        <f>资产资本表!AF70</f>
        <v>1533876742.3699999</v>
      </c>
      <c r="AG10" s="26">
        <f>资产资本表!AG70</f>
        <v>1476505584.9100001</v>
      </c>
      <c r="AH10" s="26">
        <f>资产资本表!AH70</f>
        <v>1378242583.3099999</v>
      </c>
      <c r="AI10" s="26">
        <f>资产资本表!AI70</f>
        <v>1311332115.0699999</v>
      </c>
      <c r="AJ10" s="26">
        <f>资产资本表!AJ70</f>
        <v>1382399929.6199999</v>
      </c>
      <c r="AK10" s="26">
        <f>资产资本表!AK70</f>
        <v>1332248508.1300001</v>
      </c>
      <c r="AL10" s="26">
        <f>资产资本表!AL70</f>
        <v>1288752066.0799999</v>
      </c>
      <c r="AM10" s="26">
        <f>资产资本表!AM70</f>
        <v>331008478.93000001</v>
      </c>
      <c r="AN10" s="26">
        <f>资产资本表!AN70</f>
        <v>301337851.48000002</v>
      </c>
      <c r="AO10" s="26">
        <f>资产资本表!AO70</f>
        <v>238297533.64999998</v>
      </c>
      <c r="AP10" s="26">
        <f>资产资本表!AP70</f>
        <v>155756895.01000002</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7.4181752527861286E-2</v>
      </c>
      <c r="F11" s="63">
        <f t="shared" ref="F11:BQ11" si="3">F4/F10</f>
        <v>0.12270266389366732</v>
      </c>
      <c r="G11" s="63">
        <f t="shared" si="3"/>
        <v>0.12872513406897554</v>
      </c>
      <c r="H11" s="63">
        <f t="shared" si="3"/>
        <v>0.15396727537169391</v>
      </c>
      <c r="I11" s="63">
        <f t="shared" si="3"/>
        <v>0.14763085070785301</v>
      </c>
      <c r="J11" s="63">
        <f t="shared" si="3"/>
        <v>0.10597426278537696</v>
      </c>
      <c r="K11" s="63">
        <f t="shared" si="3"/>
        <v>9.6987192917099938E-2</v>
      </c>
      <c r="L11" s="63">
        <f t="shared" si="3"/>
        <v>3.8414266904486634E-2</v>
      </c>
      <c r="M11" s="63">
        <f t="shared" si="3"/>
        <v>4.1399403949273779E-2</v>
      </c>
      <c r="N11" s="63">
        <f t="shared" si="3"/>
        <v>0</v>
      </c>
      <c r="O11" s="63">
        <f t="shared" si="3"/>
        <v>1.6286046020813035E-3</v>
      </c>
      <c r="P11" s="63">
        <f t="shared" si="3"/>
        <v>1.022441034949293E-3</v>
      </c>
      <c r="Q11" s="63">
        <f t="shared" si="3"/>
        <v>2.2412919703610284E-3</v>
      </c>
      <c r="R11" s="63">
        <f t="shared" si="3"/>
        <v>1.9144185759359673E-3</v>
      </c>
      <c r="S11" s="63">
        <f t="shared" si="3"/>
        <v>3.3893095787604988E-3</v>
      </c>
      <c r="T11" s="63">
        <f t="shared" si="3"/>
        <v>2.3699128004772427E-3</v>
      </c>
      <c r="U11" s="63">
        <f t="shared" si="3"/>
        <v>3.6924090489186059E-3</v>
      </c>
      <c r="V11" s="63">
        <f t="shared" si="3"/>
        <v>0</v>
      </c>
      <c r="W11" s="63">
        <f t="shared" si="3"/>
        <v>0</v>
      </c>
      <c r="X11" s="63">
        <f t="shared" si="3"/>
        <v>0</v>
      </c>
      <c r="Y11" s="63">
        <f t="shared" si="3"/>
        <v>0</v>
      </c>
      <c r="Z11" s="63">
        <f t="shared" si="3"/>
        <v>0</v>
      </c>
      <c r="AA11" s="63">
        <f t="shared" si="3"/>
        <v>0</v>
      </c>
      <c r="AB11" s="63">
        <f t="shared" si="3"/>
        <v>0</v>
      </c>
      <c r="AC11" s="63">
        <f t="shared" si="3"/>
        <v>0</v>
      </c>
      <c r="AD11" s="63">
        <f t="shared" si="3"/>
        <v>0</v>
      </c>
      <c r="AE11" s="63">
        <f t="shared" si="3"/>
        <v>0</v>
      </c>
      <c r="AF11" s="63">
        <f t="shared" si="3"/>
        <v>0</v>
      </c>
      <c r="AG11" s="63">
        <f t="shared" si="3"/>
        <v>0</v>
      </c>
      <c r="AH11" s="63">
        <f t="shared" si="3"/>
        <v>0</v>
      </c>
      <c r="AI11" s="63">
        <f t="shared" si="3"/>
        <v>0</v>
      </c>
      <c r="AJ11" s="63">
        <f t="shared" si="3"/>
        <v>0</v>
      </c>
      <c r="AK11" s="63">
        <f t="shared" si="3"/>
        <v>0</v>
      </c>
      <c r="AL11" s="63">
        <f t="shared" si="3"/>
        <v>0</v>
      </c>
      <c r="AM11" s="63">
        <f t="shared" si="3"/>
        <v>0</v>
      </c>
      <c r="AN11" s="63">
        <f t="shared" si="3"/>
        <v>0</v>
      </c>
      <c r="AO11" s="63">
        <f t="shared" si="3"/>
        <v>2.1026002087621693E-2</v>
      </c>
      <c r="AP11" s="63">
        <f t="shared" si="3"/>
        <v>0.18008205349881415</v>
      </c>
      <c r="AQ11" s="63" t="e">
        <f t="shared" si="3"/>
        <v>#DIV/0!</v>
      </c>
      <c r="AR11" s="63" t="e">
        <f t="shared" si="3"/>
        <v>#DIV/0!</v>
      </c>
      <c r="AS11" s="63" t="e">
        <f t="shared" si="3"/>
        <v>#DIV/0!</v>
      </c>
      <c r="AT11" s="63" t="e">
        <f t="shared" si="3"/>
        <v>#DIV/0!</v>
      </c>
      <c r="AU11" s="63" t="e">
        <f t="shared" si="3"/>
        <v>#DIV/0!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0.92293551056878653</v>
      </c>
      <c r="F12" s="63">
        <f t="shared" ref="F12:BQ12" si="4">F8/F10</f>
        <v>0.87729733610633287</v>
      </c>
      <c r="G12" s="63">
        <f t="shared" si="4"/>
        <v>0.87127486593102443</v>
      </c>
      <c r="H12" s="63">
        <f t="shared" si="4"/>
        <v>0.84603272462830603</v>
      </c>
      <c r="I12" s="63">
        <f t="shared" si="4"/>
        <v>0.85236914929214702</v>
      </c>
      <c r="J12" s="63">
        <f t="shared" si="4"/>
        <v>0.8940257372146232</v>
      </c>
      <c r="K12" s="63">
        <f t="shared" si="4"/>
        <v>0.9030128070829001</v>
      </c>
      <c r="L12" s="63">
        <f t="shared" si="4"/>
        <v>0.96158573309551343</v>
      </c>
      <c r="M12" s="63">
        <f t="shared" si="4"/>
        <v>0.95860059605072645</v>
      </c>
      <c r="N12" s="63">
        <f t="shared" si="4"/>
        <v>1</v>
      </c>
      <c r="O12" s="63">
        <f t="shared" si="4"/>
        <v>0.99837139539791875</v>
      </c>
      <c r="P12" s="63">
        <f t="shared" si="4"/>
        <v>0.99897755896505069</v>
      </c>
      <c r="Q12" s="63">
        <f t="shared" si="4"/>
        <v>0.99775870802963873</v>
      </c>
      <c r="R12" s="63">
        <f t="shared" si="4"/>
        <v>0.99808558142406412</v>
      </c>
      <c r="S12" s="63">
        <f t="shared" si="4"/>
        <v>0.99661069042123962</v>
      </c>
      <c r="T12" s="63">
        <f t="shared" si="4"/>
        <v>0.99763008719952284</v>
      </c>
      <c r="U12" s="63">
        <f t="shared" si="4"/>
        <v>0.99630759095108146</v>
      </c>
      <c r="V12" s="63">
        <f t="shared" si="4"/>
        <v>1.0000000000000002</v>
      </c>
      <c r="W12" s="63">
        <f t="shared" si="4"/>
        <v>1</v>
      </c>
      <c r="X12" s="63">
        <f t="shared" si="4"/>
        <v>0.99999999999999989</v>
      </c>
      <c r="Y12" s="63">
        <f t="shared" si="4"/>
        <v>1</v>
      </c>
      <c r="Z12" s="63">
        <f t="shared" si="4"/>
        <v>1</v>
      </c>
      <c r="AA12" s="63">
        <f t="shared" si="4"/>
        <v>0.99999999999999989</v>
      </c>
      <c r="AB12" s="63">
        <f t="shared" si="4"/>
        <v>1</v>
      </c>
      <c r="AC12" s="63">
        <f t="shared" si="4"/>
        <v>1</v>
      </c>
      <c r="AD12" s="63">
        <f t="shared" si="4"/>
        <v>1.0000000000000002</v>
      </c>
      <c r="AE12" s="63">
        <f t="shared" si="4"/>
        <v>0.99999999999999989</v>
      </c>
      <c r="AF12" s="63">
        <f t="shared" si="4"/>
        <v>1</v>
      </c>
      <c r="AG12" s="63">
        <f t="shared" si="4"/>
        <v>1</v>
      </c>
      <c r="AH12" s="63">
        <f t="shared" si="4"/>
        <v>1</v>
      </c>
      <c r="AI12" s="63">
        <f t="shared" si="4"/>
        <v>1</v>
      </c>
      <c r="AJ12" s="63">
        <f t="shared" si="4"/>
        <v>1.0000000000000002</v>
      </c>
      <c r="AK12" s="63">
        <f t="shared" si="4"/>
        <v>0.99999999999999978</v>
      </c>
      <c r="AL12" s="63">
        <f t="shared" si="4"/>
        <v>1</v>
      </c>
      <c r="AM12" s="63">
        <f t="shared" si="4"/>
        <v>1</v>
      </c>
      <c r="AN12" s="63">
        <f t="shared" si="4"/>
        <v>1</v>
      </c>
      <c r="AO12" s="63">
        <f t="shared" si="4"/>
        <v>0.97897399791237827</v>
      </c>
      <c r="AP12" s="63">
        <f t="shared" si="4"/>
        <v>0.81991794650118577</v>
      </c>
      <c r="AQ12" s="63" t="e">
        <f t="shared" si="4"/>
        <v>#DIV/0!</v>
      </c>
      <c r="AR12" s="63" t="e">
        <f t="shared" si="4"/>
        <v>#DIV/0!</v>
      </c>
      <c r="AS12" s="63" t="e">
        <f t="shared" si="4"/>
        <v>#DIV/0!</v>
      </c>
      <c r="AT12" s="63" t="e">
        <f t="shared" si="4"/>
        <v>#DIV/0!</v>
      </c>
      <c r="AU12" s="63" t="e">
        <f t="shared" si="4"/>
        <v>#DIV/0!</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7.7241970481989927E-2</v>
      </c>
      <c r="F13" s="63">
        <f t="shared" ref="F13:J13" si="5">F5*F11*(1-F6)+F9*F12</f>
        <v>7.0183786888506627E-2</v>
      </c>
      <c r="G13" s="63">
        <f t="shared" si="5"/>
        <v>6.9701989274481957E-2</v>
      </c>
      <c r="H13" s="63">
        <f t="shared" si="5"/>
        <v>6.768261797026448E-2</v>
      </c>
      <c r="I13" s="63">
        <f t="shared" si="5"/>
        <v>7.1822661276142855E-2</v>
      </c>
      <c r="J13" s="63">
        <f t="shared" si="5"/>
        <v>7.1522058977169858E-2</v>
      </c>
      <c r="K13" s="63">
        <f t="shared" ref="K13" si="6">K5*K11*(1-K6)+K9*K12</f>
        <v>7.2241024566632006E-2</v>
      </c>
      <c r="L13" s="63">
        <f t="shared" ref="L13" si="7">L5*L11*(1-L6)+L9*L12</f>
        <v>7.692685864764108E-2</v>
      </c>
      <c r="M13" s="63">
        <f t="shared" ref="M13" si="8">M5*M11*(1-M6)+M9*M12</f>
        <v>7.769067823178484E-2</v>
      </c>
      <c r="N13" s="63">
        <f t="shared" ref="N13:O13" si="9">N5*N11*(1-N6)+N9*N12</f>
        <v>0.08</v>
      </c>
      <c r="O13" s="63">
        <f t="shared" si="9"/>
        <v>7.9869711631833498E-2</v>
      </c>
      <c r="P13" s="63">
        <f t="shared" ref="P13" si="10">P5*P11*(1-P6)+P9*P12</f>
        <v>7.9918204717204053E-2</v>
      </c>
      <c r="Q13" s="63">
        <f t="shared" ref="Q13" si="11">Q5*Q11*(1-Q6)+Q9*Q12</f>
        <v>7.9820696642371097E-2</v>
      </c>
      <c r="R13" s="63">
        <f t="shared" ref="R13" si="12">R5*R11*(1-R6)+R9*R12</f>
        <v>7.9846846513925138E-2</v>
      </c>
      <c r="S13" s="63">
        <f t="shared" ref="S13:T13" si="13">S5*S11*(1-S6)+S9*S12</f>
        <v>7.9728855233699172E-2</v>
      </c>
      <c r="T13" s="63">
        <f t="shared" si="13"/>
        <v>7.9810406975961826E-2</v>
      </c>
      <c r="U13" s="63">
        <f t="shared" ref="U13" si="14">U5*U11*(1-U6)+U9*U12</f>
        <v>7.9704607276086512E-2</v>
      </c>
      <c r="V13" s="63">
        <f t="shared" ref="V13" si="15">V5*V11*(1-V6)+V9*V12</f>
        <v>8.0000000000000016E-2</v>
      </c>
      <c r="W13" s="63">
        <f t="shared" ref="W13" si="16">W5*W11*(1-W6)+W9*W12</f>
        <v>0.08</v>
      </c>
      <c r="X13" s="63">
        <f t="shared" ref="X13:Y13" si="17">X5*X11*(1-X6)+X9*X12</f>
        <v>7.9999999999999988E-2</v>
      </c>
      <c r="Y13" s="63">
        <f t="shared" si="17"/>
        <v>0.08</v>
      </c>
      <c r="Z13" s="63">
        <f t="shared" ref="Z13" si="18">Z5*Z11*(1-Z6)+Z9*Z12</f>
        <v>0.08</v>
      </c>
      <c r="AA13" s="63">
        <f t="shared" ref="AA13" si="19">AA5*AA11*(1-AA6)+AA9*AA12</f>
        <v>7.9999999999999988E-2</v>
      </c>
      <c r="AB13" s="63">
        <f t="shared" ref="AB13" si="20">AB5*AB11*(1-AB6)+AB9*AB12</f>
        <v>0.08</v>
      </c>
      <c r="AC13" s="63">
        <f t="shared" ref="AC13:AD13" si="21">AC5*AC11*(1-AC6)+AC9*AC12</f>
        <v>0.08</v>
      </c>
      <c r="AD13" s="63">
        <f t="shared" si="21"/>
        <v>8.0000000000000016E-2</v>
      </c>
      <c r="AE13" s="63">
        <f t="shared" ref="AE13" si="22">AE5*AE11*(1-AE6)+AE9*AE12</f>
        <v>7.9999999999999988E-2</v>
      </c>
      <c r="AF13" s="63">
        <f t="shared" ref="AF13" si="23">AF5*AF11*(1-AF6)+AF9*AF12</f>
        <v>0.08</v>
      </c>
      <c r="AG13" s="63">
        <f t="shared" ref="AG13" si="24">AG5*AG11*(1-AG6)+AG9*AG12</f>
        <v>0.08</v>
      </c>
      <c r="AH13" s="63">
        <f t="shared" ref="AH13:AI13" si="25">AH5*AH11*(1-AH6)+AH9*AH12</f>
        <v>0.08</v>
      </c>
      <c r="AI13" s="63">
        <f t="shared" si="25"/>
        <v>0.08</v>
      </c>
      <c r="AJ13" s="63">
        <f t="shared" ref="AJ13" si="26">AJ5*AJ11*(1-AJ6)+AJ9*AJ12</f>
        <v>8.0000000000000016E-2</v>
      </c>
      <c r="AK13" s="63">
        <f t="shared" ref="AK13" si="27">AK5*AK11*(1-AK6)+AK9*AK12</f>
        <v>7.9999999999999988E-2</v>
      </c>
      <c r="AL13" s="63">
        <f t="shared" ref="AL13" si="28">AL5*AL11*(1-AL6)+AL9*AL12</f>
        <v>0.08</v>
      </c>
      <c r="AM13" s="63">
        <f t="shared" ref="AM13:AN13" si="29">AM5*AM11*(1-AM6)+AM9*AM12</f>
        <v>0.08</v>
      </c>
      <c r="AN13" s="63">
        <f t="shared" si="29"/>
        <v>0.08</v>
      </c>
      <c r="AO13" s="63">
        <f t="shared" ref="AO13" si="30">AO5*AO11*(1-AO6)+AO9*AO12</f>
        <v>8.6365069004460476E-2</v>
      </c>
      <c r="AP13" s="63">
        <f t="shared" ref="AP13" si="31">AP5*AP11*(1-AP6)+AP9*AP12</f>
        <v>6.5593435720094864E-2</v>
      </c>
      <c r="AQ13" s="63" t="e">
        <f t="shared" ref="AQ13" si="32">AQ5*AQ11*(1-AQ6)+AQ9*AQ12</f>
        <v>#DIV/0!</v>
      </c>
      <c r="AR13" s="63" t="e">
        <f t="shared" ref="AR13:AS13" si="33">AR5*AR11*(1-AR6)+AR9*AR12</f>
        <v>#DIV/0!</v>
      </c>
      <c r="AS13" s="63" t="e">
        <f t="shared" si="33"/>
        <v>#DIV/0!</v>
      </c>
      <c r="AT13" s="63" t="e">
        <f t="shared" ref="AT13" si="34">AT5*AT11*(1-AT6)+AT9*AT12</f>
        <v>#DIV/0!</v>
      </c>
      <c r="AU13" s="63" t="e">
        <f t="shared" ref="AU13" si="35">AU5*AU11*(1-AU6)+AU9*AU12</f>
        <v>#DIV/0!</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9" t="s">
        <v>667</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38" width="21.44140625" hidden="1" customWidth="1"/>
    <col min="39" max="39" width="19" hidden="1" customWidth="1"/>
    <col min="40" max="42" width="19" bestFit="1" customWidth="1"/>
    <col min="43" max="43" width="9.5546875" hidden="1" customWidth="1"/>
    <col min="44" max="90" width="8.5546875" bestFit="1" customWidth="1"/>
  </cols>
  <sheetData>
    <row r="1" spans="1:90" s="26" customFormat="1" x14ac:dyDescent="0.25">
      <c r="A1" s="17">
        <v>2293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39813</v>
      </c>
      <c r="AO1" s="1">
        <v>39447</v>
      </c>
      <c r="AP1" s="1">
        <v>39082</v>
      </c>
      <c r="AQ1" s="1">
        <v>25569</v>
      </c>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551</v>
      </c>
      <c r="E2" s="26">
        <f>资产资本表!E17</f>
        <v>733176594.04999995</v>
      </c>
      <c r="F2" s="26">
        <f>资产资本表!F17</f>
        <v>542119136.30999994</v>
      </c>
      <c r="G2" s="26">
        <f>资产资本表!G17</f>
        <v>792389362.92999995</v>
      </c>
      <c r="H2" s="26">
        <f>资产资本表!H17</f>
        <v>1064862608.49</v>
      </c>
      <c r="I2" s="26">
        <f>资产资本表!I17</f>
        <v>1547342145.5699999</v>
      </c>
      <c r="J2" s="26">
        <f>资产资本表!J17</f>
        <v>935254236.98000002</v>
      </c>
      <c r="K2" s="26">
        <f>资产资本表!K17</f>
        <v>726701245.64999998</v>
      </c>
      <c r="L2" s="26">
        <f>资产资本表!L17</f>
        <v>796484046.78999996</v>
      </c>
      <c r="M2" s="26">
        <f>资产资本表!M17</f>
        <v>693588693.25999999</v>
      </c>
      <c r="N2" s="26">
        <f>资产资本表!N17</f>
        <v>797669458.75</v>
      </c>
      <c r="O2" s="26">
        <f>资产资本表!O17</f>
        <v>619994822.77999997</v>
      </c>
      <c r="P2" s="26">
        <f>资产资本表!P17</f>
        <v>669893756.87</v>
      </c>
      <c r="Q2" s="26">
        <f>资产资本表!Q17</f>
        <v>647204677.45000005</v>
      </c>
      <c r="R2" s="26">
        <f>资产资本表!R17</f>
        <v>629117054.61000001</v>
      </c>
      <c r="S2" s="26">
        <f>资产资本表!S17</f>
        <v>835542721.87</v>
      </c>
      <c r="T2" s="26">
        <f>资产资本表!T17</f>
        <v>884858061.70000005</v>
      </c>
      <c r="U2" s="26">
        <f>资产资本表!U17</f>
        <v>932276706.14999998</v>
      </c>
      <c r="V2" s="26">
        <f>资产资本表!V17</f>
        <v>952923862.08000004</v>
      </c>
      <c r="W2" s="26">
        <f>资产资本表!W17</f>
        <v>769157162.38</v>
      </c>
      <c r="X2" s="26">
        <f>资产资本表!X17</f>
        <v>991763885.86000001</v>
      </c>
      <c r="Y2" s="26">
        <f>资产资本表!Y17</f>
        <v>956043885.24000001</v>
      </c>
      <c r="Z2" s="26">
        <f>资产资本表!Z17</f>
        <v>803173622.38</v>
      </c>
      <c r="AA2" s="26">
        <f>资产资本表!AA17</f>
        <v>667828913.97000003</v>
      </c>
      <c r="AB2" s="26">
        <f>资产资本表!AB17</f>
        <v>1014024416.74</v>
      </c>
      <c r="AC2" s="26">
        <f>资产资本表!AC17</f>
        <v>1002302902.5700001</v>
      </c>
      <c r="AD2" s="26">
        <f>资产资本表!AD17</f>
        <v>982362386.38999999</v>
      </c>
      <c r="AE2" s="26">
        <f>资产资本表!AE17</f>
        <v>862194779.22000003</v>
      </c>
      <c r="AF2" s="26">
        <f>资产资本表!AF17</f>
        <v>1151874426.3</v>
      </c>
      <c r="AG2" s="26">
        <f>资产资本表!AG17</f>
        <v>1057191976.45</v>
      </c>
      <c r="AH2" s="26">
        <f>资产资本表!AH17</f>
        <v>960610001.01999998</v>
      </c>
      <c r="AI2" s="26">
        <f>资产资本表!AI17</f>
        <v>930790908.42999995</v>
      </c>
      <c r="AJ2" s="26">
        <f>资产资本表!AJ17</f>
        <v>1127355392.73</v>
      </c>
      <c r="AK2" s="26">
        <f>资产资本表!AK17</f>
        <v>1066884381.7</v>
      </c>
      <c r="AL2" s="26">
        <f>资产资本表!AL17</f>
        <v>1057983159.11</v>
      </c>
      <c r="AM2" s="26">
        <f>资产资本表!AM17</f>
        <v>74808751.980000004</v>
      </c>
      <c r="AN2" s="26">
        <f>资产资本表!AN17</f>
        <v>78505801.079999998</v>
      </c>
      <c r="AO2" s="26">
        <f>资产资本表!AO17</f>
        <v>50145116.420000002</v>
      </c>
      <c r="AP2" s="26">
        <f>资产资本表!AP17</f>
        <v>52609626.460000001</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552</v>
      </c>
      <c r="E3" s="26">
        <f>资产资本表!E19</f>
        <v>2681764.62</v>
      </c>
      <c r="F3" s="26">
        <f>资产资本表!F19</f>
        <v>36554845.829999998</v>
      </c>
      <c r="G3" s="26">
        <f>资产资本表!G19</f>
        <v>37301246.560000002</v>
      </c>
      <c r="H3" s="26">
        <f>资产资本表!H19</f>
        <v>44582193.149999999</v>
      </c>
      <c r="I3" s="26">
        <f>资产资本表!I19</f>
        <v>44208476.719999999</v>
      </c>
      <c r="J3" s="26">
        <f>资产资本表!J19</f>
        <v>46497065.140000001</v>
      </c>
      <c r="K3" s="26">
        <f>资产资本表!K19</f>
        <v>48418056.219999999</v>
      </c>
      <c r="L3" s="26">
        <f>资产资本表!L19</f>
        <v>47013607.68</v>
      </c>
      <c r="M3" s="26">
        <f>资产资本表!M19</f>
        <v>48378901.780000001</v>
      </c>
      <c r="N3" s="26">
        <f>资产资本表!N19</f>
        <v>0</v>
      </c>
      <c r="O3" s="26">
        <f>资产资本表!O19</f>
        <v>0</v>
      </c>
      <c r="P3" s="26">
        <f>资产资本表!P19</f>
        <v>0</v>
      </c>
      <c r="Q3" s="26">
        <f>资产资本表!Q19</f>
        <v>0</v>
      </c>
      <c r="R3" s="26">
        <f>资产资本表!R19</f>
        <v>0</v>
      </c>
      <c r="S3" s="26">
        <f>资产资本表!S19</f>
        <v>0</v>
      </c>
      <c r="T3" s="26">
        <f>资产资本表!T19</f>
        <v>0</v>
      </c>
      <c r="U3" s="26">
        <f>资产资本表!U19</f>
        <v>0</v>
      </c>
      <c r="V3" s="26">
        <f>资产资本表!V19</f>
        <v>0</v>
      </c>
      <c r="W3" s="26">
        <f>资产资本表!W19</f>
        <v>0</v>
      </c>
      <c r="X3" s="26">
        <f>资产资本表!X19</f>
        <v>0</v>
      </c>
      <c r="Y3" s="26">
        <f>资产资本表!Y19</f>
        <v>0</v>
      </c>
      <c r="Z3" s="26">
        <f>资产资本表!Z19</f>
        <v>0</v>
      </c>
      <c r="AA3" s="26">
        <f>资产资本表!AA19</f>
        <v>0</v>
      </c>
      <c r="AB3" s="26">
        <f>资产资本表!AB19</f>
        <v>0</v>
      </c>
      <c r="AC3" s="26">
        <f>资产资本表!AC19</f>
        <v>0</v>
      </c>
      <c r="AD3" s="26">
        <f>资产资本表!AD19</f>
        <v>0</v>
      </c>
      <c r="AE3" s="26">
        <f>资产资本表!AE19</f>
        <v>0</v>
      </c>
      <c r="AF3" s="26">
        <f>资产资本表!AF19</f>
        <v>0</v>
      </c>
      <c r="AG3" s="26">
        <f>资产资本表!AG19</f>
        <v>0</v>
      </c>
      <c r="AH3" s="26">
        <f>资产资本表!AH19</f>
        <v>0</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557</v>
      </c>
      <c r="E4" s="26">
        <f>资产资本表!E50</f>
        <v>1597100710.9399998</v>
      </c>
      <c r="F4" s="26">
        <f>资产资本表!F50</f>
        <v>1754650310.4399998</v>
      </c>
      <c r="G4" s="26">
        <f>资产资本表!G50</f>
        <v>1349137181.4500003</v>
      </c>
      <c r="H4" s="26">
        <f>资产资本表!H50</f>
        <v>1278750158.9299998</v>
      </c>
      <c r="I4" s="26">
        <f>资产资本表!I50</f>
        <v>949049399.85000014</v>
      </c>
      <c r="J4" s="26">
        <f>资产资本表!J50</f>
        <v>1300496511.9699998</v>
      </c>
      <c r="K4" s="26">
        <f>资产资本表!K50</f>
        <v>1335104250.45</v>
      </c>
      <c r="L4" s="26">
        <f>资产资本表!L50</f>
        <v>1169926680.3800001</v>
      </c>
      <c r="M4" s="26">
        <f>资产资本表!M50</f>
        <v>1157095856.3699999</v>
      </c>
      <c r="N4" s="26">
        <f>资产资本表!N50</f>
        <v>919351714.72000003</v>
      </c>
      <c r="O4" s="26">
        <f>资产资本表!O50</f>
        <v>960746978.13</v>
      </c>
      <c r="P4" s="26">
        <f>资产资本表!P50</f>
        <v>1113176673.5599999</v>
      </c>
      <c r="Q4" s="26">
        <f>资产资本表!Q50</f>
        <v>1020208913.4599999</v>
      </c>
      <c r="R4" s="26">
        <f>资产资本表!R50</f>
        <v>1020629371.64</v>
      </c>
      <c r="S4" s="26">
        <f>资产资本表!S50</f>
        <v>713919009.73999977</v>
      </c>
      <c r="T4" s="26">
        <f>资产资本表!T50</f>
        <v>706716177.13999999</v>
      </c>
      <c r="U4" s="26">
        <f>资产资本表!U50</f>
        <v>554743546.35000014</v>
      </c>
      <c r="V4" s="26">
        <f>资产资本表!V50</f>
        <v>440012245.28999996</v>
      </c>
      <c r="W4" s="26">
        <f>资产资本表!W50</f>
        <v>605557151.28999996</v>
      </c>
      <c r="X4" s="26">
        <f>资产资本表!X50</f>
        <v>461092421.37</v>
      </c>
      <c r="Y4" s="26">
        <f>资产资本表!Y50</f>
        <v>421625578.88000011</v>
      </c>
      <c r="Z4" s="26">
        <f>资产资本表!Z50</f>
        <v>463458176.65999985</v>
      </c>
      <c r="AA4" s="26">
        <f>资产资本表!AA50</f>
        <v>538043845.96000004</v>
      </c>
      <c r="AB4" s="26">
        <f>资产资本表!AB50</f>
        <v>318249727.29000002</v>
      </c>
      <c r="AC4" s="26">
        <f>资产资本表!AC50</f>
        <v>241941336.04999995</v>
      </c>
      <c r="AD4" s="26">
        <f>资产资本表!AD50</f>
        <v>261233161.02999997</v>
      </c>
      <c r="AE4" s="26">
        <f>资产资本表!AE50</f>
        <v>321419707.1500001</v>
      </c>
      <c r="AF4" s="26">
        <f>资产资本表!AF50</f>
        <v>148020334.52999997</v>
      </c>
      <c r="AG4" s="26">
        <f>资产资本表!AG50</f>
        <v>204497911.35999995</v>
      </c>
      <c r="AH4" s="26">
        <f>资产资本表!AH50</f>
        <v>282006776.60000002</v>
      </c>
      <c r="AI4" s="26">
        <f>资产资本表!AI50</f>
        <v>252834625.30000001</v>
      </c>
      <c r="AJ4" s="26">
        <f>资产资本表!AJ50</f>
        <v>126923235.34999999</v>
      </c>
      <c r="AK4" s="26">
        <f>资产资本表!AK50</f>
        <v>137423752.91000006</v>
      </c>
      <c r="AL4" s="26">
        <f>资产资本表!AL50</f>
        <v>133608740.93999997</v>
      </c>
      <c r="AM4" s="26">
        <f>资产资本表!AM50</f>
        <v>157946398.67999998</v>
      </c>
      <c r="AN4" s="26">
        <f>资产资本表!AN50</f>
        <v>120859525.39000002</v>
      </c>
      <c r="AO4" s="26">
        <f>资产资本表!AO50</f>
        <v>110265855.45999999</v>
      </c>
      <c r="AP4" s="26">
        <f>资产资本表!AP50</f>
        <v>38950841.790000021</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2716056483.8699999</v>
      </c>
      <c r="F5" s="26">
        <f>资产资本表!F33</f>
        <v>2787785560.4099998</v>
      </c>
      <c r="G5" s="26">
        <f>资产资本表!G33</f>
        <v>2274370138.5900002</v>
      </c>
      <c r="H5" s="26">
        <f>资产资本表!H33</f>
        <v>2213433032.04</v>
      </c>
      <c r="I5" s="26">
        <f>资产资本表!I33</f>
        <v>1777091019.6100001</v>
      </c>
      <c r="J5" s="26">
        <f>资产资本表!J33</f>
        <v>2007928718.1599998</v>
      </c>
      <c r="K5" s="26">
        <f>资产资本表!K33</f>
        <v>1930230312.4100001</v>
      </c>
      <c r="L5" s="26">
        <f>资产资本表!L33</f>
        <v>1873119976.4200001</v>
      </c>
      <c r="M5" s="26">
        <f>资产资本表!M33</f>
        <v>1870553325.99</v>
      </c>
      <c r="N5" s="26">
        <f>资产资本表!N33</f>
        <v>1564390149.26</v>
      </c>
      <c r="O5" s="26">
        <f>资产资本表!O33</f>
        <v>1544032524.98</v>
      </c>
      <c r="P5" s="26">
        <f>资产资本表!P33</f>
        <v>1685316108.52</v>
      </c>
      <c r="Q5" s="26">
        <f>资产资本表!Q33</f>
        <v>1642148868.9099998</v>
      </c>
      <c r="R5" s="26">
        <f>资产资本表!R33</f>
        <v>1607358838.27</v>
      </c>
      <c r="S5" s="26">
        <f>资产资本表!S33</f>
        <v>1182478761.1399999</v>
      </c>
      <c r="T5" s="26">
        <f>资产资本表!T33</f>
        <v>1204713256.28</v>
      </c>
      <c r="U5" s="26">
        <f>资产资本表!U33</f>
        <v>1066887402.4800001</v>
      </c>
      <c r="V5" s="26">
        <f>资产资本表!V33</f>
        <v>874497035.46000004</v>
      </c>
      <c r="W5" s="26">
        <f>资产资本表!W33</f>
        <v>927780347.90999997</v>
      </c>
      <c r="X5" s="26">
        <f>资产资本表!X33</f>
        <v>892723373.31999993</v>
      </c>
      <c r="Y5" s="26">
        <f>资产资本表!Y33</f>
        <v>869175587.6500001</v>
      </c>
      <c r="Z5" s="26">
        <f>资产资本表!Z33</f>
        <v>970757332.57999992</v>
      </c>
      <c r="AA5" s="26">
        <f>资产资本表!AA33</f>
        <v>1032028190.25</v>
      </c>
      <c r="AB5" s="26">
        <f>资产资本表!AB33</f>
        <v>832409477.94999993</v>
      </c>
      <c r="AC5" s="26">
        <f>资产资本表!AC33</f>
        <v>744626813.02999997</v>
      </c>
      <c r="AD5" s="26">
        <f>资产资本表!AD33</f>
        <v>692878267.76999998</v>
      </c>
      <c r="AE5" s="26">
        <f>资产资本表!AE33</f>
        <v>654993533.83000004</v>
      </c>
      <c r="AF5" s="26">
        <f>资产资本表!AF33</f>
        <v>567415081.98000002</v>
      </c>
      <c r="AG5" s="26">
        <f>资产资本表!AG33</f>
        <v>604045284.30999994</v>
      </c>
      <c r="AH5" s="26">
        <f>资产资本表!AH33</f>
        <v>572535010.73000002</v>
      </c>
      <c r="AI5" s="26">
        <f>资产资本表!AI33</f>
        <v>471817114.37</v>
      </c>
      <c r="AJ5" s="26">
        <f>资产资本表!AJ33</f>
        <v>367562369.32999998</v>
      </c>
      <c r="AK5" s="26">
        <f>资产资本表!AK33</f>
        <v>352695752.78000003</v>
      </c>
      <c r="AL5" s="26">
        <f>资产资本表!AL33</f>
        <v>317211485.96999997</v>
      </c>
      <c r="AM5" s="26">
        <f>资产资本表!AM33</f>
        <v>299769568.27999997</v>
      </c>
      <c r="AN5" s="26">
        <f>资产资本表!AN33</f>
        <v>277963668.50999999</v>
      </c>
      <c r="AO5" s="26">
        <f>资产资本表!AO33</f>
        <v>229950173.69</v>
      </c>
      <c r="AP5" s="26">
        <f>资产资本表!AP33</f>
        <v>183168688.04000002</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1118955772.9300001</v>
      </c>
      <c r="F6" s="26">
        <f>资产资本表!F49</f>
        <v>1033135249.97</v>
      </c>
      <c r="G6" s="26">
        <f>资产资本表!G49</f>
        <v>925232957.13999999</v>
      </c>
      <c r="H6" s="26">
        <f>资产资本表!H49</f>
        <v>934682873.11000013</v>
      </c>
      <c r="I6" s="26">
        <f>资产资本表!I49</f>
        <v>828041619.75999999</v>
      </c>
      <c r="J6" s="26">
        <f>资产资本表!J49</f>
        <v>707432206.19000006</v>
      </c>
      <c r="K6" s="26">
        <f>资产资本表!K49</f>
        <v>595126061.96000004</v>
      </c>
      <c r="L6" s="26">
        <f>资产资本表!L49</f>
        <v>703193296.03999996</v>
      </c>
      <c r="M6" s="26">
        <f>资产资本表!M49</f>
        <v>713457469.62</v>
      </c>
      <c r="N6" s="26">
        <f>资产资本表!N49</f>
        <v>645038434.53999996</v>
      </c>
      <c r="O6" s="26">
        <f>资产资本表!O49</f>
        <v>583285546.85000002</v>
      </c>
      <c r="P6" s="26">
        <f>资产资本表!P49</f>
        <v>572139434.96000004</v>
      </c>
      <c r="Q6" s="26">
        <f>资产资本表!Q49</f>
        <v>621939955.44999993</v>
      </c>
      <c r="R6" s="26">
        <f>资产资本表!R49</f>
        <v>586729466.63</v>
      </c>
      <c r="S6" s="26">
        <f>资产资本表!S49</f>
        <v>468559751.40000004</v>
      </c>
      <c r="T6" s="26">
        <f>资产资本表!T49</f>
        <v>497997079.13999999</v>
      </c>
      <c r="U6" s="26">
        <f>资产资本表!U49</f>
        <v>512143856.13000005</v>
      </c>
      <c r="V6" s="26">
        <f>资产资本表!V49</f>
        <v>434484790.17000008</v>
      </c>
      <c r="W6" s="26">
        <f>资产资本表!W49</f>
        <v>322223196.62</v>
      </c>
      <c r="X6" s="26">
        <f>资产资本表!X49</f>
        <v>431630951.94999993</v>
      </c>
      <c r="Y6" s="26">
        <f>资产资本表!Y49</f>
        <v>447550008.76999998</v>
      </c>
      <c r="Z6" s="26">
        <f>资产资本表!Z49</f>
        <v>507299155.92000008</v>
      </c>
      <c r="AA6" s="26">
        <f>资产资本表!AA49</f>
        <v>493984344.29000002</v>
      </c>
      <c r="AB6" s="26">
        <f>资产资本表!AB49</f>
        <v>514159750.65999991</v>
      </c>
      <c r="AC6" s="26">
        <f>资产资本表!AC49</f>
        <v>502685476.98000002</v>
      </c>
      <c r="AD6" s="26">
        <f>资产资本表!AD49</f>
        <v>431645106.74000001</v>
      </c>
      <c r="AE6" s="26">
        <f>资产资本表!AE49</f>
        <v>333573826.67999995</v>
      </c>
      <c r="AF6" s="26">
        <f>资产资本表!AF49</f>
        <v>419394747.45000005</v>
      </c>
      <c r="AG6" s="26">
        <f>资产资本表!AG49</f>
        <v>399547372.94999999</v>
      </c>
      <c r="AH6" s="26">
        <f>资产资本表!AH49</f>
        <v>290528234.13</v>
      </c>
      <c r="AI6" s="26">
        <f>资产资本表!AI49</f>
        <v>218982489.06999999</v>
      </c>
      <c r="AJ6" s="26">
        <f>资产资本表!AJ49</f>
        <v>240639133.97999999</v>
      </c>
      <c r="AK6" s="26">
        <f>资产资本表!AK49</f>
        <v>215271999.86999997</v>
      </c>
      <c r="AL6" s="26">
        <f>资产资本表!AL49</f>
        <v>183602745.03</v>
      </c>
      <c r="AM6" s="26">
        <f>资产资本表!AM49</f>
        <v>141823169.59999999</v>
      </c>
      <c r="AN6" s="26">
        <f>资产资本表!AN49</f>
        <v>157104143.11999997</v>
      </c>
      <c r="AO6" s="26">
        <f>资产资本表!AO49</f>
        <v>119684318.23</v>
      </c>
      <c r="AP6" s="26">
        <f>资产资本表!AP49</f>
        <v>144217846.25</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1083016609.1099997</v>
      </c>
      <c r="F7" s="26">
        <f>资产资本表!F68</f>
        <v>1135909896.98</v>
      </c>
      <c r="G7" s="26">
        <f>资产资本表!G68</f>
        <v>1155300874.6399999</v>
      </c>
      <c r="H7" s="26">
        <f>资产资本表!H68</f>
        <v>1164909636.75</v>
      </c>
      <c r="I7" s="26">
        <f>资产资本表!I68</f>
        <v>838520601.88999999</v>
      </c>
      <c r="J7" s="26">
        <f>资产资本表!J68</f>
        <v>860883066.41999996</v>
      </c>
      <c r="K7" s="26">
        <f>资产资本表!K68</f>
        <v>853457919.58000004</v>
      </c>
      <c r="L7" s="26">
        <f>资产资本表!L68</f>
        <v>868058308.17999995</v>
      </c>
      <c r="M7" s="26">
        <f>资产资本表!M68</f>
        <v>871078382.76999986</v>
      </c>
      <c r="N7" s="26">
        <f>资产资本表!N68</f>
        <v>829380215.16000009</v>
      </c>
      <c r="O7" s="26">
        <f>资产资本表!O68</f>
        <v>822129414.7299999</v>
      </c>
      <c r="P7" s="26">
        <f>资产资本表!P68</f>
        <v>825330317.23000002</v>
      </c>
      <c r="Q7" s="26">
        <f>资产资本表!Q68</f>
        <v>825502014.86000013</v>
      </c>
      <c r="R7" s="26">
        <f>资产资本表!R68</f>
        <v>658741725.48000002</v>
      </c>
      <c r="S7" s="26">
        <f>资产资本表!S68</f>
        <v>642750663.67000008</v>
      </c>
      <c r="T7" s="26">
        <f>资产资本表!T68</f>
        <v>638106996.24000001</v>
      </c>
      <c r="U7" s="26">
        <f>资产资本表!U68</f>
        <v>646286156.8499999</v>
      </c>
      <c r="V7" s="26">
        <f>资产资本表!V68</f>
        <v>637749387.55999994</v>
      </c>
      <c r="W7" s="26">
        <f>资产资本表!W68</f>
        <v>555994643.0200001</v>
      </c>
      <c r="X7" s="26">
        <f>资产资本表!X68</f>
        <v>525039706.84000003</v>
      </c>
      <c r="Y7" s="26">
        <f>资产资本表!Y68</f>
        <v>514551138.60999995</v>
      </c>
      <c r="Z7" s="26">
        <f>资产资本表!Z68</f>
        <v>496788347.33000004</v>
      </c>
      <c r="AA7" s="26">
        <f>资产资本表!AA68</f>
        <v>438036109.13999999</v>
      </c>
      <c r="AB7" s="26">
        <f>资产资本表!AB68</f>
        <v>424560822.61000007</v>
      </c>
      <c r="AC7" s="26">
        <f>资产资本表!AC68</f>
        <v>406249339.64999998</v>
      </c>
      <c r="AD7" s="26">
        <f>资产资本表!AD68</f>
        <v>313155620.74000001</v>
      </c>
      <c r="AE7" s="26">
        <f>资产资本表!AE68</f>
        <v>255703474.93000001</v>
      </c>
      <c r="AF7" s="26">
        <f>资产资本表!AF68</f>
        <v>233981981.54000002</v>
      </c>
      <c r="AG7" s="26">
        <f>资产资本表!AG68</f>
        <v>214815697.10000002</v>
      </c>
      <c r="AH7" s="26">
        <f>资产资本表!AH68</f>
        <v>135625805.69</v>
      </c>
      <c r="AI7" s="26">
        <f>资产资本表!AI68</f>
        <v>127706581.34</v>
      </c>
      <c r="AJ7" s="26">
        <f>资产资本表!AJ68</f>
        <v>128121301.53999999</v>
      </c>
      <c r="AK7" s="26">
        <f>资产资本表!AK68</f>
        <v>127940373.52</v>
      </c>
      <c r="AL7" s="26">
        <f>资产资本表!AL68</f>
        <v>97160166.030000001</v>
      </c>
      <c r="AM7" s="26">
        <f>资产资本表!AM68</f>
        <v>98253328.269999996</v>
      </c>
      <c r="AN7" s="26">
        <f>资产资本表!AN68</f>
        <v>101972525.01000001</v>
      </c>
      <c r="AO7" s="26">
        <f>资产资本表!AO68</f>
        <v>77886561.769999996</v>
      </c>
      <c r="AP7" s="26">
        <f>资产资本表!AP68</f>
        <v>64196426.760000005</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636</v>
      </c>
      <c r="E8" s="26">
        <f>资产资本表!E69</f>
        <v>2680117320.0499992</v>
      </c>
      <c r="F8" s="26">
        <f>资产资本表!F69</f>
        <v>2890560207.4200001</v>
      </c>
      <c r="G8" s="26">
        <f>资产资本表!G69</f>
        <v>2504438056.0900002</v>
      </c>
      <c r="H8" s="26">
        <f>资产资本表!H69</f>
        <v>2443659795.6799998</v>
      </c>
      <c r="I8" s="26">
        <f>资产资本表!I69</f>
        <v>1787570001.7400002</v>
      </c>
      <c r="J8" s="26">
        <f>资产资本表!J69</f>
        <v>2161379578.3899999</v>
      </c>
      <c r="K8" s="26">
        <f>资产资本表!K69</f>
        <v>2188562170.0300002</v>
      </c>
      <c r="L8" s="26">
        <f>资产资本表!L69</f>
        <v>2037984988.5599999</v>
      </c>
      <c r="M8" s="26">
        <f>资产资本表!M69</f>
        <v>2028174239.1399999</v>
      </c>
      <c r="N8" s="26">
        <f>资产资本表!N69</f>
        <v>1748731929.8800001</v>
      </c>
      <c r="O8" s="26">
        <f>资产资本表!O69</f>
        <v>1782876392.8599999</v>
      </c>
      <c r="P8" s="26">
        <f>资产资本表!P69</f>
        <v>1938506990.79</v>
      </c>
      <c r="Q8" s="26">
        <f>资产资本表!Q69</f>
        <v>1845710928.3200002</v>
      </c>
      <c r="R8" s="26">
        <f>资产资本表!R69</f>
        <v>1679371097.1199999</v>
      </c>
      <c r="S8" s="26">
        <f>资产资本表!S69</f>
        <v>1356669673.4099998</v>
      </c>
      <c r="T8" s="26">
        <f>资产资本表!T69</f>
        <v>1344823173.3800001</v>
      </c>
      <c r="U8" s="26">
        <f>资产资本表!U69</f>
        <v>1201029703.2</v>
      </c>
      <c r="V8" s="26">
        <f>资产资本表!V69</f>
        <v>1077761632.8499999</v>
      </c>
      <c r="W8" s="26">
        <f>资产资本表!W69</f>
        <v>1161551794.3099999</v>
      </c>
      <c r="X8" s="26">
        <f>资产资本表!X69</f>
        <v>986132128.21000004</v>
      </c>
      <c r="Y8" s="26">
        <f>资产资本表!Y69</f>
        <v>936176717.49000001</v>
      </c>
      <c r="Z8" s="26">
        <f>资产资本表!Z69</f>
        <v>960246523.98999989</v>
      </c>
      <c r="AA8" s="26">
        <f>资产资本表!AA69</f>
        <v>976079955.10000002</v>
      </c>
      <c r="AB8" s="26">
        <f>资产资本表!AB69</f>
        <v>742810549.9000001</v>
      </c>
      <c r="AC8" s="26">
        <f>资产资本表!AC69</f>
        <v>648190675.69999993</v>
      </c>
      <c r="AD8" s="26">
        <f>资产资本表!AD69</f>
        <v>574388781.76999998</v>
      </c>
      <c r="AE8" s="26">
        <f>资产资本表!AE69</f>
        <v>577123182.08000016</v>
      </c>
      <c r="AF8" s="26">
        <f>资产资本表!AF69</f>
        <v>382002316.06999999</v>
      </c>
      <c r="AG8" s="26">
        <f>资产资本表!AG69</f>
        <v>419313608.45999998</v>
      </c>
      <c r="AH8" s="26">
        <f>资产资本表!AH69</f>
        <v>417632582.29000002</v>
      </c>
      <c r="AI8" s="26">
        <f>资产资本表!AI69</f>
        <v>380541206.63999999</v>
      </c>
      <c r="AJ8" s="26">
        <f>资产资本表!AJ69</f>
        <v>255044536.88999999</v>
      </c>
      <c r="AK8" s="26">
        <f>资产资本表!AK69</f>
        <v>265364126.43000007</v>
      </c>
      <c r="AL8" s="26">
        <f>资产资本表!AL69</f>
        <v>230768906.96999997</v>
      </c>
      <c r="AM8" s="26">
        <f>资产资本表!AM69</f>
        <v>256199726.94999999</v>
      </c>
      <c r="AN8" s="26">
        <f>资产资本表!AN69</f>
        <v>222832050.40000004</v>
      </c>
      <c r="AO8" s="26">
        <f>资产资本表!AO69</f>
        <v>188152417.22999999</v>
      </c>
      <c r="AP8" s="26">
        <f>资产资本表!AP69</f>
        <v>103147268.55000003</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638</v>
      </c>
      <c r="E9" s="48">
        <f>资产资本表!E70</f>
        <v>3415975678.7199993</v>
      </c>
      <c r="F9" s="48">
        <f>资产资本表!F70</f>
        <v>3469234189.5599999</v>
      </c>
      <c r="G9" s="48">
        <f>资产资本表!G70</f>
        <v>3334128665.5799999</v>
      </c>
      <c r="H9" s="48">
        <f>资产资本表!H70</f>
        <v>3553104597.3199997</v>
      </c>
      <c r="I9" s="48">
        <f>资产资本表!I70</f>
        <v>3379120624.0300002</v>
      </c>
      <c r="J9" s="48">
        <f>资产资本表!J70</f>
        <v>3143130880.5099998</v>
      </c>
      <c r="K9" s="48">
        <f>资产资本表!K70</f>
        <v>2963681471.9000001</v>
      </c>
      <c r="L9" s="48">
        <f>资产资本表!L70</f>
        <v>2881482643.0299997</v>
      </c>
      <c r="M9" s="48">
        <f>资产资本表!M70</f>
        <v>2770141834.1799998</v>
      </c>
      <c r="N9" s="48">
        <f>资产资本表!N70</f>
        <v>2546401388.6300001</v>
      </c>
      <c r="O9" s="48">
        <f>资产资本表!O70</f>
        <v>2402871215.6399999</v>
      </c>
      <c r="P9" s="48">
        <f>资产资本表!P70</f>
        <v>2608400747.6599998</v>
      </c>
      <c r="Q9" s="48">
        <f>资产资本表!Q70</f>
        <v>2492915605.7700005</v>
      </c>
      <c r="R9" s="48">
        <f>资产资本表!R70</f>
        <v>2308488151.73</v>
      </c>
      <c r="S9" s="48">
        <f>资产资本表!S70</f>
        <v>2192212395.2799997</v>
      </c>
      <c r="T9" s="48">
        <f>资产资本表!T70</f>
        <v>2229681235.0799999</v>
      </c>
      <c r="U9" s="48">
        <f>资产资本表!U70</f>
        <v>2133306409.3499999</v>
      </c>
      <c r="V9" s="48">
        <f>资产资本表!V70</f>
        <v>2030685494.9299998</v>
      </c>
      <c r="W9" s="48">
        <f>资产资本表!W70</f>
        <v>1930708956.6900001</v>
      </c>
      <c r="X9" s="48">
        <f>资产资本表!X70</f>
        <v>1977896014.0700002</v>
      </c>
      <c r="Y9" s="48">
        <f>资产资本表!Y70</f>
        <v>1892220602.73</v>
      </c>
      <c r="Z9" s="48">
        <f>资产资本表!Z70</f>
        <v>1763420146.3699999</v>
      </c>
      <c r="AA9" s="48">
        <f>资产资本表!AA70</f>
        <v>1643908869.0700002</v>
      </c>
      <c r="AB9" s="48">
        <f>资产资本表!AB70</f>
        <v>1756834966.6400001</v>
      </c>
      <c r="AC9" s="48">
        <f>资产资本表!AC70</f>
        <v>1650493578.27</v>
      </c>
      <c r="AD9" s="48">
        <f>资产资本表!AD70</f>
        <v>1556751168.1599998</v>
      </c>
      <c r="AE9" s="48">
        <f>资产资本表!AE70</f>
        <v>1439317961.3000002</v>
      </c>
      <c r="AF9" s="48">
        <f>资产资本表!AF70</f>
        <v>1533876742.3699999</v>
      </c>
      <c r="AG9" s="48">
        <f>资产资本表!AG70</f>
        <v>1476505584.9100001</v>
      </c>
      <c r="AH9" s="48">
        <f>资产资本表!AH70</f>
        <v>1378242583.3099999</v>
      </c>
      <c r="AI9" s="48">
        <f>资产资本表!AI70</f>
        <v>1311332115.0699999</v>
      </c>
      <c r="AJ9" s="48">
        <f>资产资本表!AJ70</f>
        <v>1382399929.6199999</v>
      </c>
      <c r="AK9" s="48">
        <f>资产资本表!AK70</f>
        <v>1332248508.1300001</v>
      </c>
      <c r="AL9" s="48">
        <f>资产资本表!AL70</f>
        <v>1288752066.0799999</v>
      </c>
      <c r="AM9" s="48">
        <f>资产资本表!AM70</f>
        <v>331008478.93000001</v>
      </c>
      <c r="AN9" s="48">
        <f>资产资本表!AN70</f>
        <v>301337851.48000002</v>
      </c>
      <c r="AO9" s="48">
        <f>资产资本表!AO70</f>
        <v>238297533.64999998</v>
      </c>
      <c r="AP9" s="48">
        <f>资产资本表!AP70</f>
        <v>155756895.01000002</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197566288.30000001</v>
      </c>
      <c r="F10" s="26">
        <f>资产资本表!F72</f>
        <v>362613245.42000002</v>
      </c>
      <c r="G10" s="26">
        <f>资产资本表!G72</f>
        <v>361565942.50999999</v>
      </c>
      <c r="H10" s="26">
        <f>资产资本表!H72</f>
        <v>391766634.35000002</v>
      </c>
      <c r="I10" s="26">
        <f>资产资本表!I72</f>
        <v>400690979.23000002</v>
      </c>
      <c r="J10" s="26">
        <f>资产资本表!J72</f>
        <v>240000000</v>
      </c>
      <c r="K10" s="26">
        <f>资产资本表!K72</f>
        <v>270000000</v>
      </c>
      <c r="L10" s="26">
        <f>资产资本表!L72</f>
        <v>100000000</v>
      </c>
      <c r="M10" s="26">
        <f>资产资本表!M72</f>
        <v>100302083.33</v>
      </c>
      <c r="N10" s="26">
        <f>资产资本表!N72</f>
        <v>0</v>
      </c>
      <c r="O10" s="26">
        <f>资产资本表!O72</f>
        <v>0</v>
      </c>
      <c r="P10" s="26">
        <f>资产资本表!P72</f>
        <v>0</v>
      </c>
      <c r="Q10" s="26">
        <f>资产资本表!Q72</f>
        <v>0</v>
      </c>
      <c r="R10" s="26">
        <f>资产资本表!R72</f>
        <v>0</v>
      </c>
      <c r="S10" s="26">
        <f>资产资本表!S72</f>
        <v>0</v>
      </c>
      <c r="T10" s="26">
        <f>资产资本表!T72</f>
        <v>0</v>
      </c>
      <c r="U10" s="26">
        <f>资产资本表!U72</f>
        <v>0</v>
      </c>
      <c r="V10" s="26">
        <f>资产资本表!V72</f>
        <v>0</v>
      </c>
      <c r="W10" s="26">
        <f>资产资本表!W72</f>
        <v>0</v>
      </c>
      <c r="X10" s="26">
        <f>资产资本表!X72</f>
        <v>0</v>
      </c>
      <c r="Y10" s="26">
        <f>资产资本表!Y72</f>
        <v>0</v>
      </c>
      <c r="Z10" s="26">
        <f>资产资本表!Z72</f>
        <v>0</v>
      </c>
      <c r="AA10" s="26">
        <f>资产资本表!AA72</f>
        <v>0</v>
      </c>
      <c r="AB10" s="26">
        <f>资产资本表!AB72</f>
        <v>0</v>
      </c>
      <c r="AC10" s="26">
        <f>资产资本表!AC72</f>
        <v>0</v>
      </c>
      <c r="AD10" s="26">
        <f>资产资本表!AD72</f>
        <v>0</v>
      </c>
      <c r="AE10" s="26">
        <f>资产资本表!AE72</f>
        <v>0</v>
      </c>
      <c r="AF10" s="26">
        <f>资产资本表!AF72</f>
        <v>0</v>
      </c>
      <c r="AG10" s="26">
        <f>资产资本表!AG72</f>
        <v>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5010444.4400000004</v>
      </c>
      <c r="AP10" s="26">
        <f>资产资本表!AP72</f>
        <v>28049021.5</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55836774.140000001</v>
      </c>
      <c r="F11" s="26">
        <f>资产资本表!F81</f>
        <v>63071031.310000002</v>
      </c>
      <c r="G11" s="26">
        <f>资产资本表!G81</f>
        <v>67620216.969999999</v>
      </c>
      <c r="H11" s="26">
        <f>资产资本表!H81</f>
        <v>155295199.61000001</v>
      </c>
      <c r="I11" s="26">
        <f>资产资本表!I81</f>
        <v>98171473.140000001</v>
      </c>
      <c r="J11" s="26">
        <f>资产资本表!J81</f>
        <v>93090977.900000006</v>
      </c>
      <c r="K11" s="26">
        <f>资产资本表!K81</f>
        <v>17439146.66</v>
      </c>
      <c r="L11" s="26">
        <f>资产资本表!L81</f>
        <v>10690043.33</v>
      </c>
      <c r="M11" s="26">
        <f>资产资本表!M81</f>
        <v>14380137.460000001</v>
      </c>
      <c r="N11" s="26">
        <f>资产资本表!N81</f>
        <v>0</v>
      </c>
      <c r="O11" s="26">
        <f>资产资本表!O81</f>
        <v>3913327.12</v>
      </c>
      <c r="P11" s="26">
        <f>资产资本表!P81</f>
        <v>2666935.96</v>
      </c>
      <c r="Q11" s="26">
        <f>资产资本表!Q81</f>
        <v>5587351.7300000004</v>
      </c>
      <c r="R11" s="26">
        <f>资产资本表!R81</f>
        <v>4419412.5999999996</v>
      </c>
      <c r="S11" s="26">
        <f>资产资本表!S81</f>
        <v>7430086.4699999997</v>
      </c>
      <c r="T11" s="26">
        <f>资产资本表!T81</f>
        <v>5284150.0999999996</v>
      </c>
      <c r="U11" s="26">
        <f>资产资本表!U81</f>
        <v>7877039.8899999997</v>
      </c>
      <c r="V11" s="26">
        <f>资产资本表!V81</f>
        <v>0</v>
      </c>
      <c r="W11" s="26">
        <f>资产资本表!W81</f>
        <v>0</v>
      </c>
      <c r="X11" s="26">
        <f>资产资本表!X81</f>
        <v>0</v>
      </c>
      <c r="Y11" s="26">
        <f>资产资本表!Y81</f>
        <v>0</v>
      </c>
      <c r="Z11" s="26">
        <f>资产资本表!Z81</f>
        <v>0</v>
      </c>
      <c r="AA11" s="26">
        <f>资产资本表!AA81</f>
        <v>0</v>
      </c>
      <c r="AB11" s="26">
        <f>资产资本表!AB81</f>
        <v>0</v>
      </c>
      <c r="AC11" s="26">
        <f>资产资本表!AC81</f>
        <v>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637</v>
      </c>
      <c r="E12" s="26">
        <f>资产资本表!E89</f>
        <v>253403062.44</v>
      </c>
      <c r="F12" s="26">
        <f>资产资本表!F89</f>
        <v>425684276.73000002</v>
      </c>
      <c r="G12" s="26">
        <f>资产资本表!G89</f>
        <v>429186159.48000002</v>
      </c>
      <c r="H12" s="26">
        <f>资产资本表!H89</f>
        <v>547061833.96000004</v>
      </c>
      <c r="I12" s="26">
        <f>资产资本表!I89</f>
        <v>498862452.37</v>
      </c>
      <c r="J12" s="26">
        <f>资产资本表!J89</f>
        <v>333090977.89999998</v>
      </c>
      <c r="K12" s="26">
        <f>资产资本表!K89</f>
        <v>287439146.66000003</v>
      </c>
      <c r="L12" s="26">
        <f>资产资本表!L89</f>
        <v>110690043.33</v>
      </c>
      <c r="M12" s="26">
        <f>资产资本表!M89</f>
        <v>114682220.78999999</v>
      </c>
      <c r="N12" s="26">
        <f>资产资本表!N89</f>
        <v>0</v>
      </c>
      <c r="O12" s="26">
        <f>资产资本表!O89</f>
        <v>3913327.12</v>
      </c>
      <c r="P12" s="26">
        <f>资产资本表!P89</f>
        <v>2666935.96</v>
      </c>
      <c r="Q12" s="26">
        <f>资产资本表!Q89</f>
        <v>5587351.7300000004</v>
      </c>
      <c r="R12" s="26">
        <f>资产资本表!R89</f>
        <v>4419412.5999999996</v>
      </c>
      <c r="S12" s="26">
        <f>资产资本表!S89</f>
        <v>7430086.4699999997</v>
      </c>
      <c r="T12" s="26">
        <f>资产资本表!T89</f>
        <v>5284150.0999999996</v>
      </c>
      <c r="U12" s="26">
        <f>资产资本表!U89</f>
        <v>7877039.8899999997</v>
      </c>
      <c r="V12" s="26">
        <f>资产资本表!V89</f>
        <v>0</v>
      </c>
      <c r="W12" s="26">
        <f>资产资本表!W89</f>
        <v>0</v>
      </c>
      <c r="X12" s="26">
        <f>资产资本表!X89</f>
        <v>0</v>
      </c>
      <c r="Y12" s="26">
        <f>资产资本表!Y89</f>
        <v>0</v>
      </c>
      <c r="Z12" s="26">
        <f>资产资本表!Z89</f>
        <v>0</v>
      </c>
      <c r="AA12" s="26">
        <f>资产资本表!AA89</f>
        <v>0</v>
      </c>
      <c r="AB12" s="26">
        <f>资产资本表!AB89</f>
        <v>0</v>
      </c>
      <c r="AC12" s="26">
        <f>资产资本表!AC89</f>
        <v>0</v>
      </c>
      <c r="AD12" s="26">
        <f>资产资本表!AD89</f>
        <v>0</v>
      </c>
      <c r="AE12" s="26">
        <f>资产资本表!AE89</f>
        <v>0</v>
      </c>
      <c r="AF12" s="26">
        <f>资产资本表!AF89</f>
        <v>0</v>
      </c>
      <c r="AG12" s="26">
        <f>资产资本表!AG89</f>
        <v>0</v>
      </c>
      <c r="AH12" s="26">
        <f>资产资本表!AH89</f>
        <v>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5010444.4400000004</v>
      </c>
      <c r="AP12" s="26">
        <f>资产资本表!AP89</f>
        <v>28049021.5</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3162572616.2799993</v>
      </c>
      <c r="F13" s="26">
        <f t="shared" ref="F13:BQ13" si="0">F9-F12</f>
        <v>3043549912.8299999</v>
      </c>
      <c r="G13" s="26">
        <f t="shared" si="0"/>
        <v>2904942506.0999999</v>
      </c>
      <c r="H13" s="26">
        <f t="shared" si="0"/>
        <v>3006042763.3599997</v>
      </c>
      <c r="I13" s="26">
        <f t="shared" si="0"/>
        <v>2880258171.6600003</v>
      </c>
      <c r="J13" s="26">
        <f t="shared" si="0"/>
        <v>2810039902.6099997</v>
      </c>
      <c r="K13" s="26">
        <f t="shared" si="0"/>
        <v>2676242325.2400002</v>
      </c>
      <c r="L13" s="26">
        <f t="shared" si="0"/>
        <v>2770792599.6999998</v>
      </c>
      <c r="M13" s="26">
        <f t="shared" si="0"/>
        <v>2655459613.3899999</v>
      </c>
      <c r="N13" s="26">
        <f t="shared" si="0"/>
        <v>2546401388.6300001</v>
      </c>
      <c r="O13" s="26">
        <f t="shared" si="0"/>
        <v>2398957888.52</v>
      </c>
      <c r="P13" s="26">
        <f t="shared" si="0"/>
        <v>2605733811.6999998</v>
      </c>
      <c r="Q13" s="26">
        <f t="shared" si="0"/>
        <v>2487328254.0400004</v>
      </c>
      <c r="R13" s="26">
        <f t="shared" si="0"/>
        <v>2304068739.1300001</v>
      </c>
      <c r="S13" s="26">
        <f t="shared" si="0"/>
        <v>2184782308.8099999</v>
      </c>
      <c r="T13" s="26">
        <f t="shared" si="0"/>
        <v>2224397084.98</v>
      </c>
      <c r="U13" s="26">
        <f t="shared" si="0"/>
        <v>2125429369.4599998</v>
      </c>
      <c r="V13" s="26">
        <f t="shared" si="0"/>
        <v>2030685494.9299998</v>
      </c>
      <c r="W13" s="26">
        <f t="shared" si="0"/>
        <v>1930708956.6900001</v>
      </c>
      <c r="X13" s="26">
        <f t="shared" si="0"/>
        <v>1977896014.0700002</v>
      </c>
      <c r="Y13" s="26">
        <f t="shared" si="0"/>
        <v>1892220602.73</v>
      </c>
      <c r="Z13" s="26">
        <f t="shared" si="0"/>
        <v>1763420146.3699999</v>
      </c>
      <c r="AA13" s="26">
        <f t="shared" si="0"/>
        <v>1643908869.0700002</v>
      </c>
      <c r="AB13" s="26">
        <f t="shared" si="0"/>
        <v>1756834966.6400001</v>
      </c>
      <c r="AC13" s="26">
        <f t="shared" si="0"/>
        <v>1650493578.27</v>
      </c>
      <c r="AD13" s="26">
        <f t="shared" si="0"/>
        <v>1556751168.1599998</v>
      </c>
      <c r="AE13" s="26">
        <f t="shared" si="0"/>
        <v>1439317961.3000002</v>
      </c>
      <c r="AF13" s="26">
        <f t="shared" si="0"/>
        <v>1533876742.3699999</v>
      </c>
      <c r="AG13" s="26">
        <f t="shared" si="0"/>
        <v>1476505584.9100001</v>
      </c>
      <c r="AH13" s="26">
        <f t="shared" si="0"/>
        <v>1378242583.3099999</v>
      </c>
      <c r="AI13" s="26">
        <f t="shared" si="0"/>
        <v>1311332115.0699999</v>
      </c>
      <c r="AJ13" s="26">
        <f t="shared" si="0"/>
        <v>1382399929.6199999</v>
      </c>
      <c r="AK13" s="26">
        <f t="shared" si="0"/>
        <v>1332248508.1300001</v>
      </c>
      <c r="AL13" s="26">
        <f t="shared" si="0"/>
        <v>1288752066.0799999</v>
      </c>
      <c r="AM13" s="26">
        <f t="shared" si="0"/>
        <v>331008478.93000001</v>
      </c>
      <c r="AN13" s="26">
        <f t="shared" si="0"/>
        <v>301337851.48000002</v>
      </c>
      <c r="AO13" s="26">
        <f t="shared" si="0"/>
        <v>233287089.20999998</v>
      </c>
      <c r="AP13" s="26">
        <f t="shared" si="0"/>
        <v>127707873.51000002</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639</v>
      </c>
      <c r="E14" s="48">
        <f>E9</f>
        <v>3415975678.7199993</v>
      </c>
      <c r="F14" s="48">
        <f t="shared" ref="F14:BQ14" si="2">F9</f>
        <v>3469234189.5599999</v>
      </c>
      <c r="G14" s="48">
        <f t="shared" si="2"/>
        <v>3334128665.5799999</v>
      </c>
      <c r="H14" s="48">
        <f t="shared" si="2"/>
        <v>3553104597.3199997</v>
      </c>
      <c r="I14" s="48">
        <f t="shared" si="2"/>
        <v>3379120624.0300002</v>
      </c>
      <c r="J14" s="48">
        <f t="shared" si="2"/>
        <v>3143130880.5099998</v>
      </c>
      <c r="K14" s="48">
        <f t="shared" si="2"/>
        <v>2963681471.9000001</v>
      </c>
      <c r="L14" s="48">
        <f t="shared" si="2"/>
        <v>2881482643.0299997</v>
      </c>
      <c r="M14" s="48">
        <f t="shared" si="2"/>
        <v>2770141834.1799998</v>
      </c>
      <c r="N14" s="48">
        <f t="shared" si="2"/>
        <v>2546401388.6300001</v>
      </c>
      <c r="O14" s="48">
        <f t="shared" si="2"/>
        <v>2402871215.6399999</v>
      </c>
      <c r="P14" s="48">
        <f t="shared" si="2"/>
        <v>2608400747.6599998</v>
      </c>
      <c r="Q14" s="48">
        <f t="shared" si="2"/>
        <v>2492915605.7700005</v>
      </c>
      <c r="R14" s="48">
        <f t="shared" si="2"/>
        <v>2308488151.73</v>
      </c>
      <c r="S14" s="48">
        <f t="shared" si="2"/>
        <v>2192212395.2799997</v>
      </c>
      <c r="T14" s="48">
        <f t="shared" si="2"/>
        <v>2229681235.0799999</v>
      </c>
      <c r="U14" s="48">
        <f t="shared" si="2"/>
        <v>2133306409.3499999</v>
      </c>
      <c r="V14" s="48">
        <f t="shared" si="2"/>
        <v>2030685494.9299998</v>
      </c>
      <c r="W14" s="48">
        <f t="shared" si="2"/>
        <v>1930708956.6900001</v>
      </c>
      <c r="X14" s="48">
        <f t="shared" si="2"/>
        <v>1977896014.0700002</v>
      </c>
      <c r="Y14" s="48">
        <f t="shared" si="2"/>
        <v>1892220602.73</v>
      </c>
      <c r="Z14" s="48">
        <f t="shared" si="2"/>
        <v>1763420146.3699999</v>
      </c>
      <c r="AA14" s="48">
        <f t="shared" si="2"/>
        <v>1643908869.0700002</v>
      </c>
      <c r="AB14" s="48">
        <f t="shared" si="2"/>
        <v>1756834966.6400001</v>
      </c>
      <c r="AC14" s="48">
        <f t="shared" si="2"/>
        <v>1650493578.27</v>
      </c>
      <c r="AD14" s="48">
        <f t="shared" si="2"/>
        <v>1556751168.1599998</v>
      </c>
      <c r="AE14" s="48">
        <f t="shared" si="2"/>
        <v>1439317961.3000002</v>
      </c>
      <c r="AF14" s="48">
        <f t="shared" si="2"/>
        <v>1533876742.3699999</v>
      </c>
      <c r="AG14" s="48">
        <f t="shared" si="2"/>
        <v>1476505584.9100001</v>
      </c>
      <c r="AH14" s="48">
        <f t="shared" si="2"/>
        <v>1378242583.3099999</v>
      </c>
      <c r="AI14" s="48">
        <f t="shared" si="2"/>
        <v>1311332115.0699999</v>
      </c>
      <c r="AJ14" s="48">
        <f t="shared" si="2"/>
        <v>1382399929.6199999</v>
      </c>
      <c r="AK14" s="48">
        <f t="shared" si="2"/>
        <v>1332248508.1300001</v>
      </c>
      <c r="AL14" s="48">
        <f t="shared" si="2"/>
        <v>1288752066.0799999</v>
      </c>
      <c r="AM14" s="48">
        <f t="shared" si="2"/>
        <v>331008478.93000001</v>
      </c>
      <c r="AN14" s="48">
        <f t="shared" si="2"/>
        <v>301337851.48000002</v>
      </c>
      <c r="AO14" s="48">
        <f t="shared" si="2"/>
        <v>238297533.64999998</v>
      </c>
      <c r="AP14" s="48">
        <f t="shared" si="2"/>
        <v>155756895.01000002</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535610305.74999976</v>
      </c>
      <c r="F15" s="58">
        <f t="shared" ref="F15:BQ15" si="4">F11+F13-F3-F4-F7</f>
        <v>179505890.8900001</v>
      </c>
      <c r="G15" s="58">
        <f t="shared" si="4"/>
        <v>430823420.4199996</v>
      </c>
      <c r="H15" s="58">
        <f t="shared" si="4"/>
        <v>673095974.13999987</v>
      </c>
      <c r="I15" s="58">
        <f t="shared" si="4"/>
        <v>1146651166.3400002</v>
      </c>
      <c r="J15" s="58">
        <f t="shared" si="4"/>
        <v>695254236.98000014</v>
      </c>
      <c r="K15" s="58">
        <f t="shared" si="4"/>
        <v>456701245.65000021</v>
      </c>
      <c r="L15" s="58">
        <f t="shared" si="4"/>
        <v>696484046.78999984</v>
      </c>
      <c r="M15" s="58">
        <f t="shared" si="4"/>
        <v>593286609.92999995</v>
      </c>
      <c r="N15" s="58">
        <f t="shared" si="4"/>
        <v>797669458.75</v>
      </c>
      <c r="O15" s="58">
        <f t="shared" si="4"/>
        <v>619994822.77999985</v>
      </c>
      <c r="P15" s="58">
        <f t="shared" si="4"/>
        <v>669893756.86999989</v>
      </c>
      <c r="Q15" s="58">
        <f t="shared" si="4"/>
        <v>647204677.45000029</v>
      </c>
      <c r="R15" s="58">
        <f t="shared" si="4"/>
        <v>629117054.61000013</v>
      </c>
      <c r="S15" s="58">
        <f t="shared" si="4"/>
        <v>835542721.86999989</v>
      </c>
      <c r="T15" s="58">
        <f t="shared" si="4"/>
        <v>884858061.70000005</v>
      </c>
      <c r="U15" s="58">
        <f t="shared" si="4"/>
        <v>932276706.14999986</v>
      </c>
      <c r="V15" s="58">
        <f t="shared" si="4"/>
        <v>952923862.07999992</v>
      </c>
      <c r="W15" s="58">
        <f t="shared" si="4"/>
        <v>769157162.38</v>
      </c>
      <c r="X15" s="58">
        <f t="shared" si="4"/>
        <v>991763885.86000025</v>
      </c>
      <c r="Y15" s="58">
        <f t="shared" si="4"/>
        <v>956043885.24000001</v>
      </c>
      <c r="Z15" s="58">
        <f t="shared" si="4"/>
        <v>803173622.38</v>
      </c>
      <c r="AA15" s="58">
        <f t="shared" si="4"/>
        <v>667828913.97000015</v>
      </c>
      <c r="AB15" s="58">
        <f t="shared" si="4"/>
        <v>1014024416.74</v>
      </c>
      <c r="AC15" s="58">
        <f t="shared" si="4"/>
        <v>1002302902.5700001</v>
      </c>
      <c r="AD15" s="58">
        <f t="shared" si="4"/>
        <v>982362386.38999987</v>
      </c>
      <c r="AE15" s="58">
        <f t="shared" si="4"/>
        <v>862194779.22000003</v>
      </c>
      <c r="AF15" s="58">
        <f t="shared" si="4"/>
        <v>1151874426.3</v>
      </c>
      <c r="AG15" s="58">
        <f t="shared" si="4"/>
        <v>1057191976.4500002</v>
      </c>
      <c r="AH15" s="58">
        <f t="shared" si="4"/>
        <v>960610001.01999998</v>
      </c>
      <c r="AI15" s="58">
        <f t="shared" si="4"/>
        <v>930790908.42999995</v>
      </c>
      <c r="AJ15" s="58">
        <f t="shared" si="4"/>
        <v>1127355392.73</v>
      </c>
      <c r="AK15" s="58">
        <f t="shared" si="4"/>
        <v>1066884381.7</v>
      </c>
      <c r="AL15" s="58">
        <f t="shared" si="4"/>
        <v>1057983159.1099999</v>
      </c>
      <c r="AM15" s="58">
        <f t="shared" si="4"/>
        <v>74808751.980000034</v>
      </c>
      <c r="AN15" s="58">
        <f t="shared" si="4"/>
        <v>78505801.079999998</v>
      </c>
      <c r="AO15" s="58">
        <f t="shared" si="4"/>
        <v>45134671.979999989</v>
      </c>
      <c r="AP15" s="58">
        <f t="shared" si="4"/>
        <v>24560604.959999993</v>
      </c>
      <c r="AQ15" s="58">
        <f t="shared" si="4"/>
        <v>0</v>
      </c>
      <c r="AR15" s="58">
        <f t="shared" si="4"/>
        <v>0</v>
      </c>
      <c r="AS15" s="58">
        <f t="shared" si="4"/>
        <v>0</v>
      </c>
      <c r="AT15" s="58">
        <f t="shared" si="4"/>
        <v>0</v>
      </c>
      <c r="AU15" s="58">
        <f t="shared" si="4"/>
        <v>0</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-535610305.74999994</v>
      </c>
      <c r="F16" s="58">
        <f t="shared" ref="F16:BQ16" si="6">F10-F2</f>
        <v>-179505890.88999993</v>
      </c>
      <c r="G16" s="58">
        <f t="shared" si="6"/>
        <v>-430823420.41999996</v>
      </c>
      <c r="H16" s="58">
        <f t="shared" si="6"/>
        <v>-673095974.13999999</v>
      </c>
      <c r="I16" s="58">
        <f t="shared" si="6"/>
        <v>-1146651166.3399999</v>
      </c>
      <c r="J16" s="58">
        <f t="shared" si="6"/>
        <v>-695254236.98000002</v>
      </c>
      <c r="K16" s="58">
        <f t="shared" si="6"/>
        <v>-456701245.64999998</v>
      </c>
      <c r="L16" s="58">
        <f t="shared" si="6"/>
        <v>-696484046.78999996</v>
      </c>
      <c r="M16" s="58">
        <f t="shared" si="6"/>
        <v>-593286609.92999995</v>
      </c>
      <c r="N16" s="58">
        <f t="shared" si="6"/>
        <v>-797669458.75</v>
      </c>
      <c r="O16" s="58">
        <f t="shared" si="6"/>
        <v>-619994822.77999997</v>
      </c>
      <c r="P16" s="58">
        <f t="shared" si="6"/>
        <v>-669893756.87</v>
      </c>
      <c r="Q16" s="58">
        <f t="shared" si="6"/>
        <v>-647204677.45000005</v>
      </c>
      <c r="R16" s="58">
        <f t="shared" si="6"/>
        <v>-629117054.61000001</v>
      </c>
      <c r="S16" s="58">
        <f t="shared" si="6"/>
        <v>-835542721.87</v>
      </c>
      <c r="T16" s="58">
        <f t="shared" si="6"/>
        <v>-884858061.70000005</v>
      </c>
      <c r="U16" s="58">
        <f t="shared" si="6"/>
        <v>-932276706.14999998</v>
      </c>
      <c r="V16" s="58">
        <f t="shared" si="6"/>
        <v>-952923862.08000004</v>
      </c>
      <c r="W16" s="58">
        <f t="shared" si="6"/>
        <v>-769157162.38</v>
      </c>
      <c r="X16" s="58">
        <f t="shared" si="6"/>
        <v>-991763885.86000001</v>
      </c>
      <c r="Y16" s="58">
        <f t="shared" si="6"/>
        <v>-956043885.24000001</v>
      </c>
      <c r="Z16" s="58">
        <f t="shared" si="6"/>
        <v>-803173622.38</v>
      </c>
      <c r="AA16" s="58">
        <f t="shared" si="6"/>
        <v>-667828913.97000003</v>
      </c>
      <c r="AB16" s="58">
        <f t="shared" si="6"/>
        <v>-1014024416.74</v>
      </c>
      <c r="AC16" s="58">
        <f t="shared" si="6"/>
        <v>-1002302902.5700001</v>
      </c>
      <c r="AD16" s="58">
        <f t="shared" si="6"/>
        <v>-982362386.38999999</v>
      </c>
      <c r="AE16" s="58">
        <f t="shared" si="6"/>
        <v>-862194779.22000003</v>
      </c>
      <c r="AF16" s="58">
        <f t="shared" si="6"/>
        <v>-1151874426.3</v>
      </c>
      <c r="AG16" s="58">
        <f t="shared" si="6"/>
        <v>-1057191976.45</v>
      </c>
      <c r="AH16" s="58">
        <f t="shared" si="6"/>
        <v>-960610001.01999998</v>
      </c>
      <c r="AI16" s="58">
        <f t="shared" si="6"/>
        <v>-930790908.42999995</v>
      </c>
      <c r="AJ16" s="58">
        <f t="shared" si="6"/>
        <v>-1127355392.73</v>
      </c>
      <c r="AK16" s="58">
        <f t="shared" si="6"/>
        <v>-1066884381.7</v>
      </c>
      <c r="AL16" s="58">
        <f t="shared" si="6"/>
        <v>-1057983159.11</v>
      </c>
      <c r="AM16" s="58">
        <f t="shared" si="6"/>
        <v>-74808751.980000004</v>
      </c>
      <c r="AN16" s="58">
        <f t="shared" si="6"/>
        <v>-78505801.079999998</v>
      </c>
      <c r="AO16" s="58">
        <f t="shared" si="6"/>
        <v>-45134671.980000004</v>
      </c>
      <c r="AP16" s="58">
        <f t="shared" si="6"/>
        <v>-24560604.960000001</v>
      </c>
      <c r="AQ16" s="58">
        <f t="shared" si="6"/>
        <v>0</v>
      </c>
      <c r="AR16" s="58">
        <f t="shared" si="6"/>
        <v>0</v>
      </c>
      <c r="AS16" s="58">
        <f t="shared" si="6"/>
        <v>0</v>
      </c>
      <c r="AT16" s="58">
        <f t="shared" si="6"/>
        <v>0</v>
      </c>
      <c r="AU16" s="58">
        <f t="shared" si="6"/>
        <v>0</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664</v>
      </c>
      <c r="E17" s="59">
        <f>(E11+E13-E7-E3)/E4</f>
        <v>1.3353641395818787</v>
      </c>
      <c r="F17" s="59">
        <f t="shared" ref="F17:BQ17" si="8">(F11+F13-F7-F3)/F4</f>
        <v>1.1023029431117741</v>
      </c>
      <c r="G17" s="59">
        <f t="shared" si="8"/>
        <v>1.3193325529409599</v>
      </c>
      <c r="H17" s="59">
        <f t="shared" si="8"/>
        <v>1.5263701978369379</v>
      </c>
      <c r="I17" s="59">
        <f t="shared" si="8"/>
        <v>2.2082102011984115</v>
      </c>
      <c r="J17" s="59">
        <f t="shared" si="8"/>
        <v>1.5346067679388271</v>
      </c>
      <c r="K17" s="59">
        <f t="shared" si="8"/>
        <v>1.3420715989002865</v>
      </c>
      <c r="L17" s="59">
        <f t="shared" si="8"/>
        <v>1.5953228167800884</v>
      </c>
      <c r="M17" s="59">
        <f t="shared" si="8"/>
        <v>1.5127376497494665</v>
      </c>
      <c r="N17" s="59">
        <f t="shared" si="8"/>
        <v>1.8676434121765251</v>
      </c>
      <c r="O17" s="59">
        <f t="shared" si="8"/>
        <v>1.645325810950516</v>
      </c>
      <c r="P17" s="59">
        <f t="shared" si="8"/>
        <v>1.6017856579114642</v>
      </c>
      <c r="Q17" s="59">
        <f t="shared" si="8"/>
        <v>1.6343844568609289</v>
      </c>
      <c r="R17" s="59">
        <f t="shared" si="8"/>
        <v>1.6164010874967298</v>
      </c>
      <c r="S17" s="59">
        <f t="shared" si="8"/>
        <v>2.1703606578206873</v>
      </c>
      <c r="T17" s="59">
        <f t="shared" si="8"/>
        <v>2.2520699119707714</v>
      </c>
      <c r="U17" s="59">
        <f t="shared" si="8"/>
        <v>2.680554397223768</v>
      </c>
      <c r="V17" s="59">
        <f t="shared" si="8"/>
        <v>3.1656757789819099</v>
      </c>
      <c r="W17" s="59">
        <f t="shared" si="8"/>
        <v>2.2701644440024991</v>
      </c>
      <c r="X17" s="59">
        <f t="shared" si="8"/>
        <v>3.1509004266720897</v>
      </c>
      <c r="Y17" s="59">
        <f t="shared" si="8"/>
        <v>3.2675187017344172</v>
      </c>
      <c r="Z17" s="59">
        <f t="shared" si="8"/>
        <v>2.7330012994230133</v>
      </c>
      <c r="AA17" s="59">
        <f t="shared" si="8"/>
        <v>2.2412165272115181</v>
      </c>
      <c r="AB17" s="59">
        <f t="shared" si="8"/>
        <v>4.1862538434038825</v>
      </c>
      <c r="AC17" s="59">
        <f t="shared" si="8"/>
        <v>5.1427517882387095</v>
      </c>
      <c r="AD17" s="59">
        <f t="shared" si="8"/>
        <v>4.7604811828509996</v>
      </c>
      <c r="AE17" s="59">
        <f t="shared" si="8"/>
        <v>3.6824577337370017</v>
      </c>
      <c r="AF17" s="59">
        <f t="shared" si="8"/>
        <v>8.781866119661716</v>
      </c>
      <c r="AG17" s="59">
        <f t="shared" si="8"/>
        <v>6.169695716788568</v>
      </c>
      <c r="AH17" s="59">
        <f t="shared" si="8"/>
        <v>4.4063365873740485</v>
      </c>
      <c r="AI17" s="59">
        <f t="shared" si="8"/>
        <v>4.6814218279065747</v>
      </c>
      <c r="AJ17" s="59">
        <f t="shared" si="8"/>
        <v>9.882182916478893</v>
      </c>
      <c r="AK17" s="59">
        <f t="shared" si="8"/>
        <v>8.7634641690997288</v>
      </c>
      <c r="AL17" s="59">
        <f t="shared" si="8"/>
        <v>8.9185175435872956</v>
      </c>
      <c r="AM17" s="59">
        <f t="shared" si="8"/>
        <v>1.4736337935223385</v>
      </c>
      <c r="AN17" s="59">
        <f t="shared" si="8"/>
        <v>1.6495623810094462</v>
      </c>
      <c r="AO17" s="59">
        <f t="shared" si="8"/>
        <v>1.4093259131914415</v>
      </c>
      <c r="AP17" s="59">
        <f t="shared" si="8"/>
        <v>1.6305538938648951</v>
      </c>
      <c r="AQ17" s="59" t="e">
        <f t="shared" si="8"/>
        <v>#DIV/0!</v>
      </c>
      <c r="AR17" s="59" t="e">
        <f t="shared" si="8"/>
        <v>#DIV/0!</v>
      </c>
      <c r="AS17" s="59" t="e">
        <f t="shared" si="8"/>
        <v>#DIV/0!</v>
      </c>
      <c r="AT17" s="59" t="e">
        <f t="shared" si="8"/>
        <v>#DIV/0!</v>
      </c>
      <c r="AU17" s="59" t="e">
        <f t="shared" si="8"/>
        <v>#DIV/0!</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743</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573</v>
      </c>
      <c r="B19" s="114"/>
      <c r="C19" s="114"/>
      <c r="D19" s="114"/>
      <c r="E19" s="114" t="s">
        <v>566</v>
      </c>
      <c r="F19" s="114"/>
      <c r="G19" s="114"/>
      <c r="H19" s="114"/>
      <c r="I19" s="114" t="s">
        <v>601</v>
      </c>
      <c r="M19" s="114" t="s">
        <v>568</v>
      </c>
      <c r="N19" s="63"/>
      <c r="O19" s="63"/>
      <c r="P19" s="63"/>
      <c r="Q19" s="63"/>
      <c r="R19" s="63"/>
      <c r="S19" s="63"/>
      <c r="T19" s="63"/>
      <c r="U19" s="63"/>
    </row>
    <row r="20" spans="1:90" s="63" customFormat="1" ht="14.25" customHeight="1" x14ac:dyDescent="0.25">
      <c r="A20" s="113" t="s">
        <v>574</v>
      </c>
      <c r="B20" s="115"/>
      <c r="C20" s="115"/>
      <c r="D20" s="115"/>
      <c r="E20" s="115">
        <f>POWER(E9/U9,1/5)-1</f>
        <v>9.8733348570232859E-2</v>
      </c>
      <c r="F20" s="115"/>
      <c r="G20" s="115"/>
      <c r="H20" s="115"/>
      <c r="I20" s="115">
        <f>POWER(E9/Y9,1/6)-1</f>
        <v>0.10346145437546461</v>
      </c>
      <c r="M20" s="115">
        <f>POWER(E9/AC9,1/7)-1</f>
        <v>0.10950357114226428</v>
      </c>
    </row>
    <row r="21" spans="1:90" s="63" customFormat="1" ht="14.25" customHeight="1" x14ac:dyDescent="0.25">
      <c r="A21" s="113" t="s">
        <v>572</v>
      </c>
      <c r="B21" s="115"/>
      <c r="C21" s="115"/>
      <c r="D21" s="115"/>
      <c r="E21" s="115">
        <f>POWER(E4/U4,1/5)-1</f>
        <v>0.23551496156743967</v>
      </c>
      <c r="F21" s="115"/>
      <c r="G21" s="115"/>
      <c r="H21" s="115"/>
      <c r="I21" s="115">
        <f>POWER(E4/Y4,1/6)-1</f>
        <v>0.24853549078698123</v>
      </c>
      <c r="M21" s="115">
        <f>POWER(E4/AC4,1/7)-1</f>
        <v>0.30944990889658497</v>
      </c>
    </row>
    <row r="22" spans="1:90" s="63" customFormat="1" ht="14.25" customHeight="1" x14ac:dyDescent="0.25">
      <c r="A22" s="113" t="s">
        <v>575</v>
      </c>
      <c r="B22" s="115"/>
      <c r="C22" s="115"/>
      <c r="D22" s="115"/>
      <c r="E22" s="115">
        <f>POWER(E5/U5,1/5)-1</f>
        <v>0.20549119347935996</v>
      </c>
      <c r="F22" s="115"/>
      <c r="G22" s="115"/>
      <c r="H22" s="115"/>
      <c r="I22" s="115">
        <f>POWER(E5/Y5,1/6)-1</f>
        <v>0.2091268898762928</v>
      </c>
      <c r="M22" s="115">
        <f>POWER(E5/AC5,1/7)-1</f>
        <v>0.20305569253420619</v>
      </c>
    </row>
    <row r="23" spans="1:90" s="63" customFormat="1" ht="14.25" customHeight="1" x14ac:dyDescent="0.25">
      <c r="A23" s="113" t="s">
        <v>576</v>
      </c>
      <c r="B23" s="115"/>
      <c r="C23" s="115"/>
      <c r="D23" s="115"/>
      <c r="E23" s="115">
        <f>POWER(E6/U6,1/5)-1</f>
        <v>0.169187573325007</v>
      </c>
      <c r="F23" s="115"/>
      <c r="G23" s="115"/>
      <c r="H23" s="115"/>
      <c r="I23" s="115">
        <f>POWER(E6/Y6,1/6)-1</f>
        <v>0.16500706356551809</v>
      </c>
      <c r="M23" s="115">
        <f>POWER(E6/AC6,1/7)-1</f>
        <v>0.12110225506243233</v>
      </c>
    </row>
    <row r="24" spans="1:90" s="63" customFormat="1" ht="14.25" customHeight="1" x14ac:dyDescent="0.25">
      <c r="A24" s="113" t="s">
        <v>577</v>
      </c>
      <c r="B24" s="115"/>
      <c r="C24" s="115"/>
      <c r="D24" s="115"/>
      <c r="E24" s="115">
        <f>POWER(E7/U7,1/5)-1</f>
        <v>0.10877149597004898</v>
      </c>
      <c r="F24" s="115"/>
      <c r="G24" s="115"/>
      <c r="H24" s="115"/>
      <c r="I24" s="115">
        <f>POWER(E7/Y7,1/6)-1</f>
        <v>0.13205561261986909</v>
      </c>
      <c r="M24" s="115">
        <f>POWER(E7/AC7,1/7)-1</f>
        <v>0.15036228705993127</v>
      </c>
    </row>
    <row r="25" spans="1:90" s="107" customFormat="1" x14ac:dyDescent="0.25">
      <c r="A25" s="143" t="s">
        <v>553</v>
      </c>
      <c r="B25" s="108"/>
      <c r="C25" s="108"/>
      <c r="D25" s="108"/>
      <c r="E25" s="108">
        <f>(E2-I2)/I2</f>
        <v>-0.52617034561550247</v>
      </c>
      <c r="F25" s="108">
        <f t="shared" ref="F25:BQ25" si="10">(F2-J2)/J2</f>
        <v>-0.42035105014809687</v>
      </c>
      <c r="G25" s="108">
        <f t="shared" si="10"/>
        <v>9.0392190288933721E-2</v>
      </c>
      <c r="H25" s="108">
        <f t="shared" si="10"/>
        <v>0.33695409566785767</v>
      </c>
      <c r="I25" s="108">
        <f t="shared" si="10"/>
        <v>1.2309218137585185</v>
      </c>
      <c r="J25" s="107">
        <f t="shared" si="10"/>
        <v>0.17248344752424685</v>
      </c>
      <c r="K25" s="107">
        <f t="shared" si="10"/>
        <v>0.17210857082892755</v>
      </c>
      <c r="L25" s="107">
        <f t="shared" si="10"/>
        <v>0.18897069665416533</v>
      </c>
      <c r="M25" s="108">
        <f t="shared" si="10"/>
        <v>7.1668233290207259E-2</v>
      </c>
      <c r="N25" s="108">
        <f t="shared" si="10"/>
        <v>0.2679189872614221</v>
      </c>
      <c r="O25" s="108">
        <f t="shared" si="10"/>
        <v>-0.25797352241617227</v>
      </c>
      <c r="P25" s="108">
        <f t="shared" si="10"/>
        <v>-0.24293648228395864</v>
      </c>
      <c r="Q25" s="108">
        <f t="shared" si="10"/>
        <v>-0.30578049072710917</v>
      </c>
      <c r="R25" s="108">
        <f t="shared" si="10"/>
        <v>-0.33980344113034261</v>
      </c>
      <c r="S25" s="108">
        <f t="shared" si="10"/>
        <v>8.6309486197311658E-2</v>
      </c>
      <c r="T25" s="108">
        <f t="shared" si="10"/>
        <v>-0.10779362475706347</v>
      </c>
      <c r="U25" s="108">
        <f t="shared" si="10"/>
        <v>-2.4859924797315816E-2</v>
      </c>
      <c r="V25" s="107">
        <f t="shared" si="10"/>
        <v>0.1864481545798945</v>
      </c>
      <c r="W25" s="107">
        <f t="shared" si="10"/>
        <v>0.15172785468008623</v>
      </c>
      <c r="X25" s="107">
        <f t="shared" si="10"/>
        <v>-2.1952657660419716E-2</v>
      </c>
      <c r="Y25" s="107">
        <f t="shared" si="10"/>
        <v>-4.6152732084669731E-2</v>
      </c>
      <c r="Z25" s="107">
        <f t="shared" si="10"/>
        <v>-0.18240597002953823</v>
      </c>
      <c r="AA25" s="107">
        <f t="shared" si="10"/>
        <v>-0.225431503338302</v>
      </c>
      <c r="AB25" s="107">
        <f t="shared" si="10"/>
        <v>-0.11967451174586421</v>
      </c>
      <c r="AC25" s="107">
        <f t="shared" si="10"/>
        <v>-5.1919684506417534E-2</v>
      </c>
      <c r="AD25" s="107">
        <f t="shared" si="10"/>
        <v>2.264434614141303E-2</v>
      </c>
      <c r="AE25" s="107">
        <f t="shared" si="10"/>
        <v>-7.3696604241336644E-2</v>
      </c>
      <c r="AF25" s="107">
        <f t="shared" si="10"/>
        <v>2.1749160671174619E-2</v>
      </c>
      <c r="AG25" s="107">
        <f t="shared" si="10"/>
        <v>-9.0847756479065529E-3</v>
      </c>
      <c r="AH25" s="107">
        <f t="shared" si="10"/>
        <v>-9.2036586075635266E-2</v>
      </c>
      <c r="AI25" s="107">
        <f t="shared" si="10"/>
        <v>11.442272913185951</v>
      </c>
      <c r="AJ25" s="107">
        <f t="shared" si="10"/>
        <v>13.360153991438004</v>
      </c>
      <c r="AK25" s="107">
        <f t="shared" si="10"/>
        <v>20.275937875267974</v>
      </c>
      <c r="AL25" s="107">
        <f t="shared" si="10"/>
        <v>19.110067877300036</v>
      </c>
      <c r="AM25" s="107" t="e">
        <f t="shared" si="10"/>
        <v>#DIV/0!</v>
      </c>
      <c r="AN25" s="107" t="e">
        <f t="shared" si="10"/>
        <v>#DIV/0!</v>
      </c>
      <c r="AO25" s="107" t="e">
        <f t="shared" si="10"/>
        <v>#DIV/0!</v>
      </c>
      <c r="AP25" s="107" t="e">
        <f t="shared" si="10"/>
        <v>#DIV/0!</v>
      </c>
      <c r="AQ25" s="107" t="e">
        <f t="shared" si="10"/>
        <v>#DIV/0!</v>
      </c>
      <c r="AR25" s="107" t="e">
        <f t="shared" si="10"/>
        <v>#DIV/0!</v>
      </c>
      <c r="AS25" s="107" t="e">
        <f t="shared" si="10"/>
        <v>#DIV/0!</v>
      </c>
      <c r="AT25" s="107" t="e">
        <f t="shared" si="10"/>
        <v>#DIV/0!</v>
      </c>
      <c r="AU25" s="107" t="e">
        <f t="shared" si="10"/>
        <v>#DIV/0!</v>
      </c>
      <c r="AV25" s="107" t="e">
        <f t="shared" si="10"/>
        <v>#DIV/0!</v>
      </c>
      <c r="AW25" s="107" t="e">
        <f t="shared" si="10"/>
        <v>#DIV/0!</v>
      </c>
      <c r="AX25" s="107" t="e">
        <f t="shared" si="10"/>
        <v>#DIV/0!</v>
      </c>
      <c r="AY25" s="107" t="e">
        <f t="shared" si="10"/>
        <v>#DIV/0!</v>
      </c>
      <c r="AZ25" s="107" t="e">
        <f t="shared" si="10"/>
        <v>#DIV/0!</v>
      </c>
      <c r="BA25" s="107" t="e">
        <f t="shared" si="10"/>
        <v>#DIV/0!</v>
      </c>
      <c r="BB25" s="107" t="e">
        <f t="shared" si="10"/>
        <v>#DIV/0!</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561</v>
      </c>
      <c r="E26" s="108">
        <f>E2/E9</f>
        <v>0.21463167862036087</v>
      </c>
      <c r="F26" s="108">
        <f t="shared" ref="F26:BQ26" si="12">F2/F9</f>
        <v>0.15626478545075001</v>
      </c>
      <c r="G26" s="108">
        <f t="shared" si="12"/>
        <v>0.23766010325584033</v>
      </c>
      <c r="H26" s="108">
        <f t="shared" si="12"/>
        <v>0.29969920088848329</v>
      </c>
      <c r="I26" s="108">
        <f t="shared" si="12"/>
        <v>0.45791266951713955</v>
      </c>
      <c r="J26" s="108">
        <f t="shared" si="12"/>
        <v>0.29755497703876937</v>
      </c>
      <c r="K26" s="108">
        <f t="shared" si="12"/>
        <v>0.24520220966395412</v>
      </c>
      <c r="L26" s="108">
        <f t="shared" si="12"/>
        <v>0.27641466059724851</v>
      </c>
      <c r="M26" s="108">
        <f t="shared" si="12"/>
        <v>0.25038020967085672</v>
      </c>
      <c r="N26" s="108">
        <f t="shared" si="12"/>
        <v>0.31325362227325732</v>
      </c>
      <c r="O26" s="108">
        <f t="shared" si="12"/>
        <v>0.25802249356708268</v>
      </c>
      <c r="P26" s="108">
        <f t="shared" si="12"/>
        <v>0.2568216396468076</v>
      </c>
      <c r="Q26" s="108">
        <f t="shared" si="12"/>
        <v>0.25961756424967081</v>
      </c>
      <c r="R26" s="108">
        <f t="shared" si="12"/>
        <v>0.27252340634217009</v>
      </c>
      <c r="S26" s="108">
        <f t="shared" si="12"/>
        <v>0.38114131808988361</v>
      </c>
      <c r="T26" s="108">
        <f t="shared" si="12"/>
        <v>0.39685406495707076</v>
      </c>
      <c r="U26" s="108">
        <f t="shared" si="12"/>
        <v>0.43701022134652312</v>
      </c>
      <c r="V26" s="108">
        <f t="shared" si="12"/>
        <v>0.46926216022085115</v>
      </c>
      <c r="W26" s="108">
        <f t="shared" si="12"/>
        <v>0.39838068794099346</v>
      </c>
      <c r="X26" s="108">
        <f t="shared" si="12"/>
        <v>0.50142367384582853</v>
      </c>
      <c r="Y26" s="108">
        <f t="shared" si="12"/>
        <v>0.50524969649979945</v>
      </c>
      <c r="Z26" s="108">
        <f t="shared" si="12"/>
        <v>0.45546356268716381</v>
      </c>
      <c r="AA26" s="108">
        <f t="shared" si="12"/>
        <v>0.40624448625781023</v>
      </c>
      <c r="AB26" s="108">
        <f t="shared" si="12"/>
        <v>0.57718820264566584</v>
      </c>
      <c r="AC26" s="108">
        <f t="shared" si="12"/>
        <v>0.60727464545520082</v>
      </c>
      <c r="AD26" s="108">
        <f t="shared" si="12"/>
        <v>0.63103365938122402</v>
      </c>
      <c r="AE26" s="108">
        <f t="shared" si="12"/>
        <v>0.59903009786750716</v>
      </c>
      <c r="AF26" s="108">
        <f t="shared" si="12"/>
        <v>0.75095631512101391</v>
      </c>
      <c r="AG26" s="108">
        <f t="shared" si="12"/>
        <v>0.71600946671288135</v>
      </c>
      <c r="AH26" s="108">
        <f t="shared" si="12"/>
        <v>0.69698180324177061</v>
      </c>
      <c r="AI26" s="108">
        <f t="shared" si="12"/>
        <v>0.70980562264374469</v>
      </c>
      <c r="AJ26" s="108">
        <f t="shared" si="12"/>
        <v>0.81550596797259123</v>
      </c>
      <c r="AK26" s="108">
        <f t="shared" si="12"/>
        <v>0.80081484436978179</v>
      </c>
      <c r="AL26" s="108">
        <f t="shared" si="12"/>
        <v>0.82093614974994356</v>
      </c>
      <c r="AM26" s="108">
        <f t="shared" si="12"/>
        <v>0.22600252483508187</v>
      </c>
      <c r="AN26" s="108">
        <f t="shared" si="12"/>
        <v>0.26052419466862259</v>
      </c>
      <c r="AO26" s="108">
        <f t="shared" si="12"/>
        <v>0.21043069834558487</v>
      </c>
      <c r="AP26" s="108">
        <f t="shared" si="12"/>
        <v>0.33776756050910184</v>
      </c>
      <c r="AQ26" s="108" t="e">
        <f t="shared" si="12"/>
        <v>#DIV/0!</v>
      </c>
      <c r="AR26" s="108" t="e">
        <f t="shared" si="12"/>
        <v>#DIV/0!</v>
      </c>
      <c r="AS26" s="108" t="e">
        <f t="shared" si="12"/>
        <v>#DIV/0!</v>
      </c>
      <c r="AT26" s="108" t="e">
        <f t="shared" si="12"/>
        <v>#DIV/0!</v>
      </c>
      <c r="AU26" s="108" t="e">
        <f t="shared" si="12"/>
        <v>#DIV/0!</v>
      </c>
      <c r="AV26" s="108" t="e">
        <f t="shared" si="12"/>
        <v>#DIV/0!</v>
      </c>
      <c r="AW26" s="108" t="e">
        <f t="shared" si="12"/>
        <v>#DIV/0!</v>
      </c>
      <c r="AX26" s="108" t="e">
        <f t="shared" si="12"/>
        <v>#DIV/0!</v>
      </c>
      <c r="AY26" s="108" t="e">
        <f t="shared" si="12"/>
        <v>#DIV/0!</v>
      </c>
      <c r="AZ26" s="108" t="e">
        <f t="shared" si="12"/>
        <v>#DIV/0!</v>
      </c>
      <c r="BA26" s="108" t="e">
        <f t="shared" si="12"/>
        <v>#DIV/0!</v>
      </c>
      <c r="BB26" s="108" t="e">
        <f t="shared" si="12"/>
        <v>#DIV/0!</v>
      </c>
      <c r="BC26" s="108" t="e">
        <f t="shared" si="12"/>
        <v>#DIV/0!</v>
      </c>
      <c r="BD26" s="108" t="e">
        <f t="shared" si="12"/>
        <v>#DIV/0!</v>
      </c>
      <c r="BE26" s="108" t="e">
        <f t="shared" si="12"/>
        <v>#DIV/0!</v>
      </c>
      <c r="BF26" s="108" t="e">
        <f t="shared" si="12"/>
        <v>#DIV/0!</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554</v>
      </c>
      <c r="E27" s="109">
        <f>(E3-I3)/I3</f>
        <v>-0.93933822608308148</v>
      </c>
      <c r="F27" s="109">
        <f t="shared" ref="F27:BQ27" si="14">(F3-J3)/J3</f>
        <v>-0.2138246635581095</v>
      </c>
      <c r="G27" s="109">
        <f t="shared" si="14"/>
        <v>-0.22960049468916902</v>
      </c>
      <c r="H27" s="109">
        <f t="shared" si="14"/>
        <v>-5.1717250600071395E-2</v>
      </c>
      <c r="I27" s="109">
        <f t="shared" si="14"/>
        <v>-8.6203384255491095E-2</v>
      </c>
      <c r="J27" s="109" t="e">
        <f t="shared" si="14"/>
        <v>#DIV/0!</v>
      </c>
      <c r="K27" s="109" t="e">
        <f t="shared" si="14"/>
        <v>#DIV/0!</v>
      </c>
      <c r="L27" s="109" t="e">
        <f t="shared" si="14"/>
        <v>#DIV/0!</v>
      </c>
      <c r="M27" s="109" t="e">
        <f t="shared" si="14"/>
        <v>#DIV/0!</v>
      </c>
      <c r="N27" s="109" t="e">
        <f t="shared" si="14"/>
        <v>#DIV/0!</v>
      </c>
      <c r="O27" s="109" t="e">
        <f t="shared" si="14"/>
        <v>#DIV/0!</v>
      </c>
      <c r="P27" s="109" t="e">
        <f t="shared" si="14"/>
        <v>#DIV/0!</v>
      </c>
      <c r="Q27" s="109" t="e">
        <f t="shared" si="14"/>
        <v>#DIV/0!</v>
      </c>
      <c r="R27" s="109" t="e">
        <f t="shared" si="14"/>
        <v>#DIV/0!</v>
      </c>
      <c r="S27" s="109" t="e">
        <f t="shared" si="14"/>
        <v>#DIV/0!</v>
      </c>
      <c r="T27" s="109" t="e">
        <f t="shared" si="14"/>
        <v>#DIV/0!</v>
      </c>
      <c r="U27" s="109" t="e">
        <f t="shared" si="14"/>
        <v>#DIV/0!</v>
      </c>
      <c r="V27" s="109" t="e">
        <f t="shared" si="14"/>
        <v>#DIV/0!</v>
      </c>
      <c r="W27" s="109" t="e">
        <f t="shared" si="14"/>
        <v>#DIV/0!</v>
      </c>
      <c r="X27" s="109" t="e">
        <f t="shared" si="14"/>
        <v>#DIV/0!</v>
      </c>
      <c r="Y27" s="109" t="e">
        <f t="shared" si="14"/>
        <v>#DIV/0!</v>
      </c>
      <c r="Z27" s="109" t="e">
        <f t="shared" si="14"/>
        <v>#DIV/0!</v>
      </c>
      <c r="AA27" s="109" t="e">
        <f t="shared" si="14"/>
        <v>#DIV/0!</v>
      </c>
      <c r="AB27" s="109" t="e">
        <f t="shared" si="14"/>
        <v>#DIV/0!</v>
      </c>
      <c r="AC27" s="109" t="e">
        <f t="shared" si="14"/>
        <v>#DIV/0!</v>
      </c>
      <c r="AD27" s="109" t="e">
        <f t="shared" si="14"/>
        <v>#DIV/0!</v>
      </c>
      <c r="AE27" s="109" t="e">
        <f t="shared" si="14"/>
        <v>#DIV/0!</v>
      </c>
      <c r="AF27" s="109" t="e">
        <f t="shared" si="14"/>
        <v>#DIV/0!</v>
      </c>
      <c r="AG27" s="109" t="e">
        <f t="shared" si="14"/>
        <v>#DIV/0!</v>
      </c>
      <c r="AH27" s="109" t="e">
        <f t="shared" si="14"/>
        <v>#DIV/0!</v>
      </c>
      <c r="AI27" s="109" t="e">
        <f t="shared" si="14"/>
        <v>#DIV/0!</v>
      </c>
      <c r="AJ27" s="109" t="e">
        <f t="shared" si="14"/>
        <v>#DIV/0!</v>
      </c>
      <c r="AK27" s="109" t="e">
        <f t="shared" si="14"/>
        <v>#DIV/0!</v>
      </c>
      <c r="AL27" s="109" t="e">
        <f t="shared" si="14"/>
        <v>#DIV/0!</v>
      </c>
      <c r="AM27" s="109" t="e">
        <f t="shared" si="14"/>
        <v>#DIV/0!</v>
      </c>
      <c r="AN27" s="109" t="e">
        <f t="shared" si="14"/>
        <v>#DIV/0!</v>
      </c>
      <c r="AO27" s="109" t="e">
        <f t="shared" si="14"/>
        <v>#DIV/0!</v>
      </c>
      <c r="AP27" s="109" t="e">
        <f t="shared" si="14"/>
        <v>#DIV/0!</v>
      </c>
      <c r="AQ27" s="109" t="e">
        <f t="shared" si="14"/>
        <v>#DIV/0!</v>
      </c>
      <c r="AR27" s="109" t="e">
        <f t="shared" si="14"/>
        <v>#DIV/0!</v>
      </c>
      <c r="AS27" s="109" t="e">
        <f t="shared" si="14"/>
        <v>#DIV/0!</v>
      </c>
      <c r="AT27" s="109" t="e">
        <f t="shared" si="14"/>
        <v>#DIV/0!</v>
      </c>
      <c r="AU27" s="109" t="e">
        <f t="shared" si="14"/>
        <v>#DIV/0!</v>
      </c>
      <c r="AV27" s="109" t="e">
        <f t="shared" si="14"/>
        <v>#DIV/0!</v>
      </c>
      <c r="AW27" s="109" t="e">
        <f t="shared" si="14"/>
        <v>#DIV/0!</v>
      </c>
      <c r="AX27" s="109" t="e">
        <f t="shared" si="14"/>
        <v>#DIV/0!</v>
      </c>
      <c r="AY27" s="109" t="e">
        <f t="shared" si="14"/>
        <v>#DIV/0!</v>
      </c>
      <c r="AZ27" s="109" t="e">
        <f t="shared" si="14"/>
        <v>#DIV/0!</v>
      </c>
      <c r="BA27" s="109" t="e">
        <f t="shared" si="14"/>
        <v>#DIV/0!</v>
      </c>
      <c r="BB27" s="109" t="e">
        <f t="shared" si="14"/>
        <v>#DIV/0!</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562</v>
      </c>
      <c r="E28" s="109">
        <f>E3/E9</f>
        <v>7.8506548998758809E-4</v>
      </c>
      <c r="F28" s="109">
        <f t="shared" ref="F28:BQ28" si="16">F3/F9</f>
        <v>1.0536863132504818E-2</v>
      </c>
      <c r="G28" s="109">
        <f t="shared" si="16"/>
        <v>1.1187704585333132E-2</v>
      </c>
      <c r="H28" s="109">
        <f t="shared" si="16"/>
        <v>1.2547391141715054E-2</v>
      </c>
      <c r="I28" s="109">
        <f t="shared" si="16"/>
        <v>1.3082834748667886E-2</v>
      </c>
      <c r="J28" s="109">
        <f t="shared" si="16"/>
        <v>1.4793232260330011E-2</v>
      </c>
      <c r="K28" s="109">
        <f t="shared" si="16"/>
        <v>1.6337132272504117E-2</v>
      </c>
      <c r="L28" s="109">
        <f t="shared" si="16"/>
        <v>1.6315769867196985E-2</v>
      </c>
      <c r="M28" s="109">
        <f t="shared" si="16"/>
        <v>1.7464413259662866E-2</v>
      </c>
      <c r="N28" s="109">
        <f t="shared" si="16"/>
        <v>0</v>
      </c>
      <c r="O28" s="109">
        <f t="shared" si="16"/>
        <v>0</v>
      </c>
      <c r="P28" s="109">
        <f t="shared" si="16"/>
        <v>0</v>
      </c>
      <c r="Q28" s="109">
        <f t="shared" si="16"/>
        <v>0</v>
      </c>
      <c r="R28" s="109">
        <f t="shared" si="16"/>
        <v>0</v>
      </c>
      <c r="S28" s="109">
        <f t="shared" si="16"/>
        <v>0</v>
      </c>
      <c r="T28" s="109">
        <f t="shared" si="16"/>
        <v>0</v>
      </c>
      <c r="U28" s="109">
        <f t="shared" si="16"/>
        <v>0</v>
      </c>
      <c r="V28" s="109">
        <f t="shared" si="16"/>
        <v>0</v>
      </c>
      <c r="W28" s="109">
        <f t="shared" si="16"/>
        <v>0</v>
      </c>
      <c r="X28" s="109">
        <f t="shared" si="16"/>
        <v>0</v>
      </c>
      <c r="Y28" s="109">
        <f t="shared" si="16"/>
        <v>0</v>
      </c>
      <c r="Z28" s="109">
        <f t="shared" si="16"/>
        <v>0</v>
      </c>
      <c r="AA28" s="109">
        <f t="shared" si="16"/>
        <v>0</v>
      </c>
      <c r="AB28" s="109">
        <f t="shared" si="16"/>
        <v>0</v>
      </c>
      <c r="AC28" s="109">
        <f t="shared" si="16"/>
        <v>0</v>
      </c>
      <c r="AD28" s="109">
        <f t="shared" si="16"/>
        <v>0</v>
      </c>
      <c r="AE28" s="109">
        <f t="shared" si="16"/>
        <v>0</v>
      </c>
      <c r="AF28" s="109">
        <f t="shared" si="16"/>
        <v>0</v>
      </c>
      <c r="AG28" s="109">
        <f t="shared" si="16"/>
        <v>0</v>
      </c>
      <c r="AH28" s="109">
        <f t="shared" si="16"/>
        <v>0</v>
      </c>
      <c r="AI28" s="109">
        <f t="shared" si="16"/>
        <v>0</v>
      </c>
      <c r="AJ28" s="109">
        <f t="shared" si="16"/>
        <v>0</v>
      </c>
      <c r="AK28" s="109">
        <f t="shared" si="16"/>
        <v>0</v>
      </c>
      <c r="AL28" s="109">
        <f t="shared" si="16"/>
        <v>0</v>
      </c>
      <c r="AM28" s="109">
        <f t="shared" si="16"/>
        <v>0</v>
      </c>
      <c r="AN28" s="109">
        <f t="shared" si="16"/>
        <v>0</v>
      </c>
      <c r="AO28" s="109">
        <f t="shared" si="16"/>
        <v>0</v>
      </c>
      <c r="AP28" s="109">
        <f t="shared" si="16"/>
        <v>0</v>
      </c>
      <c r="AQ28" s="109" t="e">
        <f t="shared" si="16"/>
        <v>#DIV/0!</v>
      </c>
      <c r="AR28" s="109" t="e">
        <f t="shared" si="16"/>
        <v>#DIV/0!</v>
      </c>
      <c r="AS28" s="109" t="e">
        <f t="shared" si="16"/>
        <v>#DIV/0!</v>
      </c>
      <c r="AT28" s="109" t="e">
        <f t="shared" si="16"/>
        <v>#DIV/0!</v>
      </c>
      <c r="AU28" s="109" t="e">
        <f t="shared" si="16"/>
        <v>#DIV/0!</v>
      </c>
      <c r="AV28" s="109" t="e">
        <f t="shared" si="16"/>
        <v>#DIV/0!</v>
      </c>
      <c r="AW28" s="109" t="e">
        <f t="shared" si="16"/>
        <v>#DIV/0!</v>
      </c>
      <c r="AX28" s="109" t="e">
        <f t="shared" si="16"/>
        <v>#DIV/0!</v>
      </c>
      <c r="AY28" s="109" t="e">
        <f t="shared" si="16"/>
        <v>#DIV/0!</v>
      </c>
      <c r="AZ28" s="109" t="e">
        <f t="shared" si="16"/>
        <v>#DIV/0!</v>
      </c>
      <c r="BA28" s="109" t="e">
        <f t="shared" si="16"/>
        <v>#DIV/0!</v>
      </c>
      <c r="BB28" s="109" t="e">
        <f t="shared" si="16"/>
        <v>#DIV/0!</v>
      </c>
      <c r="BC28" s="109" t="e">
        <f t="shared" si="16"/>
        <v>#DIV/0!</v>
      </c>
      <c r="BD28" s="109" t="e">
        <f t="shared" si="16"/>
        <v>#DIV/0!</v>
      </c>
      <c r="BE28" s="109" t="e">
        <f t="shared" si="16"/>
        <v>#DIV/0!</v>
      </c>
      <c r="BF28" s="109" t="e">
        <f t="shared" si="16"/>
        <v>#DIV/0!</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571</v>
      </c>
      <c r="E29" s="108">
        <f>(E4-I4)/I4</f>
        <v>0.68284254875713102</v>
      </c>
      <c r="F29" s="108">
        <f t="shared" ref="F29:BQ29" si="18">(F4-J4)/J4</f>
        <v>0.34921569899641269</v>
      </c>
      <c r="G29" s="108">
        <f t="shared" si="18"/>
        <v>1.0510738015604704E-2</v>
      </c>
      <c r="H29" s="108">
        <f t="shared" si="18"/>
        <v>9.3017349185209722E-2</v>
      </c>
      <c r="I29" s="108">
        <f t="shared" si="18"/>
        <v>-0.1798005371591907</v>
      </c>
      <c r="J29" s="108">
        <f t="shared" si="18"/>
        <v>0.41457996014733289</v>
      </c>
      <c r="K29" s="108">
        <f t="shared" si="18"/>
        <v>0.38965230267874468</v>
      </c>
      <c r="L29" s="108">
        <f t="shared" si="18"/>
        <v>5.0980233567516776E-2</v>
      </c>
      <c r="M29" s="108">
        <f t="shared" si="18"/>
        <v>0.13417540378641968</v>
      </c>
      <c r="N29" s="108">
        <f t="shared" si="18"/>
        <v>-9.9230592156349356E-2</v>
      </c>
      <c r="O29" s="108">
        <f t="shared" si="18"/>
        <v>0.34573665222878969</v>
      </c>
      <c r="P29" s="108">
        <f t="shared" si="18"/>
        <v>0.57513965233525488</v>
      </c>
      <c r="Q29" s="108">
        <f t="shared" si="18"/>
        <v>0.83906405071781986</v>
      </c>
      <c r="R29" s="108">
        <f t="shared" si="18"/>
        <v>1.3195476547870417</v>
      </c>
      <c r="S29" s="108">
        <f t="shared" si="18"/>
        <v>0.17894571671585388</v>
      </c>
      <c r="T29" s="108">
        <f t="shared" si="18"/>
        <v>0.53269961592559145</v>
      </c>
      <c r="U29" s="108">
        <f t="shared" si="18"/>
        <v>0.31572554925062329</v>
      </c>
      <c r="V29" s="108">
        <f t="shared" si="18"/>
        <v>-5.0589098543837294E-2</v>
      </c>
      <c r="W29" s="108">
        <f t="shared" si="18"/>
        <v>0.12547918880019879</v>
      </c>
      <c r="X29" s="108">
        <f t="shared" si="18"/>
        <v>0.44883838643430113</v>
      </c>
      <c r="Y29" s="108">
        <f t="shared" si="18"/>
        <v>0.74267690574737655</v>
      </c>
      <c r="Z29" s="108">
        <f t="shared" si="18"/>
        <v>0.77411694148116361</v>
      </c>
      <c r="AA29" s="108">
        <f t="shared" si="18"/>
        <v>0.67396035150049416</v>
      </c>
      <c r="AB29" s="108">
        <f t="shared" si="18"/>
        <v>1.1500405893590171</v>
      </c>
      <c r="AC29" s="108">
        <f t="shared" si="18"/>
        <v>0.18309930131307922</v>
      </c>
      <c r="AD29" s="108">
        <f t="shared" si="18"/>
        <v>-7.3663533268441508E-2</v>
      </c>
      <c r="AE29" s="108">
        <f t="shared" si="18"/>
        <v>0.27126459348129517</v>
      </c>
      <c r="AF29" s="108">
        <f t="shared" si="18"/>
        <v>0.16621936181994731</v>
      </c>
      <c r="AG29" s="108">
        <f t="shared" si="18"/>
        <v>0.48808271517608254</v>
      </c>
      <c r="AH29" s="108">
        <f t="shared" si="18"/>
        <v>1.1106910716765273</v>
      </c>
      <c r="AI29" s="108">
        <f t="shared" si="18"/>
        <v>0.60076220422248405</v>
      </c>
      <c r="AJ29" s="108">
        <f t="shared" si="18"/>
        <v>5.0171551976834865E-2</v>
      </c>
      <c r="AK29" s="108">
        <f t="shared" si="18"/>
        <v>0.24629471504759562</v>
      </c>
      <c r="AL29" s="108">
        <f t="shared" si="18"/>
        <v>2.4301887918196874</v>
      </c>
      <c r="AM29" s="108" t="e">
        <f t="shared" si="18"/>
        <v>#DIV/0!</v>
      </c>
      <c r="AN29" s="108" t="e">
        <f t="shared" si="18"/>
        <v>#DIV/0!</v>
      </c>
      <c r="AO29" s="108" t="e">
        <f t="shared" si="18"/>
        <v>#DIV/0!</v>
      </c>
      <c r="AP29" s="108" t="e">
        <f t="shared" si="18"/>
        <v>#DIV/0!</v>
      </c>
      <c r="AQ29" s="108" t="e">
        <f t="shared" si="18"/>
        <v>#DIV/0!</v>
      </c>
      <c r="AR29" s="108" t="e">
        <f t="shared" si="18"/>
        <v>#DIV/0!</v>
      </c>
      <c r="AS29" s="108" t="e">
        <f t="shared" si="18"/>
        <v>#DIV/0!</v>
      </c>
      <c r="AT29" s="108" t="e">
        <f t="shared" si="18"/>
        <v>#DIV/0!</v>
      </c>
      <c r="AU29" s="108" t="e">
        <f t="shared" si="18"/>
        <v>#DIV/0!</v>
      </c>
      <c r="AV29" s="108" t="e">
        <f t="shared" si="18"/>
        <v>#DIV/0!</v>
      </c>
      <c r="AW29" s="108" t="e">
        <f t="shared" si="18"/>
        <v>#DIV/0!</v>
      </c>
      <c r="AX29" s="108" t="e">
        <f t="shared" si="18"/>
        <v>#DIV/0!</v>
      </c>
      <c r="AY29" s="108" t="e">
        <f t="shared" si="18"/>
        <v>#DIV/0!</v>
      </c>
      <c r="AZ29" s="108" t="e">
        <f t="shared" si="18"/>
        <v>#DIV/0!</v>
      </c>
      <c r="BA29" s="108" t="e">
        <f t="shared" si="18"/>
        <v>#DIV/0!</v>
      </c>
      <c r="BB29" s="108" t="e">
        <f t="shared" si="18"/>
        <v>#DIV/0!</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555</v>
      </c>
      <c r="E30" s="108">
        <f>(E5-I5)/I5</f>
        <v>0.52837218459753676</v>
      </c>
      <c r="F30" s="108">
        <f t="shared" ref="F30:BQ30" si="20">(F5-J5)/J5</f>
        <v>0.38838870882061755</v>
      </c>
      <c r="G30" s="108">
        <f t="shared" si="20"/>
        <v>0.17828951497001533</v>
      </c>
      <c r="H30" s="108">
        <f t="shared" si="20"/>
        <v>0.18168246556764778</v>
      </c>
      <c r="I30" s="108">
        <f t="shared" si="20"/>
        <v>-4.9965058510446081E-2</v>
      </c>
      <c r="J30" s="108">
        <f t="shared" si="20"/>
        <v>0.28352170915280051</v>
      </c>
      <c r="K30" s="108">
        <f t="shared" si="20"/>
        <v>0.25012283172921018</v>
      </c>
      <c r="L30" s="108">
        <f t="shared" si="20"/>
        <v>0.11143539597738995</v>
      </c>
      <c r="M30" s="108">
        <f t="shared" si="20"/>
        <v>0.13908876436495488</v>
      </c>
      <c r="N30" s="108">
        <f t="shared" si="20"/>
        <v>-2.6732480630303548E-2</v>
      </c>
      <c r="O30" s="108">
        <f t="shared" si="20"/>
        <v>0.30575920322783195</v>
      </c>
      <c r="P30" s="108">
        <f t="shared" si="20"/>
        <v>0.39893547259871615</v>
      </c>
      <c r="Q30" s="108">
        <f t="shared" si="20"/>
        <v>0.53919604364321239</v>
      </c>
      <c r="R30" s="108">
        <f t="shared" si="20"/>
        <v>0.83803806427371408</v>
      </c>
      <c r="S30" s="108">
        <f t="shared" si="20"/>
        <v>0.27452447532840729</v>
      </c>
      <c r="T30" s="108">
        <f t="shared" si="20"/>
        <v>0.34948102882052146</v>
      </c>
      <c r="U30" s="108">
        <f t="shared" si="20"/>
        <v>0.22747051072218413</v>
      </c>
      <c r="V30" s="108">
        <f t="shared" si="20"/>
        <v>-9.9160000022010752E-2</v>
      </c>
      <c r="W30" s="108">
        <f t="shared" si="20"/>
        <v>-0.10101259183118523</v>
      </c>
      <c r="X30" s="108">
        <f t="shared" si="20"/>
        <v>7.2457002193844391E-2</v>
      </c>
      <c r="Y30" s="108">
        <f t="shared" si="20"/>
        <v>0.16726334915767024</v>
      </c>
      <c r="Z30" s="108">
        <f t="shared" si="20"/>
        <v>0.40105033991662375</v>
      </c>
      <c r="AA30" s="108">
        <f t="shared" si="20"/>
        <v>0.57563111228798358</v>
      </c>
      <c r="AB30" s="108">
        <f t="shared" si="20"/>
        <v>0.46702036020138837</v>
      </c>
      <c r="AC30" s="108">
        <f t="shared" si="20"/>
        <v>0.23273342640293287</v>
      </c>
      <c r="AD30" s="108">
        <f t="shared" si="20"/>
        <v>0.21019370830538128</v>
      </c>
      <c r="AE30" s="108">
        <f t="shared" si="20"/>
        <v>0.38823606410417894</v>
      </c>
      <c r="AF30" s="108">
        <f t="shared" si="20"/>
        <v>0.54372462832442703</v>
      </c>
      <c r="AG30" s="108">
        <f t="shared" si="20"/>
        <v>0.71265256116305842</v>
      </c>
      <c r="AH30" s="108">
        <f t="shared" si="20"/>
        <v>0.80489999906291876</v>
      </c>
      <c r="AI30" s="108">
        <f t="shared" si="20"/>
        <v>0.57393266126766707</v>
      </c>
      <c r="AJ30" s="108">
        <f t="shared" si="20"/>
        <v>0.32233961114517595</v>
      </c>
      <c r="AK30" s="108">
        <f t="shared" si="20"/>
        <v>0.53379206947447488</v>
      </c>
      <c r="AL30" s="108">
        <f t="shared" si="20"/>
        <v>0.73179973806837517</v>
      </c>
      <c r="AM30" s="108" t="e">
        <f t="shared" si="20"/>
        <v>#DIV/0!</v>
      </c>
      <c r="AN30" s="108" t="e">
        <f t="shared" si="20"/>
        <v>#DIV/0!</v>
      </c>
      <c r="AO30" s="108" t="e">
        <f t="shared" si="20"/>
        <v>#DIV/0!</v>
      </c>
      <c r="AP30" s="108" t="e">
        <f t="shared" si="20"/>
        <v>#DIV/0!</v>
      </c>
      <c r="AQ30" s="108" t="e">
        <f t="shared" si="20"/>
        <v>#DIV/0!</v>
      </c>
      <c r="AR30" s="108" t="e">
        <f t="shared" si="20"/>
        <v>#DIV/0!</v>
      </c>
      <c r="AS30" s="108" t="e">
        <f t="shared" si="20"/>
        <v>#DIV/0!</v>
      </c>
      <c r="AT30" s="108" t="e">
        <f t="shared" si="20"/>
        <v>#DIV/0!</v>
      </c>
      <c r="AU30" s="108" t="e">
        <f t="shared" si="20"/>
        <v>#DIV/0!</v>
      </c>
      <c r="AV30" s="108" t="e">
        <f t="shared" si="20"/>
        <v>#DIV/0!</v>
      </c>
      <c r="AW30" s="108" t="e">
        <f t="shared" si="20"/>
        <v>#DIV/0!</v>
      </c>
      <c r="AX30" s="108" t="e">
        <f t="shared" si="20"/>
        <v>#DIV/0!</v>
      </c>
      <c r="AY30" s="108" t="e">
        <f t="shared" si="20"/>
        <v>#DIV/0!</v>
      </c>
      <c r="AZ30" s="108" t="e">
        <f t="shared" si="20"/>
        <v>#DIV/0!</v>
      </c>
      <c r="BA30" s="108" t="e">
        <f t="shared" si="20"/>
        <v>#DIV/0!</v>
      </c>
      <c r="BB30" s="108" t="e">
        <f t="shared" si="20"/>
        <v>#DIV/0!</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556</v>
      </c>
      <c r="E31" s="108">
        <f>(E6-I6)/I6</f>
        <v>0.35132793597297535</v>
      </c>
      <c r="F31" s="108">
        <f t="shared" ref="F31:BQ31" si="22">(F6-J6)/J6</f>
        <v>0.46040177550599615</v>
      </c>
      <c r="G31" s="108">
        <f t="shared" si="22"/>
        <v>0.55468398425170518</v>
      </c>
      <c r="H31" s="108">
        <f t="shared" si="22"/>
        <v>0.32919764504812954</v>
      </c>
      <c r="I31" s="108">
        <f t="shared" si="22"/>
        <v>0.16060403740818568</v>
      </c>
      <c r="J31" s="108">
        <f t="shared" si="22"/>
        <v>9.6728765774236891E-2</v>
      </c>
      <c r="K31" s="108">
        <f t="shared" si="22"/>
        <v>2.0299688846987608E-2</v>
      </c>
      <c r="L31" s="108">
        <f t="shared" si="22"/>
        <v>0.22905930455425133</v>
      </c>
      <c r="M31" s="108">
        <f t="shared" si="22"/>
        <v>0.14714847208004714</v>
      </c>
      <c r="N31" s="108">
        <f t="shared" si="22"/>
        <v>9.9379648076837496E-2</v>
      </c>
      <c r="O31" s="108">
        <f t="shared" si="22"/>
        <v>0.24484773843082583</v>
      </c>
      <c r="P31" s="108">
        <f t="shared" si="22"/>
        <v>0.14888110578487287</v>
      </c>
      <c r="Q31" s="108">
        <f t="shared" si="22"/>
        <v>0.21438527086836667</v>
      </c>
      <c r="R31" s="108">
        <f t="shared" si="22"/>
        <v>0.35040277566547595</v>
      </c>
      <c r="S31" s="108">
        <f t="shared" si="22"/>
        <v>0.45414655529153514</v>
      </c>
      <c r="T31" s="108">
        <f t="shared" si="22"/>
        <v>0.15375664532437863</v>
      </c>
      <c r="U31" s="108">
        <f t="shared" si="22"/>
        <v>0.14432766415874532</v>
      </c>
      <c r="V31" s="108">
        <f t="shared" si="22"/>
        <v>-0.14353338636637247</v>
      </c>
      <c r="W31" s="108">
        <f t="shared" si="22"/>
        <v>-0.34770565030126821</v>
      </c>
      <c r="X31" s="108">
        <f t="shared" si="22"/>
        <v>-0.16051197824034669</v>
      </c>
      <c r="Y31" s="108">
        <f t="shared" si="22"/>
        <v>-0.10968184030547132</v>
      </c>
      <c r="Z31" s="108">
        <f t="shared" si="22"/>
        <v>0.17526909954193001</v>
      </c>
      <c r="AA31" s="108">
        <f t="shared" si="22"/>
        <v>0.48088460418653639</v>
      </c>
      <c r="AB31" s="108">
        <f t="shared" si="22"/>
        <v>0.22595658096861998</v>
      </c>
      <c r="AC31" s="108">
        <f t="shared" si="22"/>
        <v>0.25813735995432735</v>
      </c>
      <c r="AD31" s="108">
        <f t="shared" si="22"/>
        <v>0.48572515863245064</v>
      </c>
      <c r="AE31" s="108">
        <f t="shared" si="22"/>
        <v>0.52328995846498783</v>
      </c>
      <c r="AF31" s="108">
        <f t="shared" si="22"/>
        <v>0.74283683835421721</v>
      </c>
      <c r="AG31" s="108">
        <f t="shared" si="22"/>
        <v>0.85601180456019166</v>
      </c>
      <c r="AH31" s="108">
        <f t="shared" si="22"/>
        <v>0.58237413107592029</v>
      </c>
      <c r="AI31" s="108">
        <f t="shared" si="22"/>
        <v>0.54405298998479024</v>
      </c>
      <c r="AJ31" s="108">
        <f t="shared" si="22"/>
        <v>0.53171730039095122</v>
      </c>
      <c r="AK31" s="108">
        <f t="shared" si="22"/>
        <v>0.79866504696385543</v>
      </c>
      <c r="AL31" s="108">
        <f t="shared" si="22"/>
        <v>0.27309310050107616</v>
      </c>
      <c r="AM31" s="108" t="e">
        <f t="shared" si="22"/>
        <v>#DIV/0!</v>
      </c>
      <c r="AN31" s="108" t="e">
        <f t="shared" si="22"/>
        <v>#DIV/0!</v>
      </c>
      <c r="AO31" s="108" t="e">
        <f t="shared" si="22"/>
        <v>#DIV/0!</v>
      </c>
      <c r="AP31" s="108" t="e">
        <f t="shared" si="22"/>
        <v>#DIV/0!</v>
      </c>
      <c r="AQ31" s="108" t="e">
        <f t="shared" si="22"/>
        <v>#DIV/0!</v>
      </c>
      <c r="AR31" s="108" t="e">
        <f t="shared" si="22"/>
        <v>#DIV/0!</v>
      </c>
      <c r="AS31" s="108" t="e">
        <f t="shared" si="22"/>
        <v>#DIV/0!</v>
      </c>
      <c r="AT31" s="108" t="e">
        <f t="shared" si="22"/>
        <v>#DIV/0!</v>
      </c>
      <c r="AU31" s="108" t="e">
        <f t="shared" si="22"/>
        <v>#DIV/0!</v>
      </c>
      <c r="AV31" s="108" t="e">
        <f t="shared" si="22"/>
        <v>#DIV/0!</v>
      </c>
      <c r="AW31" s="108" t="e">
        <f t="shared" si="22"/>
        <v>#DIV/0!</v>
      </c>
      <c r="AX31" s="108" t="e">
        <f t="shared" si="22"/>
        <v>#DIV/0!</v>
      </c>
      <c r="AY31" s="108" t="e">
        <f t="shared" si="22"/>
        <v>#DIV/0!</v>
      </c>
      <c r="AZ31" s="108" t="e">
        <f t="shared" si="22"/>
        <v>#DIV/0!</v>
      </c>
      <c r="BA31" s="108" t="e">
        <f t="shared" si="22"/>
        <v>#DIV/0!</v>
      </c>
      <c r="BB31" s="108" t="e">
        <f t="shared" si="22"/>
        <v>#DIV/0!</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558</v>
      </c>
      <c r="E32" s="109">
        <f>(E7-I7)/I7</f>
        <v>0.29158020288221076</v>
      </c>
      <c r="F32" s="109">
        <f t="shared" ref="F32:BQ32" si="24">(F7-J7)/J7</f>
        <v>0.31947060093039675</v>
      </c>
      <c r="G32" s="109">
        <f t="shared" si="24"/>
        <v>0.35367057723073381</v>
      </c>
      <c r="H32" s="109">
        <f t="shared" si="24"/>
        <v>0.34197164611256181</v>
      </c>
      <c r="I32" s="109">
        <f t="shared" si="24"/>
        <v>-3.7376407822757848E-2</v>
      </c>
      <c r="J32" s="109">
        <f t="shared" si="24"/>
        <v>3.7983605931475581E-2</v>
      </c>
      <c r="K32" s="109">
        <f t="shared" si="24"/>
        <v>3.8106536864745209E-2</v>
      </c>
      <c r="L32" s="109">
        <f t="shared" si="24"/>
        <v>5.1770775964470779E-2</v>
      </c>
      <c r="M32" s="109">
        <f t="shared" si="24"/>
        <v>5.5210486576134143E-2</v>
      </c>
      <c r="N32" s="109">
        <f t="shared" si="24"/>
        <v>0.25903701417374508</v>
      </c>
      <c r="O32" s="109">
        <f t="shared" si="24"/>
        <v>0.27907983795112212</v>
      </c>
      <c r="P32" s="109">
        <f t="shared" si="24"/>
        <v>0.29340427560456173</v>
      </c>
      <c r="Q32" s="109">
        <f t="shared" si="24"/>
        <v>0.27730109350244897</v>
      </c>
      <c r="R32" s="109">
        <f t="shared" si="24"/>
        <v>3.2916280798505823E-2</v>
      </c>
      <c r="S32" s="109">
        <f t="shared" si="24"/>
        <v>0.15603751176228367</v>
      </c>
      <c r="T32" s="109">
        <f t="shared" si="24"/>
        <v>0.21534997815785381</v>
      </c>
      <c r="U32" s="109">
        <f t="shared" si="24"/>
        <v>0.25601929206855273</v>
      </c>
      <c r="V32" s="109">
        <f t="shared" si="24"/>
        <v>0.28374465904363122</v>
      </c>
      <c r="W32" s="109">
        <f t="shared" si="24"/>
        <v>0.26928952070090545</v>
      </c>
      <c r="X32" s="109">
        <f t="shared" si="24"/>
        <v>0.2366654643551496</v>
      </c>
      <c r="Y32" s="109">
        <f t="shared" si="24"/>
        <v>0.26658947692888879</v>
      </c>
      <c r="Z32" s="109">
        <f t="shared" si="24"/>
        <v>0.58639447746800177</v>
      </c>
      <c r="AA32" s="109">
        <f t="shared" si="24"/>
        <v>0.71306279376889337</v>
      </c>
      <c r="AB32" s="109">
        <f t="shared" si="24"/>
        <v>0.8145022100234669</v>
      </c>
      <c r="AC32" s="109">
        <f t="shared" si="24"/>
        <v>0.89115295173650477</v>
      </c>
      <c r="AD32" s="109">
        <f t="shared" si="24"/>
        <v>1.3089678188218843</v>
      </c>
      <c r="AE32" s="109">
        <f t="shared" si="24"/>
        <v>1.0022732755583448</v>
      </c>
      <c r="AF32" s="109">
        <f t="shared" si="24"/>
        <v>0.8262535482200819</v>
      </c>
      <c r="AG32" s="109">
        <f t="shared" si="24"/>
        <v>0.67902977918396834</v>
      </c>
      <c r="AH32" s="109">
        <f t="shared" si="24"/>
        <v>0.39589927880653292</v>
      </c>
      <c r="AI32" s="109">
        <f t="shared" si="24"/>
        <v>0.29976850238663177</v>
      </c>
      <c r="AJ32" s="109">
        <f t="shared" si="24"/>
        <v>0.25642962677873954</v>
      </c>
      <c r="AK32" s="109">
        <f t="shared" si="24"/>
        <v>0.64265016470761083</v>
      </c>
      <c r="AL32" s="109">
        <f t="shared" si="24"/>
        <v>0.51348246208836179</v>
      </c>
      <c r="AM32" s="109" t="e">
        <f t="shared" si="24"/>
        <v>#DIV/0!</v>
      </c>
      <c r="AN32" s="109" t="e">
        <f t="shared" si="24"/>
        <v>#DIV/0!</v>
      </c>
      <c r="AO32" s="109" t="e">
        <f t="shared" si="24"/>
        <v>#DIV/0!</v>
      </c>
      <c r="AP32" s="109" t="e">
        <f t="shared" si="24"/>
        <v>#DIV/0!</v>
      </c>
      <c r="AQ32" s="109" t="e">
        <f t="shared" si="24"/>
        <v>#DIV/0!</v>
      </c>
      <c r="AR32" s="109" t="e">
        <f t="shared" si="24"/>
        <v>#DIV/0!</v>
      </c>
      <c r="AS32" s="109" t="e">
        <f t="shared" si="24"/>
        <v>#DIV/0!</v>
      </c>
      <c r="AT32" s="109" t="e">
        <f t="shared" si="24"/>
        <v>#DIV/0!</v>
      </c>
      <c r="AU32" s="109" t="e">
        <f t="shared" si="24"/>
        <v>#DIV/0!</v>
      </c>
      <c r="AV32" s="109" t="e">
        <f t="shared" si="24"/>
        <v>#DIV/0!</v>
      </c>
      <c r="AW32" s="109" t="e">
        <f t="shared" si="24"/>
        <v>#DIV/0!</v>
      </c>
      <c r="AX32" s="109" t="e">
        <f t="shared" si="24"/>
        <v>#DIV/0!</v>
      </c>
      <c r="AY32" s="109" t="e">
        <f t="shared" si="24"/>
        <v>#DIV/0!</v>
      </c>
      <c r="AZ32" s="109" t="e">
        <f t="shared" si="24"/>
        <v>#DIV/0!</v>
      </c>
      <c r="BA32" s="109" t="e">
        <f t="shared" si="24"/>
        <v>#DIV/0!</v>
      </c>
      <c r="BB32" s="109" t="e">
        <f t="shared" si="24"/>
        <v>#DIV/0!</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565</v>
      </c>
      <c r="E33" s="109">
        <f>E7/E9</f>
        <v>0.31704459017571723</v>
      </c>
      <c r="F33" s="109">
        <f t="shared" ref="F33:BQ33" si="26">F7/F9</f>
        <v>0.32742381601054915</v>
      </c>
      <c r="G33" s="109">
        <f t="shared" si="26"/>
        <v>0.34650758579499075</v>
      </c>
      <c r="H33" s="109">
        <f t="shared" si="26"/>
        <v>0.32785683754670675</v>
      </c>
      <c r="I33" s="109">
        <f t="shared" si="26"/>
        <v>0.24814757896685119</v>
      </c>
      <c r="J33" s="109">
        <f t="shared" si="26"/>
        <v>0.27389348364657162</v>
      </c>
      <c r="K33" s="109">
        <f t="shared" si="26"/>
        <v>0.2879722155272148</v>
      </c>
      <c r="L33" s="109">
        <f t="shared" si="26"/>
        <v>0.30125404721064025</v>
      </c>
      <c r="M33" s="109">
        <f t="shared" si="26"/>
        <v>0.31445262911162492</v>
      </c>
      <c r="N33" s="109">
        <f t="shared" si="26"/>
        <v>0.32570678717946283</v>
      </c>
      <c r="O33" s="109">
        <f t="shared" si="26"/>
        <v>0.34214460158283072</v>
      </c>
      <c r="P33" s="109">
        <f t="shared" si="26"/>
        <v>0.31641239099107188</v>
      </c>
      <c r="Q33" s="109">
        <f t="shared" si="26"/>
        <v>0.33113917412580152</v>
      </c>
      <c r="R33" s="109">
        <f t="shared" si="26"/>
        <v>0.28535633808054572</v>
      </c>
      <c r="S33" s="109">
        <f t="shared" si="26"/>
        <v>0.29319725819172049</v>
      </c>
      <c r="T33" s="109">
        <f t="shared" si="26"/>
        <v>0.28618754385180312</v>
      </c>
      <c r="U33" s="109">
        <f t="shared" si="26"/>
        <v>0.30295045944521293</v>
      </c>
      <c r="V33" s="109">
        <f t="shared" si="26"/>
        <v>0.31405620868040124</v>
      </c>
      <c r="W33" s="109">
        <f t="shared" si="26"/>
        <v>0.28797434284098167</v>
      </c>
      <c r="X33" s="109">
        <f t="shared" si="26"/>
        <v>0.26545364523972304</v>
      </c>
      <c r="Y33" s="109">
        <f t="shared" si="26"/>
        <v>0.27192978338129903</v>
      </c>
      <c r="Z33" s="109">
        <f t="shared" si="26"/>
        <v>0.2817186524451582</v>
      </c>
      <c r="AA33" s="109">
        <f t="shared" si="26"/>
        <v>0.26646009239417745</v>
      </c>
      <c r="AB33" s="109">
        <f t="shared" si="26"/>
        <v>0.24166232496042897</v>
      </c>
      <c r="AC33" s="109">
        <f t="shared" si="26"/>
        <v>0.24613809165850792</v>
      </c>
      <c r="AD33" s="109">
        <f t="shared" si="26"/>
        <v>0.20115971463193691</v>
      </c>
      <c r="AE33" s="109">
        <f t="shared" si="26"/>
        <v>0.17765600222139044</v>
      </c>
      <c r="AF33" s="109">
        <f t="shared" si="26"/>
        <v>0.15254288371207286</v>
      </c>
      <c r="AG33" s="109">
        <f t="shared" si="26"/>
        <v>0.14548925469394283</v>
      </c>
      <c r="AH33" s="109">
        <f t="shared" si="26"/>
        <v>9.8404887015085415E-2</v>
      </c>
      <c r="AI33" s="109">
        <f t="shared" si="26"/>
        <v>9.7386908985434964E-2</v>
      </c>
      <c r="AJ33" s="109">
        <f t="shared" si="26"/>
        <v>9.2680344374162782E-2</v>
      </c>
      <c r="AK33" s="109">
        <f t="shared" si="26"/>
        <v>9.6033414741505299E-2</v>
      </c>
      <c r="AL33" s="109">
        <f t="shared" si="26"/>
        <v>7.5390890604375357E-2</v>
      </c>
      <c r="AM33" s="109">
        <f t="shared" si="26"/>
        <v>0.29683024612423331</v>
      </c>
      <c r="AN33" s="109">
        <f t="shared" si="26"/>
        <v>0.3383993232485365</v>
      </c>
      <c r="AO33" s="109">
        <f t="shared" si="26"/>
        <v>0.32684585768477176</v>
      </c>
      <c r="AP33" s="109">
        <f t="shared" si="26"/>
        <v>0.41215784865176219</v>
      </c>
      <c r="AQ33" s="109" t="e">
        <f t="shared" si="26"/>
        <v>#DIV/0!</v>
      </c>
      <c r="AR33" s="109" t="e">
        <f t="shared" si="26"/>
        <v>#DIV/0!</v>
      </c>
      <c r="AS33" s="109" t="e">
        <f t="shared" si="26"/>
        <v>#DIV/0!</v>
      </c>
      <c r="AT33" s="109" t="e">
        <f t="shared" si="26"/>
        <v>#DIV/0!</v>
      </c>
      <c r="AU33" s="109" t="e">
        <f t="shared" si="26"/>
        <v>#DIV/0!</v>
      </c>
      <c r="AV33" s="109" t="e">
        <f t="shared" si="26"/>
        <v>#DIV/0!</v>
      </c>
      <c r="AW33" s="109" t="e">
        <f t="shared" si="26"/>
        <v>#DIV/0!</v>
      </c>
      <c r="AX33" s="109" t="e">
        <f t="shared" si="26"/>
        <v>#DIV/0!</v>
      </c>
      <c r="AY33" s="109" t="e">
        <f t="shared" si="26"/>
        <v>#DIV/0!</v>
      </c>
      <c r="AZ33" s="109" t="e">
        <f t="shared" si="26"/>
        <v>#DIV/0!</v>
      </c>
      <c r="BA33" s="109" t="e">
        <f t="shared" si="26"/>
        <v>#DIV/0!</v>
      </c>
      <c r="BB33" s="109" t="e">
        <f t="shared" si="26"/>
        <v>#DIV/0!</v>
      </c>
      <c r="BC33" s="109" t="e">
        <f t="shared" si="26"/>
        <v>#DIV/0!</v>
      </c>
      <c r="BD33" s="109" t="e">
        <f t="shared" si="26"/>
        <v>#DIV/0!</v>
      </c>
      <c r="BE33" s="109" t="e">
        <f t="shared" si="26"/>
        <v>#DIV/0!</v>
      </c>
      <c r="BF33" s="109" t="e">
        <f t="shared" si="26"/>
        <v>#DIV/0!</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559</v>
      </c>
      <c r="E34" s="108">
        <f>(E10-I10)/I10</f>
        <v>-0.50693602167021756</v>
      </c>
      <c r="F34" s="108">
        <f t="shared" ref="F34:BQ34" si="28">(F10-J10)/J10</f>
        <v>0.51088852258333339</v>
      </c>
      <c r="G34" s="108">
        <f t="shared" si="28"/>
        <v>0.3391331204074074</v>
      </c>
      <c r="H34" s="108">
        <f t="shared" si="28"/>
        <v>2.9176663435000001</v>
      </c>
      <c r="I34" s="108">
        <f t="shared" si="28"/>
        <v>2.9948420404360112</v>
      </c>
      <c r="J34" s="108" t="e">
        <f t="shared" si="28"/>
        <v>#DIV/0!</v>
      </c>
      <c r="K34" s="108" t="e">
        <f t="shared" si="28"/>
        <v>#DIV/0!</v>
      </c>
      <c r="L34" s="108" t="e">
        <f t="shared" si="28"/>
        <v>#DIV/0!</v>
      </c>
      <c r="M34" s="108" t="e">
        <f t="shared" si="28"/>
        <v>#DIV/0!</v>
      </c>
      <c r="N34" s="108" t="e">
        <f t="shared" si="28"/>
        <v>#DIV/0!</v>
      </c>
      <c r="O34" s="108" t="e">
        <f t="shared" si="28"/>
        <v>#DIV/0!</v>
      </c>
      <c r="P34" s="108" t="e">
        <f t="shared" si="28"/>
        <v>#DIV/0!</v>
      </c>
      <c r="Q34" s="108" t="e">
        <f t="shared" si="28"/>
        <v>#DIV/0!</v>
      </c>
      <c r="R34" s="108" t="e">
        <f t="shared" si="28"/>
        <v>#DIV/0!</v>
      </c>
      <c r="S34" s="108" t="e">
        <f t="shared" si="28"/>
        <v>#DIV/0!</v>
      </c>
      <c r="T34" s="108" t="e">
        <f t="shared" si="28"/>
        <v>#DIV/0!</v>
      </c>
      <c r="U34" s="108" t="e">
        <f t="shared" si="28"/>
        <v>#DIV/0!</v>
      </c>
      <c r="V34" s="108" t="e">
        <f t="shared" si="28"/>
        <v>#DIV/0!</v>
      </c>
      <c r="W34" s="108" t="e">
        <f t="shared" si="28"/>
        <v>#DIV/0!</v>
      </c>
      <c r="X34" s="108" t="e">
        <f t="shared" si="28"/>
        <v>#DIV/0!</v>
      </c>
      <c r="Y34" s="108" t="e">
        <f t="shared" si="28"/>
        <v>#DIV/0!</v>
      </c>
      <c r="Z34" s="108" t="e">
        <f t="shared" si="28"/>
        <v>#DIV/0!</v>
      </c>
      <c r="AA34" s="108" t="e">
        <f t="shared" si="28"/>
        <v>#DIV/0!</v>
      </c>
      <c r="AB34" s="108" t="e">
        <f t="shared" si="28"/>
        <v>#DIV/0!</v>
      </c>
      <c r="AC34" s="108" t="e">
        <f t="shared" si="28"/>
        <v>#DIV/0!</v>
      </c>
      <c r="AD34" s="108" t="e">
        <f t="shared" si="28"/>
        <v>#DIV/0!</v>
      </c>
      <c r="AE34" s="108" t="e">
        <f t="shared" si="28"/>
        <v>#DIV/0!</v>
      </c>
      <c r="AF34" s="108" t="e">
        <f t="shared" si="28"/>
        <v>#DIV/0!</v>
      </c>
      <c r="AG34" s="108" t="e">
        <f t="shared" si="28"/>
        <v>#DIV/0!</v>
      </c>
      <c r="AH34" s="108" t="e">
        <f t="shared" si="28"/>
        <v>#DIV/0!</v>
      </c>
      <c r="AI34" s="108" t="e">
        <f t="shared" si="28"/>
        <v>#DIV/0!</v>
      </c>
      <c r="AJ34" s="108" t="e">
        <f t="shared" si="28"/>
        <v>#DIV/0!</v>
      </c>
      <c r="AK34" s="108">
        <f t="shared" si="28"/>
        <v>-1</v>
      </c>
      <c r="AL34" s="108">
        <f t="shared" si="28"/>
        <v>-1</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563</v>
      </c>
      <c r="E35" s="108">
        <f>E10/E12</f>
        <v>0.77965233094520769</v>
      </c>
      <c r="F35" s="108">
        <f t="shared" ref="F35:BQ35" si="30">F10/F12</f>
        <v>0.8518361265431369</v>
      </c>
      <c r="G35" s="108">
        <f t="shared" si="30"/>
        <v>0.84244548553958876</v>
      </c>
      <c r="H35" s="108">
        <f t="shared" si="30"/>
        <v>0.71612861660286309</v>
      </c>
      <c r="I35" s="108">
        <f t="shared" si="30"/>
        <v>0.80320933621360735</v>
      </c>
      <c r="J35" s="108">
        <f t="shared" si="30"/>
        <v>0.7205238686232216</v>
      </c>
      <c r="K35" s="108">
        <f t="shared" si="30"/>
        <v>0.93932925677438062</v>
      </c>
      <c r="L35" s="108">
        <f t="shared" si="30"/>
        <v>0.90342362322390823</v>
      </c>
      <c r="M35" s="108">
        <f t="shared" si="30"/>
        <v>0.87460883334015527</v>
      </c>
      <c r="N35" s="108" t="e">
        <f t="shared" si="30"/>
        <v>#DIV/0!</v>
      </c>
      <c r="O35" s="108">
        <f t="shared" si="30"/>
        <v>0</v>
      </c>
      <c r="P35" s="108">
        <f t="shared" si="30"/>
        <v>0</v>
      </c>
      <c r="Q35" s="108">
        <f t="shared" si="30"/>
        <v>0</v>
      </c>
      <c r="R35" s="108">
        <f t="shared" si="30"/>
        <v>0</v>
      </c>
      <c r="S35" s="108">
        <f t="shared" si="30"/>
        <v>0</v>
      </c>
      <c r="T35" s="108">
        <f t="shared" si="30"/>
        <v>0</v>
      </c>
      <c r="U35" s="108">
        <f t="shared" si="30"/>
        <v>0</v>
      </c>
      <c r="V35" s="108" t="e">
        <f t="shared" si="30"/>
        <v>#DIV/0!</v>
      </c>
      <c r="W35" s="108" t="e">
        <f t="shared" si="30"/>
        <v>#DIV/0!</v>
      </c>
      <c r="X35" s="108" t="e">
        <f t="shared" si="30"/>
        <v>#DIV/0!</v>
      </c>
      <c r="Y35" s="108" t="e">
        <f t="shared" si="30"/>
        <v>#DIV/0!</v>
      </c>
      <c r="Z35" s="108" t="e">
        <f t="shared" si="30"/>
        <v>#DIV/0!</v>
      </c>
      <c r="AA35" s="108" t="e">
        <f t="shared" si="30"/>
        <v>#DIV/0!</v>
      </c>
      <c r="AB35" s="108" t="e">
        <f t="shared" si="30"/>
        <v>#DIV/0!</v>
      </c>
      <c r="AC35" s="108" t="e">
        <f t="shared" si="30"/>
        <v>#DIV/0!</v>
      </c>
      <c r="AD35" s="108" t="e">
        <f t="shared" si="30"/>
        <v>#DIV/0!</v>
      </c>
      <c r="AE35" s="108" t="e">
        <f t="shared" si="30"/>
        <v>#DIV/0!</v>
      </c>
      <c r="AF35" s="108" t="e">
        <f t="shared" si="30"/>
        <v>#DIV/0!</v>
      </c>
      <c r="AG35" s="108" t="e">
        <f t="shared" si="30"/>
        <v>#DIV/0!</v>
      </c>
      <c r="AH35" s="108" t="e">
        <f t="shared" si="30"/>
        <v>#DIV/0!</v>
      </c>
      <c r="AI35" s="108" t="e">
        <f t="shared" si="30"/>
        <v>#DIV/0!</v>
      </c>
      <c r="AJ35" s="108" t="e">
        <f t="shared" si="30"/>
        <v>#DIV/0!</v>
      </c>
      <c r="AK35" s="108" t="e">
        <f t="shared" si="30"/>
        <v>#DIV/0!</v>
      </c>
      <c r="AL35" s="108" t="e">
        <f t="shared" si="30"/>
        <v>#DIV/0!</v>
      </c>
      <c r="AM35" s="108" t="e">
        <f t="shared" si="30"/>
        <v>#DIV/0!</v>
      </c>
      <c r="AN35" s="108" t="e">
        <f t="shared" si="30"/>
        <v>#DIV/0!</v>
      </c>
      <c r="AO35" s="108">
        <f t="shared" si="30"/>
        <v>1</v>
      </c>
      <c r="AP35" s="108">
        <f t="shared" si="30"/>
        <v>1</v>
      </c>
      <c r="AQ35" s="108" t="e">
        <f t="shared" si="30"/>
        <v>#DIV/0!</v>
      </c>
      <c r="AR35" s="108" t="e">
        <f t="shared" si="30"/>
        <v>#DIV/0!</v>
      </c>
      <c r="AS35" s="108" t="e">
        <f t="shared" si="30"/>
        <v>#DIV/0!</v>
      </c>
      <c r="AT35" s="108" t="e">
        <f t="shared" si="30"/>
        <v>#DIV/0!</v>
      </c>
      <c r="AU35" s="108" t="e">
        <f t="shared" si="30"/>
        <v>#DIV/0!</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t="e">
        <f t="shared" si="30"/>
        <v>#DIV/0!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560</v>
      </c>
      <c r="E36" s="108">
        <f>(E11-I11)/I11</f>
        <v>-0.43123218635649374</v>
      </c>
      <c r="F36" s="108">
        <f t="shared" ref="F36:BQ36" si="32">(F11-J11)/J11</f>
        <v>-0.32247965664565226</v>
      </c>
      <c r="G36" s="108">
        <f t="shared" si="32"/>
        <v>2.8774957449666863</v>
      </c>
      <c r="H36" s="108">
        <f t="shared" si="32"/>
        <v>13.527087946798808</v>
      </c>
      <c r="I36" s="108">
        <f t="shared" si="32"/>
        <v>5.8268800220495249</v>
      </c>
      <c r="J36" s="108" t="e">
        <f t="shared" si="32"/>
        <v>#DIV/0!</v>
      </c>
      <c r="K36" s="108">
        <f t="shared" si="32"/>
        <v>3.4563477892949566</v>
      </c>
      <c r="L36" s="108">
        <f t="shared" si="32"/>
        <v>3.0083614643675207</v>
      </c>
      <c r="M36" s="108">
        <f t="shared" si="32"/>
        <v>1.573694686659721</v>
      </c>
      <c r="N36" s="108">
        <f t="shared" si="32"/>
        <v>-1</v>
      </c>
      <c r="O36" s="108">
        <f t="shared" si="32"/>
        <v>-0.47331338123713651</v>
      </c>
      <c r="P36" s="108">
        <f t="shared" si="32"/>
        <v>-0.49529519231484359</v>
      </c>
      <c r="Q36" s="108">
        <f t="shared" si="32"/>
        <v>-0.29067875648399177</v>
      </c>
      <c r="R36" s="108" t="e">
        <f t="shared" si="32"/>
        <v>#DIV/0!</v>
      </c>
      <c r="S36" s="108" t="e">
        <f t="shared" si="32"/>
        <v>#DIV/0!</v>
      </c>
      <c r="T36" s="108" t="e">
        <f t="shared" si="32"/>
        <v>#DIV/0!</v>
      </c>
      <c r="U36" s="108" t="e">
        <f t="shared" si="32"/>
        <v>#DIV/0!</v>
      </c>
      <c r="V36" s="108" t="e">
        <f t="shared" si="32"/>
        <v>#DIV/0!</v>
      </c>
      <c r="W36" s="108" t="e">
        <f t="shared" si="32"/>
        <v>#DIV/0!</v>
      </c>
      <c r="X36" s="108" t="e">
        <f t="shared" si="32"/>
        <v>#DIV/0!</v>
      </c>
      <c r="Y36" s="108" t="e">
        <f t="shared" si="32"/>
        <v>#DIV/0!</v>
      </c>
      <c r="Z36" s="108" t="e">
        <f t="shared" si="32"/>
        <v>#DIV/0!</v>
      </c>
      <c r="AA36" s="108" t="e">
        <f t="shared" si="32"/>
        <v>#DIV/0!</v>
      </c>
      <c r="AB36" s="108" t="e">
        <f t="shared" si="32"/>
        <v>#DIV/0!</v>
      </c>
      <c r="AC36" s="108" t="e">
        <f t="shared" si="32"/>
        <v>#DIV/0!</v>
      </c>
      <c r="AD36" s="108" t="e">
        <f t="shared" si="32"/>
        <v>#DIV/0!</v>
      </c>
      <c r="AE36" s="108" t="e">
        <f t="shared" si="32"/>
        <v>#DIV/0!</v>
      </c>
      <c r="AF36" s="108" t="e">
        <f t="shared" si="32"/>
        <v>#DIV/0!</v>
      </c>
      <c r="AG36" s="108" t="e">
        <f t="shared" si="32"/>
        <v>#DIV/0!</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564</v>
      </c>
      <c r="B37" s="108"/>
      <c r="C37" s="108"/>
      <c r="D37" s="108"/>
      <c r="E37" s="108">
        <f>E11/E12</f>
        <v>0.22034766905479236</v>
      </c>
      <c r="F37" s="108">
        <f t="shared" ref="F37:BQ37" si="34">F11/F12</f>
        <v>0.14816387345686308</v>
      </c>
      <c r="G37" s="108">
        <f t="shared" si="34"/>
        <v>0.15755451446041116</v>
      </c>
      <c r="H37" s="108">
        <f t="shared" si="34"/>
        <v>0.28387138339713691</v>
      </c>
      <c r="I37" s="108">
        <f t="shared" si="34"/>
        <v>0.19679066378639268</v>
      </c>
      <c r="J37" s="108">
        <f t="shared" si="34"/>
        <v>0.27947613137677846</v>
      </c>
      <c r="K37" s="108">
        <f t="shared" si="34"/>
        <v>6.0670743225619342E-2</v>
      </c>
      <c r="L37" s="108">
        <f t="shared" si="34"/>
        <v>9.6576376776091738E-2</v>
      </c>
      <c r="M37" s="108">
        <f t="shared" si="34"/>
        <v>0.12539116665984473</v>
      </c>
      <c r="N37" s="108" t="e">
        <f t="shared" si="34"/>
        <v>#DIV/0!</v>
      </c>
      <c r="O37" s="110">
        <f t="shared" si="34"/>
        <v>1</v>
      </c>
      <c r="P37" s="110">
        <f t="shared" si="34"/>
        <v>1</v>
      </c>
      <c r="Q37" s="110">
        <f t="shared" si="34"/>
        <v>1</v>
      </c>
      <c r="R37" s="110">
        <f t="shared" si="34"/>
        <v>1</v>
      </c>
      <c r="S37" s="110">
        <f t="shared" si="34"/>
        <v>1</v>
      </c>
      <c r="T37" s="110">
        <f t="shared" si="34"/>
        <v>1</v>
      </c>
      <c r="U37" s="110">
        <f t="shared" si="34"/>
        <v>1</v>
      </c>
      <c r="V37" s="110" t="e">
        <f t="shared" si="34"/>
        <v>#DIV/0!</v>
      </c>
      <c r="W37" s="110" t="e">
        <f t="shared" si="34"/>
        <v>#DIV/0!</v>
      </c>
      <c r="X37" s="110" t="e">
        <f t="shared" si="34"/>
        <v>#DIV/0!</v>
      </c>
      <c r="Y37" s="110" t="e">
        <f t="shared" si="34"/>
        <v>#DIV/0!</v>
      </c>
      <c r="Z37" s="110" t="e">
        <f t="shared" si="34"/>
        <v>#DIV/0!</v>
      </c>
      <c r="AA37" s="110" t="e">
        <f t="shared" si="34"/>
        <v>#DIV/0!</v>
      </c>
      <c r="AB37" s="110" t="e">
        <f t="shared" si="34"/>
        <v>#DIV/0!</v>
      </c>
      <c r="AC37" s="110" t="e">
        <f t="shared" si="34"/>
        <v>#DIV/0!</v>
      </c>
      <c r="AD37" s="110" t="e">
        <f t="shared" si="34"/>
        <v>#DIV/0!</v>
      </c>
      <c r="AE37" s="110" t="e">
        <f t="shared" si="34"/>
        <v>#DIV/0!</v>
      </c>
      <c r="AF37" s="110" t="e">
        <f t="shared" si="34"/>
        <v>#DIV/0!</v>
      </c>
      <c r="AG37" s="110" t="e">
        <f t="shared" si="34"/>
        <v>#DIV/0!</v>
      </c>
      <c r="AH37" s="110" t="e">
        <f t="shared" si="34"/>
        <v>#DIV/0!</v>
      </c>
      <c r="AI37" s="110" t="e">
        <f t="shared" si="34"/>
        <v>#DIV/0!</v>
      </c>
      <c r="AJ37" s="110" t="e">
        <f t="shared" si="34"/>
        <v>#DIV/0!</v>
      </c>
      <c r="AK37" s="110" t="e">
        <f t="shared" si="34"/>
        <v>#DIV/0!</v>
      </c>
      <c r="AL37" s="110" t="e">
        <f t="shared" si="34"/>
        <v>#DIV/0!</v>
      </c>
      <c r="AM37" s="110" t="e">
        <f t="shared" si="34"/>
        <v>#DIV/0!</v>
      </c>
      <c r="AN37" s="110" t="e">
        <f t="shared" si="34"/>
        <v>#DIV/0!</v>
      </c>
      <c r="AO37" s="110">
        <f t="shared" si="34"/>
        <v>0</v>
      </c>
      <c r="AP37" s="110">
        <f t="shared" si="34"/>
        <v>0</v>
      </c>
      <c r="AQ37" s="110" t="e">
        <f t="shared" si="34"/>
        <v>#DIV/0!</v>
      </c>
      <c r="AR37" s="110" t="e">
        <f t="shared" si="34"/>
        <v>#DIV/0!</v>
      </c>
      <c r="AS37" s="110" t="e">
        <f t="shared" si="34"/>
        <v>#DIV/0!</v>
      </c>
      <c r="AT37" s="110" t="e">
        <f t="shared" si="34"/>
        <v>#DIV/0!</v>
      </c>
      <c r="AU37" s="110" t="e">
        <f t="shared" si="34"/>
        <v>#DIV/0!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t="e">
        <f t="shared" si="34"/>
        <v>#DIV/0!</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634</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551</v>
      </c>
      <c r="B39" s="223"/>
      <c r="C39" s="223"/>
      <c r="D39" s="223"/>
      <c r="E39" s="224">
        <f>E2/E9</f>
        <v>0.21463167862036087</v>
      </c>
      <c r="F39" s="224">
        <f t="shared" ref="F39:U39" si="37">F2/F9</f>
        <v>0.15626478545075001</v>
      </c>
      <c r="G39" s="224">
        <f t="shared" si="37"/>
        <v>0.23766010325584033</v>
      </c>
      <c r="H39" s="224">
        <f t="shared" si="37"/>
        <v>0.29969920088848329</v>
      </c>
      <c r="I39" s="224">
        <f t="shared" si="37"/>
        <v>0.45791266951713955</v>
      </c>
      <c r="J39" s="224">
        <f t="shared" si="37"/>
        <v>0.29755497703876937</v>
      </c>
      <c r="K39" s="224">
        <f t="shared" si="37"/>
        <v>0.24520220966395412</v>
      </c>
      <c r="L39" s="224">
        <f t="shared" si="37"/>
        <v>0.27641466059724851</v>
      </c>
      <c r="M39" s="224">
        <f t="shared" si="37"/>
        <v>0.25038020967085672</v>
      </c>
      <c r="N39" s="224">
        <f t="shared" si="37"/>
        <v>0.31325362227325732</v>
      </c>
      <c r="O39" s="224">
        <f t="shared" si="37"/>
        <v>0.25802249356708268</v>
      </c>
      <c r="P39" s="224">
        <f t="shared" si="37"/>
        <v>0.2568216396468076</v>
      </c>
      <c r="Q39" s="224">
        <f t="shared" si="37"/>
        <v>0.25961756424967081</v>
      </c>
      <c r="R39" s="224">
        <f t="shared" si="37"/>
        <v>0.27252340634217009</v>
      </c>
      <c r="S39" s="224">
        <f t="shared" si="37"/>
        <v>0.38114131808988361</v>
      </c>
      <c r="T39" s="224">
        <f t="shared" si="37"/>
        <v>0.39685406495707076</v>
      </c>
      <c r="U39" s="224">
        <f t="shared" si="37"/>
        <v>0.43701022134652312</v>
      </c>
    </row>
    <row r="40" spans="1:89" s="225" customFormat="1" x14ac:dyDescent="0.25">
      <c r="A40" s="222" t="s">
        <v>552</v>
      </c>
      <c r="B40" s="223"/>
      <c r="C40" s="223"/>
      <c r="D40" s="223"/>
      <c r="E40" s="224">
        <f>E3/E9</f>
        <v>7.8506548998758809E-4</v>
      </c>
      <c r="F40" s="224">
        <f t="shared" ref="F40:U40" si="38">F3/F9</f>
        <v>1.0536863132504818E-2</v>
      </c>
      <c r="G40" s="224">
        <f t="shared" si="38"/>
        <v>1.1187704585333132E-2</v>
      </c>
      <c r="H40" s="224">
        <f t="shared" si="38"/>
        <v>1.2547391141715054E-2</v>
      </c>
      <c r="I40" s="224">
        <f t="shared" si="38"/>
        <v>1.3082834748667886E-2</v>
      </c>
      <c r="J40" s="224">
        <f t="shared" si="38"/>
        <v>1.4793232260330011E-2</v>
      </c>
      <c r="K40" s="224">
        <f t="shared" si="38"/>
        <v>1.6337132272504117E-2</v>
      </c>
      <c r="L40" s="224">
        <f t="shared" si="38"/>
        <v>1.6315769867196985E-2</v>
      </c>
      <c r="M40" s="224">
        <f t="shared" si="38"/>
        <v>1.7464413259662866E-2</v>
      </c>
      <c r="N40" s="224">
        <f t="shared" si="38"/>
        <v>0</v>
      </c>
      <c r="O40" s="224">
        <f t="shared" si="38"/>
        <v>0</v>
      </c>
      <c r="P40" s="224">
        <f t="shared" si="38"/>
        <v>0</v>
      </c>
      <c r="Q40" s="224">
        <f t="shared" si="38"/>
        <v>0</v>
      </c>
      <c r="R40" s="224">
        <f t="shared" si="38"/>
        <v>0</v>
      </c>
      <c r="S40" s="224">
        <f t="shared" si="38"/>
        <v>0</v>
      </c>
      <c r="T40" s="224">
        <f t="shared" si="38"/>
        <v>0</v>
      </c>
      <c r="U40" s="224">
        <f t="shared" si="38"/>
        <v>0</v>
      </c>
    </row>
    <row r="41" spans="1:89" x14ac:dyDescent="0.25">
      <c r="A41" s="184" t="s">
        <v>557</v>
      </c>
      <c r="B41" s="64"/>
      <c r="C41" s="64"/>
      <c r="D41" s="64"/>
      <c r="E41" s="90">
        <f>E4/E9</f>
        <v>0.46753866571393438</v>
      </c>
      <c r="F41" s="90">
        <f t="shared" ref="F41:U41" si="39">F4/F9</f>
        <v>0.50577453540619599</v>
      </c>
      <c r="G41" s="90">
        <f t="shared" si="39"/>
        <v>0.40464460636383581</v>
      </c>
      <c r="H41" s="90">
        <f t="shared" si="39"/>
        <v>0.35989657042309497</v>
      </c>
      <c r="I41" s="90">
        <f t="shared" si="39"/>
        <v>0.28085691676734131</v>
      </c>
      <c r="J41" s="90">
        <f t="shared" si="39"/>
        <v>0.41375830705432892</v>
      </c>
      <c r="K41" s="90">
        <f t="shared" si="39"/>
        <v>0.45048844253632692</v>
      </c>
      <c r="L41" s="90">
        <f t="shared" si="39"/>
        <v>0.40601552232491439</v>
      </c>
      <c r="M41" s="90">
        <f t="shared" si="39"/>
        <v>0.41770274795785545</v>
      </c>
      <c r="N41" s="214">
        <f t="shared" si="39"/>
        <v>0.36103959054727985</v>
      </c>
      <c r="O41" s="214">
        <f t="shared" si="39"/>
        <v>0.3998329048500866</v>
      </c>
      <c r="P41" s="214">
        <f t="shared" si="39"/>
        <v>0.42676596936212058</v>
      </c>
      <c r="Q41" s="214">
        <f t="shared" si="39"/>
        <v>0.40924326162452757</v>
      </c>
      <c r="R41" s="214">
        <f t="shared" si="39"/>
        <v>0.44212025557728418</v>
      </c>
      <c r="S41" s="214">
        <f t="shared" si="39"/>
        <v>0.32566142371839596</v>
      </c>
      <c r="T41" s="214">
        <f t="shared" si="39"/>
        <v>0.31695839119112618</v>
      </c>
      <c r="U41" s="214">
        <f t="shared" si="39"/>
        <v>0.26003931920826401</v>
      </c>
    </row>
    <row r="42" spans="1:89" x14ac:dyDescent="0.25">
      <c r="A42" s="184" t="s">
        <v>334</v>
      </c>
      <c r="B42" s="64"/>
      <c r="C42" s="64"/>
      <c r="D42" s="64"/>
      <c r="E42" s="90">
        <f>E5/E9</f>
        <v>0.79510416329654132</v>
      </c>
      <c r="F42" s="90">
        <f t="shared" ref="F42:U42" si="40">F5/F9</f>
        <v>0.80357375953439814</v>
      </c>
      <c r="G42" s="90">
        <f t="shared" si="40"/>
        <v>0.68214828121948146</v>
      </c>
      <c r="H42" s="90">
        <f t="shared" si="40"/>
        <v>0.62295746477869696</v>
      </c>
      <c r="I42" s="90">
        <f t="shared" si="40"/>
        <v>0.52590339834942301</v>
      </c>
      <c r="J42" s="90">
        <f t="shared" si="40"/>
        <v>0.63883076922148285</v>
      </c>
      <c r="K42" s="90">
        <f t="shared" si="40"/>
        <v>0.65129479355706199</v>
      </c>
      <c r="L42" s="90">
        <f t="shared" si="40"/>
        <v>0.65005422848923911</v>
      </c>
      <c r="M42" s="90">
        <f t="shared" si="40"/>
        <v>0.67525543382283515</v>
      </c>
      <c r="N42" s="214">
        <f t="shared" si="40"/>
        <v>0.61435332082569427</v>
      </c>
      <c r="O42" s="214">
        <f t="shared" si="40"/>
        <v>0.64257814356844345</v>
      </c>
      <c r="P42" s="214">
        <f t="shared" si="40"/>
        <v>0.64611088232201264</v>
      </c>
      <c r="Q42" s="214">
        <f t="shared" si="40"/>
        <v>0.65872621805132481</v>
      </c>
      <c r="R42" s="214">
        <f t="shared" si="40"/>
        <v>0.69628203942282829</v>
      </c>
      <c r="S42" s="214">
        <f t="shared" si="40"/>
        <v>0.53939972408055292</v>
      </c>
      <c r="T42" s="214">
        <f t="shared" si="40"/>
        <v>0.54030739341840284</v>
      </c>
      <c r="U42" s="214">
        <f t="shared" si="40"/>
        <v>0.50010978160660546</v>
      </c>
    </row>
    <row r="43" spans="1:89" x14ac:dyDescent="0.25">
      <c r="A43" s="184" t="s">
        <v>335</v>
      </c>
      <c r="B43" s="64"/>
      <c r="C43" s="64"/>
      <c r="D43" s="64"/>
      <c r="E43" s="90">
        <f>E6/E9</f>
        <v>0.32756549758260695</v>
      </c>
      <c r="F43" s="90">
        <f t="shared" ref="F43:U43" si="41">F6/F9</f>
        <v>0.29779922412820209</v>
      </c>
      <c r="G43" s="90">
        <f t="shared" si="41"/>
        <v>0.27750367485564564</v>
      </c>
      <c r="H43" s="90">
        <f t="shared" si="41"/>
        <v>0.26306089435560198</v>
      </c>
      <c r="I43" s="90">
        <f t="shared" si="41"/>
        <v>0.24504648158208173</v>
      </c>
      <c r="J43" s="90">
        <f t="shared" si="41"/>
        <v>0.2250724621671539</v>
      </c>
      <c r="K43" s="90">
        <f t="shared" si="41"/>
        <v>0.20080635102073502</v>
      </c>
      <c r="L43" s="90">
        <f t="shared" si="41"/>
        <v>0.24403870616432474</v>
      </c>
      <c r="M43" s="90">
        <f t="shared" si="41"/>
        <v>0.25755268586497965</v>
      </c>
      <c r="N43" s="214">
        <f t="shared" si="41"/>
        <v>0.25331373027841447</v>
      </c>
      <c r="O43" s="214">
        <f t="shared" si="41"/>
        <v>0.24274523871835682</v>
      </c>
      <c r="P43" s="214">
        <f t="shared" si="41"/>
        <v>0.21934491295989206</v>
      </c>
      <c r="Q43" s="214">
        <f t="shared" si="41"/>
        <v>0.24948295642679727</v>
      </c>
      <c r="R43" s="214">
        <f t="shared" si="41"/>
        <v>0.25416178384554416</v>
      </c>
      <c r="S43" s="214">
        <f t="shared" si="41"/>
        <v>0.21373830036215691</v>
      </c>
      <c r="T43" s="214">
        <f t="shared" si="41"/>
        <v>0.22334900222727672</v>
      </c>
      <c r="U43" s="214">
        <f t="shared" si="41"/>
        <v>0.24007046239834148</v>
      </c>
    </row>
    <row r="44" spans="1:89" x14ac:dyDescent="0.25">
      <c r="A44" s="184" t="s">
        <v>336</v>
      </c>
      <c r="B44" s="64"/>
      <c r="C44" s="64"/>
      <c r="D44" s="64"/>
      <c r="E44" s="90">
        <f>E7/E9</f>
        <v>0.31704459017571723</v>
      </c>
      <c r="F44" s="90">
        <f t="shared" ref="F44:U44" si="42">F7/F9</f>
        <v>0.32742381601054915</v>
      </c>
      <c r="G44" s="90">
        <f t="shared" si="42"/>
        <v>0.34650758579499075</v>
      </c>
      <c r="H44" s="90">
        <f t="shared" si="42"/>
        <v>0.32785683754670675</v>
      </c>
      <c r="I44" s="90">
        <f t="shared" si="42"/>
        <v>0.24814757896685119</v>
      </c>
      <c r="J44" s="90">
        <f t="shared" si="42"/>
        <v>0.27389348364657162</v>
      </c>
      <c r="K44" s="90">
        <f t="shared" si="42"/>
        <v>0.2879722155272148</v>
      </c>
      <c r="L44" s="90">
        <f t="shared" si="42"/>
        <v>0.30125404721064025</v>
      </c>
      <c r="M44" s="90">
        <f t="shared" si="42"/>
        <v>0.31445262911162492</v>
      </c>
      <c r="N44" s="214">
        <f t="shared" si="42"/>
        <v>0.32570678717946283</v>
      </c>
      <c r="O44" s="214">
        <f t="shared" si="42"/>
        <v>0.34214460158283072</v>
      </c>
      <c r="P44" s="214">
        <f t="shared" si="42"/>
        <v>0.31641239099107188</v>
      </c>
      <c r="Q44" s="214">
        <f t="shared" si="42"/>
        <v>0.33113917412580152</v>
      </c>
      <c r="R44" s="214">
        <f t="shared" si="42"/>
        <v>0.28535633808054572</v>
      </c>
      <c r="S44" s="214">
        <f t="shared" si="42"/>
        <v>0.29319725819172049</v>
      </c>
      <c r="T44" s="214">
        <f t="shared" si="42"/>
        <v>0.28618754385180312</v>
      </c>
      <c r="U44" s="214">
        <f t="shared" si="42"/>
        <v>0.30295045944521293</v>
      </c>
    </row>
    <row r="45" spans="1:89" s="225" customFormat="1" x14ac:dyDescent="0.25">
      <c r="A45" s="222" t="s">
        <v>337</v>
      </c>
      <c r="B45" s="223"/>
      <c r="C45" s="223"/>
      <c r="D45" s="223"/>
      <c r="E45" s="224">
        <f>E8/E9</f>
        <v>0.7845832558896515</v>
      </c>
      <c r="F45" s="224">
        <f t="shared" ref="F45:U45" si="43">F8/F9</f>
        <v>0.83319835141674525</v>
      </c>
      <c r="G45" s="224">
        <f t="shared" si="43"/>
        <v>0.75115219215882656</v>
      </c>
      <c r="H45" s="224">
        <f t="shared" si="43"/>
        <v>0.68775340796980178</v>
      </c>
      <c r="I45" s="224">
        <f t="shared" si="43"/>
        <v>0.5290044957341925</v>
      </c>
      <c r="J45" s="224">
        <f t="shared" si="43"/>
        <v>0.68765179070090066</v>
      </c>
      <c r="K45" s="224">
        <f t="shared" si="43"/>
        <v>0.73846065806354177</v>
      </c>
      <c r="L45" s="224">
        <f t="shared" si="43"/>
        <v>0.70726956953555453</v>
      </c>
      <c r="M45" s="224">
        <f t="shared" si="43"/>
        <v>0.73215537706948042</v>
      </c>
      <c r="N45" s="224">
        <f t="shared" si="43"/>
        <v>0.68674637772674263</v>
      </c>
      <c r="O45" s="224">
        <f t="shared" si="43"/>
        <v>0.74197750643291738</v>
      </c>
      <c r="P45" s="224">
        <f t="shared" si="43"/>
        <v>0.7431783603531924</v>
      </c>
      <c r="Q45" s="224">
        <f t="shared" si="43"/>
        <v>0.74038243575032914</v>
      </c>
      <c r="R45" s="224">
        <f t="shared" si="43"/>
        <v>0.7274765936578298</v>
      </c>
      <c r="S45" s="224">
        <f t="shared" si="43"/>
        <v>0.6188586819101165</v>
      </c>
      <c r="T45" s="224">
        <f t="shared" si="43"/>
        <v>0.60314593504292935</v>
      </c>
      <c r="U45" s="224">
        <f t="shared" si="43"/>
        <v>0.56298977865347688</v>
      </c>
    </row>
    <row r="46" spans="1:89" x14ac:dyDescent="0.25">
      <c r="A46" s="185"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339</v>
      </c>
      <c r="B47" s="64"/>
      <c r="C47" s="64"/>
      <c r="D47" s="64"/>
      <c r="E47" s="90">
        <f>E10/E14</f>
        <v>5.7835976271947608E-2</v>
      </c>
      <c r="F47" s="90">
        <f t="shared" ref="F47:U47" si="45">F10/F14</f>
        <v>0.104522561927706</v>
      </c>
      <c r="G47" s="90">
        <f t="shared" si="45"/>
        <v>0.10844390807188677</v>
      </c>
      <c r="H47" s="90">
        <f t="shared" si="45"/>
        <v>0.11026037191404324</v>
      </c>
      <c r="I47" s="90">
        <f t="shared" si="45"/>
        <v>0.11857847760170477</v>
      </c>
      <c r="J47" s="90">
        <f t="shared" si="45"/>
        <v>7.6356985796613708E-2</v>
      </c>
      <c r="K47" s="90">
        <f t="shared" si="45"/>
        <v>9.1102907839452962E-2</v>
      </c>
      <c r="L47" s="90">
        <f t="shared" si="45"/>
        <v>3.4704356190341581E-2</v>
      </c>
      <c r="M47" s="90">
        <f t="shared" si="45"/>
        <v>3.6208284389052159E-2</v>
      </c>
      <c r="N47" s="214">
        <f t="shared" si="45"/>
        <v>0</v>
      </c>
      <c r="O47" s="214">
        <f t="shared" si="45"/>
        <v>0</v>
      </c>
      <c r="P47" s="214">
        <f t="shared" si="45"/>
        <v>0</v>
      </c>
      <c r="Q47" s="214">
        <f t="shared" si="45"/>
        <v>0</v>
      </c>
      <c r="R47" s="214">
        <f t="shared" si="45"/>
        <v>0</v>
      </c>
      <c r="S47" s="214">
        <f t="shared" si="45"/>
        <v>0</v>
      </c>
      <c r="T47" s="214">
        <f t="shared" si="45"/>
        <v>0</v>
      </c>
      <c r="U47" s="214">
        <f t="shared" si="45"/>
        <v>0</v>
      </c>
    </row>
    <row r="48" spans="1:89" x14ac:dyDescent="0.25">
      <c r="A48" s="184" t="s">
        <v>340</v>
      </c>
      <c r="B48" s="64"/>
      <c r="C48" s="64"/>
      <c r="D48" s="64"/>
      <c r="E48" s="90">
        <f>E11/E14</f>
        <v>1.6345776255913685E-2</v>
      </c>
      <c r="F48" s="90">
        <f t="shared" ref="F48:U48" si="46">F11/F14</f>
        <v>1.8180101965961325E-2</v>
      </c>
      <c r="G48" s="90">
        <f t="shared" si="46"/>
        <v>2.0281225997088776E-2</v>
      </c>
      <c r="H48" s="90">
        <f t="shared" si="46"/>
        <v>4.370690345765068E-2</v>
      </c>
      <c r="I48" s="90">
        <f t="shared" si="46"/>
        <v>2.9052373106148228E-2</v>
      </c>
      <c r="J48" s="90">
        <f t="shared" si="46"/>
        <v>2.9617276988763257E-2</v>
      </c>
      <c r="K48" s="90">
        <f t="shared" si="46"/>
        <v>5.8842850776469769E-3</v>
      </c>
      <c r="L48" s="90">
        <f t="shared" si="46"/>
        <v>3.7099107141450528E-3</v>
      </c>
      <c r="M48" s="90">
        <f t="shared" si="46"/>
        <v>5.1911195602216227E-3</v>
      </c>
      <c r="N48" s="214">
        <f t="shared" si="46"/>
        <v>0</v>
      </c>
      <c r="O48" s="214">
        <f t="shared" si="46"/>
        <v>1.6286046020813035E-3</v>
      </c>
      <c r="P48" s="214">
        <f t="shared" si="46"/>
        <v>1.022441034949293E-3</v>
      </c>
      <c r="Q48" s="214">
        <f t="shared" si="46"/>
        <v>2.2412919703610284E-3</v>
      </c>
      <c r="R48" s="214">
        <f t="shared" si="46"/>
        <v>1.9144185759359673E-3</v>
      </c>
      <c r="S48" s="214">
        <f t="shared" si="46"/>
        <v>3.3893095787604988E-3</v>
      </c>
      <c r="T48" s="214">
        <f t="shared" si="46"/>
        <v>2.3699128004772427E-3</v>
      </c>
      <c r="U48" s="214">
        <f t="shared" si="46"/>
        <v>3.6924090489186059E-3</v>
      </c>
    </row>
    <row r="49" spans="1:21" x14ac:dyDescent="0.25">
      <c r="A49" s="184" t="s">
        <v>341</v>
      </c>
      <c r="B49" s="64"/>
      <c r="C49" s="64"/>
      <c r="D49" s="64"/>
      <c r="E49" s="90">
        <f>E12/E14</f>
        <v>7.4181752527861286E-2</v>
      </c>
      <c r="F49" s="90">
        <f t="shared" ref="F49:U49" si="47">F12/F14</f>
        <v>0.12270266389366732</v>
      </c>
      <c r="G49" s="90">
        <f t="shared" si="47"/>
        <v>0.12872513406897554</v>
      </c>
      <c r="H49" s="90">
        <f t="shared" si="47"/>
        <v>0.15396727537169391</v>
      </c>
      <c r="I49" s="90">
        <f t="shared" si="47"/>
        <v>0.14763085070785301</v>
      </c>
      <c r="J49" s="90">
        <f t="shared" si="47"/>
        <v>0.10597426278537696</v>
      </c>
      <c r="K49" s="90">
        <f t="shared" si="47"/>
        <v>9.6987192917099938E-2</v>
      </c>
      <c r="L49" s="90">
        <f t="shared" si="47"/>
        <v>3.8414266904486634E-2</v>
      </c>
      <c r="M49" s="90">
        <f t="shared" si="47"/>
        <v>4.1399403949273779E-2</v>
      </c>
      <c r="N49" s="214">
        <f t="shared" si="47"/>
        <v>0</v>
      </c>
      <c r="O49" s="214">
        <f t="shared" si="47"/>
        <v>1.6286046020813035E-3</v>
      </c>
      <c r="P49" s="214">
        <f t="shared" si="47"/>
        <v>1.022441034949293E-3</v>
      </c>
      <c r="Q49" s="214">
        <f t="shared" si="47"/>
        <v>2.2412919703610284E-3</v>
      </c>
      <c r="R49" s="214">
        <f t="shared" si="47"/>
        <v>1.9144185759359673E-3</v>
      </c>
      <c r="S49" s="214">
        <f t="shared" si="47"/>
        <v>3.3893095787604988E-3</v>
      </c>
      <c r="T49" s="214">
        <f t="shared" si="47"/>
        <v>2.3699128004772427E-3</v>
      </c>
      <c r="U49" s="214">
        <f t="shared" si="47"/>
        <v>3.6924090489186059E-3</v>
      </c>
    </row>
    <row r="50" spans="1:21" x14ac:dyDescent="0.25">
      <c r="A50" s="184" t="s">
        <v>345</v>
      </c>
      <c r="B50" s="64"/>
      <c r="C50" s="64"/>
      <c r="D50" s="64"/>
      <c r="E50" s="90">
        <f>E13/E14</f>
        <v>0.9258182474721387</v>
      </c>
      <c r="F50" s="90">
        <f t="shared" ref="F50:U50" si="48">F13/F14</f>
        <v>0.87729733610633265</v>
      </c>
      <c r="G50" s="90">
        <f t="shared" si="48"/>
        <v>0.87127486593102443</v>
      </c>
      <c r="H50" s="90">
        <f t="shared" si="48"/>
        <v>0.84603272462830603</v>
      </c>
      <c r="I50" s="90">
        <f t="shared" si="48"/>
        <v>0.85236914929214702</v>
      </c>
      <c r="J50" s="90">
        <f t="shared" si="48"/>
        <v>0.89402573721462297</v>
      </c>
      <c r="K50" s="90">
        <f t="shared" si="48"/>
        <v>0.9030128070829001</v>
      </c>
      <c r="L50" s="90">
        <f t="shared" si="48"/>
        <v>0.96158573309551343</v>
      </c>
      <c r="M50" s="90">
        <f t="shared" si="48"/>
        <v>0.95860059605072623</v>
      </c>
      <c r="N50" s="214">
        <f t="shared" si="48"/>
        <v>1</v>
      </c>
      <c r="O50" s="214">
        <f t="shared" si="48"/>
        <v>0.99837139539791875</v>
      </c>
      <c r="P50" s="214">
        <f t="shared" si="48"/>
        <v>0.99897755896505069</v>
      </c>
      <c r="Q50" s="214">
        <f t="shared" si="48"/>
        <v>0.99775870802963895</v>
      </c>
      <c r="R50" s="214">
        <f t="shared" si="48"/>
        <v>0.99808558142406412</v>
      </c>
      <c r="S50" s="214">
        <f t="shared" si="48"/>
        <v>0.99661069042123962</v>
      </c>
      <c r="T50" s="214">
        <f t="shared" si="48"/>
        <v>0.99763008719952284</v>
      </c>
      <c r="U50" s="214">
        <f t="shared" si="48"/>
        <v>0.99630759095108135</v>
      </c>
    </row>
    <row r="51" spans="1:21" x14ac:dyDescent="0.25">
      <c r="A51" s="185"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640</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644</v>
      </c>
      <c r="B55" s="64"/>
      <c r="C55" s="64"/>
      <c r="D55" s="64"/>
      <c r="E55" s="214">
        <f>E2/E9</f>
        <v>0.21463167862036087</v>
      </c>
      <c r="F55" s="214">
        <f t="shared" ref="F55:U55" si="51">F2/F9</f>
        <v>0.15626478545075001</v>
      </c>
      <c r="G55" s="214">
        <f t="shared" si="51"/>
        <v>0.23766010325584033</v>
      </c>
      <c r="H55" s="214">
        <f t="shared" si="51"/>
        <v>0.29969920088848329</v>
      </c>
      <c r="I55" s="214">
        <f t="shared" si="51"/>
        <v>0.45791266951713955</v>
      </c>
      <c r="J55" s="214">
        <f t="shared" si="51"/>
        <v>0.29755497703876937</v>
      </c>
      <c r="K55" s="214">
        <f t="shared" si="51"/>
        <v>0.24520220966395412</v>
      </c>
      <c r="L55" s="214">
        <f t="shared" si="51"/>
        <v>0.27641466059724851</v>
      </c>
      <c r="M55" s="214">
        <f t="shared" si="51"/>
        <v>0.25038020967085672</v>
      </c>
      <c r="N55" s="214">
        <f t="shared" si="51"/>
        <v>0.31325362227325732</v>
      </c>
      <c r="O55" s="214">
        <f t="shared" si="51"/>
        <v>0.25802249356708268</v>
      </c>
      <c r="P55" s="214">
        <f t="shared" si="51"/>
        <v>0.2568216396468076</v>
      </c>
      <c r="Q55" s="214">
        <f t="shared" si="51"/>
        <v>0.25961756424967081</v>
      </c>
      <c r="R55" s="214">
        <f t="shared" si="51"/>
        <v>0.27252340634217009</v>
      </c>
      <c r="S55" s="214">
        <f t="shared" si="51"/>
        <v>0.38114131808988361</v>
      </c>
      <c r="T55" s="214">
        <f t="shared" si="51"/>
        <v>0.39685406495707076</v>
      </c>
      <c r="U55" s="214">
        <f t="shared" si="51"/>
        <v>0.43701022134652312</v>
      </c>
    </row>
    <row r="56" spans="1:21" x14ac:dyDescent="0.25">
      <c r="A56" s="184" t="s">
        <v>645</v>
      </c>
      <c r="B56" s="64"/>
      <c r="C56" s="64"/>
      <c r="D56" s="64"/>
      <c r="E56" s="214">
        <f>E4/E9</f>
        <v>0.46753866571393438</v>
      </c>
      <c r="F56" s="214">
        <f t="shared" ref="F56:U56" si="52">F4/F9</f>
        <v>0.50577453540619599</v>
      </c>
      <c r="G56" s="214">
        <f t="shared" si="52"/>
        <v>0.40464460636383581</v>
      </c>
      <c r="H56" s="214">
        <f t="shared" si="52"/>
        <v>0.35989657042309497</v>
      </c>
      <c r="I56" s="214">
        <f t="shared" si="52"/>
        <v>0.28085691676734131</v>
      </c>
      <c r="J56" s="214">
        <f t="shared" si="52"/>
        <v>0.41375830705432892</v>
      </c>
      <c r="K56" s="214">
        <f t="shared" si="52"/>
        <v>0.45048844253632692</v>
      </c>
      <c r="L56" s="214">
        <f t="shared" si="52"/>
        <v>0.40601552232491439</v>
      </c>
      <c r="M56" s="214">
        <f t="shared" si="52"/>
        <v>0.41770274795785545</v>
      </c>
      <c r="N56" s="214">
        <f t="shared" si="52"/>
        <v>0.36103959054727985</v>
      </c>
      <c r="O56" s="214">
        <f t="shared" si="52"/>
        <v>0.3998329048500866</v>
      </c>
      <c r="P56" s="214">
        <f t="shared" si="52"/>
        <v>0.42676596936212058</v>
      </c>
      <c r="Q56" s="214">
        <f t="shared" si="52"/>
        <v>0.40924326162452757</v>
      </c>
      <c r="R56" s="214">
        <f t="shared" si="52"/>
        <v>0.44212025557728418</v>
      </c>
      <c r="S56" s="214">
        <f t="shared" si="52"/>
        <v>0.32566142371839596</v>
      </c>
      <c r="T56" s="214">
        <f t="shared" si="52"/>
        <v>0.31695839119112618</v>
      </c>
      <c r="U56" s="214">
        <f t="shared" si="52"/>
        <v>0.26003931920826401</v>
      </c>
    </row>
    <row r="57" spans="1:21" x14ac:dyDescent="0.25">
      <c r="A57" s="184" t="s">
        <v>646</v>
      </c>
      <c r="B57" s="64"/>
      <c r="C57" s="64"/>
      <c r="D57" s="64"/>
      <c r="E57" s="214">
        <f>E5/E9</f>
        <v>0.79510416329654132</v>
      </c>
      <c r="F57" s="214">
        <f t="shared" ref="F57:U57" si="53">F5/F9</f>
        <v>0.80357375953439814</v>
      </c>
      <c r="G57" s="214">
        <f t="shared" si="53"/>
        <v>0.68214828121948146</v>
      </c>
      <c r="H57" s="214">
        <f t="shared" si="53"/>
        <v>0.62295746477869696</v>
      </c>
      <c r="I57" s="214">
        <f t="shared" si="53"/>
        <v>0.52590339834942301</v>
      </c>
      <c r="J57" s="214">
        <f t="shared" si="53"/>
        <v>0.63883076922148285</v>
      </c>
      <c r="K57" s="214">
        <f t="shared" si="53"/>
        <v>0.65129479355706199</v>
      </c>
      <c r="L57" s="214">
        <f t="shared" si="53"/>
        <v>0.65005422848923911</v>
      </c>
      <c r="M57" s="214">
        <f t="shared" si="53"/>
        <v>0.67525543382283515</v>
      </c>
      <c r="N57" s="214">
        <f t="shared" si="53"/>
        <v>0.61435332082569427</v>
      </c>
      <c r="O57" s="214">
        <f t="shared" si="53"/>
        <v>0.64257814356844345</v>
      </c>
      <c r="P57" s="214">
        <f t="shared" si="53"/>
        <v>0.64611088232201264</v>
      </c>
      <c r="Q57" s="214">
        <f t="shared" si="53"/>
        <v>0.65872621805132481</v>
      </c>
      <c r="R57" s="214">
        <f t="shared" si="53"/>
        <v>0.69628203942282829</v>
      </c>
      <c r="S57" s="214">
        <f t="shared" si="53"/>
        <v>0.53939972408055292</v>
      </c>
      <c r="T57" s="214">
        <f t="shared" si="53"/>
        <v>0.54030739341840284</v>
      </c>
      <c r="U57" s="214">
        <f t="shared" si="53"/>
        <v>0.50010978160660546</v>
      </c>
    </row>
    <row r="58" spans="1:21" x14ac:dyDescent="0.25">
      <c r="A58" s="184" t="s">
        <v>647</v>
      </c>
      <c r="B58" s="64"/>
      <c r="C58" s="64"/>
      <c r="D58" s="64"/>
      <c r="E58" s="214">
        <f>E6/E9</f>
        <v>0.32756549758260695</v>
      </c>
      <c r="F58" s="214">
        <f t="shared" ref="F58:U58" si="54">F6/F9</f>
        <v>0.29779922412820209</v>
      </c>
      <c r="G58" s="214">
        <f t="shared" si="54"/>
        <v>0.27750367485564564</v>
      </c>
      <c r="H58" s="214">
        <f t="shared" si="54"/>
        <v>0.26306089435560198</v>
      </c>
      <c r="I58" s="214">
        <f t="shared" si="54"/>
        <v>0.24504648158208173</v>
      </c>
      <c r="J58" s="214">
        <f t="shared" si="54"/>
        <v>0.2250724621671539</v>
      </c>
      <c r="K58" s="214">
        <f t="shared" si="54"/>
        <v>0.20080635102073502</v>
      </c>
      <c r="L58" s="214">
        <f t="shared" si="54"/>
        <v>0.24403870616432474</v>
      </c>
      <c r="M58" s="214">
        <f t="shared" si="54"/>
        <v>0.25755268586497965</v>
      </c>
      <c r="N58" s="214">
        <f t="shared" si="54"/>
        <v>0.25331373027841447</v>
      </c>
      <c r="O58" s="214">
        <f t="shared" si="54"/>
        <v>0.24274523871835682</v>
      </c>
      <c r="P58" s="214">
        <f t="shared" si="54"/>
        <v>0.21934491295989206</v>
      </c>
      <c r="Q58" s="214">
        <f t="shared" si="54"/>
        <v>0.24948295642679727</v>
      </c>
      <c r="R58" s="214">
        <f t="shared" si="54"/>
        <v>0.25416178384554416</v>
      </c>
      <c r="S58" s="214">
        <f t="shared" si="54"/>
        <v>0.21373830036215691</v>
      </c>
      <c r="T58" s="214">
        <f t="shared" si="54"/>
        <v>0.22334900222727672</v>
      </c>
      <c r="U58" s="214">
        <f t="shared" si="54"/>
        <v>0.24007046239834148</v>
      </c>
    </row>
    <row r="59" spans="1:21" s="225" customFormat="1" x14ac:dyDescent="0.25">
      <c r="A59" s="227" t="s">
        <v>641</v>
      </c>
      <c r="B59" s="223"/>
      <c r="C59" s="223"/>
      <c r="D59" s="223"/>
      <c r="E59" s="224">
        <f>E55+E56</f>
        <v>0.68217034433429524</v>
      </c>
      <c r="F59" s="224">
        <f t="shared" ref="F59:U59" si="55">F55+F56</f>
        <v>0.66203932085694595</v>
      </c>
      <c r="G59" s="224">
        <f t="shared" si="55"/>
        <v>0.64230470961967612</v>
      </c>
      <c r="H59" s="224">
        <f t="shared" si="55"/>
        <v>0.65959577131157832</v>
      </c>
      <c r="I59" s="224">
        <f t="shared" si="55"/>
        <v>0.73876958628448086</v>
      </c>
      <c r="J59" s="224">
        <f t="shared" si="55"/>
        <v>0.71131328409309824</v>
      </c>
      <c r="K59" s="224">
        <f t="shared" si="55"/>
        <v>0.69569065220028103</v>
      </c>
      <c r="L59" s="224">
        <f t="shared" si="55"/>
        <v>0.68243018292216284</v>
      </c>
      <c r="M59" s="224">
        <f t="shared" si="55"/>
        <v>0.66808295762871217</v>
      </c>
      <c r="N59" s="224">
        <f t="shared" si="55"/>
        <v>0.67429321282053722</v>
      </c>
      <c r="O59" s="224">
        <f t="shared" si="55"/>
        <v>0.65785539841716933</v>
      </c>
      <c r="P59" s="224">
        <f t="shared" si="55"/>
        <v>0.68358760900892812</v>
      </c>
      <c r="Q59" s="224">
        <f t="shared" si="55"/>
        <v>0.66886082587419837</v>
      </c>
      <c r="R59" s="224">
        <f t="shared" si="55"/>
        <v>0.71464366191945428</v>
      </c>
      <c r="S59" s="224">
        <f t="shared" si="55"/>
        <v>0.70680274180827962</v>
      </c>
      <c r="T59" s="224">
        <f t="shared" si="55"/>
        <v>0.71381245614819688</v>
      </c>
      <c r="U59" s="224">
        <f t="shared" si="55"/>
        <v>0.69704954055478718</v>
      </c>
    </row>
    <row r="60" spans="1:21" x14ac:dyDescent="0.25">
      <c r="A60" s="184" t="s">
        <v>648</v>
      </c>
      <c r="B60" s="64"/>
      <c r="C60" s="64"/>
      <c r="D60" s="64"/>
      <c r="E60" s="214">
        <f>E3/E9</f>
        <v>7.8506548998758809E-4</v>
      </c>
      <c r="F60" s="214">
        <f t="shared" ref="F60:U60" si="56">F3/F9</f>
        <v>1.0536863132504818E-2</v>
      </c>
      <c r="G60" s="214">
        <f t="shared" si="56"/>
        <v>1.1187704585333132E-2</v>
      </c>
      <c r="H60" s="214">
        <f t="shared" si="56"/>
        <v>1.2547391141715054E-2</v>
      </c>
      <c r="I60" s="214">
        <f t="shared" si="56"/>
        <v>1.3082834748667886E-2</v>
      </c>
      <c r="J60" s="214">
        <f t="shared" si="56"/>
        <v>1.4793232260330011E-2</v>
      </c>
      <c r="K60" s="214">
        <f t="shared" si="56"/>
        <v>1.6337132272504117E-2</v>
      </c>
      <c r="L60" s="214">
        <f t="shared" si="56"/>
        <v>1.6315769867196985E-2</v>
      </c>
      <c r="M60" s="214">
        <f t="shared" si="56"/>
        <v>1.7464413259662866E-2</v>
      </c>
      <c r="N60" s="214">
        <f t="shared" si="56"/>
        <v>0</v>
      </c>
      <c r="O60" s="214">
        <f t="shared" si="56"/>
        <v>0</v>
      </c>
      <c r="P60" s="214">
        <f t="shared" si="56"/>
        <v>0</v>
      </c>
      <c r="Q60" s="214">
        <f t="shared" si="56"/>
        <v>0</v>
      </c>
      <c r="R60" s="214">
        <f t="shared" si="56"/>
        <v>0</v>
      </c>
      <c r="S60" s="214">
        <f t="shared" si="56"/>
        <v>0</v>
      </c>
      <c r="T60" s="214">
        <f t="shared" si="56"/>
        <v>0</v>
      </c>
      <c r="U60" s="214">
        <f t="shared" si="56"/>
        <v>0</v>
      </c>
    </row>
    <row r="61" spans="1:21" x14ac:dyDescent="0.25">
      <c r="A61" s="184" t="s">
        <v>649</v>
      </c>
      <c r="B61" s="64"/>
      <c r="C61" s="64"/>
      <c r="D61" s="64"/>
      <c r="E61" s="214">
        <f>E7/E9</f>
        <v>0.31704459017571723</v>
      </c>
      <c r="F61" s="214">
        <f t="shared" ref="F61:U61" si="57">F7/F9</f>
        <v>0.32742381601054915</v>
      </c>
      <c r="G61" s="214">
        <f t="shared" si="57"/>
        <v>0.34650758579499075</v>
      </c>
      <c r="H61" s="214">
        <f t="shared" si="57"/>
        <v>0.32785683754670675</v>
      </c>
      <c r="I61" s="214">
        <f t="shared" si="57"/>
        <v>0.24814757896685119</v>
      </c>
      <c r="J61" s="214">
        <f t="shared" si="57"/>
        <v>0.27389348364657162</v>
      </c>
      <c r="K61" s="214">
        <f t="shared" si="57"/>
        <v>0.2879722155272148</v>
      </c>
      <c r="L61" s="214">
        <f t="shared" si="57"/>
        <v>0.30125404721064025</v>
      </c>
      <c r="M61" s="214">
        <f t="shared" si="57"/>
        <v>0.31445262911162492</v>
      </c>
      <c r="N61" s="214">
        <f t="shared" si="57"/>
        <v>0.32570678717946283</v>
      </c>
      <c r="O61" s="214">
        <f t="shared" si="57"/>
        <v>0.34214460158283072</v>
      </c>
      <c r="P61" s="214">
        <f t="shared" si="57"/>
        <v>0.31641239099107188</v>
      </c>
      <c r="Q61" s="214">
        <f t="shared" si="57"/>
        <v>0.33113917412580152</v>
      </c>
      <c r="R61" s="214">
        <f t="shared" si="57"/>
        <v>0.28535633808054572</v>
      </c>
      <c r="S61" s="214">
        <f t="shared" si="57"/>
        <v>0.29319725819172049</v>
      </c>
      <c r="T61" s="214">
        <f t="shared" si="57"/>
        <v>0.28618754385180312</v>
      </c>
      <c r="U61" s="214">
        <f t="shared" si="57"/>
        <v>0.30295045944521293</v>
      </c>
    </row>
    <row r="62" spans="1:21" s="225" customFormat="1" x14ac:dyDescent="0.25">
      <c r="A62" s="227" t="s">
        <v>642</v>
      </c>
      <c r="B62" s="223"/>
      <c r="C62" s="223"/>
      <c r="D62" s="223"/>
      <c r="E62" s="224">
        <f>E60+E61</f>
        <v>0.31782965566570481</v>
      </c>
      <c r="F62" s="224">
        <f t="shared" ref="F62:M62" si="58">F60+F61</f>
        <v>0.33796067914305394</v>
      </c>
      <c r="G62" s="224">
        <f t="shared" si="58"/>
        <v>0.35769529038032388</v>
      </c>
      <c r="H62" s="224">
        <f t="shared" si="58"/>
        <v>0.34040422868842179</v>
      </c>
      <c r="I62" s="224">
        <f t="shared" si="58"/>
        <v>0.26123041371551908</v>
      </c>
      <c r="J62" s="224">
        <f t="shared" si="58"/>
        <v>0.28868671590690165</v>
      </c>
      <c r="K62" s="224">
        <f t="shared" si="58"/>
        <v>0.30430934779971891</v>
      </c>
      <c r="L62" s="224">
        <f t="shared" si="58"/>
        <v>0.31756981707783721</v>
      </c>
      <c r="M62" s="224">
        <f t="shared" si="58"/>
        <v>0.33191704237128777</v>
      </c>
      <c r="N62" s="224">
        <f t="shared" ref="N62" si="59">N60+N61</f>
        <v>0.32570678717946283</v>
      </c>
      <c r="O62" s="224">
        <f t="shared" ref="O62" si="60">O60+O61</f>
        <v>0.34214460158283072</v>
      </c>
      <c r="P62" s="224">
        <f t="shared" ref="P62" si="61">P60+P61</f>
        <v>0.31641239099107188</v>
      </c>
      <c r="Q62" s="224">
        <f t="shared" ref="Q62" si="62">Q60+Q61</f>
        <v>0.33113917412580152</v>
      </c>
      <c r="R62" s="224">
        <f t="shared" ref="R62" si="63">R60+R61</f>
        <v>0.28535633808054572</v>
      </c>
      <c r="S62" s="224">
        <f t="shared" ref="S62" si="64">S60+S61</f>
        <v>0.29319725819172049</v>
      </c>
      <c r="T62" s="224">
        <f t="shared" ref="T62" si="65">T60+T61</f>
        <v>0.28618754385180312</v>
      </c>
      <c r="U62" s="224">
        <f t="shared" ref="U62" si="66">U60+U61</f>
        <v>0.30295045944521293</v>
      </c>
    </row>
    <row r="63" spans="1:21" x14ac:dyDescent="0.25">
      <c r="A63" s="226" t="s">
        <v>643</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699</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650</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651</v>
      </c>
      <c r="E67" s="193">
        <f>E10</f>
        <v>197566288.30000001</v>
      </c>
      <c r="F67" s="193">
        <f t="shared" ref="F67:U67" si="68">F10</f>
        <v>362613245.42000002</v>
      </c>
      <c r="G67" s="193">
        <f t="shared" si="68"/>
        <v>361565942.50999999</v>
      </c>
      <c r="H67" s="193">
        <f t="shared" si="68"/>
        <v>391766634.35000002</v>
      </c>
      <c r="I67" s="193">
        <f t="shared" si="68"/>
        <v>400690979.23000002</v>
      </c>
      <c r="J67" s="193">
        <f t="shared" si="68"/>
        <v>240000000</v>
      </c>
      <c r="K67" s="193">
        <f t="shared" si="68"/>
        <v>270000000</v>
      </c>
      <c r="L67" s="193">
        <f t="shared" si="68"/>
        <v>100000000</v>
      </c>
      <c r="M67" s="193">
        <f t="shared" si="68"/>
        <v>100302083.33</v>
      </c>
      <c r="N67" s="193">
        <f t="shared" si="68"/>
        <v>0</v>
      </c>
      <c r="O67" s="193">
        <f t="shared" si="68"/>
        <v>0</v>
      </c>
      <c r="P67" s="193">
        <f t="shared" si="68"/>
        <v>0</v>
      </c>
      <c r="Q67" s="193">
        <f t="shared" si="68"/>
        <v>0</v>
      </c>
      <c r="R67" s="193">
        <f t="shared" si="68"/>
        <v>0</v>
      </c>
      <c r="S67" s="193">
        <f t="shared" si="68"/>
        <v>0</v>
      </c>
      <c r="T67" s="193">
        <f t="shared" si="68"/>
        <v>0</v>
      </c>
      <c r="U67" s="193">
        <f t="shared" si="68"/>
        <v>0</v>
      </c>
    </row>
    <row r="68" spans="1:21" x14ac:dyDescent="0.25">
      <c r="A68" s="17" t="s">
        <v>652</v>
      </c>
      <c r="E68" s="193">
        <f>E11</f>
        <v>55836774.140000001</v>
      </c>
      <c r="F68" s="193">
        <f t="shared" ref="F68:U68" si="69">F11</f>
        <v>63071031.310000002</v>
      </c>
      <c r="G68" s="193">
        <f t="shared" si="69"/>
        <v>67620216.969999999</v>
      </c>
      <c r="H68" s="193">
        <f t="shared" si="69"/>
        <v>155295199.61000001</v>
      </c>
      <c r="I68" s="193">
        <f t="shared" si="69"/>
        <v>98171473.140000001</v>
      </c>
      <c r="J68" s="193">
        <f t="shared" si="69"/>
        <v>93090977.900000006</v>
      </c>
      <c r="K68" s="193">
        <f t="shared" si="69"/>
        <v>17439146.66</v>
      </c>
      <c r="L68" s="193">
        <f t="shared" si="69"/>
        <v>10690043.33</v>
      </c>
      <c r="M68" s="193">
        <f t="shared" si="69"/>
        <v>14380137.460000001</v>
      </c>
      <c r="N68" s="193">
        <f t="shared" si="69"/>
        <v>0</v>
      </c>
      <c r="O68" s="193">
        <f t="shared" si="69"/>
        <v>3913327.12</v>
      </c>
      <c r="P68" s="193">
        <f t="shared" si="69"/>
        <v>2666935.96</v>
      </c>
      <c r="Q68" s="193">
        <f t="shared" si="69"/>
        <v>5587351.7300000004</v>
      </c>
      <c r="R68" s="193">
        <f t="shared" si="69"/>
        <v>4419412.5999999996</v>
      </c>
      <c r="S68" s="193">
        <f t="shared" si="69"/>
        <v>7430086.4699999997</v>
      </c>
      <c r="T68" s="193">
        <f t="shared" si="69"/>
        <v>5284150.0999999996</v>
      </c>
      <c r="U68" s="193">
        <f t="shared" si="69"/>
        <v>7877039.8899999997</v>
      </c>
    </row>
    <row r="69" spans="1:21" x14ac:dyDescent="0.25">
      <c r="A69" s="17" t="s">
        <v>653</v>
      </c>
      <c r="E69" s="193">
        <f>E12</f>
        <v>253403062.44</v>
      </c>
      <c r="F69" s="193">
        <f t="shared" ref="F69:U69" si="70">F12</f>
        <v>425684276.73000002</v>
      </c>
      <c r="G69" s="193">
        <f t="shared" si="70"/>
        <v>429186159.48000002</v>
      </c>
      <c r="H69" s="193">
        <f t="shared" si="70"/>
        <v>547061833.96000004</v>
      </c>
      <c r="I69" s="193">
        <f t="shared" si="70"/>
        <v>498862452.37</v>
      </c>
      <c r="J69" s="193">
        <f t="shared" si="70"/>
        <v>333090977.89999998</v>
      </c>
      <c r="K69" s="193">
        <f t="shared" si="70"/>
        <v>287439146.66000003</v>
      </c>
      <c r="L69" s="193">
        <f t="shared" si="70"/>
        <v>110690043.33</v>
      </c>
      <c r="M69" s="193">
        <f t="shared" si="70"/>
        <v>114682220.78999999</v>
      </c>
      <c r="N69" s="193">
        <f t="shared" si="70"/>
        <v>0</v>
      </c>
      <c r="O69" s="193">
        <f t="shared" si="70"/>
        <v>3913327.12</v>
      </c>
      <c r="P69" s="193">
        <f t="shared" si="70"/>
        <v>2666935.96</v>
      </c>
      <c r="Q69" s="193">
        <f t="shared" si="70"/>
        <v>5587351.7300000004</v>
      </c>
      <c r="R69" s="193">
        <f t="shared" si="70"/>
        <v>4419412.5999999996</v>
      </c>
      <c r="S69" s="193">
        <f t="shared" si="70"/>
        <v>7430086.4699999997</v>
      </c>
      <c r="T69" s="193">
        <f t="shared" si="70"/>
        <v>5284150.0999999996</v>
      </c>
      <c r="U69" s="193">
        <f t="shared" si="70"/>
        <v>7877039.8899999997</v>
      </c>
    </row>
    <row r="70" spans="1:21" s="234" customFormat="1" x14ac:dyDescent="0.25">
      <c r="A70" s="234" t="s">
        <v>656</v>
      </c>
      <c r="E70" s="234">
        <f>E69/E74</f>
        <v>7.4181752527861286E-2</v>
      </c>
      <c r="F70" s="234">
        <f t="shared" ref="F70:U70" si="71">F69/F74</f>
        <v>0.12270266389366732</v>
      </c>
      <c r="G70" s="234">
        <f t="shared" si="71"/>
        <v>0.12872513406897554</v>
      </c>
      <c r="H70" s="234">
        <f t="shared" si="71"/>
        <v>0.15396727537169391</v>
      </c>
      <c r="I70" s="234">
        <f t="shared" si="71"/>
        <v>0.14763085070785301</v>
      </c>
      <c r="J70" s="234">
        <f t="shared" si="71"/>
        <v>0.10597426278537696</v>
      </c>
      <c r="K70" s="234">
        <f t="shared" si="71"/>
        <v>9.6987192917099938E-2</v>
      </c>
      <c r="L70" s="234">
        <f t="shared" si="71"/>
        <v>3.8414266904486634E-2</v>
      </c>
      <c r="M70" s="234">
        <f t="shared" si="71"/>
        <v>4.1399403949273779E-2</v>
      </c>
      <c r="N70" s="234">
        <f t="shared" si="71"/>
        <v>0</v>
      </c>
      <c r="O70" s="234">
        <f t="shared" si="71"/>
        <v>1.6286046020813035E-3</v>
      </c>
      <c r="P70" s="234">
        <f t="shared" si="71"/>
        <v>1.022441034949293E-3</v>
      </c>
      <c r="Q70" s="234">
        <f t="shared" si="71"/>
        <v>2.2412919703610284E-3</v>
      </c>
      <c r="R70" s="234">
        <f t="shared" si="71"/>
        <v>1.9144185759359673E-3</v>
      </c>
      <c r="S70" s="234">
        <f t="shared" si="71"/>
        <v>3.3893095787604988E-3</v>
      </c>
      <c r="T70" s="234">
        <f t="shared" si="71"/>
        <v>2.3699128004772427E-3</v>
      </c>
      <c r="U70" s="234">
        <f t="shared" si="71"/>
        <v>3.6924090489186059E-3</v>
      </c>
    </row>
    <row r="71" spans="1:21" x14ac:dyDescent="0.25">
      <c r="A71" s="17" t="s">
        <v>654</v>
      </c>
      <c r="E71" s="193">
        <f>E13</f>
        <v>3162572616.2799993</v>
      </c>
      <c r="F71" s="193">
        <f t="shared" ref="F71:U71" si="72">F13</f>
        <v>3043549912.8299999</v>
      </c>
      <c r="G71" s="193">
        <f t="shared" si="72"/>
        <v>2904942506.0999999</v>
      </c>
      <c r="H71" s="193">
        <f t="shared" si="72"/>
        <v>3006042763.3599997</v>
      </c>
      <c r="I71" s="193">
        <f t="shared" si="72"/>
        <v>2880258171.6600003</v>
      </c>
      <c r="J71" s="193">
        <f t="shared" si="72"/>
        <v>2810039902.6099997</v>
      </c>
      <c r="K71" s="193">
        <f t="shared" si="72"/>
        <v>2676242325.2400002</v>
      </c>
      <c r="L71" s="193">
        <f t="shared" si="72"/>
        <v>2770792599.6999998</v>
      </c>
      <c r="M71" s="193">
        <f t="shared" si="72"/>
        <v>2655459613.3899999</v>
      </c>
      <c r="N71" s="193">
        <f t="shared" si="72"/>
        <v>2546401388.6300001</v>
      </c>
      <c r="O71" s="193">
        <f t="shared" si="72"/>
        <v>2398957888.52</v>
      </c>
      <c r="P71" s="193">
        <f t="shared" si="72"/>
        <v>2605733811.6999998</v>
      </c>
      <c r="Q71" s="193">
        <f t="shared" si="72"/>
        <v>2487328254.0400004</v>
      </c>
      <c r="R71" s="193">
        <f t="shared" si="72"/>
        <v>2304068739.1300001</v>
      </c>
      <c r="S71" s="193">
        <f t="shared" si="72"/>
        <v>2184782308.8099999</v>
      </c>
      <c r="T71" s="193">
        <f t="shared" si="72"/>
        <v>2224397084.98</v>
      </c>
      <c r="U71" s="193">
        <f t="shared" si="72"/>
        <v>2125429369.4599998</v>
      </c>
    </row>
    <row r="72" spans="1:21" s="234" customFormat="1" x14ac:dyDescent="0.25">
      <c r="A72" s="234" t="s">
        <v>657</v>
      </c>
      <c r="E72" s="234">
        <f>E71/E74</f>
        <v>0.9258182474721387</v>
      </c>
      <c r="F72" s="234">
        <f t="shared" ref="F72:U72" si="73">F71/F74</f>
        <v>0.87729733610633265</v>
      </c>
      <c r="G72" s="234">
        <f t="shared" si="73"/>
        <v>0.87127486593102443</v>
      </c>
      <c r="H72" s="234">
        <f t="shared" si="73"/>
        <v>0.84603272462830603</v>
      </c>
      <c r="I72" s="234">
        <f t="shared" si="73"/>
        <v>0.85236914929214702</v>
      </c>
      <c r="J72" s="234">
        <f t="shared" si="73"/>
        <v>0.89402573721462297</v>
      </c>
      <c r="K72" s="234">
        <f t="shared" si="73"/>
        <v>0.9030128070829001</v>
      </c>
      <c r="L72" s="234">
        <f t="shared" si="73"/>
        <v>0.96158573309551343</v>
      </c>
      <c r="M72" s="234">
        <f t="shared" si="73"/>
        <v>0.95860059605072623</v>
      </c>
      <c r="N72" s="234">
        <f t="shared" si="73"/>
        <v>1</v>
      </c>
      <c r="O72" s="234">
        <f t="shared" si="73"/>
        <v>0.99837139539791875</v>
      </c>
      <c r="P72" s="234">
        <f t="shared" si="73"/>
        <v>0.99897755896505069</v>
      </c>
      <c r="Q72" s="234">
        <f t="shared" si="73"/>
        <v>0.99775870802963895</v>
      </c>
      <c r="R72" s="234">
        <f t="shared" si="73"/>
        <v>0.99808558142406412</v>
      </c>
      <c r="S72" s="234">
        <f t="shared" si="73"/>
        <v>0.99661069042123962</v>
      </c>
      <c r="T72" s="234">
        <f t="shared" si="73"/>
        <v>0.99763008719952284</v>
      </c>
      <c r="U72" s="234">
        <f t="shared" si="73"/>
        <v>0.99630759095108135</v>
      </c>
    </row>
    <row r="73" spans="1:21" s="236" customFormat="1" x14ac:dyDescent="0.25">
      <c r="A73" s="235" t="s">
        <v>658</v>
      </c>
      <c r="E73" s="237">
        <f>E74/E71</f>
        <v>1.0801256107561152</v>
      </c>
      <c r="F73" s="237">
        <f t="shared" ref="F73:U73" si="74">F74/F71</f>
        <v>1.1398643981278374</v>
      </c>
      <c r="G73" s="237">
        <f t="shared" si="74"/>
        <v>1.1477434264460535</v>
      </c>
      <c r="H73" s="237">
        <f t="shared" si="74"/>
        <v>1.1819873757712358</v>
      </c>
      <c r="I73" s="237">
        <f t="shared" si="74"/>
        <v>1.1732006030843016</v>
      </c>
      <c r="J73" s="237">
        <f t="shared" si="74"/>
        <v>1.1185360313177835</v>
      </c>
      <c r="K73" s="237">
        <f t="shared" si="74"/>
        <v>1.1074040059635568</v>
      </c>
      <c r="L73" s="237">
        <f t="shared" si="74"/>
        <v>1.0399488735973903</v>
      </c>
      <c r="M73" s="237">
        <f t="shared" si="74"/>
        <v>1.0431873338279074</v>
      </c>
      <c r="N73" s="237">
        <f t="shared" si="74"/>
        <v>1</v>
      </c>
      <c r="O73" s="237">
        <f t="shared" si="74"/>
        <v>1.0016312612817118</v>
      </c>
      <c r="P73" s="237">
        <f t="shared" si="74"/>
        <v>1.0010234874905584</v>
      </c>
      <c r="Q73" s="237">
        <f t="shared" si="74"/>
        <v>1.0022463266442316</v>
      </c>
      <c r="R73" s="237">
        <f t="shared" si="74"/>
        <v>1.0019180906042189</v>
      </c>
      <c r="S73" s="237">
        <f t="shared" si="74"/>
        <v>1.0034008360650113</v>
      </c>
      <c r="T73" s="237">
        <f t="shared" si="74"/>
        <v>1.0023755426293626</v>
      </c>
      <c r="U73" s="237">
        <f t="shared" si="74"/>
        <v>1.0037060934619537</v>
      </c>
    </row>
    <row r="74" spans="1:21" x14ac:dyDescent="0.25">
      <c r="A74" s="17" t="s">
        <v>655</v>
      </c>
      <c r="E74" s="193">
        <f>E14</f>
        <v>3415975678.7199993</v>
      </c>
      <c r="F74" s="193">
        <f t="shared" ref="F74:U74" si="75">F14</f>
        <v>3469234189.5599999</v>
      </c>
      <c r="G74" s="193">
        <f t="shared" si="75"/>
        <v>3334128665.5799999</v>
      </c>
      <c r="H74" s="193">
        <f t="shared" si="75"/>
        <v>3553104597.3199997</v>
      </c>
      <c r="I74" s="193">
        <f t="shared" si="75"/>
        <v>3379120624.0300002</v>
      </c>
      <c r="J74" s="193">
        <f t="shared" si="75"/>
        <v>3143130880.5099998</v>
      </c>
      <c r="K74" s="193">
        <f t="shared" si="75"/>
        <v>2963681471.9000001</v>
      </c>
      <c r="L74" s="193">
        <f t="shared" si="75"/>
        <v>2881482643.0299997</v>
      </c>
      <c r="M74" s="193">
        <f t="shared" si="75"/>
        <v>2770141834.1799998</v>
      </c>
      <c r="N74" s="193">
        <f t="shared" si="75"/>
        <v>2546401388.6300001</v>
      </c>
      <c r="O74" s="193">
        <f t="shared" si="75"/>
        <v>2402871215.6399999</v>
      </c>
      <c r="P74" s="193">
        <f t="shared" si="75"/>
        <v>2608400747.6599998</v>
      </c>
      <c r="Q74" s="193">
        <f t="shared" si="75"/>
        <v>2492915605.7700005</v>
      </c>
      <c r="R74" s="193">
        <f t="shared" si="75"/>
        <v>2308488151.73</v>
      </c>
      <c r="S74" s="193">
        <f t="shared" si="75"/>
        <v>2192212395.2799997</v>
      </c>
      <c r="T74" s="193">
        <f t="shared" si="75"/>
        <v>2229681235.0799999</v>
      </c>
      <c r="U74" s="193">
        <f t="shared" si="75"/>
        <v>2133306409.3499999</v>
      </c>
    </row>
    <row r="75" spans="1:21" ht="83.4" customHeight="1" x14ac:dyDescent="0.25">
      <c r="A75" s="279" t="s">
        <v>700</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659</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651</v>
      </c>
      <c r="B78" s="64"/>
      <c r="C78" s="64"/>
      <c r="D78" s="64"/>
      <c r="E78" s="89">
        <f>E10</f>
        <v>197566288.30000001</v>
      </c>
      <c r="F78" s="89">
        <f t="shared" ref="F78:U78" si="77">F10</f>
        <v>362613245.42000002</v>
      </c>
      <c r="G78" s="89">
        <f t="shared" si="77"/>
        <v>361565942.50999999</v>
      </c>
      <c r="H78" s="89">
        <f t="shared" si="77"/>
        <v>391766634.35000002</v>
      </c>
      <c r="I78" s="89">
        <f t="shared" si="77"/>
        <v>400690979.23000002</v>
      </c>
      <c r="J78" s="89">
        <f t="shared" si="77"/>
        <v>240000000</v>
      </c>
      <c r="K78" s="89">
        <f t="shared" si="77"/>
        <v>270000000</v>
      </c>
      <c r="L78" s="89">
        <f t="shared" si="77"/>
        <v>100000000</v>
      </c>
      <c r="M78" s="89">
        <f t="shared" si="77"/>
        <v>100302083.33</v>
      </c>
      <c r="N78" s="89">
        <f t="shared" si="77"/>
        <v>0</v>
      </c>
      <c r="O78" s="89">
        <f t="shared" si="77"/>
        <v>0</v>
      </c>
      <c r="P78" s="89">
        <f t="shared" si="77"/>
        <v>0</v>
      </c>
      <c r="Q78" s="89">
        <f t="shared" si="77"/>
        <v>0</v>
      </c>
      <c r="R78" s="89">
        <f t="shared" si="77"/>
        <v>0</v>
      </c>
      <c r="S78" s="89">
        <f t="shared" si="77"/>
        <v>0</v>
      </c>
      <c r="T78" s="89">
        <f t="shared" si="77"/>
        <v>0</v>
      </c>
      <c r="U78" s="89">
        <f t="shared" si="77"/>
        <v>0</v>
      </c>
    </row>
    <row r="79" spans="1:21" x14ac:dyDescent="0.25">
      <c r="A79" s="184" t="s">
        <v>660</v>
      </c>
      <c r="B79" s="64"/>
      <c r="C79" s="64"/>
      <c r="D79" s="64"/>
      <c r="E79" s="89">
        <f>E78</f>
        <v>197566288.30000001</v>
      </c>
      <c r="F79" s="89">
        <f t="shared" ref="F79:U79" si="78">F78</f>
        <v>362613245.42000002</v>
      </c>
      <c r="G79" s="89">
        <f t="shared" si="78"/>
        <v>361565942.50999999</v>
      </c>
      <c r="H79" s="89">
        <f t="shared" si="78"/>
        <v>391766634.35000002</v>
      </c>
      <c r="I79" s="89">
        <f t="shared" si="78"/>
        <v>400690979.23000002</v>
      </c>
      <c r="J79" s="89">
        <f t="shared" si="78"/>
        <v>240000000</v>
      </c>
      <c r="K79" s="89">
        <f t="shared" si="78"/>
        <v>270000000</v>
      </c>
      <c r="L79" s="89">
        <f t="shared" si="78"/>
        <v>100000000</v>
      </c>
      <c r="M79" s="89">
        <f t="shared" si="78"/>
        <v>100302083.33</v>
      </c>
      <c r="N79" s="89">
        <f t="shared" si="78"/>
        <v>0</v>
      </c>
      <c r="O79" s="89">
        <f t="shared" si="78"/>
        <v>0</v>
      </c>
      <c r="P79" s="89">
        <f t="shared" si="78"/>
        <v>0</v>
      </c>
      <c r="Q79" s="89">
        <f t="shared" si="78"/>
        <v>0</v>
      </c>
      <c r="R79" s="89">
        <f t="shared" si="78"/>
        <v>0</v>
      </c>
      <c r="S79" s="89">
        <f t="shared" si="78"/>
        <v>0</v>
      </c>
      <c r="T79" s="89">
        <f t="shared" si="78"/>
        <v>0</v>
      </c>
      <c r="U79" s="89">
        <f t="shared" si="78"/>
        <v>0</v>
      </c>
    </row>
    <row r="80" spans="1:21" s="220" customFormat="1" x14ac:dyDescent="0.25">
      <c r="A80" s="224" t="s">
        <v>661</v>
      </c>
      <c r="B80" s="224"/>
      <c r="C80" s="224"/>
      <c r="D80" s="224"/>
      <c r="E80" s="224">
        <f>E79/E85</f>
        <v>5.7835976271947608E-2</v>
      </c>
      <c r="F80" s="224">
        <f t="shared" ref="F80:U80" si="79">F79/F85</f>
        <v>0.104522561927706</v>
      </c>
      <c r="G80" s="224">
        <f t="shared" si="79"/>
        <v>0.10844390807188677</v>
      </c>
      <c r="H80" s="224">
        <f t="shared" si="79"/>
        <v>0.11026037191404324</v>
      </c>
      <c r="I80" s="224">
        <f t="shared" si="79"/>
        <v>0.11857847760170477</v>
      </c>
      <c r="J80" s="224">
        <f t="shared" si="79"/>
        <v>7.6356985796613708E-2</v>
      </c>
      <c r="K80" s="224">
        <f t="shared" si="79"/>
        <v>9.1102907839452962E-2</v>
      </c>
      <c r="L80" s="224">
        <f t="shared" si="79"/>
        <v>3.4704356190341581E-2</v>
      </c>
      <c r="M80" s="224">
        <f t="shared" si="79"/>
        <v>3.6208284389052159E-2</v>
      </c>
      <c r="N80" s="224">
        <f t="shared" si="79"/>
        <v>0</v>
      </c>
      <c r="O80" s="224">
        <f t="shared" si="79"/>
        <v>0</v>
      </c>
      <c r="P80" s="224">
        <f t="shared" si="79"/>
        <v>0</v>
      </c>
      <c r="Q80" s="224">
        <f t="shared" si="79"/>
        <v>0</v>
      </c>
      <c r="R80" s="224">
        <f t="shared" si="79"/>
        <v>0</v>
      </c>
      <c r="S80" s="224">
        <f t="shared" si="79"/>
        <v>0</v>
      </c>
      <c r="T80" s="224">
        <f t="shared" si="79"/>
        <v>0</v>
      </c>
      <c r="U80" s="224">
        <f t="shared" si="79"/>
        <v>0</v>
      </c>
    </row>
    <row r="81" spans="1:21" x14ac:dyDescent="0.25">
      <c r="A81" s="184" t="s">
        <v>652</v>
      </c>
      <c r="B81" s="64"/>
      <c r="C81" s="64"/>
      <c r="D81" s="64"/>
      <c r="E81" s="89">
        <f>E11</f>
        <v>55836774.140000001</v>
      </c>
      <c r="F81" s="89">
        <f t="shared" ref="F81:U81" si="80">F11</f>
        <v>63071031.310000002</v>
      </c>
      <c r="G81" s="89">
        <f t="shared" si="80"/>
        <v>67620216.969999999</v>
      </c>
      <c r="H81" s="89">
        <f t="shared" si="80"/>
        <v>155295199.61000001</v>
      </c>
      <c r="I81" s="89">
        <f t="shared" si="80"/>
        <v>98171473.140000001</v>
      </c>
      <c r="J81" s="89">
        <f t="shared" si="80"/>
        <v>93090977.900000006</v>
      </c>
      <c r="K81" s="89">
        <f t="shared" si="80"/>
        <v>17439146.66</v>
      </c>
      <c r="L81" s="89">
        <f t="shared" si="80"/>
        <v>10690043.33</v>
      </c>
      <c r="M81" s="89">
        <f t="shared" si="80"/>
        <v>14380137.460000001</v>
      </c>
      <c r="N81" s="89">
        <f t="shared" si="80"/>
        <v>0</v>
      </c>
      <c r="O81" s="89">
        <f t="shared" si="80"/>
        <v>3913327.12</v>
      </c>
      <c r="P81" s="89">
        <f t="shared" si="80"/>
        <v>2666935.96</v>
      </c>
      <c r="Q81" s="89">
        <f t="shared" si="80"/>
        <v>5587351.7300000004</v>
      </c>
      <c r="R81" s="89">
        <f t="shared" si="80"/>
        <v>4419412.5999999996</v>
      </c>
      <c r="S81" s="89">
        <f t="shared" si="80"/>
        <v>7430086.4699999997</v>
      </c>
      <c r="T81" s="89">
        <f t="shared" si="80"/>
        <v>5284150.0999999996</v>
      </c>
      <c r="U81" s="89">
        <f t="shared" si="80"/>
        <v>7877039.8899999997</v>
      </c>
    </row>
    <row r="82" spans="1:21" x14ac:dyDescent="0.25">
      <c r="A82" s="184" t="s">
        <v>654</v>
      </c>
      <c r="B82" s="64"/>
      <c r="C82" s="64"/>
      <c r="D82" s="64"/>
      <c r="E82" s="89">
        <f>E13</f>
        <v>3162572616.2799993</v>
      </c>
      <c r="F82" s="89">
        <f t="shared" ref="F82:U82" si="81">F13</f>
        <v>3043549912.8299999</v>
      </c>
      <c r="G82" s="89">
        <f t="shared" si="81"/>
        <v>2904942506.0999999</v>
      </c>
      <c r="H82" s="89">
        <f t="shared" si="81"/>
        <v>3006042763.3599997</v>
      </c>
      <c r="I82" s="89">
        <f t="shared" si="81"/>
        <v>2880258171.6600003</v>
      </c>
      <c r="J82" s="89">
        <f t="shared" si="81"/>
        <v>2810039902.6099997</v>
      </c>
      <c r="K82" s="89">
        <f t="shared" si="81"/>
        <v>2676242325.2400002</v>
      </c>
      <c r="L82" s="89">
        <f t="shared" si="81"/>
        <v>2770792599.6999998</v>
      </c>
      <c r="M82" s="89">
        <f t="shared" si="81"/>
        <v>2655459613.3899999</v>
      </c>
      <c r="N82" s="89">
        <f t="shared" si="81"/>
        <v>2546401388.6300001</v>
      </c>
      <c r="O82" s="89">
        <f t="shared" si="81"/>
        <v>2398957888.52</v>
      </c>
      <c r="P82" s="89">
        <f t="shared" si="81"/>
        <v>2605733811.6999998</v>
      </c>
      <c r="Q82" s="89">
        <f t="shared" si="81"/>
        <v>2487328254.0400004</v>
      </c>
      <c r="R82" s="89">
        <f t="shared" si="81"/>
        <v>2304068739.1300001</v>
      </c>
      <c r="S82" s="89">
        <f t="shared" si="81"/>
        <v>2184782308.8099999</v>
      </c>
      <c r="T82" s="89">
        <f t="shared" si="81"/>
        <v>2224397084.98</v>
      </c>
      <c r="U82" s="89">
        <f t="shared" si="81"/>
        <v>2125429369.4599998</v>
      </c>
    </row>
    <row r="83" spans="1:21" x14ac:dyDescent="0.25">
      <c r="A83" s="184" t="s">
        <v>662</v>
      </c>
      <c r="B83" s="64"/>
      <c r="C83" s="64"/>
      <c r="D83" s="64"/>
      <c r="E83" s="89">
        <f>E81+E82</f>
        <v>3218409390.4199991</v>
      </c>
      <c r="F83" s="89">
        <f t="shared" ref="F83:U83" si="82">F81+F82</f>
        <v>3106620944.1399999</v>
      </c>
      <c r="G83" s="89">
        <f t="shared" si="82"/>
        <v>2972562723.0699997</v>
      </c>
      <c r="H83" s="89">
        <f t="shared" si="82"/>
        <v>3161337962.9699998</v>
      </c>
      <c r="I83" s="89">
        <f t="shared" si="82"/>
        <v>2978429644.8000002</v>
      </c>
      <c r="J83" s="89">
        <f t="shared" si="82"/>
        <v>2903130880.5099998</v>
      </c>
      <c r="K83" s="89">
        <f t="shared" si="82"/>
        <v>2693681471.9000001</v>
      </c>
      <c r="L83" s="89">
        <f t="shared" si="82"/>
        <v>2781482643.0299997</v>
      </c>
      <c r="M83" s="89">
        <f t="shared" si="82"/>
        <v>2669839750.8499999</v>
      </c>
      <c r="N83" s="89">
        <f t="shared" si="82"/>
        <v>2546401388.6300001</v>
      </c>
      <c r="O83" s="89">
        <f t="shared" si="82"/>
        <v>2402871215.6399999</v>
      </c>
      <c r="P83" s="89">
        <f t="shared" si="82"/>
        <v>2608400747.6599998</v>
      </c>
      <c r="Q83" s="89">
        <f t="shared" si="82"/>
        <v>2492915605.7700005</v>
      </c>
      <c r="R83" s="89">
        <f t="shared" si="82"/>
        <v>2308488151.73</v>
      </c>
      <c r="S83" s="89">
        <f t="shared" si="82"/>
        <v>2192212395.2799997</v>
      </c>
      <c r="T83" s="89">
        <f t="shared" si="82"/>
        <v>2229681235.0799999</v>
      </c>
      <c r="U83" s="89">
        <f t="shared" si="82"/>
        <v>2133306409.3499999</v>
      </c>
    </row>
    <row r="84" spans="1:21" s="220" customFormat="1" x14ac:dyDescent="0.25">
      <c r="A84" s="224" t="s">
        <v>663</v>
      </c>
      <c r="B84" s="224"/>
      <c r="C84" s="224"/>
      <c r="D84" s="224"/>
      <c r="E84" s="224">
        <f>E83/E85</f>
        <v>0.9421640237280523</v>
      </c>
      <c r="F84" s="224">
        <f t="shared" ref="F84:U84" si="83">F83/F85</f>
        <v>0.89547743807229396</v>
      </c>
      <c r="G84" s="224">
        <f t="shared" si="83"/>
        <v>0.89155609192811314</v>
      </c>
      <c r="H84" s="224">
        <f t="shared" si="83"/>
        <v>0.88973962808595675</v>
      </c>
      <c r="I84" s="224">
        <f t="shared" si="83"/>
        <v>0.88142152239829519</v>
      </c>
      <c r="J84" s="224">
        <f t="shared" si="83"/>
        <v>0.92364301420338624</v>
      </c>
      <c r="K84" s="224">
        <f t="shared" si="83"/>
        <v>0.90889709216054704</v>
      </c>
      <c r="L84" s="224">
        <f t="shared" si="83"/>
        <v>0.96529564380965838</v>
      </c>
      <c r="M84" s="224">
        <f t="shared" si="83"/>
        <v>0.9637917156109479</v>
      </c>
      <c r="N84" s="224">
        <f t="shared" si="83"/>
        <v>1</v>
      </c>
      <c r="O84" s="224">
        <f t="shared" si="83"/>
        <v>1</v>
      </c>
      <c r="P84" s="224">
        <f t="shared" si="83"/>
        <v>1</v>
      </c>
      <c r="Q84" s="224">
        <f t="shared" si="83"/>
        <v>1</v>
      </c>
      <c r="R84" s="224">
        <f t="shared" si="83"/>
        <v>1</v>
      </c>
      <c r="S84" s="224">
        <f t="shared" si="83"/>
        <v>1</v>
      </c>
      <c r="T84" s="224">
        <f t="shared" si="83"/>
        <v>1</v>
      </c>
      <c r="U84" s="224">
        <f t="shared" si="83"/>
        <v>1</v>
      </c>
    </row>
    <row r="85" spans="1:21" x14ac:dyDescent="0.25">
      <c r="A85" s="184" t="s">
        <v>655</v>
      </c>
      <c r="B85" s="64"/>
      <c r="C85" s="64"/>
      <c r="D85" s="64"/>
      <c r="E85" s="89">
        <f>E14</f>
        <v>3415975678.7199993</v>
      </c>
      <c r="F85" s="89">
        <f t="shared" ref="F85:U85" si="84">F14</f>
        <v>3469234189.5599999</v>
      </c>
      <c r="G85" s="89">
        <f t="shared" si="84"/>
        <v>3334128665.5799999</v>
      </c>
      <c r="H85" s="89">
        <f t="shared" si="84"/>
        <v>3553104597.3199997</v>
      </c>
      <c r="I85" s="89">
        <f t="shared" si="84"/>
        <v>3379120624.0300002</v>
      </c>
      <c r="J85" s="89">
        <f t="shared" si="84"/>
        <v>3143130880.5099998</v>
      </c>
      <c r="K85" s="89">
        <f t="shared" si="84"/>
        <v>2963681471.9000001</v>
      </c>
      <c r="L85" s="89">
        <f t="shared" si="84"/>
        <v>2881482643.0299997</v>
      </c>
      <c r="M85" s="89">
        <f t="shared" si="84"/>
        <v>2770141834.1799998</v>
      </c>
      <c r="N85" s="89">
        <f t="shared" si="84"/>
        <v>2546401388.6300001</v>
      </c>
      <c r="O85" s="89">
        <f t="shared" si="84"/>
        <v>2402871215.6399999</v>
      </c>
      <c r="P85" s="89">
        <f t="shared" si="84"/>
        <v>2608400747.6599998</v>
      </c>
      <c r="Q85" s="89">
        <f t="shared" si="84"/>
        <v>2492915605.7700005</v>
      </c>
      <c r="R85" s="89">
        <f t="shared" si="84"/>
        <v>2308488151.73</v>
      </c>
      <c r="S85" s="89">
        <f t="shared" si="84"/>
        <v>2192212395.2799997</v>
      </c>
      <c r="T85" s="89">
        <f t="shared" si="84"/>
        <v>2229681235.0799999</v>
      </c>
      <c r="U85" s="89">
        <f t="shared" si="84"/>
        <v>2133306409.3499999</v>
      </c>
    </row>
    <row r="87" spans="1:21" s="56" customFormat="1" ht="85.8" customHeight="1" x14ac:dyDescent="0.25">
      <c r="A87" s="277" t="s">
        <v>701</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19.33203125" bestFit="1" customWidth="1"/>
    <col min="6" max="8" width="19.33203125" hidden="1" customWidth="1"/>
    <col min="9" max="9" width="21.5546875" bestFit="1" customWidth="1"/>
    <col min="10" max="11" width="19.33203125" hidden="1" customWidth="1"/>
    <col min="12" max="12" width="18.33203125" hidden="1" customWidth="1"/>
    <col min="13" max="13" width="21.5546875" bestFit="1" customWidth="1"/>
    <col min="14" max="15" width="19.33203125" hidden="1" customWidth="1"/>
    <col min="16" max="16" width="17.21875" hidden="1" customWidth="1"/>
    <col min="17" max="17" width="19.33203125" bestFit="1" customWidth="1"/>
    <col min="18" max="19" width="19.33203125" hidden="1" customWidth="1"/>
    <col min="20" max="20" width="17.21875" hidden="1" customWidth="1"/>
    <col min="21" max="21" width="19.33203125" bestFit="1" customWidth="1"/>
    <col min="22" max="23" width="19.33203125" hidden="1" customWidth="1"/>
    <col min="24" max="24" width="17.21875" hidden="1" customWidth="1"/>
    <col min="25" max="25" width="19.33203125" bestFit="1" customWidth="1"/>
    <col min="26" max="27" width="19.33203125" hidden="1" customWidth="1"/>
    <col min="28" max="28" width="17.21875" hidden="1" customWidth="1"/>
    <col min="29" max="29" width="19.33203125" bestFit="1" customWidth="1"/>
    <col min="30" max="31" width="19.33203125" hidden="1" customWidth="1"/>
    <col min="32" max="32" width="17.21875" hidden="1" customWidth="1"/>
    <col min="33" max="33" width="19.33203125" bestFit="1" customWidth="1"/>
    <col min="34" max="34" width="19.33203125" hidden="1" customWidth="1"/>
    <col min="35" max="36" width="17.21875" hidden="1" customWidth="1"/>
    <col min="37" max="37" width="19.33203125" bestFit="1" customWidth="1"/>
    <col min="38" max="40" width="17.21875" hidden="1" customWidth="1"/>
    <col min="41" max="41" width="17.21875" bestFit="1" customWidth="1"/>
    <col min="42" max="42" width="17.21875" hidden="1" customWidth="1"/>
    <col min="43" max="44" width="17.21875" bestFit="1" customWidth="1"/>
    <col min="45" max="45" width="9.5546875" hidden="1" customWidth="1"/>
    <col min="46" max="51" width="20.44140625" bestFit="1" customWidth="1"/>
    <col min="52"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2293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4661850865.5100002</v>
      </c>
      <c r="F2" s="26">
        <f>股权价值增加表!F4</f>
        <v>3182670009.3200002</v>
      </c>
      <c r="G2" s="26">
        <f>股权价值增加表!G4</f>
        <v>1981435890.6199999</v>
      </c>
      <c r="H2" s="26">
        <f>股权价值增加表!H4</f>
        <v>1057767260.42</v>
      </c>
      <c r="I2" s="26">
        <f>股权价值增加表!I4</f>
        <v>3152216442.1500001</v>
      </c>
      <c r="J2" s="26">
        <f>股权价值增加表!J4</f>
        <v>2155264290.48</v>
      </c>
      <c r="K2" s="26">
        <f>股权价值增加表!K4</f>
        <v>1343083310.6500001</v>
      </c>
      <c r="L2" s="26">
        <f>股权价值增加表!L4</f>
        <v>762846279.96000004</v>
      </c>
      <c r="M2" s="26">
        <f>股权价值增加表!M4</f>
        <v>2915633891.98</v>
      </c>
      <c r="N2" s="26">
        <f>股权价值增加表!N4</f>
        <v>2046094586.02</v>
      </c>
      <c r="O2" s="26">
        <f>股权价值增加表!O4</f>
        <v>1249976092.8499999</v>
      </c>
      <c r="P2" s="26">
        <f>股权价值增加表!P4</f>
        <v>705394935.15999997</v>
      </c>
      <c r="Q2" s="26">
        <f>股权价值增加表!Q4</f>
        <v>2761400573.5100002</v>
      </c>
      <c r="R2" s="26">
        <f>股权价值增加表!R4</f>
        <v>1879993912.9100001</v>
      </c>
      <c r="S2" s="26">
        <f>股权价值增加表!S4</f>
        <v>1112279848.48</v>
      </c>
      <c r="T2" s="26">
        <f>股权价值增加表!T4</f>
        <v>657308577.96000004</v>
      </c>
      <c r="U2" s="26">
        <f>股权价值增加表!U4</f>
        <v>2524209416.4000001</v>
      </c>
      <c r="V2" s="26">
        <f>股权价值增加表!V4</f>
        <v>1722646961.76</v>
      </c>
      <c r="W2" s="26">
        <f>股权价值增加表!W4</f>
        <v>1078073329.79</v>
      </c>
      <c r="X2" s="26">
        <f>股权价值增加表!X4</f>
        <v>615351177.55999994</v>
      </c>
      <c r="Y2" s="26">
        <f>股权价值增加表!Y4</f>
        <v>2724953861.21</v>
      </c>
      <c r="Z2" s="26">
        <f>股权价值增加表!Z4</f>
        <v>1847721787.6600001</v>
      </c>
      <c r="AA2" s="26">
        <f>股权价值增加表!AA4</f>
        <v>1036490112.66</v>
      </c>
      <c r="AB2" s="26">
        <f>股权价值增加表!AB4</f>
        <v>614320304.89999998</v>
      </c>
      <c r="AC2" s="26">
        <f>股权价值增加表!AC4</f>
        <v>2382434788.48</v>
      </c>
      <c r="AD2" s="26">
        <f>股权价值增加表!AD4</f>
        <v>1633896787.0999999</v>
      </c>
      <c r="AE2" s="26">
        <f>股权价值增加表!AE4</f>
        <v>1003246147.98</v>
      </c>
      <c r="AF2" s="26">
        <f>股权价值增加表!AF4</f>
        <v>583149853.35000002</v>
      </c>
      <c r="AG2" s="26">
        <f>股权价值增加表!AG4</f>
        <v>1818814620.1400001</v>
      </c>
      <c r="AH2" s="26">
        <f>股权价值增加表!AH4</f>
        <v>1145669244.4200001</v>
      </c>
      <c r="AI2" s="26">
        <f>股权价值增加表!AI4</f>
        <v>661829336.29999995</v>
      </c>
      <c r="AJ2" s="26">
        <f>股权价值增加表!AJ4</f>
        <v>359335837.14999998</v>
      </c>
      <c r="AK2" s="26">
        <f>股权价值增加表!AK4</f>
        <v>1145306750.3299999</v>
      </c>
      <c r="AL2" s="26">
        <f>股权价值增加表!AL4</f>
        <v>723914564.5</v>
      </c>
      <c r="AM2" s="26">
        <f>股权价值增加表!AM4</f>
        <v>407570538.00999999</v>
      </c>
      <c r="AN2" s="26">
        <f>股权价值增加表!AN4</f>
        <v>255192022.33000001</v>
      </c>
      <c r="AO2" s="26">
        <f>股权价值增加表!AO4</f>
        <v>902684684.88</v>
      </c>
      <c r="AP2" s="26">
        <f>股权价值增加表!AP4</f>
        <v>632875455.57000005</v>
      </c>
      <c r="AQ2" s="26">
        <f>股权价值增加表!AQ4</f>
        <v>755362629.51999998</v>
      </c>
      <c r="AR2" s="26">
        <f>股权价值增加表!AR4</f>
        <v>552487592.55999994</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0.47891204524342218</v>
      </c>
      <c r="F3" s="66">
        <f t="shared" ref="F3:BQ3" si="0">(F2-J2)/J2</f>
        <v>0.4766959316210756</v>
      </c>
      <c r="G3" s="66">
        <f t="shared" si="0"/>
        <v>0.47528889303304794</v>
      </c>
      <c r="H3" s="66">
        <f t="shared" si="0"/>
        <v>0.38660604135798388</v>
      </c>
      <c r="I3" s="66">
        <f t="shared" si="0"/>
        <v>8.1142749376307124E-2</v>
      </c>
      <c r="J3" s="66">
        <f t="shared" si="0"/>
        <v>5.3355160218840895E-2</v>
      </c>
      <c r="K3" s="66">
        <f t="shared" si="0"/>
        <v>7.4487198861309167E-2</v>
      </c>
      <c r="L3" s="66">
        <f t="shared" si="0"/>
        <v>8.14456440447347E-2</v>
      </c>
      <c r="M3" s="66">
        <f t="shared" si="0"/>
        <v>5.5853294139775855E-2</v>
      </c>
      <c r="N3" s="66">
        <f t="shared" si="0"/>
        <v>8.8351707933403051E-2</v>
      </c>
      <c r="O3" s="66">
        <f t="shared" si="0"/>
        <v>0.12379640299891292</v>
      </c>
      <c r="P3" s="66">
        <f t="shared" si="0"/>
        <v>7.3156442517818748E-2</v>
      </c>
      <c r="Q3" s="66">
        <f t="shared" si="0"/>
        <v>9.3966513067002017E-2</v>
      </c>
      <c r="R3" s="66">
        <f t="shared" si="0"/>
        <v>9.1340219234033487E-2</v>
      </c>
      <c r="S3" s="66">
        <f t="shared" si="0"/>
        <v>3.1729306110061375E-2</v>
      </c>
      <c r="T3" s="66">
        <f t="shared" si="0"/>
        <v>6.8184480553641305E-2</v>
      </c>
      <c r="U3" s="66">
        <f t="shared" si="0"/>
        <v>-7.3668933506588083E-2</v>
      </c>
      <c r="V3" s="66">
        <f t="shared" si="0"/>
        <v>-6.769137363390508E-2</v>
      </c>
      <c r="W3" s="66">
        <f t="shared" si="0"/>
        <v>4.0119260784150429E-2</v>
      </c>
      <c r="X3" s="66">
        <f t="shared" si="0"/>
        <v>1.6780703027027141E-3</v>
      </c>
      <c r="Y3" s="66">
        <f t="shared" si="0"/>
        <v>0.1437684986746387</v>
      </c>
      <c r="Z3" s="66">
        <f t="shared" si="0"/>
        <v>0.13086811985199981</v>
      </c>
      <c r="AA3" s="66">
        <f t="shared" si="0"/>
        <v>3.3136399025239689E-2</v>
      </c>
      <c r="AB3" s="66">
        <f t="shared" si="0"/>
        <v>5.3451872397697053E-2</v>
      </c>
      <c r="AC3" s="66">
        <f t="shared" si="0"/>
        <v>0.30988324049023547</v>
      </c>
      <c r="AD3" s="66">
        <f t="shared" si="0"/>
        <v>0.42615051862299674</v>
      </c>
      <c r="AE3" s="66">
        <f t="shared" si="0"/>
        <v>0.51586835601563541</v>
      </c>
      <c r="AF3" s="66">
        <f t="shared" si="0"/>
        <v>0.6228547032078291</v>
      </c>
      <c r="AG3" s="66">
        <f t="shared" si="0"/>
        <v>0.58805893671362786</v>
      </c>
      <c r="AH3" s="66">
        <f t="shared" si="0"/>
        <v>0.58260283823865522</v>
      </c>
      <c r="AI3" s="66">
        <f t="shared" si="0"/>
        <v>0.62383998492982717</v>
      </c>
      <c r="AJ3" s="66">
        <f t="shared" si="0"/>
        <v>0.40809980605634694</v>
      </c>
      <c r="AK3" s="66">
        <f t="shared" si="0"/>
        <v>0.26877831153439069</v>
      </c>
      <c r="AL3" s="66">
        <f t="shared" si="0"/>
        <v>0.14384995993880892</v>
      </c>
      <c r="AM3" s="66">
        <f t="shared" si="0"/>
        <v>-0.46043063016104824</v>
      </c>
      <c r="AN3" s="66">
        <f t="shared" si="0"/>
        <v>-0.53810361396978112</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2635590846.21</v>
      </c>
      <c r="F4" s="26">
        <f>股权价值增加表!F5</f>
        <v>1773993047.99</v>
      </c>
      <c r="G4" s="26">
        <f>股权价值增加表!G5</f>
        <v>1090223199.48</v>
      </c>
      <c r="H4" s="26">
        <f>股权价值增加表!H5</f>
        <v>586351416.38999999</v>
      </c>
      <c r="I4" s="26">
        <f>股权价值增加表!I5</f>
        <v>1624554797.76</v>
      </c>
      <c r="J4" s="26">
        <f>股权价值增加表!J5</f>
        <v>1105706598.52</v>
      </c>
      <c r="K4" s="26">
        <f>股权价值增加表!K5</f>
        <v>676890906.00999999</v>
      </c>
      <c r="L4" s="26">
        <f>股权价值增加表!L5</f>
        <v>382181848.41000003</v>
      </c>
      <c r="M4" s="26">
        <f>股权价值增加表!M5</f>
        <v>1488077938.76</v>
      </c>
      <c r="N4" s="26">
        <f>股权价值增加表!N5</f>
        <v>1070685858.4</v>
      </c>
      <c r="O4" s="26">
        <f>股权价值增加表!O5</f>
        <v>646044667.88</v>
      </c>
      <c r="P4" s="26">
        <f>股权价值增加表!P5</f>
        <v>368353515.80000001</v>
      </c>
      <c r="Q4" s="26">
        <f>股权价值增加表!Q5</f>
        <v>1522590313.74</v>
      </c>
      <c r="R4" s="26">
        <f>股权价值增加表!R5</f>
        <v>1049502064.09</v>
      </c>
      <c r="S4" s="26">
        <f>股权价值增加表!S5</f>
        <v>614113615.22000003</v>
      </c>
      <c r="T4" s="26">
        <f>股权价值增加表!T5</f>
        <v>364584481.94</v>
      </c>
      <c r="U4" s="26">
        <f>股权价值增加表!U5</f>
        <v>1414058164.54</v>
      </c>
      <c r="V4" s="26">
        <f>股权价值增加表!V5</f>
        <v>987390552.35000002</v>
      </c>
      <c r="W4" s="26">
        <f>股权价值增加表!W5</f>
        <v>613641321.99000001</v>
      </c>
      <c r="X4" s="26">
        <f>股权价值增加表!X5</f>
        <v>354907772.18000001</v>
      </c>
      <c r="Y4" s="26">
        <f>股权价值增加表!Y5</f>
        <v>1574584274.8199999</v>
      </c>
      <c r="Z4" s="26">
        <f>股权价值增加表!Z5</f>
        <v>1075633938.99</v>
      </c>
      <c r="AA4" s="26">
        <f>股权价值增加表!AA5</f>
        <v>583133528.04999995</v>
      </c>
      <c r="AB4" s="26">
        <f>股权价值增加表!AB5</f>
        <v>327439565.81</v>
      </c>
      <c r="AC4" s="26">
        <f>股权价值增加表!AC5</f>
        <v>1377436916.3499999</v>
      </c>
      <c r="AD4" s="26">
        <f>股权价值增加表!AD5</f>
        <v>987289834.52999997</v>
      </c>
      <c r="AE4" s="26">
        <f>股权价值增加表!AE5</f>
        <v>593673817.29999995</v>
      </c>
      <c r="AF4" s="26">
        <f>股权价值增加表!AF5</f>
        <v>349417553.02999997</v>
      </c>
      <c r="AG4" s="26">
        <f>股权价值增加表!AG5</f>
        <v>1131280282.5999999</v>
      </c>
      <c r="AH4" s="26">
        <f>股权价值增加表!AH5</f>
        <v>712739208.15999997</v>
      </c>
      <c r="AI4" s="26">
        <f>股权价值增加表!AI5</f>
        <v>401643789.75</v>
      </c>
      <c r="AJ4" s="26">
        <f>股权价值增加表!AJ5</f>
        <v>217129319.08000001</v>
      </c>
      <c r="AK4" s="26">
        <f>股权价值增加表!AK5</f>
        <v>697436260.83000004</v>
      </c>
      <c r="AL4" s="26">
        <f>股权价值增加表!AL5</f>
        <v>441509914.73000002</v>
      </c>
      <c r="AM4" s="26">
        <f>股权价值增加表!AM5</f>
        <v>245422172.28</v>
      </c>
      <c r="AN4" s="26">
        <f>股权价值增加表!AN5</f>
        <v>160507029.72999999</v>
      </c>
      <c r="AO4" s="26">
        <f>股权价值增加表!AO5</f>
        <v>568121133.83000004</v>
      </c>
      <c r="AP4" s="26">
        <f>股权价值增加表!AP5</f>
        <v>392963008.33999997</v>
      </c>
      <c r="AQ4" s="26">
        <f>股权价值增加表!AQ5</f>
        <v>492404923.29000002</v>
      </c>
      <c r="AR4" s="26">
        <f>股权价值增加表!AR5</f>
        <v>410889235.10000002</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0.5653528871352409</v>
      </c>
      <c r="F5" s="66">
        <f t="shared" si="2"/>
        <v>0.55739144893913339</v>
      </c>
      <c r="G5" s="66">
        <f t="shared" si="2"/>
        <v>0.55021876036517359</v>
      </c>
      <c r="H5" s="66">
        <f t="shared" si="2"/>
        <v>0.5543293296459012</v>
      </c>
      <c r="I5" s="66">
        <f t="shared" si="2"/>
        <v>0.5153690514512882</v>
      </c>
      <c r="J5" s="66">
        <f t="shared" si="2"/>
        <v>0.51302599101372737</v>
      </c>
      <c r="K5" s="66">
        <f t="shared" si="2"/>
        <v>0.50398281375591747</v>
      </c>
      <c r="L5" s="66">
        <f t="shared" si="2"/>
        <v>0.50099457577487272</v>
      </c>
      <c r="M5" s="66">
        <f t="shared" si="2"/>
        <v>0.51037887261951453</v>
      </c>
      <c r="N5" s="66">
        <f t="shared" si="2"/>
        <v>0.52328267994817634</v>
      </c>
      <c r="O5" s="66">
        <f t="shared" si="2"/>
        <v>0.51684561934859896</v>
      </c>
      <c r="P5" s="66">
        <f t="shared" si="2"/>
        <v>0.52219472729336913</v>
      </c>
      <c r="Q5" s="66">
        <f t="shared" si="2"/>
        <v>0.55138335536906347</v>
      </c>
      <c r="R5" s="66">
        <f t="shared" si="2"/>
        <v>0.55824758627303184</v>
      </c>
      <c r="S5" s="66">
        <f t="shared" si="2"/>
        <v>0.55212149717467662</v>
      </c>
      <c r="T5" s="66">
        <f t="shared" si="2"/>
        <v>0.55466259556738429</v>
      </c>
      <c r="U5" s="66">
        <f t="shared" si="2"/>
        <v>0.56019843494471799</v>
      </c>
      <c r="V5" s="66">
        <f t="shared" si="2"/>
        <v>0.57318218663979725</v>
      </c>
      <c r="W5" s="66">
        <f t="shared" si="2"/>
        <v>0.56920183908967714</v>
      </c>
      <c r="X5" s="66">
        <f t="shared" si="2"/>
        <v>0.57675646870017516</v>
      </c>
      <c r="Y5" s="66">
        <f t="shared" si="2"/>
        <v>0.57783887545193702</v>
      </c>
      <c r="Z5" s="66">
        <f t="shared" si="2"/>
        <v>0.58214063728295862</v>
      </c>
      <c r="AA5" s="66">
        <f t="shared" si="2"/>
        <v>0.56260404313310164</v>
      </c>
      <c r="AB5" s="66">
        <f t="shared" si="2"/>
        <v>0.53301113962577085</v>
      </c>
      <c r="AC5" s="66">
        <f t="shared" si="2"/>
        <v>0.57816353379762742</v>
      </c>
      <c r="AD5" s="66">
        <f t="shared" si="2"/>
        <v>0.6042547132260041</v>
      </c>
      <c r="AE5" s="66">
        <f t="shared" si="2"/>
        <v>0.59175289981959145</v>
      </c>
      <c r="AF5" s="66">
        <f t="shared" si="2"/>
        <v>0.59918998696941017</v>
      </c>
      <c r="AG5" s="66">
        <f t="shared" si="2"/>
        <v>0.62198767816860934</v>
      </c>
      <c r="AH5" s="66">
        <f t="shared" si="2"/>
        <v>0.62211603534912663</v>
      </c>
      <c r="AI5" s="66">
        <f t="shared" si="2"/>
        <v>0.60686912429028272</v>
      </c>
      <c r="AJ5" s="66">
        <f t="shared" si="2"/>
        <v>0.60425177962242116</v>
      </c>
      <c r="AK5" s="66">
        <f t="shared" ref="AK5:BP5" si="3">AK4/AK2</f>
        <v>0.60895149760450296</v>
      </c>
      <c r="AL5" s="66">
        <f t="shared" si="3"/>
        <v>0.60989229445182691</v>
      </c>
      <c r="AM5" s="66">
        <f t="shared" si="3"/>
        <v>0.60215876613235086</v>
      </c>
      <c r="AN5" s="66">
        <f t="shared" si="3"/>
        <v>0.62896570302045451</v>
      </c>
      <c r="AO5" s="66">
        <f t="shared" si="3"/>
        <v>0.6293683091627108</v>
      </c>
      <c r="AP5" s="66">
        <f t="shared" si="3"/>
        <v>0.62091680895742329</v>
      </c>
      <c r="AQ5" s="66">
        <f t="shared" si="3"/>
        <v>0.65187885135766099</v>
      </c>
      <c r="AR5" s="66">
        <f t="shared" si="3"/>
        <v>0.7437076246293759</v>
      </c>
      <c r="AS5" s="66" t="e">
        <f t="shared" si="3"/>
        <v>#DIV/0!</v>
      </c>
      <c r="AT5" s="66" t="e">
        <f t="shared" si="3"/>
        <v>#DIV/0!</v>
      </c>
      <c r="AU5" s="66" t="e">
        <f t="shared" si="3"/>
        <v>#DIV/0!</v>
      </c>
      <c r="AV5" s="66" t="e">
        <f t="shared" si="3"/>
        <v>#DIV/0!</v>
      </c>
      <c r="AW5" s="66" t="e">
        <f t="shared" si="3"/>
        <v>#DIV/0!</v>
      </c>
      <c r="AX5" s="66" t="e">
        <f t="shared" si="3"/>
        <v>#DIV/0!</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0.62234653447458732</v>
      </c>
      <c r="F6" s="66">
        <f t="shared" ref="F6:BQ6" si="5">(F4-J4)/J4</f>
        <v>0.60439763167237004</v>
      </c>
      <c r="G6" s="66">
        <f t="shared" si="5"/>
        <v>0.6106335449333008</v>
      </c>
      <c r="H6" s="66">
        <f t="shared" si="5"/>
        <v>0.53422099670460887</v>
      </c>
      <c r="I6" s="66">
        <f t="shared" si="5"/>
        <v>9.1713515431674747E-2</v>
      </c>
      <c r="J6" s="66">
        <f t="shared" si="5"/>
        <v>3.2708697742897176E-2</v>
      </c>
      <c r="K6" s="66">
        <f t="shared" si="5"/>
        <v>4.7746293195518721E-2</v>
      </c>
      <c r="L6" s="66">
        <f t="shared" si="5"/>
        <v>3.7540927442940977E-2</v>
      </c>
      <c r="M6" s="66">
        <f t="shared" si="5"/>
        <v>-2.2666882002700964E-2</v>
      </c>
      <c r="N6" s="66">
        <f t="shared" si="5"/>
        <v>2.0184614242152961E-2</v>
      </c>
      <c r="O6" s="66">
        <f t="shared" si="5"/>
        <v>5.1995350483413381E-2</v>
      </c>
      <c r="P6" s="66">
        <f t="shared" si="5"/>
        <v>1.0337888875424729E-2</v>
      </c>
      <c r="Q6" s="66">
        <f t="shared" si="5"/>
        <v>7.6752252433198942E-2</v>
      </c>
      <c r="R6" s="66">
        <f t="shared" si="5"/>
        <v>6.2904705328781965E-2</v>
      </c>
      <c r="S6" s="66">
        <f t="shared" si="5"/>
        <v>7.6965682243888335E-4</v>
      </c>
      <c r="T6" s="66">
        <f t="shared" si="5"/>
        <v>2.7265420817812393E-2</v>
      </c>
      <c r="U6" s="66">
        <f t="shared" si="5"/>
        <v>-0.10194824935511988</v>
      </c>
      <c r="V6" s="66">
        <f t="shared" si="5"/>
        <v>-8.2038492317245831E-2</v>
      </c>
      <c r="W6" s="66">
        <f t="shared" si="5"/>
        <v>5.2316995117770368E-2</v>
      </c>
      <c r="X6" s="66">
        <f t="shared" si="5"/>
        <v>8.3887865848010251E-2</v>
      </c>
      <c r="Y6" s="66">
        <f t="shared" si="5"/>
        <v>0.14312623404374175</v>
      </c>
      <c r="Z6" s="66">
        <f t="shared" si="5"/>
        <v>8.9481428219157458E-2</v>
      </c>
      <c r="AA6" s="66">
        <f t="shared" si="5"/>
        <v>-1.7754344124416215E-2</v>
      </c>
      <c r="AB6" s="66">
        <f t="shared" si="5"/>
        <v>-6.2898921446321851E-2</v>
      </c>
      <c r="AC6" s="66">
        <f t="shared" si="5"/>
        <v>0.21759119957811243</v>
      </c>
      <c r="AD6" s="66">
        <f t="shared" si="5"/>
        <v>0.3852048873230603</v>
      </c>
      <c r="AE6" s="66">
        <f t="shared" si="5"/>
        <v>0.47811028690254997</v>
      </c>
      <c r="AF6" s="66">
        <f t="shared" si="5"/>
        <v>0.60926011517246614</v>
      </c>
      <c r="AG6" s="66">
        <f t="shared" si="5"/>
        <v>0.62205544239081267</v>
      </c>
      <c r="AH6" s="66">
        <f t="shared" si="5"/>
        <v>0.61432208967689184</v>
      </c>
      <c r="AI6" s="66">
        <f t="shared" si="5"/>
        <v>0.636542395573649</v>
      </c>
      <c r="AJ6" s="66">
        <f t="shared" si="5"/>
        <v>0.35277139851910727</v>
      </c>
      <c r="AK6" s="66">
        <f t="shared" si="5"/>
        <v>0.22761893423717486</v>
      </c>
      <c r="AL6" s="66">
        <f t="shared" si="5"/>
        <v>0.12354065232520875</v>
      </c>
      <c r="AM6" s="66">
        <f t="shared" si="5"/>
        <v>-0.50158464980363415</v>
      </c>
      <c r="AN6" s="66">
        <f t="shared" si="5"/>
        <v>-0.6093666710666279</v>
      </c>
      <c r="AO6" s="66" t="e">
        <f t="shared" si="5"/>
        <v>#DIV/0!</v>
      </c>
      <c r="AP6" s="66" t="e">
        <f t="shared" si="5"/>
        <v>#DIV/0!</v>
      </c>
      <c r="AQ6" s="66" t="e">
        <f t="shared" si="5"/>
        <v>#DIV/0!</v>
      </c>
      <c r="AR6" s="66" t="e">
        <f t="shared" si="5"/>
        <v>#DIV/0!</v>
      </c>
      <c r="AS6" s="66" t="e">
        <f t="shared" si="5"/>
        <v>#DIV/0!</v>
      </c>
      <c r="AT6" s="66" t="e">
        <f t="shared" si="5"/>
        <v>#DIV/0!</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2026260019.3000002</v>
      </c>
      <c r="F7" s="27">
        <f>股权价值增加表!F6</f>
        <v>1408676961.3300002</v>
      </c>
      <c r="G7" s="27">
        <f>股权价值增加表!G6</f>
        <v>891212691.13999987</v>
      </c>
      <c r="H7" s="27">
        <f>股权价值增加表!H6</f>
        <v>471415844.02999997</v>
      </c>
      <c r="I7" s="27">
        <f>股权价值增加表!I6</f>
        <v>1527661644.3900001</v>
      </c>
      <c r="J7" s="27">
        <f>股权价值增加表!J6</f>
        <v>1049557691.96</v>
      </c>
      <c r="K7" s="27">
        <f>股权价值增加表!K6</f>
        <v>666192404.6400001</v>
      </c>
      <c r="L7" s="27">
        <f>股权价值增加表!L6</f>
        <v>380664431.55000001</v>
      </c>
      <c r="M7" s="27">
        <f>股权价值增加表!M6</f>
        <v>1427555953.22</v>
      </c>
      <c r="N7" s="27">
        <f>股权价值增加表!N6</f>
        <v>975408727.62</v>
      </c>
      <c r="O7" s="27">
        <f>股权价值增加表!O6</f>
        <v>603931424.96999991</v>
      </c>
      <c r="P7" s="27">
        <f>股权价值增加表!P6</f>
        <v>337041419.35999995</v>
      </c>
      <c r="Q7" s="27">
        <f>股权价值增加表!Q6</f>
        <v>1238810259.7700002</v>
      </c>
      <c r="R7" s="27">
        <f>股权价值增加表!R6</f>
        <v>830491848.82000005</v>
      </c>
      <c r="S7" s="27">
        <f>股权价值增加表!S6</f>
        <v>498166233.25999999</v>
      </c>
      <c r="T7" s="27">
        <f>股权价值增加表!T6</f>
        <v>292724096.02000004</v>
      </c>
      <c r="U7" s="27">
        <f>股权价值增加表!U6</f>
        <v>1110151251.8600001</v>
      </c>
      <c r="V7" s="27">
        <f>股权价值增加表!V6</f>
        <v>735256409.40999997</v>
      </c>
      <c r="W7" s="27">
        <f>股权价值增加表!W6</f>
        <v>464432007.79999995</v>
      </c>
      <c r="X7" s="27">
        <f>股权价值增加表!X6</f>
        <v>260443405.37999994</v>
      </c>
      <c r="Y7" s="27">
        <f>股权价值增加表!Y6</f>
        <v>1150369586.3900001</v>
      </c>
      <c r="Z7" s="27">
        <f>股权价值增加表!Z6</f>
        <v>772087848.67000008</v>
      </c>
      <c r="AA7" s="27">
        <f>股权价值增加表!AA6</f>
        <v>453356584.61000001</v>
      </c>
      <c r="AB7" s="27">
        <f>股权价值增加表!AB6</f>
        <v>286880739.08999997</v>
      </c>
      <c r="AC7" s="27">
        <f>股权价值增加表!AC6</f>
        <v>1004997872.1300001</v>
      </c>
      <c r="AD7" s="27">
        <f>股权价值增加表!AD6</f>
        <v>646606952.56999993</v>
      </c>
      <c r="AE7" s="27">
        <f>股权价值增加表!AE6</f>
        <v>409572330.68000007</v>
      </c>
      <c r="AF7" s="27">
        <f>股权价值增加表!AF6</f>
        <v>233732300.32000005</v>
      </c>
      <c r="AG7" s="27">
        <f>股权价值增加表!AG6</f>
        <v>687534337.5400002</v>
      </c>
      <c r="AH7" s="27">
        <f>股权价值增加表!AH6</f>
        <v>432930036.26000011</v>
      </c>
      <c r="AI7" s="27">
        <f>股权价值增加表!AI6</f>
        <v>260185546.54999995</v>
      </c>
      <c r="AJ7" s="27">
        <f>股权价值增加表!AJ6</f>
        <v>142206518.06999996</v>
      </c>
      <c r="AK7" s="27">
        <f>股权价值增加表!AK6</f>
        <v>447870489.49999988</v>
      </c>
      <c r="AL7" s="27">
        <f>股权价值增加表!AL6</f>
        <v>282404649.76999998</v>
      </c>
      <c r="AM7" s="27">
        <f>股权价值增加表!AM6</f>
        <v>162148365.72999999</v>
      </c>
      <c r="AN7" s="27">
        <f>股权价值增加表!AN6</f>
        <v>94684992.600000024</v>
      </c>
      <c r="AO7" s="27">
        <f>股权价值增加表!AO6</f>
        <v>334563551.04999995</v>
      </c>
      <c r="AP7" s="27">
        <f>股权价值增加表!AP6</f>
        <v>239912447.23000008</v>
      </c>
      <c r="AQ7" s="27">
        <f>股权价值增加表!AQ6</f>
        <v>262957706.22999996</v>
      </c>
      <c r="AR7" s="27">
        <f>股权价值增加表!AR6</f>
        <v>141598357.45999992</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0.43464711286475916</v>
      </c>
      <c r="F8" s="66">
        <f t="shared" ref="F8:BQ8" si="7">F7/F2</f>
        <v>0.44260855106086661</v>
      </c>
      <c r="G8" s="66">
        <f t="shared" si="7"/>
        <v>0.44978123963482641</v>
      </c>
      <c r="H8" s="66">
        <f t="shared" si="7"/>
        <v>0.4456706703540988</v>
      </c>
      <c r="I8" s="66">
        <f t="shared" si="7"/>
        <v>0.4846309485487118</v>
      </c>
      <c r="J8" s="66">
        <f t="shared" si="7"/>
        <v>0.48697400898627263</v>
      </c>
      <c r="K8" s="66">
        <f t="shared" si="7"/>
        <v>0.49601718624408259</v>
      </c>
      <c r="L8" s="66">
        <f t="shared" si="7"/>
        <v>0.49900542422512728</v>
      </c>
      <c r="M8" s="66">
        <f t="shared" si="7"/>
        <v>0.48962112738048541</v>
      </c>
      <c r="N8" s="66">
        <f t="shared" si="7"/>
        <v>0.47671732005182366</v>
      </c>
      <c r="O8" s="66">
        <f t="shared" si="7"/>
        <v>0.48315438065140109</v>
      </c>
      <c r="P8" s="66">
        <f t="shared" si="7"/>
        <v>0.47780527270663081</v>
      </c>
      <c r="Q8" s="66">
        <f t="shared" si="7"/>
        <v>0.44861664463093659</v>
      </c>
      <c r="R8" s="66">
        <f t="shared" si="7"/>
        <v>0.44175241372696811</v>
      </c>
      <c r="S8" s="66">
        <f t="shared" si="7"/>
        <v>0.44787850282532343</v>
      </c>
      <c r="T8" s="66">
        <f t="shared" si="7"/>
        <v>0.44533740443261571</v>
      </c>
      <c r="U8" s="66">
        <f t="shared" si="7"/>
        <v>0.43980156505528201</v>
      </c>
      <c r="V8" s="66">
        <f t="shared" si="7"/>
        <v>0.42681781336020275</v>
      </c>
      <c r="W8" s="66">
        <f t="shared" si="7"/>
        <v>0.43079816091032286</v>
      </c>
      <c r="X8" s="66">
        <f t="shared" si="7"/>
        <v>0.42324353129982489</v>
      </c>
      <c r="Y8" s="66">
        <f t="shared" si="7"/>
        <v>0.42216112454806304</v>
      </c>
      <c r="Z8" s="66">
        <f t="shared" si="7"/>
        <v>0.41785936271704138</v>
      </c>
      <c r="AA8" s="66">
        <f t="shared" si="7"/>
        <v>0.43739595686689842</v>
      </c>
      <c r="AB8" s="66">
        <f t="shared" si="7"/>
        <v>0.46698886037422915</v>
      </c>
      <c r="AC8" s="66">
        <f t="shared" si="7"/>
        <v>0.42183646620237253</v>
      </c>
      <c r="AD8" s="66">
        <f t="shared" si="7"/>
        <v>0.39574528677399584</v>
      </c>
      <c r="AE8" s="66">
        <f t="shared" si="7"/>
        <v>0.40824710018040855</v>
      </c>
      <c r="AF8" s="66">
        <f t="shared" si="7"/>
        <v>0.40081001303058983</v>
      </c>
      <c r="AG8" s="66">
        <f t="shared" si="7"/>
        <v>0.37801232183139061</v>
      </c>
      <c r="AH8" s="66">
        <f t="shared" si="7"/>
        <v>0.37788396465087337</v>
      </c>
      <c r="AI8" s="66">
        <f t="shared" si="7"/>
        <v>0.39313087570971728</v>
      </c>
      <c r="AJ8" s="66">
        <f t="shared" si="7"/>
        <v>0.39574822037757884</v>
      </c>
      <c r="AK8" s="66">
        <f t="shared" si="7"/>
        <v>0.39104850239549704</v>
      </c>
      <c r="AL8" s="66">
        <f t="shared" si="7"/>
        <v>0.39010770554817314</v>
      </c>
      <c r="AM8" s="66">
        <f t="shared" si="7"/>
        <v>0.39784123386764914</v>
      </c>
      <c r="AN8" s="66">
        <f t="shared" si="7"/>
        <v>0.37103429697954549</v>
      </c>
      <c r="AO8" s="66">
        <f t="shared" si="7"/>
        <v>0.37063169083728914</v>
      </c>
      <c r="AP8" s="66">
        <f t="shared" si="7"/>
        <v>0.37908319104257671</v>
      </c>
      <c r="AQ8" s="66">
        <f t="shared" si="7"/>
        <v>0.34812114864233901</v>
      </c>
      <c r="AR8" s="66">
        <f t="shared" si="7"/>
        <v>0.2562923753706241</v>
      </c>
      <c r="AS8" s="66" t="e">
        <f t="shared" si="7"/>
        <v>#DIV/0!</v>
      </c>
      <c r="AT8" s="66" t="e">
        <f t="shared" si="7"/>
        <v>#DIV/0!</v>
      </c>
      <c r="AU8" s="66" t="e">
        <f t="shared" si="7"/>
        <v>#DIV/0!</v>
      </c>
      <c r="AV8" s="66" t="e">
        <f t="shared" si="7"/>
        <v>#DIV/0!</v>
      </c>
      <c r="AW8" s="66" t="e">
        <f t="shared" si="7"/>
        <v>#DIV/0!</v>
      </c>
      <c r="AX8" s="66" t="e">
        <f t="shared" si="7"/>
        <v>#DIV/0!</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0.32638010958839769</v>
      </c>
      <c r="F9" s="66">
        <f t="shared" ref="F9:BQ9" si="9">(F7-J7)/J7</f>
        <v>0.34216248627491991</v>
      </c>
      <c r="G9" s="66">
        <f t="shared" si="9"/>
        <v>0.33777071748753601</v>
      </c>
      <c r="H9" s="66">
        <f t="shared" si="9"/>
        <v>0.23840265850548695</v>
      </c>
      <c r="I9" s="66">
        <f t="shared" si="9"/>
        <v>7.012383013373405E-2</v>
      </c>
      <c r="J9" s="66">
        <f t="shared" si="9"/>
        <v>7.6018352348480325E-2</v>
      </c>
      <c r="K9" s="66">
        <f t="shared" si="9"/>
        <v>0.10309279679078298</v>
      </c>
      <c r="L9" s="66">
        <f t="shared" si="9"/>
        <v>0.12942923238584378</v>
      </c>
      <c r="M9" s="66">
        <f t="shared" si="9"/>
        <v>0.15236045388019526</v>
      </c>
      <c r="N9" s="66">
        <f t="shared" si="9"/>
        <v>0.17449524520427784</v>
      </c>
      <c r="O9" s="66">
        <f t="shared" si="9"/>
        <v>0.21230903390997111</v>
      </c>
      <c r="P9" s="66">
        <f t="shared" si="9"/>
        <v>0.15139622580633738</v>
      </c>
      <c r="Q9" s="66">
        <f t="shared" si="9"/>
        <v>0.11589322418403679</v>
      </c>
      <c r="R9" s="66">
        <f t="shared" si="9"/>
        <v>0.1295268401487597</v>
      </c>
      <c r="S9" s="66">
        <f t="shared" si="9"/>
        <v>7.2635444787274725E-2</v>
      </c>
      <c r="T9" s="66">
        <f t="shared" si="9"/>
        <v>0.12394512578616058</v>
      </c>
      <c r="U9" s="66">
        <f t="shared" si="9"/>
        <v>-3.4961228987468285E-2</v>
      </c>
      <c r="V9" s="66">
        <f t="shared" si="9"/>
        <v>-4.7703689837168162E-2</v>
      </c>
      <c r="W9" s="66">
        <f t="shared" si="9"/>
        <v>2.4429827570559212E-2</v>
      </c>
      <c r="X9" s="66">
        <f t="shared" si="9"/>
        <v>-9.2154439485413284E-2</v>
      </c>
      <c r="Y9" s="66">
        <f t="shared" si="9"/>
        <v>0.14464877816298066</v>
      </c>
      <c r="Z9" s="66">
        <f t="shared" si="9"/>
        <v>0.19406054265464445</v>
      </c>
      <c r="AA9" s="66">
        <f t="shared" si="9"/>
        <v>0.10690237267079621</v>
      </c>
      <c r="AB9" s="66">
        <f t="shared" si="9"/>
        <v>0.22739021819934618</v>
      </c>
      <c r="AC9" s="66">
        <f t="shared" si="9"/>
        <v>0.46174207927692068</v>
      </c>
      <c r="AD9" s="66">
        <f t="shared" si="9"/>
        <v>0.49355992519233338</v>
      </c>
      <c r="AE9" s="66">
        <f t="shared" si="9"/>
        <v>0.57415481417332459</v>
      </c>
      <c r="AF9" s="66">
        <f t="shared" si="9"/>
        <v>0.64361172393622135</v>
      </c>
      <c r="AG9" s="66">
        <f t="shared" si="9"/>
        <v>0.53511864179209423</v>
      </c>
      <c r="AH9" s="66">
        <f t="shared" si="9"/>
        <v>0.53301313067115985</v>
      </c>
      <c r="AI9" s="66">
        <f t="shared" si="9"/>
        <v>0.6046140544101799</v>
      </c>
      <c r="AJ9" s="66">
        <f t="shared" si="9"/>
        <v>0.50189078717845226</v>
      </c>
      <c r="AK9" s="66">
        <f t="shared" si="9"/>
        <v>0.33867089853152116</v>
      </c>
      <c r="AL9" s="66">
        <f t="shared" si="9"/>
        <v>0.1771154562033346</v>
      </c>
      <c r="AM9" s="66">
        <f t="shared" si="9"/>
        <v>-0.38336712753276586</v>
      </c>
      <c r="AN9" s="66">
        <f t="shared" si="9"/>
        <v>-0.33131291705309818</v>
      </c>
      <c r="AO9" s="66" t="e">
        <f t="shared" si="9"/>
        <v>#DIV/0!</v>
      </c>
      <c r="AP9" s="66" t="e">
        <f t="shared" si="9"/>
        <v>#DIV/0!</v>
      </c>
      <c r="AQ9" s="66" t="e">
        <f t="shared" si="9"/>
        <v>#DIV/0!</v>
      </c>
      <c r="AR9" s="66" t="e">
        <f t="shared" si="9"/>
        <v>#DIV/0!</v>
      </c>
      <c r="AS9" s="66" t="e">
        <f t="shared" si="9"/>
        <v>#DIV/0!</v>
      </c>
      <c r="AT9" s="66" t="e">
        <f t="shared" si="9"/>
        <v>#DIV/0!</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32932432.359999999</v>
      </c>
      <c r="F10" s="27">
        <f>股权价值增加表!F8</f>
        <v>24728521.48</v>
      </c>
      <c r="G10" s="27">
        <f>股权价值增加表!G8</f>
        <v>14894526.470000001</v>
      </c>
      <c r="H10" s="27">
        <f>股权价值增加表!H8</f>
        <v>9865506.8200000003</v>
      </c>
      <c r="I10" s="27">
        <f>股权价值增加表!I8</f>
        <v>32879503.960000001</v>
      </c>
      <c r="J10" s="27">
        <f>股权价值增加表!J8</f>
        <v>20342783.280000001</v>
      </c>
      <c r="K10" s="27">
        <f>股权价值增加表!K8</f>
        <v>13315984.83</v>
      </c>
      <c r="L10" s="27">
        <f>股权价值增加表!L8</f>
        <v>7704992.5800000001</v>
      </c>
      <c r="M10" s="27">
        <f>股权价值增加表!M8</f>
        <v>30934802.02</v>
      </c>
      <c r="N10" s="27">
        <f>股权价值增加表!N8</f>
        <v>20220350.57</v>
      </c>
      <c r="O10" s="27">
        <f>股权价值增加表!O8</f>
        <v>12017562.199999999</v>
      </c>
      <c r="P10" s="27">
        <f>股权价值增加表!P8</f>
        <v>7554547.1799999997</v>
      </c>
      <c r="Q10" s="27">
        <f>股权价值增加表!Q8</f>
        <v>27435568.34</v>
      </c>
      <c r="R10" s="27">
        <f>股权价值增加表!R8</f>
        <v>17807929.550000001</v>
      </c>
      <c r="S10" s="27">
        <f>股权价值增加表!S8</f>
        <v>11308254.77</v>
      </c>
      <c r="T10" s="27">
        <f>股权价值增加表!T8</f>
        <v>5527106.5300000003</v>
      </c>
      <c r="U10" s="27">
        <f>股权价值增加表!U8</f>
        <v>23672166.359999999</v>
      </c>
      <c r="V10" s="27">
        <f>股权价值增加表!V8</f>
        <v>12926448.15</v>
      </c>
      <c r="W10" s="27">
        <f>股权价值增加表!W8</f>
        <v>9723886.5899999999</v>
      </c>
      <c r="X10" s="27">
        <f>股权价值增加表!X8</f>
        <v>5275688.63</v>
      </c>
      <c r="Y10" s="27">
        <f>股权价值增加表!Y8</f>
        <v>22326739.899999999</v>
      </c>
      <c r="Z10" s="27">
        <f>股权价值增加表!Z8</f>
        <v>13533150.76</v>
      </c>
      <c r="AA10" s="27">
        <f>股权价值增加表!AA8</f>
        <v>7258365.5199999996</v>
      </c>
      <c r="AB10" s="27">
        <f>股权价值增加表!AB8</f>
        <v>5066982.6900000004</v>
      </c>
      <c r="AC10" s="27">
        <f>股权价值增加表!AC8</f>
        <v>19437504.949999999</v>
      </c>
      <c r="AD10" s="27">
        <f>股权价值增加表!AD8</f>
        <v>12671718.359999999</v>
      </c>
      <c r="AE10" s="27">
        <f>股权价值增加表!AE8</f>
        <v>7795564.7300000004</v>
      </c>
      <c r="AF10" s="27">
        <f>股权价值增加表!AF8</f>
        <v>5459671.6500000004</v>
      </c>
      <c r="AG10" s="27">
        <f>股权价值增加表!AG8</f>
        <v>3629038.82</v>
      </c>
      <c r="AH10" s="27">
        <f>股权价值增加表!AH8</f>
        <v>1551522</v>
      </c>
      <c r="AI10" s="27">
        <f>股权价值增加表!AI8</f>
        <v>1301715.54</v>
      </c>
      <c r="AJ10" s="27">
        <f>股权价值增加表!AJ8</f>
        <v>769782.76</v>
      </c>
      <c r="AK10" s="27">
        <f>股权价值增加表!AK8</f>
        <v>4176943.63</v>
      </c>
      <c r="AL10" s="27">
        <f>股权价值增加表!AL8</f>
        <v>2354174.79</v>
      </c>
      <c r="AM10" s="27">
        <f>股权价值增加表!AM8</f>
        <v>1255018.1100000001</v>
      </c>
      <c r="AN10" s="27">
        <f>股权价值增加表!AN8</f>
        <v>1133909.1599999999</v>
      </c>
      <c r="AO10" s="27">
        <f>股权价值增加表!AO8</f>
        <v>2255947.33</v>
      </c>
      <c r="AP10" s="27">
        <f>股权价值增加表!AP8</f>
        <v>1536038.19</v>
      </c>
      <c r="AQ10" s="27">
        <f>股权价值增加表!AQ8</f>
        <v>1488397.64</v>
      </c>
      <c r="AR10" s="27">
        <f>股权价值增加表!AR8</f>
        <v>355681.75</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7.0642397858853932E-3</v>
      </c>
      <c r="F11" s="57">
        <f t="shared" ref="F11:BQ11" si="11">F10/F2</f>
        <v>7.7697409431659627E-3</v>
      </c>
      <c r="G11" s="57">
        <f t="shared" si="11"/>
        <v>7.5170367815127438E-3</v>
      </c>
      <c r="H11" s="57">
        <f t="shared" si="11"/>
        <v>9.3267273332725154E-3</v>
      </c>
      <c r="I11" s="57">
        <f t="shared" si="11"/>
        <v>1.0430598457755081E-2</v>
      </c>
      <c r="J11" s="57">
        <f t="shared" si="11"/>
        <v>9.4386490649225434E-3</v>
      </c>
      <c r="K11" s="57">
        <f t="shared" si="11"/>
        <v>9.9144890897018001E-3</v>
      </c>
      <c r="L11" s="57">
        <f t="shared" si="11"/>
        <v>1.0100321365405377E-2</v>
      </c>
      <c r="M11" s="57">
        <f t="shared" si="11"/>
        <v>1.0609974765724874E-2</v>
      </c>
      <c r="N11" s="57">
        <f t="shared" si="11"/>
        <v>9.8824124300783186E-3</v>
      </c>
      <c r="O11" s="57">
        <f t="shared" si="11"/>
        <v>9.6142336391405962E-3</v>
      </c>
      <c r="P11" s="57">
        <f t="shared" si="11"/>
        <v>1.0709670290284197E-2</v>
      </c>
      <c r="Q11" s="57">
        <f t="shared" si="11"/>
        <v>9.9353815607877601E-3</v>
      </c>
      <c r="R11" s="57">
        <f t="shared" si="11"/>
        <v>9.4723336217804599E-3</v>
      </c>
      <c r="S11" s="57">
        <f t="shared" si="11"/>
        <v>1.0166735273909202E-2</v>
      </c>
      <c r="T11" s="57">
        <f t="shared" si="11"/>
        <v>8.4086937480014872E-3</v>
      </c>
      <c r="U11" s="57">
        <f t="shared" si="11"/>
        <v>9.3780516807361342E-3</v>
      </c>
      <c r="V11" s="57">
        <f t="shared" si="11"/>
        <v>7.5038289544790198E-3</v>
      </c>
      <c r="W11" s="57">
        <f t="shared" si="11"/>
        <v>9.0196894045177188E-3</v>
      </c>
      <c r="X11" s="57">
        <f t="shared" si="11"/>
        <v>8.573459875252442E-3</v>
      </c>
      <c r="Y11" s="57">
        <f t="shared" si="11"/>
        <v>8.193437774423799E-3</v>
      </c>
      <c r="Z11" s="57">
        <f t="shared" si="11"/>
        <v>7.3242361758036698E-3</v>
      </c>
      <c r="AA11" s="57">
        <f t="shared" si="11"/>
        <v>7.0028314128076615E-3</v>
      </c>
      <c r="AB11" s="57">
        <f t="shared" si="11"/>
        <v>8.2481120184116526E-3</v>
      </c>
      <c r="AC11" s="57">
        <f t="shared" si="11"/>
        <v>8.1586723985008543E-3</v>
      </c>
      <c r="AD11" s="57">
        <f t="shared" si="11"/>
        <v>7.7555194795939381E-3</v>
      </c>
      <c r="AE11" s="57">
        <f t="shared" si="11"/>
        <v>7.7703410530866124E-3</v>
      </c>
      <c r="AF11" s="57">
        <f t="shared" si="11"/>
        <v>9.3623819308810939E-3</v>
      </c>
      <c r="AG11" s="57">
        <f t="shared" si="11"/>
        <v>1.9952769126743994E-3</v>
      </c>
      <c r="AH11" s="57">
        <f t="shared" si="11"/>
        <v>1.3542494987595348E-3</v>
      </c>
      <c r="AI11" s="57">
        <f t="shared" si="11"/>
        <v>1.9668447265836319E-3</v>
      </c>
      <c r="AJ11" s="57">
        <f t="shared" si="11"/>
        <v>2.1422376518450744E-3</v>
      </c>
      <c r="AK11" s="57">
        <f t="shared" si="11"/>
        <v>3.6470086540540229E-3</v>
      </c>
      <c r="AL11" s="57">
        <f t="shared" si="11"/>
        <v>3.2520063905966626E-3</v>
      </c>
      <c r="AM11" s="57">
        <f t="shared" si="11"/>
        <v>3.0792660238096194E-3</v>
      </c>
      <c r="AN11" s="57">
        <f t="shared" si="11"/>
        <v>4.4433566129809974E-3</v>
      </c>
      <c r="AO11" s="57">
        <f t="shared" si="11"/>
        <v>2.4991532123976364E-3</v>
      </c>
      <c r="AP11" s="57">
        <f t="shared" si="11"/>
        <v>2.4270781501813262E-3</v>
      </c>
      <c r="AQ11" s="57">
        <f t="shared" si="11"/>
        <v>1.9704411918627903E-3</v>
      </c>
      <c r="AR11" s="57">
        <f t="shared" si="11"/>
        <v>6.4378233066179327E-4</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1007425379.27</v>
      </c>
      <c r="F12" s="27">
        <f>股权价值增加表!F9</f>
        <v>642493739.66999996</v>
      </c>
      <c r="G12" s="27">
        <f>股权价值增加表!G9</f>
        <v>417544038.85000002</v>
      </c>
      <c r="H12" s="27">
        <f>股权价值增加表!H9</f>
        <v>189585387.75999999</v>
      </c>
      <c r="I12" s="27">
        <f>股权价值增加表!I9</f>
        <v>786045478.57000005</v>
      </c>
      <c r="J12" s="27">
        <f>股权价值增加表!J9</f>
        <v>518638726.98000002</v>
      </c>
      <c r="K12" s="27">
        <f>股权价值增加表!K9</f>
        <v>333015243.95999998</v>
      </c>
      <c r="L12" s="27">
        <f>股权价值增加表!L9</f>
        <v>166825730.5</v>
      </c>
      <c r="M12" s="27">
        <f>股权价值增加表!M9</f>
        <v>702088845.51999998</v>
      </c>
      <c r="N12" s="27">
        <f>股权价值增加表!N9</f>
        <v>462448442.44999999</v>
      </c>
      <c r="O12" s="27">
        <f>股权价值增加表!O9</f>
        <v>299124416.25999999</v>
      </c>
      <c r="P12" s="27">
        <f>股权价值增加表!P9</f>
        <v>151757162.58000001</v>
      </c>
      <c r="Q12" s="27">
        <f>股权价值增加表!Q9</f>
        <v>602729979.85000002</v>
      </c>
      <c r="R12" s="27">
        <f>股权价值增加表!R9</f>
        <v>405825925.36000001</v>
      </c>
      <c r="S12" s="27">
        <f>股权价值增加表!S9</f>
        <v>244311835.50999999</v>
      </c>
      <c r="T12" s="27">
        <f>股权价值增加表!T9</f>
        <v>144974860.56999999</v>
      </c>
      <c r="U12" s="27">
        <f>股权价值增加表!U9</f>
        <v>555013206.99000001</v>
      </c>
      <c r="V12" s="27">
        <f>股权价值增加表!V9</f>
        <v>365059735.88999999</v>
      </c>
      <c r="W12" s="27">
        <f>股权价值增加表!W9</f>
        <v>236966282.15000001</v>
      </c>
      <c r="X12" s="27">
        <f>股权价值增加表!X9</f>
        <v>117960513.40000001</v>
      </c>
      <c r="Y12" s="27">
        <f>股权价值增加表!Y9</f>
        <v>566653559.66999996</v>
      </c>
      <c r="Z12" s="27">
        <f>股权价值增加表!Z9</f>
        <v>392084110.52999997</v>
      </c>
      <c r="AA12" s="27">
        <f>股权价值增加表!AA9</f>
        <v>240286794.72</v>
      </c>
      <c r="AB12" s="27">
        <f>股权价值增加表!AB9</f>
        <v>122620158.45999999</v>
      </c>
      <c r="AC12" s="27">
        <f>股权价值增加表!AC9</f>
        <v>441418204.77999997</v>
      </c>
      <c r="AD12" s="27">
        <f>股权价值增加表!AD9</f>
        <v>252776641.69999999</v>
      </c>
      <c r="AE12" s="27">
        <f>股权价值增加表!AE9</f>
        <v>190131843.62</v>
      </c>
      <c r="AF12" s="27">
        <f>股权价值增加表!AF9</f>
        <v>100718712.59</v>
      </c>
      <c r="AG12" s="27">
        <f>股权价值增加表!AG9</f>
        <v>342283901.14999998</v>
      </c>
      <c r="AH12" s="27">
        <f>股权价值增加表!AH9</f>
        <v>186370356</v>
      </c>
      <c r="AI12" s="27">
        <f>股权价值增加表!AI9</f>
        <v>123963819.84999999</v>
      </c>
      <c r="AJ12" s="27">
        <f>股权价值增加表!AJ9</f>
        <v>59543448.259999998</v>
      </c>
      <c r="AK12" s="27">
        <f>股权价值增加表!AK9</f>
        <v>201046926.90000001</v>
      </c>
      <c r="AL12" s="27">
        <f>股权价值增加表!AL9</f>
        <v>114316617.67</v>
      </c>
      <c r="AM12" s="27">
        <f>股权价值增加表!AM9</f>
        <v>73363262.760000005</v>
      </c>
      <c r="AN12" s="27">
        <f>股权价值增加表!AN9</f>
        <v>37534225.119999997</v>
      </c>
      <c r="AO12" s="27">
        <f>股权价值增加表!AO9</f>
        <v>136129878.31</v>
      </c>
      <c r="AP12" s="27">
        <f>股权价值增加表!AP9</f>
        <v>92577271.849999994</v>
      </c>
      <c r="AQ12" s="27">
        <f>股权价值增加表!AQ9</f>
        <v>105794634.05</v>
      </c>
      <c r="AR12" s="27">
        <f>股权价值增加表!AR9</f>
        <v>63423441.579999998</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0.2160998728473458</v>
      </c>
      <c r="F13" s="57">
        <f t="shared" ref="F13:BQ13" si="13">F12/F2</f>
        <v>0.20187255913699745</v>
      </c>
      <c r="G13" s="57">
        <f t="shared" si="13"/>
        <v>0.21072800832296859</v>
      </c>
      <c r="H13" s="57">
        <f t="shared" si="13"/>
        <v>0.17923166546554173</v>
      </c>
      <c r="I13" s="57">
        <f t="shared" si="13"/>
        <v>0.24936278742137075</v>
      </c>
      <c r="J13" s="57">
        <f t="shared" si="13"/>
        <v>0.24063811072770741</v>
      </c>
      <c r="K13" s="57">
        <f t="shared" si="13"/>
        <v>0.24794831513380472</v>
      </c>
      <c r="L13" s="57">
        <f t="shared" si="13"/>
        <v>0.21868852858369781</v>
      </c>
      <c r="M13" s="57">
        <f t="shared" si="13"/>
        <v>0.24080144199559059</v>
      </c>
      <c r="N13" s="57">
        <f t="shared" si="13"/>
        <v>0.22601518307594001</v>
      </c>
      <c r="O13" s="57">
        <f t="shared" si="13"/>
        <v>0.23930410987140027</v>
      </c>
      <c r="P13" s="57">
        <f t="shared" si="13"/>
        <v>0.21513786818667469</v>
      </c>
      <c r="Q13" s="57">
        <f t="shared" si="13"/>
        <v>0.21826966562981243</v>
      </c>
      <c r="R13" s="57">
        <f t="shared" si="13"/>
        <v>0.215865552847366</v>
      </c>
      <c r="S13" s="57">
        <f t="shared" si="13"/>
        <v>0.21964961052190904</v>
      </c>
      <c r="T13" s="57">
        <f t="shared" si="13"/>
        <v>0.22055829701772478</v>
      </c>
      <c r="U13" s="57">
        <f t="shared" si="13"/>
        <v>0.21987605441293132</v>
      </c>
      <c r="V13" s="57">
        <f t="shared" si="13"/>
        <v>0.21191790540589028</v>
      </c>
      <c r="W13" s="57">
        <f t="shared" si="13"/>
        <v>0.2198053468182532</v>
      </c>
      <c r="X13" s="57">
        <f t="shared" si="13"/>
        <v>0.19169625037159899</v>
      </c>
      <c r="Y13" s="57">
        <f t="shared" si="13"/>
        <v>0.20794978136561207</v>
      </c>
      <c r="Z13" s="57">
        <f t="shared" si="13"/>
        <v>0.21219867252122671</v>
      </c>
      <c r="AA13" s="57">
        <f t="shared" si="13"/>
        <v>0.23182738724187069</v>
      </c>
      <c r="AB13" s="57">
        <f t="shared" si="13"/>
        <v>0.19960297174282771</v>
      </c>
      <c r="AC13" s="57">
        <f t="shared" si="13"/>
        <v>0.18528028843199776</v>
      </c>
      <c r="AD13" s="57">
        <f t="shared" si="13"/>
        <v>0.15470783937867505</v>
      </c>
      <c r="AE13" s="57">
        <f t="shared" si="13"/>
        <v>0.18951664454712697</v>
      </c>
      <c r="AF13" s="57">
        <f t="shared" si="13"/>
        <v>0.17271497542424957</v>
      </c>
      <c r="AG13" s="57">
        <f t="shared" si="13"/>
        <v>0.18819064755684298</v>
      </c>
      <c r="AH13" s="57">
        <f t="shared" si="13"/>
        <v>0.16267378818775116</v>
      </c>
      <c r="AI13" s="57">
        <f t="shared" si="13"/>
        <v>0.18730481266217031</v>
      </c>
      <c r="AJ13" s="57">
        <f t="shared" si="13"/>
        <v>0.16570417449107469</v>
      </c>
      <c r="AK13" s="57">
        <f t="shared" si="13"/>
        <v>0.17553980786551016</v>
      </c>
      <c r="AL13" s="57">
        <f t="shared" si="13"/>
        <v>0.15791451543588886</v>
      </c>
      <c r="AM13" s="57">
        <f t="shared" si="13"/>
        <v>0.18000138851596775</v>
      </c>
      <c r="AN13" s="57">
        <f t="shared" si="13"/>
        <v>0.14708228249965763</v>
      </c>
      <c r="AO13" s="57">
        <f t="shared" si="13"/>
        <v>0.15080556986307647</v>
      </c>
      <c r="AP13" s="57">
        <f t="shared" si="13"/>
        <v>0.14628039535301643</v>
      </c>
      <c r="AQ13" s="57">
        <f t="shared" si="13"/>
        <v>0.14005807266005188</v>
      </c>
      <c r="AR13" s="57">
        <f t="shared" si="13"/>
        <v>0.11479613738676356</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412185796.76999998</v>
      </c>
      <c r="F14" s="26">
        <f>股权价值增加表!F10</f>
        <v>305179569.81</v>
      </c>
      <c r="G14" s="26">
        <f>股权价值增加表!G10</f>
        <v>217049153.30000001</v>
      </c>
      <c r="H14" s="26">
        <f>股权价值增加表!H10</f>
        <v>126733545.47</v>
      </c>
      <c r="I14" s="26">
        <f>股权价值增加表!I10</f>
        <v>306957023.29000002</v>
      </c>
      <c r="J14" s="26">
        <f>股权价值增加表!J10</f>
        <v>200845799.02000001</v>
      </c>
      <c r="K14" s="26">
        <f>股权价值增加表!K10</f>
        <v>135839900.40000001</v>
      </c>
      <c r="L14" s="26">
        <f>股权价值增加表!L10</f>
        <v>80503404.650000006</v>
      </c>
      <c r="M14" s="26">
        <f>股权价值增加表!M10</f>
        <v>250439497.83000001</v>
      </c>
      <c r="N14" s="26">
        <f>股权价值增加表!N10</f>
        <v>167560243.09</v>
      </c>
      <c r="O14" s="26">
        <f>股权价值增加表!O10</f>
        <v>109574535.88</v>
      </c>
      <c r="P14" s="26">
        <f>股权价值增加表!P10</f>
        <v>44760306.32</v>
      </c>
      <c r="Q14" s="26">
        <f>股权价值增加表!Q10</f>
        <v>199260636.24000001</v>
      </c>
      <c r="R14" s="26">
        <f>股权价值增加表!R10</f>
        <v>126303234.48999999</v>
      </c>
      <c r="S14" s="26">
        <f>股权价值增加表!S10</f>
        <v>83119643.409999996</v>
      </c>
      <c r="T14" s="26">
        <f>股权价值增加表!T10</f>
        <v>43236491.380000003</v>
      </c>
      <c r="U14" s="26">
        <f>股权价值增加表!U10</f>
        <v>172813849.13999999</v>
      </c>
      <c r="V14" s="26">
        <f>股权价值增加表!V10</f>
        <v>114401332.89</v>
      </c>
      <c r="W14" s="26">
        <f>股权价值增加表!W10</f>
        <v>78974700.060000002</v>
      </c>
      <c r="X14" s="26">
        <f>股权价值增加表!X10</f>
        <v>42789633.460000001</v>
      </c>
      <c r="Y14" s="26">
        <f>股权价值增加表!Y10</f>
        <v>155585073.68000001</v>
      </c>
      <c r="Z14" s="26">
        <f>股权价值增加表!Z10</f>
        <v>107818106.62</v>
      </c>
      <c r="AA14" s="26">
        <f>股权价值增加表!AA10</f>
        <v>70303997.909999996</v>
      </c>
      <c r="AB14" s="26">
        <f>股权价值增加表!AB10</f>
        <v>36267100.840000004</v>
      </c>
      <c r="AC14" s="26">
        <f>股权价值增加表!AC10</f>
        <v>145851485.24000001</v>
      </c>
      <c r="AD14" s="26">
        <f>股权价值增加表!AD10</f>
        <v>95195047.700000003</v>
      </c>
      <c r="AE14" s="26">
        <f>股权价值增加表!AE10</f>
        <v>52930645.890000001</v>
      </c>
      <c r="AF14" s="26">
        <f>股权价值增加表!AF10</f>
        <v>22465149.68</v>
      </c>
      <c r="AG14" s="26">
        <f>股权价值增加表!AG10</f>
        <v>76624889.430000007</v>
      </c>
      <c r="AH14" s="26">
        <f>股权价值增加表!AH10</f>
        <v>49568897</v>
      </c>
      <c r="AI14" s="26">
        <f>股权价值增加表!AI10</f>
        <v>31523521.989999998</v>
      </c>
      <c r="AJ14" s="26">
        <f>股权价值增加表!AJ10</f>
        <v>14004284.33</v>
      </c>
      <c r="AK14" s="26">
        <f>股权价值增加表!AK10</f>
        <v>54529063.93</v>
      </c>
      <c r="AL14" s="26">
        <f>股权价值增加表!AL10</f>
        <v>36218004.359999999</v>
      </c>
      <c r="AM14" s="26">
        <f>股权价值增加表!AM10</f>
        <v>24891093.989999998</v>
      </c>
      <c r="AN14" s="26">
        <f>股权价值增加表!AN10</f>
        <v>13710230.73</v>
      </c>
      <c r="AO14" s="26">
        <f>股权价值增加表!AO10</f>
        <v>50602456.740000002</v>
      </c>
      <c r="AP14" s="26">
        <f>股权价值增加表!AP10</f>
        <v>36383370.460000001</v>
      </c>
      <c r="AQ14" s="26">
        <f>股权价值增加表!AQ10</f>
        <v>39988361.549999997</v>
      </c>
      <c r="AR14" s="26">
        <f>股权价值增加表!AR10</f>
        <v>26062197.600000001</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8.8416770218776058E-2</v>
      </c>
      <c r="F15" s="57">
        <f t="shared" ref="F15:BQ15" si="15">F14/F2</f>
        <v>9.5887908239410527E-2</v>
      </c>
      <c r="G15" s="57">
        <f t="shared" si="15"/>
        <v>0.10954134540890162</v>
      </c>
      <c r="H15" s="57">
        <f t="shared" si="15"/>
        <v>0.11981231619863034</v>
      </c>
      <c r="I15" s="57">
        <f t="shared" si="15"/>
        <v>9.7378155632180191E-2</v>
      </c>
      <c r="J15" s="57">
        <f t="shared" si="15"/>
        <v>9.3188478047520354E-2</v>
      </c>
      <c r="K15" s="57">
        <f t="shared" si="15"/>
        <v>0.10114033829685426</v>
      </c>
      <c r="L15" s="57">
        <f t="shared" si="15"/>
        <v>0.10553031031916577</v>
      </c>
      <c r="M15" s="57">
        <f t="shared" si="15"/>
        <v>8.5895385740603791E-2</v>
      </c>
      <c r="N15" s="57">
        <f t="shared" si="15"/>
        <v>8.1892716121170633E-2</v>
      </c>
      <c r="O15" s="57">
        <f t="shared" si="15"/>
        <v>8.76613052895798E-2</v>
      </c>
      <c r="P15" s="57">
        <f t="shared" si="15"/>
        <v>6.3454249653560849E-2</v>
      </c>
      <c r="Q15" s="57">
        <f t="shared" si="15"/>
        <v>7.215926517561376E-2</v>
      </c>
      <c r="R15" s="57">
        <f t="shared" si="15"/>
        <v>6.7182789062597587E-2</v>
      </c>
      <c r="S15" s="57">
        <f t="shared" si="15"/>
        <v>7.4729074273518659E-2</v>
      </c>
      <c r="T15" s="57">
        <f t="shared" si="15"/>
        <v>6.5778072627908288E-2</v>
      </c>
      <c r="U15" s="57">
        <f t="shared" si="15"/>
        <v>6.846256416651246E-2</v>
      </c>
      <c r="V15" s="57">
        <f t="shared" si="15"/>
        <v>6.6410202107295424E-2</v>
      </c>
      <c r="W15" s="57">
        <f t="shared" si="15"/>
        <v>7.3255406545845669E-2</v>
      </c>
      <c r="X15" s="57">
        <f t="shared" si="15"/>
        <v>6.9536932763613321E-2</v>
      </c>
      <c r="Y15" s="57">
        <f t="shared" si="15"/>
        <v>5.7096406619858639E-2</v>
      </c>
      <c r="Z15" s="57">
        <f t="shared" si="15"/>
        <v>5.8351916040641313E-2</v>
      </c>
      <c r="AA15" s="57">
        <f t="shared" si="15"/>
        <v>6.7828913224820916E-2</v>
      </c>
      <c r="AB15" s="57">
        <f t="shared" si="15"/>
        <v>5.9036142140708861E-2</v>
      </c>
      <c r="AC15" s="57">
        <f t="shared" si="15"/>
        <v>6.1219507851903748E-2</v>
      </c>
      <c r="AD15" s="57">
        <f t="shared" si="15"/>
        <v>5.8262583323247422E-2</v>
      </c>
      <c r="AE15" s="57">
        <f t="shared" si="15"/>
        <v>5.2759381131513884E-2</v>
      </c>
      <c r="AF15" s="57">
        <f t="shared" si="15"/>
        <v>3.8523802331330896E-2</v>
      </c>
      <c r="AG15" s="57">
        <f t="shared" si="15"/>
        <v>4.2129026554724933E-2</v>
      </c>
      <c r="AH15" s="57">
        <f t="shared" si="15"/>
        <v>4.3266324239239283E-2</v>
      </c>
      <c r="AI15" s="57">
        <f t="shared" si="15"/>
        <v>4.7630892529234657E-2</v>
      </c>
      <c r="AJ15" s="57">
        <f t="shared" si="15"/>
        <v>3.897269039757395E-2</v>
      </c>
      <c r="AK15" s="57">
        <f t="shared" si="15"/>
        <v>4.7610881464104193E-2</v>
      </c>
      <c r="AL15" s="57">
        <f t="shared" si="15"/>
        <v>5.0030771773483224E-2</v>
      </c>
      <c r="AM15" s="57">
        <f t="shared" si="15"/>
        <v>6.1071867734927593E-2</v>
      </c>
      <c r="AN15" s="57">
        <f t="shared" si="15"/>
        <v>5.3725154120494799E-2</v>
      </c>
      <c r="AO15" s="57">
        <f t="shared" si="15"/>
        <v>5.6057732658582694E-2</v>
      </c>
      <c r="AP15" s="57">
        <f t="shared" si="15"/>
        <v>5.7488989563090696E-2</v>
      </c>
      <c r="AQ15" s="57">
        <f t="shared" si="15"/>
        <v>5.2939290331864654E-2</v>
      </c>
      <c r="AR15" s="57">
        <f t="shared" si="15"/>
        <v>4.7172457718441266E-2</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65575512.200000003</v>
      </c>
      <c r="F16" s="26">
        <f>股权价值增加表!F11</f>
        <v>29317797.829999998</v>
      </c>
      <c r="G16" s="26">
        <f>股权价值增加表!G11</f>
        <v>26957049.120000001</v>
      </c>
      <c r="H16" s="26">
        <f>股权价值增加表!H11</f>
        <v>-89647.65</v>
      </c>
      <c r="I16" s="26">
        <f>股权价值增加表!I11</f>
        <v>48551810.390000001</v>
      </c>
      <c r="J16" s="26">
        <f>股权价值增加表!J11</f>
        <v>11019699.98</v>
      </c>
      <c r="K16" s="26">
        <f>股权价值增加表!K11</f>
        <v>6649353.46</v>
      </c>
      <c r="L16" s="26">
        <f>股权价值增加表!L11</f>
        <v>85801.17</v>
      </c>
      <c r="M16" s="26">
        <f>股权价值增加表!M11</f>
        <v>31301733.23</v>
      </c>
      <c r="N16" s="26">
        <f>股权价值增加表!N11</f>
        <v>8445470.3900000006</v>
      </c>
      <c r="O16" s="26">
        <f>股权价值增加表!O11</f>
        <v>3336644.17</v>
      </c>
      <c r="P16" s="26">
        <f>股权价值增加表!P11</f>
        <v>0</v>
      </c>
      <c r="Q16" s="26">
        <f>股权价值增加表!Q11</f>
        <v>16020971.09</v>
      </c>
      <c r="R16" s="26">
        <f>股权价值增加表!R11</f>
        <v>6427163.0099999998</v>
      </c>
      <c r="S16" s="26">
        <f>股权价值增加表!S11</f>
        <v>2690680.83</v>
      </c>
      <c r="T16" s="26">
        <f>股权价值增加表!T11</f>
        <v>-3177958.92</v>
      </c>
      <c r="U16" s="26">
        <f>股权价值增加表!U11</f>
        <v>11326349.439999999</v>
      </c>
      <c r="V16" s="26">
        <f>股权价值增加表!V11</f>
        <v>7270320.96</v>
      </c>
      <c r="W16" s="26">
        <f>股权价值增加表!W11</f>
        <v>2314149.34</v>
      </c>
      <c r="X16" s="26">
        <f>股权价值增加表!X11</f>
        <v>-3118573.26</v>
      </c>
      <c r="Y16" s="26">
        <f>股权价值增加表!Y11</f>
        <v>7773704.8799999999</v>
      </c>
      <c r="Z16" s="26">
        <f>股权价值增加表!Z11</f>
        <v>1176562.18</v>
      </c>
      <c r="AA16" s="26">
        <f>股权价值增加表!AA11</f>
        <v>1176562.18</v>
      </c>
      <c r="AB16" s="26">
        <f>股权价值增加表!AB11</f>
        <v>-1424905.41</v>
      </c>
      <c r="AC16" s="26">
        <f>股权价值增加表!AC11</f>
        <v>6385375.54</v>
      </c>
      <c r="AD16" s="26">
        <f>股权价值增加表!AD11</f>
        <v>-1478775.53</v>
      </c>
      <c r="AE16" s="26">
        <f>股权价值增加表!AE11</f>
        <v>1288432.1299999999</v>
      </c>
      <c r="AF16" s="26">
        <f>股权价值增加表!AF11</f>
        <v>1743020.67</v>
      </c>
      <c r="AG16" s="26">
        <f>股权价值增加表!AG11</f>
        <v>11604270.25</v>
      </c>
      <c r="AH16" s="26">
        <f>股权价值增加表!AH11</f>
        <v>3376746.29</v>
      </c>
      <c r="AI16" s="26">
        <f>股权价值增加表!AI11</f>
        <v>2759387.69</v>
      </c>
      <c r="AJ16" s="26">
        <f>股权价值增加表!AJ11</f>
        <v>1105608.6299999999</v>
      </c>
      <c r="AK16" s="26">
        <f>股权价值增加表!AK11</f>
        <v>-348833.67</v>
      </c>
      <c r="AL16" s="26">
        <f>股权价值增加表!AL11</f>
        <v>2011126.59</v>
      </c>
      <c r="AM16" s="26">
        <f>股权价值增加表!AM11</f>
        <v>527836.24</v>
      </c>
      <c r="AN16" s="26">
        <f>股权价值增加表!AN11</f>
        <v>2092025.91</v>
      </c>
      <c r="AO16" s="26">
        <f>股权价值增加表!AO11</f>
        <v>6621635.0700000003</v>
      </c>
      <c r="AP16" s="26">
        <f>股权价值增加表!AP11</f>
        <v>2127303.25</v>
      </c>
      <c r="AQ16" s="26">
        <f>股权价值增加表!AQ11</f>
        <v>1747683.12</v>
      </c>
      <c r="AR16" s="26">
        <f>股权价值增加表!AR11</f>
        <v>-2139051.2400000002</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668</v>
      </c>
      <c r="E17" s="57">
        <f>E16/E2</f>
        <v>1.4066411408642548E-2</v>
      </c>
      <c r="F17" s="57">
        <f t="shared" ref="F17:BQ17" si="17">F16/F2</f>
        <v>9.2116989019115914E-3</v>
      </c>
      <c r="G17" s="57">
        <f t="shared" si="17"/>
        <v>1.3604805105031696E-2</v>
      </c>
      <c r="H17" s="57">
        <f t="shared" si="17"/>
        <v>-8.4751772298571857E-5</v>
      </c>
      <c r="I17" s="57">
        <f t="shared" si="17"/>
        <v>1.5402435486595192E-2</v>
      </c>
      <c r="J17" s="57">
        <f t="shared" si="17"/>
        <v>5.1129228228180765E-3</v>
      </c>
      <c r="K17" s="57">
        <f t="shared" si="17"/>
        <v>4.9508123638152953E-3</v>
      </c>
      <c r="L17" s="57">
        <f t="shared" si="17"/>
        <v>1.1247504543706891E-4</v>
      </c>
      <c r="M17" s="57">
        <f t="shared" si="17"/>
        <v>1.0735824314603185E-2</v>
      </c>
      <c r="N17" s="57">
        <f t="shared" si="17"/>
        <v>4.1276050714878576E-3</v>
      </c>
      <c r="O17" s="57">
        <f t="shared" si="17"/>
        <v>2.669366389554144E-3</v>
      </c>
      <c r="P17" s="57">
        <f t="shared" si="17"/>
        <v>0</v>
      </c>
      <c r="Q17" s="57">
        <f t="shared" si="17"/>
        <v>5.8017555452434186E-3</v>
      </c>
      <c r="R17" s="57">
        <f t="shared" si="17"/>
        <v>3.4187147978854567E-3</v>
      </c>
      <c r="S17" s="57">
        <f t="shared" si="17"/>
        <v>2.4190682171190852E-3</v>
      </c>
      <c r="T17" s="57">
        <f t="shared" si="17"/>
        <v>-4.8348051836825294E-3</v>
      </c>
      <c r="U17" s="57">
        <f t="shared" si="17"/>
        <v>4.4870878645851481E-3</v>
      </c>
      <c r="V17" s="57">
        <f t="shared" si="17"/>
        <v>4.2204358300855982E-3</v>
      </c>
      <c r="W17" s="57">
        <f t="shared" si="17"/>
        <v>2.1465602348689746E-3</v>
      </c>
      <c r="X17" s="57">
        <f t="shared" si="17"/>
        <v>-5.0679569223639337E-3</v>
      </c>
      <c r="Y17" s="57">
        <f t="shared" si="17"/>
        <v>2.8527840381664779E-3</v>
      </c>
      <c r="Z17" s="57">
        <f t="shared" si="17"/>
        <v>6.3676370969789067E-4</v>
      </c>
      <c r="AA17" s="57">
        <f t="shared" si="17"/>
        <v>1.1351407655790613E-3</v>
      </c>
      <c r="AB17" s="57">
        <f t="shared" si="17"/>
        <v>-2.319482847359161E-3</v>
      </c>
      <c r="AC17" s="57">
        <f t="shared" si="17"/>
        <v>2.680189011206425E-3</v>
      </c>
      <c r="AD17" s="57">
        <f t="shared" si="17"/>
        <v>-9.0506055319728958E-4</v>
      </c>
      <c r="AE17" s="57">
        <f t="shared" si="17"/>
        <v>1.2842632215376171E-3</v>
      </c>
      <c r="AF17" s="57">
        <f t="shared" si="17"/>
        <v>2.9889755780387007E-3</v>
      </c>
      <c r="AG17" s="57">
        <f t="shared" si="17"/>
        <v>6.3801280908478628E-3</v>
      </c>
      <c r="AH17" s="57">
        <f t="shared" si="17"/>
        <v>2.9474006624918103E-3</v>
      </c>
      <c r="AI17" s="57">
        <f t="shared" si="17"/>
        <v>4.1693342054411444E-3</v>
      </c>
      <c r="AJ17" s="57">
        <f t="shared" si="17"/>
        <v>3.0768114830096345E-3</v>
      </c>
      <c r="AK17" s="57">
        <f t="shared" si="17"/>
        <v>-3.0457662971032846E-4</v>
      </c>
      <c r="AL17" s="57">
        <f t="shared" si="17"/>
        <v>2.7781269898735405E-3</v>
      </c>
      <c r="AM17" s="57">
        <f t="shared" si="17"/>
        <v>1.2950794789466584E-3</v>
      </c>
      <c r="AN17" s="57">
        <f t="shared" si="17"/>
        <v>8.1978499598028554E-3</v>
      </c>
      <c r="AO17" s="57">
        <f t="shared" si="17"/>
        <v>7.335490654613531E-3</v>
      </c>
      <c r="AP17" s="57">
        <f t="shared" si="17"/>
        <v>3.3613299919871939E-3</v>
      </c>
      <c r="AQ17" s="57">
        <f t="shared" si="17"/>
        <v>2.3137007997212898E-3</v>
      </c>
      <c r="AR17" s="57">
        <f t="shared" si="17"/>
        <v>-3.8716729005415628E-3</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2436461.2000000002</v>
      </c>
      <c r="F18" s="26">
        <f>股权价值增加表!F12</f>
        <v>1204</v>
      </c>
      <c r="G18" s="26">
        <f>股权价值增加表!G12</f>
        <v>868</v>
      </c>
      <c r="H18" s="26">
        <f>股权价值增加表!H12</f>
        <v>644</v>
      </c>
      <c r="I18" s="26">
        <f>股权价值增加表!I12</f>
        <v>1454244.2</v>
      </c>
      <c r="J18" s="26">
        <f>股权价值增加表!J12</f>
        <v>0</v>
      </c>
      <c r="K18" s="26">
        <f>股权价值增加表!K12</f>
        <v>0</v>
      </c>
      <c r="L18" s="26">
        <f>股权价值增加表!L12</f>
        <v>0</v>
      </c>
      <c r="M18" s="26">
        <f>股权价值增加表!M12</f>
        <v>1094925.45</v>
      </c>
      <c r="N18" s="26">
        <f>股权价值增加表!N12</f>
        <v>0</v>
      </c>
      <c r="O18" s="26">
        <f>股权价值增加表!O12</f>
        <v>0</v>
      </c>
      <c r="P18" s="26">
        <f>股权价值增加表!P12</f>
        <v>0</v>
      </c>
      <c r="Q18" s="26">
        <f>股权价值增加表!Q12</f>
        <v>1029644.95</v>
      </c>
      <c r="R18" s="26">
        <f>股权价值增加表!R12</f>
        <v>0</v>
      </c>
      <c r="S18" s="26">
        <f>股权价值增加表!S12</f>
        <v>0</v>
      </c>
      <c r="T18" s="26">
        <f>股权价值增加表!T12</f>
        <v>0</v>
      </c>
      <c r="U18" s="26">
        <f>股权价值增加表!U12</f>
        <v>1034258.26</v>
      </c>
      <c r="V18" s="26">
        <f>股权价值增加表!V12</f>
        <v>0</v>
      </c>
      <c r="W18" s="26">
        <f>股权价值增加表!W12</f>
        <v>0</v>
      </c>
      <c r="X18" s="26">
        <f>股权价值增加表!X12</f>
        <v>0</v>
      </c>
      <c r="Y18" s="26">
        <f>股权价值增加表!Y12</f>
        <v>1085164.3500000001</v>
      </c>
      <c r="Z18" s="26">
        <f>股权价值增加表!Z12</f>
        <v>0</v>
      </c>
      <c r="AA18" s="26">
        <f>股权价值增加表!AA12</f>
        <v>0</v>
      </c>
      <c r="AB18" s="26">
        <f>股权价值增加表!AB12</f>
        <v>0</v>
      </c>
      <c r="AC18" s="26">
        <f>股权价值增加表!AC12</f>
        <v>1026408.6</v>
      </c>
      <c r="AD18" s="26">
        <f>股权价值增加表!AD12</f>
        <v>0</v>
      </c>
      <c r="AE18" s="26">
        <f>股权价值增加表!AE12</f>
        <v>0</v>
      </c>
      <c r="AF18" s="26">
        <f>股权价值增加表!AF12</f>
        <v>0</v>
      </c>
      <c r="AG18" s="26">
        <f>股权价值增加表!AG12</f>
        <v>718382.01</v>
      </c>
      <c r="AH18" s="26">
        <f>股权价值增加表!AH12</f>
        <v>0</v>
      </c>
      <c r="AI18" s="26">
        <f>股权价值增加表!AI12</f>
        <v>0</v>
      </c>
      <c r="AJ18" s="26">
        <f>股权价值增加表!AJ12</f>
        <v>0</v>
      </c>
      <c r="AK18" s="26">
        <f>股权价值增加表!AK12</f>
        <v>542733.84</v>
      </c>
      <c r="AL18" s="26">
        <f>股权价值增加表!AL12</f>
        <v>0</v>
      </c>
      <c r="AM18" s="26">
        <f>股权价值增加表!AM12</f>
        <v>0</v>
      </c>
      <c r="AN18" s="26">
        <f>股权价值增加表!AN12</f>
        <v>0</v>
      </c>
      <c r="AO18" s="26">
        <f>股权价值增加表!AO12</f>
        <v>561409.23</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5.2263816889248655E-4</v>
      </c>
      <c r="F19" s="57">
        <f t="shared" ref="F19:BQ19" si="19">F18/F2</f>
        <v>3.7829872291951595E-7</v>
      </c>
      <c r="G19" s="57">
        <f t="shared" si="19"/>
        <v>4.3806615399925909E-7</v>
      </c>
      <c r="H19" s="57">
        <f t="shared" si="19"/>
        <v>6.0882958293140172E-7</v>
      </c>
      <c r="I19" s="57">
        <f t="shared" si="19"/>
        <v>4.6134021146343571E-4</v>
      </c>
      <c r="J19" s="57">
        <f t="shared" si="19"/>
        <v>0</v>
      </c>
      <c r="K19" s="57">
        <f t="shared" si="19"/>
        <v>0</v>
      </c>
      <c r="L19" s="57">
        <f t="shared" si="19"/>
        <v>0</v>
      </c>
      <c r="M19" s="57">
        <f t="shared" si="19"/>
        <v>3.7553598653514028E-4</v>
      </c>
      <c r="N19" s="57">
        <f t="shared" si="19"/>
        <v>0</v>
      </c>
      <c r="O19" s="57">
        <f t="shared" si="19"/>
        <v>0</v>
      </c>
      <c r="P19" s="57">
        <f t="shared" si="19"/>
        <v>0</v>
      </c>
      <c r="Q19" s="57">
        <f t="shared" si="19"/>
        <v>3.7287054977729083E-4</v>
      </c>
      <c r="R19" s="57">
        <f t="shared" si="19"/>
        <v>0</v>
      </c>
      <c r="S19" s="57">
        <f t="shared" si="19"/>
        <v>0</v>
      </c>
      <c r="T19" s="57">
        <f t="shared" si="19"/>
        <v>0</v>
      </c>
      <c r="U19" s="57">
        <f t="shared" si="19"/>
        <v>4.0973552086460713E-4</v>
      </c>
      <c r="V19" s="57">
        <f t="shared" si="19"/>
        <v>0</v>
      </c>
      <c r="W19" s="57">
        <f t="shared" si="19"/>
        <v>0</v>
      </c>
      <c r="X19" s="57">
        <f t="shared" si="19"/>
        <v>0</v>
      </c>
      <c r="Y19" s="57">
        <f t="shared" si="19"/>
        <v>3.982321922757764E-4</v>
      </c>
      <c r="Z19" s="57">
        <f t="shared" si="19"/>
        <v>0</v>
      </c>
      <c r="AA19" s="57">
        <f t="shared" si="19"/>
        <v>0</v>
      </c>
      <c r="AB19" s="57">
        <f t="shared" si="19"/>
        <v>0</v>
      </c>
      <c r="AC19" s="57">
        <f t="shared" si="19"/>
        <v>4.3082337655707734E-4</v>
      </c>
      <c r="AD19" s="57">
        <f t="shared" si="19"/>
        <v>0</v>
      </c>
      <c r="AE19" s="57">
        <f t="shared" si="19"/>
        <v>0</v>
      </c>
      <c r="AF19" s="57">
        <f t="shared" si="19"/>
        <v>0</v>
      </c>
      <c r="AG19" s="57">
        <f t="shared" si="19"/>
        <v>3.9497263879740738E-4</v>
      </c>
      <c r="AH19" s="57">
        <f t="shared" si="19"/>
        <v>0</v>
      </c>
      <c r="AI19" s="57">
        <f t="shared" si="19"/>
        <v>0</v>
      </c>
      <c r="AJ19" s="57">
        <f t="shared" si="19"/>
        <v>0</v>
      </c>
      <c r="AK19" s="57">
        <f t="shared" si="19"/>
        <v>4.7387640022519801E-4</v>
      </c>
      <c r="AL19" s="57">
        <f t="shared" si="19"/>
        <v>0</v>
      </c>
      <c r="AM19" s="57">
        <f t="shared" si="19"/>
        <v>0</v>
      </c>
      <c r="AN19" s="57">
        <f t="shared" si="19"/>
        <v>0</v>
      </c>
      <c r="AO19" s="57">
        <f t="shared" si="19"/>
        <v>6.2193281818515836E-4</v>
      </c>
      <c r="AP19" s="57">
        <f t="shared" si="19"/>
        <v>0</v>
      </c>
      <c r="AQ19" s="57">
        <f t="shared" si="19"/>
        <v>0</v>
      </c>
      <c r="AR19" s="57">
        <f t="shared" si="19"/>
        <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17473910.710000001</v>
      </c>
      <c r="F20" s="26">
        <f>股权价值增加表!F13-股权价值增加表!F14</f>
        <v>12124550.130000001</v>
      </c>
      <c r="G20" s="26">
        <f>股权价值增加表!G13-股权价值增加表!G14</f>
        <v>-221796.5700000003</v>
      </c>
      <c r="H20" s="26">
        <f>股权价值增加表!H13-股权价值增加表!H14</f>
        <v>-39621.030000000028</v>
      </c>
      <c r="I20" s="26">
        <f>股权价值增加表!I13-股权价值增加表!I14</f>
        <v>28499640.240000002</v>
      </c>
      <c r="J20" s="26">
        <f>股权价值增加表!J13-股权价值增加表!J14</f>
        <v>12309031.73</v>
      </c>
      <c r="K20" s="26">
        <f>股权价值增加表!K13-股权价值增加表!K14</f>
        <v>8344591.0800000001</v>
      </c>
      <c r="L20" s="26">
        <f>股权价值增加表!L13-股权价值增加表!L14</f>
        <v>336150.54000000004</v>
      </c>
      <c r="M20" s="26">
        <f>股权价值增加表!M13-股权价值增加表!M14</f>
        <v>29881588.879999999</v>
      </c>
      <c r="N20" s="26">
        <f>股权价值增加表!N13-股权价值增加表!N14</f>
        <v>19845958.75</v>
      </c>
      <c r="O20" s="26">
        <f>股权价值增加表!O13-股权价值增加表!O14</f>
        <v>11593283.83</v>
      </c>
      <c r="P20" s="26">
        <f>股权价值增加表!P13-股权价值增加表!P14</f>
        <v>1226952.46</v>
      </c>
      <c r="Q20" s="26">
        <f>股权价值增加表!Q13-股权价值增加表!Q14</f>
        <v>19706152.98</v>
      </c>
      <c r="R20" s="26">
        <f>股权价值增加表!R13-股权价值增加表!R14</f>
        <v>12405916.18</v>
      </c>
      <c r="S20" s="26">
        <f>股权价值增加表!S13-股权价值增加表!S14</f>
        <v>4782330.97</v>
      </c>
      <c r="T20" s="26">
        <f>股权价值增加表!T13-股权价值增加表!T14</f>
        <v>4559261.09</v>
      </c>
      <c r="U20" s="26">
        <f>股权价值增加表!U13-股权价值增加表!U14</f>
        <v>18877620.279999997</v>
      </c>
      <c r="V20" s="26">
        <f>股权价值增加表!V13-股权价值增加表!V14</f>
        <v>18703185.310000002</v>
      </c>
      <c r="W20" s="26">
        <f>股权价值增加表!W13-股权价值增加表!W14</f>
        <v>10892484.98</v>
      </c>
      <c r="X20" s="26">
        <f>股权价值增加表!X13-股权价值增加表!X14</f>
        <v>100932.07999999984</v>
      </c>
      <c r="Y20" s="26">
        <f>股权价值增加表!Y13-股权价值增加表!Y14</f>
        <v>24440144.950000003</v>
      </c>
      <c r="Z20" s="26">
        <f>股权价值增加表!Z13-股权价值增加表!Z14</f>
        <v>21619165.120000001</v>
      </c>
      <c r="AA20" s="26">
        <f>股权价值增加表!AA13-股权价值增加表!AA14</f>
        <v>12002800.199999999</v>
      </c>
      <c r="AB20" s="26">
        <f>股权价值增加表!AB13-股权价值增加表!AB14</f>
        <v>555013.03</v>
      </c>
      <c r="AC20" s="26">
        <f>股权价值增加表!AC13-股权价值增加表!AC14</f>
        <v>27315644.580000002</v>
      </c>
      <c r="AD20" s="26">
        <f>股权价值增加表!AD13-股权价值增加表!AD14</f>
        <v>23239968.129999999</v>
      </c>
      <c r="AE20" s="26">
        <f>股权价值增加表!AE13-股权价值增加表!AE14</f>
        <v>22955718.439999998</v>
      </c>
      <c r="AF20" s="26">
        <f>股权价值增加表!AF13-股权价值增加表!AF14</f>
        <v>9284883.6500000004</v>
      </c>
      <c r="AG20" s="26">
        <f>股权价值增加表!AG13-股权价值增加表!AG14</f>
        <v>10786450.130000001</v>
      </c>
      <c r="AH20" s="26">
        <f>股权价值增加表!AH13-股权价值增加表!AH14</f>
        <v>9328617.5999999996</v>
      </c>
      <c r="AI20" s="26">
        <f>股权价值增加表!AI13-股权价值增加表!AI14</f>
        <v>9375280.4600000009</v>
      </c>
      <c r="AJ20" s="26">
        <f>股权价值增加表!AJ13-股权价值增加表!AJ14</f>
        <v>294233.92</v>
      </c>
      <c r="AK20" s="26">
        <f>股权价值增加表!AK13-股权价值增加表!AK14</f>
        <v>7442425.25</v>
      </c>
      <c r="AL20" s="26">
        <f>股权价值增加表!AL13-股权价值增加表!AL14</f>
        <v>5530179.8600000003</v>
      </c>
      <c r="AM20" s="26">
        <f>股权价值增加表!AM13-股权价值增加表!AM14</f>
        <v>4988958.01</v>
      </c>
      <c r="AN20" s="26">
        <f>股权价值增加表!AN13-股权价值增加表!AN14</f>
        <v>4709819.25</v>
      </c>
      <c r="AO20" s="26">
        <f>股权价值增加表!AO13-股权价值增加表!AO14</f>
        <v>-388500.75</v>
      </c>
      <c r="AP20" s="26">
        <f>股权价值增加表!AP13-股权价值增加表!AP14</f>
        <v>-1500652.41</v>
      </c>
      <c r="AQ20" s="26">
        <f>股权价值增加表!AQ13-股权价值增加表!AQ14</f>
        <v>-334399.91999999993</v>
      </c>
      <c r="AR20" s="26">
        <f>股权价值增加表!AR13-股权价值增加表!AR14</f>
        <v>1125135.2000000002</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3.7482775005262588E-3</v>
      </c>
      <c r="F21" s="57">
        <f t="shared" ref="F21:BQ21" si="21">F20/F2</f>
        <v>3.809553015076953E-3</v>
      </c>
      <c r="G21" s="57">
        <f t="shared" si="21"/>
        <v>-1.1193729307618385E-4</v>
      </c>
      <c r="H21" s="57">
        <f t="shared" si="21"/>
        <v>-3.7457228525174801E-5</v>
      </c>
      <c r="I21" s="57">
        <f t="shared" si="21"/>
        <v>9.0411431965507875E-3</v>
      </c>
      <c r="J21" s="57">
        <f t="shared" si="21"/>
        <v>5.7111472520424162E-3</v>
      </c>
      <c r="K21" s="57">
        <f t="shared" si="21"/>
        <v>6.2130107744109656E-3</v>
      </c>
      <c r="L21" s="57">
        <f t="shared" si="21"/>
        <v>4.4065305007140644E-4</v>
      </c>
      <c r="M21" s="57">
        <f t="shared" si="21"/>
        <v>1.0248745208441613E-2</v>
      </c>
      <c r="N21" s="57">
        <f t="shared" si="21"/>
        <v>9.699433684834554E-3</v>
      </c>
      <c r="O21" s="57">
        <f t="shared" si="21"/>
        <v>9.2748044513129915E-3</v>
      </c>
      <c r="P21" s="57">
        <f t="shared" si="21"/>
        <v>1.7393837109444209E-3</v>
      </c>
      <c r="Q21" s="57">
        <f t="shared" si="21"/>
        <v>7.136289160305208E-3</v>
      </c>
      <c r="R21" s="57">
        <f t="shared" si="21"/>
        <v>6.5989129511579972E-3</v>
      </c>
      <c r="S21" s="57">
        <f t="shared" si="21"/>
        <v>4.2995753061024653E-3</v>
      </c>
      <c r="T21" s="57">
        <f t="shared" si="21"/>
        <v>6.936256794563618E-3</v>
      </c>
      <c r="U21" s="57">
        <f t="shared" si="21"/>
        <v>7.4786268355353227E-3</v>
      </c>
      <c r="V21" s="57">
        <f t="shared" si="21"/>
        <v>1.0857236407215596E-2</v>
      </c>
      <c r="W21" s="57">
        <f t="shared" si="21"/>
        <v>1.0103658702067853E-2</v>
      </c>
      <c r="X21" s="57">
        <f t="shared" si="21"/>
        <v>1.6402354245947378E-4</v>
      </c>
      <c r="Y21" s="57">
        <f t="shared" si="21"/>
        <v>8.9690123924327653E-3</v>
      </c>
      <c r="Z21" s="57">
        <f t="shared" si="21"/>
        <v>1.1700443900366104E-2</v>
      </c>
      <c r="AA21" s="57">
        <f t="shared" si="21"/>
        <v>1.1580236080782838E-2</v>
      </c>
      <c r="AB21" s="57">
        <f t="shared" si="21"/>
        <v>9.0345870968784906E-4</v>
      </c>
      <c r="AC21" s="57">
        <f t="shared" si="21"/>
        <v>1.14654322175288E-2</v>
      </c>
      <c r="AD21" s="57">
        <f t="shared" si="21"/>
        <v>1.4223645161362103E-2</v>
      </c>
      <c r="AE21" s="57">
        <f t="shared" si="21"/>
        <v>2.2881441893617543E-2</v>
      </c>
      <c r="AF21" s="57">
        <f t="shared" si="21"/>
        <v>1.59219514446612E-2</v>
      </c>
      <c r="AG21" s="57">
        <f t="shared" si="21"/>
        <v>5.930483519628698E-3</v>
      </c>
      <c r="AH21" s="57">
        <f t="shared" si="21"/>
        <v>8.1425050427382743E-3</v>
      </c>
      <c r="AI21" s="57">
        <f t="shared" si="21"/>
        <v>1.4165706996932348E-2</v>
      </c>
      <c r="AJ21" s="57">
        <f t="shared" si="21"/>
        <v>8.1882709593804283E-4</v>
      </c>
      <c r="AK21" s="57">
        <f t="shared" si="21"/>
        <v>6.4981938226205309E-3</v>
      </c>
      <c r="AL21" s="57">
        <f t="shared" si="21"/>
        <v>7.6392714433361842E-3</v>
      </c>
      <c r="AM21" s="57">
        <f t="shared" si="21"/>
        <v>1.2240722880409949E-2</v>
      </c>
      <c r="AN21" s="57">
        <f t="shared" si="21"/>
        <v>1.845598152715576E-2</v>
      </c>
      <c r="AO21" s="57">
        <f t="shared" si="21"/>
        <v>-4.3038367273467813E-4</v>
      </c>
      <c r="AP21" s="57">
        <f t="shared" si="21"/>
        <v>-2.3711654430466664E-3</v>
      </c>
      <c r="AQ21" s="57">
        <f t="shared" si="21"/>
        <v>-4.4270117018166031E-4</v>
      </c>
      <c r="AR21" s="57">
        <f t="shared" si="21"/>
        <v>2.0364895341569338E-3</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0.32991820993006854</v>
      </c>
      <c r="F22" s="66">
        <f t="shared" ref="F22:BQ22" si="23">F11+F13+F15+F17+F19+F21</f>
        <v>0.3185518385352854</v>
      </c>
      <c r="G22" s="66">
        <f t="shared" si="23"/>
        <v>0.34127969639149253</v>
      </c>
      <c r="H22" s="66">
        <f t="shared" si="23"/>
        <v>0.30824910882620377</v>
      </c>
      <c r="I22" s="66">
        <f t="shared" si="23"/>
        <v>0.38207646040591547</v>
      </c>
      <c r="J22" s="66">
        <f t="shared" si="23"/>
        <v>0.35408930791501075</v>
      </c>
      <c r="K22" s="66">
        <f t="shared" si="23"/>
        <v>0.37016696565858698</v>
      </c>
      <c r="L22" s="66">
        <f t="shared" si="23"/>
        <v>0.33487228836377736</v>
      </c>
      <c r="M22" s="66">
        <f t="shared" si="23"/>
        <v>0.35866690801149914</v>
      </c>
      <c r="N22" s="66">
        <f t="shared" si="23"/>
        <v>0.33161735038351137</v>
      </c>
      <c r="O22" s="66">
        <f t="shared" si="23"/>
        <v>0.34852381964098783</v>
      </c>
      <c r="P22" s="66">
        <f t="shared" si="23"/>
        <v>0.29104117184146411</v>
      </c>
      <c r="Q22" s="66">
        <f t="shared" si="23"/>
        <v>0.31367522762153993</v>
      </c>
      <c r="R22" s="66">
        <f t="shared" si="23"/>
        <v>0.30253830328078751</v>
      </c>
      <c r="S22" s="66">
        <f t="shared" si="23"/>
        <v>0.31126406359255848</v>
      </c>
      <c r="T22" s="66">
        <f t="shared" si="23"/>
        <v>0.29684651500451564</v>
      </c>
      <c r="U22" s="66">
        <f t="shared" si="23"/>
        <v>0.31009212048116491</v>
      </c>
      <c r="V22" s="66">
        <f t="shared" si="23"/>
        <v>0.30090960870496586</v>
      </c>
      <c r="W22" s="66">
        <f t="shared" si="23"/>
        <v>0.3143306617055534</v>
      </c>
      <c r="X22" s="66">
        <f t="shared" si="23"/>
        <v>0.26490270963056028</v>
      </c>
      <c r="Y22" s="66">
        <f t="shared" si="23"/>
        <v>0.28545965438276949</v>
      </c>
      <c r="Z22" s="66">
        <f t="shared" si="23"/>
        <v>0.29021203234773568</v>
      </c>
      <c r="AA22" s="66">
        <f t="shared" si="23"/>
        <v>0.31937450872586121</v>
      </c>
      <c r="AB22" s="66">
        <f t="shared" si="23"/>
        <v>0.26547120176427691</v>
      </c>
      <c r="AC22" s="66">
        <f t="shared" si="23"/>
        <v>0.26923491328769472</v>
      </c>
      <c r="AD22" s="66">
        <f t="shared" si="23"/>
        <v>0.23404452678968124</v>
      </c>
      <c r="AE22" s="66">
        <f t="shared" si="23"/>
        <v>0.27421207184688268</v>
      </c>
      <c r="AF22" s="66">
        <f t="shared" si="23"/>
        <v>0.23951208670916146</v>
      </c>
      <c r="AG22" s="66">
        <f t="shared" si="23"/>
        <v>0.24502053527351628</v>
      </c>
      <c r="AH22" s="66">
        <f t="shared" si="23"/>
        <v>0.21838426763098007</v>
      </c>
      <c r="AI22" s="66">
        <f t="shared" si="23"/>
        <v>0.2552375911203621</v>
      </c>
      <c r="AJ22" s="66">
        <f t="shared" si="23"/>
        <v>0.21071474111944138</v>
      </c>
      <c r="AK22" s="66">
        <f t="shared" si="23"/>
        <v>0.23346519157680376</v>
      </c>
      <c r="AL22" s="66">
        <f t="shared" si="23"/>
        <v>0.22161469203317846</v>
      </c>
      <c r="AM22" s="66">
        <f t="shared" si="23"/>
        <v>0.25768832463406155</v>
      </c>
      <c r="AN22" s="66">
        <f t="shared" si="23"/>
        <v>0.23190462472009205</v>
      </c>
      <c r="AO22" s="66">
        <f t="shared" si="23"/>
        <v>0.21688949553412079</v>
      </c>
      <c r="AP22" s="66">
        <f t="shared" si="23"/>
        <v>0.20718662761522899</v>
      </c>
      <c r="AQ22" s="66">
        <f t="shared" si="23"/>
        <v>0.19683880381331895</v>
      </c>
      <c r="AR22" s="66">
        <f t="shared" si="23"/>
        <v>0.16077719406948202</v>
      </c>
      <c r="AS22" s="66" t="e">
        <f t="shared" si="23"/>
        <v>#DIV/0!</v>
      </c>
      <c r="AT22" s="66" t="e">
        <f t="shared" si="23"/>
        <v>#DIV/0!</v>
      </c>
      <c r="AU22" s="66" t="e">
        <f t="shared" si="23"/>
        <v>#DIV/0!</v>
      </c>
      <c r="AV22" s="66" t="e">
        <f t="shared" si="23"/>
        <v>#DIV/0!</v>
      </c>
      <c r="AW22" s="66" t="e">
        <f t="shared" si="23"/>
        <v>#DIV/0!</v>
      </c>
      <c r="AX22" s="66" t="e">
        <f t="shared" si="23"/>
        <v>#DIV/0!</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428144030.063025</v>
      </c>
      <c r="F23" s="27">
        <f>股权价值增加表!F17</f>
        <v>324591800.59195822</v>
      </c>
      <c r="G23" s="27">
        <f>股权价值增加表!G17</f>
        <v>169231697.49786973</v>
      </c>
      <c r="H23" s="27">
        <f>股权价值增加表!H17</f>
        <v>123606189.79480192</v>
      </c>
      <c r="I23" s="27">
        <f>股权价值增加表!I17</f>
        <v>308520479.7763046</v>
      </c>
      <c r="J23" s="27">
        <f>股权价值增加表!J17</f>
        <v>252146262.21428594</v>
      </c>
      <c r="K23" s="27">
        <f>股权价值增加表!K17</f>
        <v>145532799.57464889</v>
      </c>
      <c r="L23" s="27">
        <f>股权价值增加表!L17</f>
        <v>104622458.65169166</v>
      </c>
      <c r="M23" s="27">
        <f>股权价值增加表!M17</f>
        <v>365311550.00787956</v>
      </c>
      <c r="N23" s="27">
        <f>股权价值增加表!N17</f>
        <v>293409183.21914089</v>
      </c>
      <c r="O23" s="27">
        <f>股权价值增加表!O17</f>
        <v>164979107.10671088</v>
      </c>
      <c r="P23" s="27">
        <f>股权价值增加表!P17</f>
        <v>113834650.5501582</v>
      </c>
      <c r="Q23" s="27">
        <f>股权价值增加表!Q17</f>
        <v>362984361.74733239</v>
      </c>
      <c r="R23" s="27">
        <f>股权价值增加表!R17</f>
        <v>250115802.33708391</v>
      </c>
      <c r="S23" s="27">
        <f>股权价值增加表!S17</f>
        <v>139150733.29980132</v>
      </c>
      <c r="T23" s="27">
        <f>股权价值增加表!T17</f>
        <v>90529610.928688839</v>
      </c>
      <c r="U23" s="27">
        <f>股权价值增加表!U17</f>
        <v>309180519.11409795</v>
      </c>
      <c r="V23" s="27">
        <f>股权价值增加表!V17</f>
        <v>219176919.57929215</v>
      </c>
      <c r="W23" s="27">
        <f>股权价值增加表!W17</f>
        <v>124376194.05783701</v>
      </c>
      <c r="X23" s="27">
        <f>股权价值增加表!X17</f>
        <v>79521329.740607604</v>
      </c>
      <c r="Y23" s="27">
        <f>股权价值增加表!Y17</f>
        <v>362461551.15202373</v>
      </c>
      <c r="Z23" s="27">
        <f>股权价值增加表!Z17</f>
        <v>239216405.10780725</v>
      </c>
      <c r="AA23" s="27">
        <f>股权价值增加表!AA17</f>
        <v>123232480.25873438</v>
      </c>
      <c r="AB23" s="27">
        <f>股权价值增加表!AB17</f>
        <v>102703921.19152451</v>
      </c>
      <c r="AC23" s="27">
        <f>股权价值增加表!AC17</f>
        <v>351540275.08176368</v>
      </c>
      <c r="AD23" s="27">
        <f>股权价值增加表!AD17</f>
        <v>265208318.95739347</v>
      </c>
      <c r="AE23" s="27">
        <f>股权价值增加表!AE17</f>
        <v>156047768.02113977</v>
      </c>
      <c r="AF23" s="27">
        <f>股权价值增加表!AF17</f>
        <v>84547194.378944635</v>
      </c>
      <c r="AG23" s="27">
        <f>股权价值增加表!AG17</f>
        <v>196811587.3324005</v>
      </c>
      <c r="AH23" s="27">
        <f>股权价值增加表!AH17</f>
        <v>135705521.34270978</v>
      </c>
      <c r="AI23" s="27">
        <f>股权价值增加表!AI17</f>
        <v>75088134.739324301</v>
      </c>
      <c r="AJ23" s="27">
        <f>股权价值增加表!AJ17</f>
        <v>48389010.878503993</v>
      </c>
      <c r="AK23" s="27">
        <f>股权价值增加表!AK17</f>
        <v>144699302.76251644</v>
      </c>
      <c r="AL23" s="27">
        <f>股权价值增加表!AL17</f>
        <v>101049269.93433616</v>
      </c>
      <c r="AM23" s="27">
        <f>股权价值增加表!AM17</f>
        <v>50905125.005242623</v>
      </c>
      <c r="AN23" s="27">
        <f>股权价值增加表!AN17</f>
        <v>33775054.624605685</v>
      </c>
      <c r="AO23" s="27">
        <f>股权价值增加表!AO17</f>
        <v>111533133.40988022</v>
      </c>
      <c r="AP23" s="27">
        <f>股权价值增加表!AP17</f>
        <v>84794520.52972129</v>
      </c>
      <c r="AQ23" s="27">
        <f>股权价值增加表!AQ17</f>
        <v>87008309.938071549</v>
      </c>
      <c r="AR23" s="27">
        <f>股权价值增加表!AR17</f>
        <v>50857099.536314316</v>
      </c>
      <c r="AS23" s="27" t="e">
        <f>股权价值增加表!AS17</f>
        <v>#DIV/0!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9.1839924187747821E-2</v>
      </c>
      <c r="F24" s="57">
        <f t="shared" ref="F24:BQ24" si="25">F23/F2</f>
        <v>0.10198726215455479</v>
      </c>
      <c r="G24" s="57">
        <f t="shared" si="25"/>
        <v>8.5408616195458337E-2</v>
      </c>
      <c r="H24" s="57">
        <f t="shared" si="25"/>
        <v>0.11685575307532445</v>
      </c>
      <c r="I24" s="57">
        <f t="shared" si="25"/>
        <v>9.7874142032542411E-2</v>
      </c>
      <c r="J24" s="57">
        <f t="shared" si="25"/>
        <v>0.11699087825471757</v>
      </c>
      <c r="K24" s="57">
        <f t="shared" si="25"/>
        <v>0.10835723921267153</v>
      </c>
      <c r="L24" s="57">
        <f t="shared" si="25"/>
        <v>0.13714749799550383</v>
      </c>
      <c r="M24" s="57">
        <f t="shared" si="25"/>
        <v>0.12529404017861698</v>
      </c>
      <c r="N24" s="57">
        <f t="shared" si="25"/>
        <v>0.14339961858257558</v>
      </c>
      <c r="O24" s="57">
        <f t="shared" si="25"/>
        <v>0.13198581000901491</v>
      </c>
      <c r="P24" s="57">
        <f t="shared" si="25"/>
        <v>0.1613771872693385</v>
      </c>
      <c r="Q24" s="57">
        <f t="shared" si="25"/>
        <v>0.13144936856659847</v>
      </c>
      <c r="R24" s="57">
        <f t="shared" si="25"/>
        <v>0.1330407511532499</v>
      </c>
      <c r="S24" s="57">
        <f t="shared" si="25"/>
        <v>0.12510406755094908</v>
      </c>
      <c r="T24" s="57">
        <f t="shared" si="25"/>
        <v>0.13772771870656758</v>
      </c>
      <c r="U24" s="57">
        <f t="shared" si="25"/>
        <v>0.12248608103009449</v>
      </c>
      <c r="V24" s="57">
        <f t="shared" si="25"/>
        <v>0.12723263933044221</v>
      </c>
      <c r="W24" s="57">
        <f t="shared" si="25"/>
        <v>0.11536895554411358</v>
      </c>
      <c r="X24" s="57">
        <f t="shared" si="25"/>
        <v>0.12922918268544933</v>
      </c>
      <c r="Y24" s="57">
        <f t="shared" si="25"/>
        <v>0.13301566544362509</v>
      </c>
      <c r="Z24" s="57">
        <f t="shared" si="25"/>
        <v>0.12946559742132863</v>
      </c>
      <c r="AA24" s="57">
        <f t="shared" si="25"/>
        <v>0.11889402393089528</v>
      </c>
      <c r="AB24" s="57">
        <f t="shared" si="25"/>
        <v>0.16718301572050889</v>
      </c>
      <c r="AC24" s="57">
        <f t="shared" si="25"/>
        <v>0.14755504611567871</v>
      </c>
      <c r="AD24" s="57">
        <f t="shared" si="25"/>
        <v>0.16231644559881361</v>
      </c>
      <c r="AE24" s="57">
        <f t="shared" si="25"/>
        <v>0.15554285290338402</v>
      </c>
      <c r="AF24" s="57">
        <f t="shared" si="25"/>
        <v>0.14498365024572912</v>
      </c>
      <c r="AG24" s="57">
        <f t="shared" si="25"/>
        <v>0.10820871195617027</v>
      </c>
      <c r="AH24" s="57">
        <f t="shared" si="25"/>
        <v>0.11845087227720011</v>
      </c>
      <c r="AI24" s="57">
        <f t="shared" si="25"/>
        <v>0.11345543423491834</v>
      </c>
      <c r="AJ24" s="57">
        <f t="shared" si="25"/>
        <v>0.13466235725969253</v>
      </c>
      <c r="AK24" s="57">
        <f t="shared" si="25"/>
        <v>0.12634108959964122</v>
      </c>
      <c r="AL24" s="57">
        <f t="shared" si="25"/>
        <v>0.1395872868010741</v>
      </c>
      <c r="AM24" s="57">
        <f t="shared" si="25"/>
        <v>0.12489893222849595</v>
      </c>
      <c r="AN24" s="57">
        <f t="shared" si="25"/>
        <v>0.13235153009967404</v>
      </c>
      <c r="AO24" s="57">
        <f t="shared" si="25"/>
        <v>0.12355713493101644</v>
      </c>
      <c r="AP24" s="57">
        <f t="shared" si="25"/>
        <v>0.13398295001557772</v>
      </c>
      <c r="AQ24" s="57">
        <f t="shared" si="25"/>
        <v>0.11518746961755513</v>
      </c>
      <c r="AR24" s="57">
        <f t="shared" si="25"/>
        <v>9.2051116117673276E-2</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5" t="s">
        <v>669</v>
      </c>
      <c r="B25" s="286"/>
      <c r="C25" s="286"/>
      <c r="D25" s="286"/>
      <c r="E25" s="286"/>
      <c r="F25" s="286"/>
      <c r="G25" s="286"/>
      <c r="H25" s="286"/>
      <c r="I25" s="286"/>
      <c r="J25" s="286"/>
      <c r="K25" s="286"/>
      <c r="L25" s="286"/>
      <c r="M25" s="286"/>
      <c r="N25" s="286"/>
      <c r="O25" s="286"/>
      <c r="P25" s="286"/>
      <c r="Q25" s="286"/>
      <c r="R25" s="286"/>
      <c r="S25" s="286"/>
      <c r="T25" s="286"/>
      <c r="U25" s="286"/>
      <c r="V25" s="286"/>
      <c r="W25" s="286"/>
      <c r="X25" s="286"/>
      <c r="Y25" s="286"/>
      <c r="Z25" s="286"/>
      <c r="AA25" s="286"/>
      <c r="AB25" s="286"/>
      <c r="AC25" s="286"/>
      <c r="AD25" s="286"/>
      <c r="AE25" s="286"/>
      <c r="AF25" s="286"/>
      <c r="AG25" s="286"/>
    </row>
    <row r="26" spans="1:89" s="63" customFormat="1" ht="15" thickBot="1" x14ac:dyDescent="0.3">
      <c r="A26" s="151" t="s">
        <v>599</v>
      </c>
      <c r="B26" s="152"/>
      <c r="C26" s="152"/>
      <c r="D26" s="152"/>
      <c r="E26" s="153">
        <f>POWER(E2/Y2,1/6)-1</f>
        <v>9.3620234676191627E-2</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39447</v>
      </c>
      <c r="AR27" s="1">
        <v>39082</v>
      </c>
      <c r="AS27" s="1">
        <v>25569</v>
      </c>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523178348.21000004</v>
      </c>
      <c r="F28" s="26">
        <f>股权价值增加表!F15</f>
        <v>419080678.67000008</v>
      </c>
      <c r="G28" s="26">
        <f>股权价值增加表!G15</f>
        <v>214545258.82999974</v>
      </c>
      <c r="H28" s="26">
        <f>股权价值增加表!H15</f>
        <v>145280786.59999999</v>
      </c>
      <c r="I28" s="26">
        <f>股权价值增加表!I15</f>
        <v>380273224.21999973</v>
      </c>
      <c r="J28" s="26">
        <f>股权价值增加表!J15</f>
        <v>311019714.43000007</v>
      </c>
      <c r="K28" s="26">
        <f>股权价值增加表!K15</f>
        <v>185716513.07000017</v>
      </c>
      <c r="L28" s="26">
        <f>股权价值增加表!L15</f>
        <v>125880653.19</v>
      </c>
      <c r="M28" s="26">
        <f>股权价值增加表!M15</f>
        <v>441577738.04999995</v>
      </c>
      <c r="N28" s="26">
        <f>股权价值增加表!N15</f>
        <v>336580179.87</v>
      </c>
      <c r="O28" s="26">
        <f>股权价值增加表!O15</f>
        <v>191471550.28999993</v>
      </c>
      <c r="P28" s="26">
        <f>股权价值增加表!P15</f>
        <v>134196355.73999994</v>
      </c>
      <c r="Q28" s="26">
        <f>股权价值增加表!Q15</f>
        <v>412039612.28000009</v>
      </c>
      <c r="R28" s="26">
        <f>股权价值增加表!R15</f>
        <v>286533512.59000009</v>
      </c>
      <c r="S28" s="26">
        <f>股权价值增加表!S15</f>
        <v>161518149.71000001</v>
      </c>
      <c r="T28" s="26">
        <f>股权价值增加表!T15</f>
        <v>106722857.55000003</v>
      </c>
      <c r="U28" s="26">
        <f>股权价值增加表!U15</f>
        <v>365169041.95000005</v>
      </c>
      <c r="V28" s="26">
        <f>股权价值增加表!V15</f>
        <v>254301756.83000004</v>
      </c>
      <c r="W28" s="26">
        <f>股权价值增加表!W15</f>
        <v>147345474.63999996</v>
      </c>
      <c r="X28" s="26">
        <f>股权价值增加表!X15</f>
        <v>97637075.229999915</v>
      </c>
      <c r="Y28" s="26">
        <f>股权价值增加表!Y15</f>
        <v>421385488.86000007</v>
      </c>
      <c r="Z28" s="26">
        <f>股权价值增加表!Z15</f>
        <v>279095083.70000011</v>
      </c>
      <c r="AA28" s="26">
        <f>股权价值增加表!AA15</f>
        <v>146333664.48000002</v>
      </c>
      <c r="AB28" s="26">
        <f>股权价值增加表!AB15</f>
        <v>124906415.53999996</v>
      </c>
      <c r="AC28" s="26">
        <f>股权价值增加表!AC15</f>
        <v>418194537.60000008</v>
      </c>
      <c r="AD28" s="26">
        <f>股权价值增加表!AD15</f>
        <v>310682288.46999991</v>
      </c>
      <c r="AE28" s="26">
        <f>股权价值增加表!AE15</f>
        <v>180381562.75000006</v>
      </c>
      <c r="AF28" s="26">
        <f>股权价值增加表!AF15</f>
        <v>112630629.38000003</v>
      </c>
      <c r="AG28" s="26">
        <f>股权价值增加表!AG15</f>
        <v>263460306.01000023</v>
      </c>
      <c r="AH28" s="26">
        <f>股权价值增加表!AH15</f>
        <v>201391132.57000011</v>
      </c>
      <c r="AI28" s="26">
        <f>股权价值增加表!AI15</f>
        <v>110012381.93999997</v>
      </c>
      <c r="AJ28" s="26">
        <f>股权价值增加表!AJ15</f>
        <v>67077628.009999976</v>
      </c>
      <c r="AK28" s="26">
        <f>股权价值增加表!AK15</f>
        <v>195366080.11999986</v>
      </c>
      <c r="AL28" s="26">
        <f>股权价值增加表!AL15</f>
        <v>133034906.21999998</v>
      </c>
      <c r="AM28" s="26">
        <f>股权价值增加表!AM15</f>
        <v>67100112.639999993</v>
      </c>
      <c r="AN28" s="26">
        <f>股权价值增加表!AN15</f>
        <v>44924420.930000037</v>
      </c>
      <c r="AO28" s="26">
        <f>股权价值增加表!AO15</f>
        <v>138003723.61999995</v>
      </c>
      <c r="AP28" s="26">
        <f>股权价值增加表!AP15</f>
        <v>105787811.07000008</v>
      </c>
      <c r="AQ28" s="26">
        <f>股权价值增加表!AQ15</f>
        <v>113604229.94999996</v>
      </c>
      <c r="AR28" s="26">
        <f>股权价值增加表!AR15</f>
        <v>55021222.969999909</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378</v>
      </c>
      <c r="E29" s="59">
        <f t="shared" ref="E29:AJ29" si="27">E28/E34</f>
        <v>0.97175081047278278</v>
      </c>
      <c r="F29" s="59">
        <f t="shared" si="27"/>
        <v>0.9852391856819066</v>
      </c>
      <c r="G29" s="59">
        <f t="shared" si="27"/>
        <v>0.92242005918521397</v>
      </c>
      <c r="H29" s="59">
        <f t="shared" si="27"/>
        <v>0.99277037577840066</v>
      </c>
      <c r="I29" s="59">
        <f t="shared" si="27"/>
        <v>0.8811300777590737</v>
      </c>
      <c r="J29" s="59">
        <f t="shared" si="27"/>
        <v>0.93413850417106825</v>
      </c>
      <c r="K29" s="59">
        <f t="shared" si="27"/>
        <v>0.92135346075999858</v>
      </c>
      <c r="L29" s="59">
        <f t="shared" si="27"/>
        <v>0.92404212796046836</v>
      </c>
      <c r="M29" s="59">
        <f t="shared" si="27"/>
        <v>0.85708451001171437</v>
      </c>
      <c r="N29" s="59">
        <f t="shared" si="27"/>
        <v>0.90797514904389676</v>
      </c>
      <c r="O29" s="59">
        <f t="shared" si="27"/>
        <v>0.91216108734303092</v>
      </c>
      <c r="P29" s="59">
        <f t="shared" si="27"/>
        <v>0.9914612740097386</v>
      </c>
      <c r="Q29" s="59">
        <f t="shared" si="27"/>
        <v>0.91186124618502906</v>
      </c>
      <c r="R29" s="59">
        <f t="shared" si="27"/>
        <v>0.9574480648799657</v>
      </c>
      <c r="S29" s="59">
        <f t="shared" si="27"/>
        <v>0.94997209719073072</v>
      </c>
      <c r="T29" s="59">
        <f t="shared" si="27"/>
        <v>0.98127990202570914</v>
      </c>
      <c r="U29" s="59">
        <f t="shared" si="27"/>
        <v>0.93316216535487861</v>
      </c>
      <c r="V29" s="59">
        <f t="shared" si="27"/>
        <v>0.98550963977990536</v>
      </c>
      <c r="W29" s="59">
        <f t="shared" si="27"/>
        <v>0.9805891525442697</v>
      </c>
      <c r="X29" s="59">
        <f t="shared" si="27"/>
        <v>0.98430156073754338</v>
      </c>
      <c r="Y29" s="59">
        <f t="shared" si="27"/>
        <v>0.94897968732373328</v>
      </c>
      <c r="Z29" s="59">
        <f t="shared" si="27"/>
        <v>0.99947287606113078</v>
      </c>
      <c r="AA29" s="59">
        <f t="shared" si="27"/>
        <v>0.99936967086061257</v>
      </c>
      <c r="AB29" s="59">
        <f t="shared" si="27"/>
        <v>1.0000192147545428</v>
      </c>
      <c r="AC29" s="59">
        <f t="shared" si="27"/>
        <v>0.9421942786405193</v>
      </c>
      <c r="AD29" s="59">
        <f t="shared" si="27"/>
        <v>1.001927312150217</v>
      </c>
      <c r="AE29" s="59">
        <f t="shared" si="27"/>
        <v>1.0017076457871372</v>
      </c>
      <c r="AF29" s="59">
        <f t="shared" si="27"/>
        <v>1</v>
      </c>
      <c r="AG29" s="59">
        <f t="shared" si="27"/>
        <v>0.93138153226572928</v>
      </c>
      <c r="AH29" s="59">
        <f t="shared" si="27"/>
        <v>1.001049428029344</v>
      </c>
      <c r="AI29" s="59">
        <f t="shared" si="27"/>
        <v>1.0008767040659605</v>
      </c>
      <c r="AJ29" s="59">
        <f t="shared" si="27"/>
        <v>1</v>
      </c>
      <c r="AK29" s="59">
        <f t="shared" ref="AK29:BP29" si="28">AK28/AK34</f>
        <v>0.9921296324287191</v>
      </c>
      <c r="AL29" s="59">
        <f t="shared" si="28"/>
        <v>1</v>
      </c>
      <c r="AM29" s="59">
        <f t="shared" si="28"/>
        <v>1</v>
      </c>
      <c r="AN29" s="59">
        <f t="shared" si="28"/>
        <v>1</v>
      </c>
      <c r="AO29" s="59">
        <f t="shared" si="28"/>
        <v>0.9993508082375917</v>
      </c>
      <c r="AP29" s="59">
        <f t="shared" si="28"/>
        <v>0.99997144799833748</v>
      </c>
      <c r="AQ29" s="59">
        <f t="shared" si="28"/>
        <v>0.99990884832348925</v>
      </c>
      <c r="AR29" s="59">
        <f t="shared" si="28"/>
        <v>1</v>
      </c>
      <c r="AS29" s="59" t="e">
        <f t="shared" si="28"/>
        <v>#DIV/0!</v>
      </c>
      <c r="AT29" s="59">
        <f t="shared" si="28"/>
        <v>0</v>
      </c>
      <c r="AU29" s="59">
        <f t="shared" si="28"/>
        <v>0</v>
      </c>
      <c r="AV29" s="59">
        <f t="shared" si="28"/>
        <v>0</v>
      </c>
      <c r="AW29" s="59">
        <f t="shared" si="28"/>
        <v>0</v>
      </c>
      <c r="AX29" s="59">
        <f t="shared" si="28"/>
        <v>0</v>
      </c>
      <c r="AY29" s="59">
        <f t="shared" si="28"/>
        <v>0</v>
      </c>
      <c r="AZ29" s="59">
        <f t="shared" si="28"/>
        <v>0</v>
      </c>
      <c r="BA29" s="59">
        <f t="shared" si="28"/>
        <v>0</v>
      </c>
      <c r="BB29" s="59">
        <f t="shared" si="28"/>
        <v>0</v>
      </c>
      <c r="BC29" s="59">
        <f t="shared" si="28"/>
        <v>0</v>
      </c>
      <c r="BD29" s="59" t="e">
        <f t="shared" si="28"/>
        <v>#DIV/0!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0</v>
      </c>
      <c r="F30" s="26">
        <f>股权价值增加表!F20</f>
        <v>0</v>
      </c>
      <c r="G30" s="26">
        <f>股权价值增加表!G20</f>
        <v>0</v>
      </c>
      <c r="H30" s="26">
        <f>股权价值增加表!H20</f>
        <v>0</v>
      </c>
      <c r="I30" s="26">
        <f>股权价值增加表!I20</f>
        <v>0</v>
      </c>
      <c r="J30" s="26">
        <f>股权价值增加表!J20</f>
        <v>0</v>
      </c>
      <c r="K30" s="26">
        <f>股权价值增加表!K20</f>
        <v>0</v>
      </c>
      <c r="L30" s="26">
        <f>股权价值增加表!L20</f>
        <v>0</v>
      </c>
      <c r="M30" s="26">
        <f>股权价值增加表!M20</f>
        <v>0</v>
      </c>
      <c r="N30" s="26">
        <f>股权价值增加表!N20</f>
        <v>0</v>
      </c>
      <c r="O30" s="26">
        <f>股权价值增加表!O20</f>
        <v>0</v>
      </c>
      <c r="P30" s="26">
        <f>股权价值增加表!P20</f>
        <v>0</v>
      </c>
      <c r="Q30" s="26">
        <f>股权价值增加表!Q20</f>
        <v>0</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379</v>
      </c>
      <c r="E31" s="59">
        <f>E30/E34</f>
        <v>0</v>
      </c>
      <c r="F31" s="59">
        <f t="shared" ref="F31:BQ31" si="30">F30/F34</f>
        <v>0</v>
      </c>
      <c r="G31" s="59">
        <f t="shared" si="30"/>
        <v>0</v>
      </c>
      <c r="H31" s="59">
        <f t="shared" si="30"/>
        <v>0</v>
      </c>
      <c r="I31" s="59">
        <f t="shared" si="30"/>
        <v>0</v>
      </c>
      <c r="J31" s="59">
        <f t="shared" si="30"/>
        <v>0</v>
      </c>
      <c r="K31" s="59">
        <f t="shared" si="30"/>
        <v>0</v>
      </c>
      <c r="L31" s="59">
        <f t="shared" si="30"/>
        <v>0</v>
      </c>
      <c r="M31" s="59">
        <f t="shared" si="30"/>
        <v>0</v>
      </c>
      <c r="N31" s="59">
        <f t="shared" si="30"/>
        <v>0</v>
      </c>
      <c r="O31" s="59">
        <f t="shared" si="30"/>
        <v>0</v>
      </c>
      <c r="P31" s="59">
        <f t="shared" si="30"/>
        <v>0</v>
      </c>
      <c r="Q31" s="59">
        <f t="shared" si="30"/>
        <v>0</v>
      </c>
      <c r="R31" s="59">
        <f t="shared" si="30"/>
        <v>0</v>
      </c>
      <c r="S31" s="59">
        <f t="shared" si="30"/>
        <v>0</v>
      </c>
      <c r="T31" s="59">
        <f t="shared" si="30"/>
        <v>0</v>
      </c>
      <c r="U31" s="59">
        <f t="shared" si="30"/>
        <v>0</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f t="shared" si="30"/>
        <v>0</v>
      </c>
      <c r="AS31" s="59" t="e">
        <f t="shared" si="30"/>
        <v>#DIV/0!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t="e">
        <f t="shared" si="30"/>
        <v>#DIV/0!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15209006.420000006</v>
      </c>
      <c r="F32" s="26">
        <f>股权价值增加表!F27</f>
        <v>6278650.0700000003</v>
      </c>
      <c r="G32" s="26">
        <f>股权价值增加表!G27</f>
        <v>18044282.880000003</v>
      </c>
      <c r="H32" s="26">
        <f>股权价值增加表!H27</f>
        <v>1057974.25</v>
      </c>
      <c r="I32" s="26">
        <f>股权价值增加表!I27</f>
        <v>51301220.710000001</v>
      </c>
      <c r="J32" s="26">
        <f>股权价值增加表!J27</f>
        <v>21928465.140000001</v>
      </c>
      <c r="K32" s="26">
        <f>股权价值增加表!K27</f>
        <v>15852722.82</v>
      </c>
      <c r="L32" s="26">
        <f>股权价值增加表!L27</f>
        <v>10347608.9</v>
      </c>
      <c r="M32" s="26">
        <f>股权价值增加表!M27</f>
        <v>73631360.809999987</v>
      </c>
      <c r="N32" s="26">
        <f>股权价值增加表!N27</f>
        <v>34112983.07</v>
      </c>
      <c r="O32" s="26">
        <f>股权价值增加表!O27</f>
        <v>18438248.48</v>
      </c>
      <c r="P32" s="26">
        <f>股权价值增加表!P27</f>
        <v>1155734.4099999999</v>
      </c>
      <c r="Q32" s="26">
        <f>股权价值增加表!Q27</f>
        <v>39826956.240000002</v>
      </c>
      <c r="R32" s="26">
        <f>股权价值增加表!R27</f>
        <v>12734430.08</v>
      </c>
      <c r="S32" s="26">
        <f>股权价值增加表!S27</f>
        <v>8505949.0899999999</v>
      </c>
      <c r="T32" s="26">
        <f>股权价值增加表!T27</f>
        <v>2035976.02</v>
      </c>
      <c r="U32" s="26">
        <f>股权价值增加表!U27</f>
        <v>26155269.629999999</v>
      </c>
      <c r="V32" s="26">
        <f>股权价值增加表!V27</f>
        <v>3739105.04</v>
      </c>
      <c r="W32" s="26">
        <f>股权价值增加表!W27</f>
        <v>2916716.47</v>
      </c>
      <c r="X32" s="26">
        <f>股权价值增加表!X27</f>
        <v>1557195.23</v>
      </c>
      <c r="Y32" s="26">
        <f>股权价值增加表!Y27</f>
        <v>22655089.129999999</v>
      </c>
      <c r="Z32" s="26">
        <f>股权价值增加表!Z27</f>
        <v>147195.29</v>
      </c>
      <c r="AA32" s="26">
        <f>股权价值增加表!AA27</f>
        <v>92296.55</v>
      </c>
      <c r="AB32" s="26">
        <f>股权价值增加表!AB27</f>
        <v>-2400</v>
      </c>
      <c r="AC32" s="26">
        <f>股权价值增加表!AC27</f>
        <v>25657168.020000003</v>
      </c>
      <c r="AD32" s="26">
        <f>股权价值增加表!AD27</f>
        <v>-597629.93000000005</v>
      </c>
      <c r="AE32" s="26">
        <f>股权价值增加表!AE27</f>
        <v>-307502.71000000002</v>
      </c>
      <c r="AF32" s="26">
        <f>股权价值增加表!AF27</f>
        <v>0</v>
      </c>
      <c r="AG32" s="26">
        <f>股权价值增加表!AG27</f>
        <v>19410136.32</v>
      </c>
      <c r="AH32" s="26">
        <f>股权价值增加表!AH27</f>
        <v>-211123.94</v>
      </c>
      <c r="AI32" s="26">
        <f>股权价值增加表!AI27</f>
        <v>-96363.82</v>
      </c>
      <c r="AJ32" s="26">
        <f>股权价值增加表!AJ27</f>
        <v>0</v>
      </c>
      <c r="AK32" s="26">
        <f>股权价值增加表!AK27</f>
        <v>1549800.36</v>
      </c>
      <c r="AL32" s="26">
        <f>股权价值增加表!AL27</f>
        <v>0</v>
      </c>
      <c r="AM32" s="26">
        <f>股权价值增加表!AM27</f>
        <v>0</v>
      </c>
      <c r="AN32" s="26">
        <f>股权价值增加表!AN27</f>
        <v>0</v>
      </c>
      <c r="AO32" s="26">
        <f>股权价值增加表!AO27</f>
        <v>89649.079999999958</v>
      </c>
      <c r="AP32" s="26">
        <f>股权价值增加表!AP27</f>
        <v>3020.54</v>
      </c>
      <c r="AQ32" s="26">
        <f>股权价值增加表!AQ27</f>
        <v>10356.16</v>
      </c>
      <c r="AR32" s="26">
        <f>股权价值增加表!AR27</f>
        <v>0</v>
      </c>
      <c r="AS32" s="26">
        <f>股权价值增加表!AS27</f>
        <v>0</v>
      </c>
      <c r="AT32" s="26">
        <f>股权价值增加表!AT27</f>
        <v>556604.28</v>
      </c>
      <c r="AU32" s="26">
        <f>股权价值增加表!AU27</f>
        <v>47918.79</v>
      </c>
      <c r="AV32" s="26">
        <f>股权价值增加表!AV27</f>
        <v>665864.48</v>
      </c>
      <c r="AW32" s="26">
        <f>股权价值增加表!AW27</f>
        <v>5051692.58</v>
      </c>
      <c r="AX32" s="26">
        <f>股权价值增加表!AX27</f>
        <v>2496157.7200000002</v>
      </c>
      <c r="AY32" s="26">
        <f>股权价值增加表!AY27</f>
        <v>1832311.81</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380</v>
      </c>
      <c r="E33" s="59">
        <f>E32/E34</f>
        <v>2.8249189527217267E-2</v>
      </c>
      <c r="F33" s="59">
        <f t="shared" ref="F33:BQ33" si="32">F32/F34</f>
        <v>1.4760814318093424E-2</v>
      </c>
      <c r="G33" s="59">
        <f t="shared" si="32"/>
        <v>7.75799408147861E-2</v>
      </c>
      <c r="H33" s="59">
        <f t="shared" si="32"/>
        <v>7.2296242215993869E-3</v>
      </c>
      <c r="I33" s="59">
        <f t="shared" si="32"/>
        <v>0.11886992224092631</v>
      </c>
      <c r="J33" s="59">
        <f t="shared" si="32"/>
        <v>6.5861495828931818E-2</v>
      </c>
      <c r="K33" s="59">
        <f t="shared" si="32"/>
        <v>7.8646539240001423E-2</v>
      </c>
      <c r="L33" s="59">
        <f t="shared" si="32"/>
        <v>7.5957872039531651E-2</v>
      </c>
      <c r="M33" s="59">
        <f t="shared" si="32"/>
        <v>0.14291548998828563</v>
      </c>
      <c r="N33" s="59">
        <f t="shared" si="32"/>
        <v>9.2024850956103257E-2</v>
      </c>
      <c r="O33" s="59">
        <f t="shared" si="32"/>
        <v>8.7838912656969179E-2</v>
      </c>
      <c r="P33" s="59">
        <f t="shared" si="32"/>
        <v>8.5387259902613352E-3</v>
      </c>
      <c r="Q33" s="59">
        <f t="shared" si="32"/>
        <v>8.813875381497098E-2</v>
      </c>
      <c r="R33" s="59">
        <f t="shared" si="32"/>
        <v>4.2551935120034343E-2</v>
      </c>
      <c r="S33" s="59">
        <f t="shared" si="32"/>
        <v>5.002790280926929E-2</v>
      </c>
      <c r="T33" s="59">
        <f t="shared" si="32"/>
        <v>1.8720097974290913E-2</v>
      </c>
      <c r="U33" s="59">
        <f t="shared" si="32"/>
        <v>6.6837834645121372E-2</v>
      </c>
      <c r="V33" s="59">
        <f t="shared" si="32"/>
        <v>1.44903602200947E-2</v>
      </c>
      <c r="W33" s="59">
        <f t="shared" si="32"/>
        <v>1.9410847455730282E-2</v>
      </c>
      <c r="X33" s="59">
        <f t="shared" si="32"/>
        <v>1.5698439262456582E-2</v>
      </c>
      <c r="Y33" s="59">
        <f t="shared" si="32"/>
        <v>5.1020312676266714E-2</v>
      </c>
      <c r="Z33" s="59">
        <f t="shared" si="32"/>
        <v>5.2712393886912513E-4</v>
      </c>
      <c r="AA33" s="59">
        <f t="shared" si="32"/>
        <v>6.3032913938731202E-4</v>
      </c>
      <c r="AB33" s="59">
        <f t="shared" si="32"/>
        <v>-1.9214754542710522E-5</v>
      </c>
      <c r="AC33" s="59">
        <f t="shared" si="32"/>
        <v>5.7805721359480755E-2</v>
      </c>
      <c r="AD33" s="59">
        <f t="shared" si="32"/>
        <v>-1.9273121502168989E-3</v>
      </c>
      <c r="AE33" s="59">
        <f t="shared" si="32"/>
        <v>-1.707645787137215E-3</v>
      </c>
      <c r="AF33" s="59">
        <f t="shared" si="32"/>
        <v>0</v>
      </c>
      <c r="AG33" s="59">
        <f t="shared" si="32"/>
        <v>6.8618467734270702E-2</v>
      </c>
      <c r="AH33" s="59">
        <f t="shared" si="32"/>
        <v>-1.04942802934405E-3</v>
      </c>
      <c r="AI33" s="59">
        <f t="shared" si="32"/>
        <v>-8.7670406596057312E-4</v>
      </c>
      <c r="AJ33" s="59">
        <f t="shared" si="32"/>
        <v>0</v>
      </c>
      <c r="AK33" s="59">
        <f t="shared" si="32"/>
        <v>7.8703675712808157E-3</v>
      </c>
      <c r="AL33" s="59">
        <f t="shared" si="32"/>
        <v>0</v>
      </c>
      <c r="AM33" s="59">
        <f t="shared" si="32"/>
        <v>0</v>
      </c>
      <c r="AN33" s="59">
        <f t="shared" si="32"/>
        <v>0</v>
      </c>
      <c r="AO33" s="59">
        <f t="shared" si="32"/>
        <v>6.4919176240816072E-4</v>
      </c>
      <c r="AP33" s="59">
        <f t="shared" si="32"/>
        <v>2.8552001662443472E-5</v>
      </c>
      <c r="AQ33" s="59">
        <f t="shared" si="32"/>
        <v>9.1151676510737101E-5</v>
      </c>
      <c r="AR33" s="59">
        <f t="shared" si="32"/>
        <v>0</v>
      </c>
      <c r="AS33" s="59" t="e">
        <f t="shared" si="32"/>
        <v>#DIV/0!</v>
      </c>
      <c r="AT33" s="59">
        <f t="shared" si="32"/>
        <v>1</v>
      </c>
      <c r="AU33" s="59">
        <f t="shared" si="32"/>
        <v>1</v>
      </c>
      <c r="AV33" s="59">
        <f t="shared" si="32"/>
        <v>1</v>
      </c>
      <c r="AW33" s="59">
        <f t="shared" si="32"/>
        <v>1</v>
      </c>
      <c r="AX33" s="59">
        <f t="shared" si="32"/>
        <v>1</v>
      </c>
      <c r="AY33" s="59">
        <f t="shared" si="32"/>
        <v>1</v>
      </c>
      <c r="AZ33" s="59">
        <f t="shared" si="32"/>
        <v>1</v>
      </c>
      <c r="BA33" s="59">
        <f t="shared" si="32"/>
        <v>1</v>
      </c>
      <c r="BB33" s="59">
        <f t="shared" si="32"/>
        <v>1</v>
      </c>
      <c r="BC33" s="59">
        <f t="shared" si="32"/>
        <v>1</v>
      </c>
      <c r="BD33" s="59" t="e">
        <f t="shared" si="32"/>
        <v>#DIV/0!</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376</v>
      </c>
      <c r="E34" s="58">
        <f>股权价值增加表!E31</f>
        <v>538387354.63</v>
      </c>
      <c r="F34" s="58">
        <f>股权价值增加表!F31</f>
        <v>425359328.74000007</v>
      </c>
      <c r="G34" s="58">
        <f>股权价值增加表!G31</f>
        <v>232589541.70999974</v>
      </c>
      <c r="H34" s="58">
        <f>股权价值增加表!H31</f>
        <v>146338760.84999999</v>
      </c>
      <c r="I34" s="58">
        <f>股权价值增加表!I31</f>
        <v>431574444.92999971</v>
      </c>
      <c r="J34" s="58">
        <f>股权价值增加表!J31</f>
        <v>332948179.57000005</v>
      </c>
      <c r="K34" s="58">
        <f>股权价值增加表!K31</f>
        <v>201569235.89000016</v>
      </c>
      <c r="L34" s="58">
        <f>股权价值增加表!L31</f>
        <v>136228262.09</v>
      </c>
      <c r="M34" s="58">
        <f>股权价值增加表!M31</f>
        <v>515209098.85999995</v>
      </c>
      <c r="N34" s="58">
        <f>股权价值增加表!N31</f>
        <v>370693162.94</v>
      </c>
      <c r="O34" s="58">
        <f>股权价值增加表!O31</f>
        <v>209909798.76999992</v>
      </c>
      <c r="P34" s="58">
        <f>股权价值增加表!P31</f>
        <v>135352090.14999995</v>
      </c>
      <c r="Q34" s="58">
        <f>股权价值增加表!Q31</f>
        <v>451866568.5200001</v>
      </c>
      <c r="R34" s="58">
        <f>股权价值增加表!R31</f>
        <v>299267942.67000008</v>
      </c>
      <c r="S34" s="58">
        <f>股权价值增加表!S31</f>
        <v>170024098.80000001</v>
      </c>
      <c r="T34" s="58">
        <f>股权价值增加表!T31</f>
        <v>108758833.57000002</v>
      </c>
      <c r="U34" s="58">
        <f>股权价值增加表!U31</f>
        <v>391324311.58000004</v>
      </c>
      <c r="V34" s="58">
        <f>股权价值增加表!V31</f>
        <v>258040861.87000003</v>
      </c>
      <c r="W34" s="58">
        <f>股权价值增加表!W31</f>
        <v>150262191.10999995</v>
      </c>
      <c r="X34" s="58">
        <f>股权价值增加表!X31</f>
        <v>99194270.459999919</v>
      </c>
      <c r="Y34" s="58">
        <f>股权价值增加表!Y31</f>
        <v>444040577.99000007</v>
      </c>
      <c r="Z34" s="58">
        <f>股权价值增加表!Z31</f>
        <v>279242278.99000013</v>
      </c>
      <c r="AA34" s="58">
        <f>股权价值增加表!AA31</f>
        <v>146425961.03000003</v>
      </c>
      <c r="AB34" s="58">
        <f>股权价值增加表!AB31</f>
        <v>124904015.53999996</v>
      </c>
      <c r="AC34" s="58">
        <f>股权价值增加表!AC31</f>
        <v>443851705.62000006</v>
      </c>
      <c r="AD34" s="58">
        <f>股权价值增加表!AD31</f>
        <v>310084658.5399999</v>
      </c>
      <c r="AE34" s="58">
        <f>股权价值增加表!AE31</f>
        <v>180074060.04000005</v>
      </c>
      <c r="AF34" s="58">
        <f>股权价值增加表!AF31</f>
        <v>112630629.38000003</v>
      </c>
      <c r="AG34" s="58">
        <f>股权价值增加表!AG31</f>
        <v>282870442.33000022</v>
      </c>
      <c r="AH34" s="58">
        <f>股权价值增加表!AH31</f>
        <v>201180008.63000011</v>
      </c>
      <c r="AI34" s="58">
        <f>股权价值增加表!AI31</f>
        <v>109916018.11999997</v>
      </c>
      <c r="AJ34" s="58">
        <f>股权价值增加表!AJ31</f>
        <v>67077628.009999976</v>
      </c>
      <c r="AK34" s="58">
        <f>股权价值增加表!AK31</f>
        <v>196915880.47999987</v>
      </c>
      <c r="AL34" s="58">
        <f>股权价值增加表!AL31</f>
        <v>133034906.21999998</v>
      </c>
      <c r="AM34" s="58">
        <f>股权价值增加表!AM31</f>
        <v>67100112.639999993</v>
      </c>
      <c r="AN34" s="58">
        <f>股权价值增加表!AN31</f>
        <v>44924420.930000037</v>
      </c>
      <c r="AO34" s="58">
        <f>股权价值增加表!AO31</f>
        <v>138093372.69999996</v>
      </c>
      <c r="AP34" s="58">
        <f>股权价值增加表!AP31</f>
        <v>105790831.61000009</v>
      </c>
      <c r="AQ34" s="58">
        <f>股权价值增加表!AQ31</f>
        <v>113614586.10999995</v>
      </c>
      <c r="AR34" s="58">
        <f>股权价值增加表!AR31</f>
        <v>55021222.969999909</v>
      </c>
      <c r="AS34" s="58">
        <f>股权价值增加表!AS31</f>
        <v>0</v>
      </c>
      <c r="AT34" s="58">
        <f>股权价值增加表!AT31</f>
        <v>556604.28</v>
      </c>
      <c r="AU34" s="58">
        <f>股权价值增加表!AU31</f>
        <v>47918.79</v>
      </c>
      <c r="AV34" s="58">
        <f>股权价值增加表!AV31</f>
        <v>665864.48</v>
      </c>
      <c r="AW34" s="58">
        <f>股权价值增加表!AW31</f>
        <v>5051692.58</v>
      </c>
      <c r="AX34" s="58">
        <f>股权价值增加表!AX31</f>
        <v>2496157.7200000002</v>
      </c>
      <c r="AY34" s="58">
        <f>股权价值增加表!AY31</f>
        <v>1832311.81</v>
      </c>
      <c r="AZ34" s="58">
        <f>股权价值增加表!AZ31</f>
        <v>100000</v>
      </c>
      <c r="BA34" s="58">
        <f>股权价值增加表!BA31</f>
        <v>-3923017.4</v>
      </c>
      <c r="BB34" s="58">
        <f>股权价值增加表!BB31</f>
        <v>-497364.9</v>
      </c>
      <c r="BC34" s="58">
        <f>股权价值增加表!BC31</f>
        <v>-499893.8</v>
      </c>
      <c r="BD34" s="58">
        <f>股权价值增加表!BD31</f>
        <v>0</v>
      </c>
      <c r="BE34" s="58">
        <f>股权价值增加表!BE31</f>
        <v>-126753.75</v>
      </c>
      <c r="BF34" s="58">
        <f>股权价值增加表!BF31</f>
        <v>344265.81</v>
      </c>
      <c r="BG34" s="58">
        <f>股权价值增加表!BG31</f>
        <v>344265.81</v>
      </c>
      <c r="BH34" s="58">
        <f>股权价值增加表!BH31</f>
        <v>1026367.48</v>
      </c>
      <c r="BI34" s="58">
        <f>股权价值增加表!BI31</f>
        <v>-554425.18000000005</v>
      </c>
      <c r="BJ34" s="58">
        <f>股权价值增加表!BJ31</f>
        <v>287254.11</v>
      </c>
      <c r="BK34" s="58">
        <f>股权价值增加表!BK31</f>
        <v>52424.27</v>
      </c>
      <c r="BL34" s="58">
        <f>股权价值增加表!BL31</f>
        <v>265460.88</v>
      </c>
      <c r="BM34" s="58">
        <f>股权价值增加表!BM31</f>
        <v>178932.4</v>
      </c>
      <c r="BN34" s="58">
        <f>股权价值增加表!BN31</f>
        <v>1871129.6000000001</v>
      </c>
      <c r="BO34" s="58">
        <f>股权价值增加表!BO31</f>
        <v>1511721.55</v>
      </c>
      <c r="BP34" s="58">
        <f>股权价值增加表!BP31</f>
        <v>-174029.22</v>
      </c>
      <c r="BQ34" s="58">
        <f>股权价值增加表!BQ31</f>
        <v>12349967.949999999</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5" t="s">
        <v>676</v>
      </c>
      <c r="B35" s="286"/>
      <c r="C35" s="286"/>
      <c r="D35" s="286"/>
      <c r="E35" s="286"/>
      <c r="F35" s="286"/>
      <c r="G35" s="286"/>
      <c r="H35" s="286"/>
      <c r="I35" s="286"/>
      <c r="J35" s="286"/>
      <c r="K35" s="286"/>
      <c r="L35" s="286"/>
      <c r="M35" s="286"/>
      <c r="N35" s="286"/>
      <c r="O35" s="286"/>
      <c r="P35" s="286"/>
      <c r="Q35" s="286"/>
      <c r="R35" s="286"/>
      <c r="S35" s="286"/>
      <c r="T35" s="286"/>
      <c r="U35" s="286"/>
      <c r="V35" s="286"/>
      <c r="W35" s="286"/>
      <c r="X35" s="286"/>
      <c r="Y35" s="286"/>
      <c r="Z35" s="286"/>
      <c r="AA35" s="286"/>
      <c r="AB35" s="286"/>
      <c r="AC35" s="286"/>
      <c r="AD35" s="286"/>
      <c r="AE35" s="286"/>
      <c r="AF35" s="286"/>
      <c r="AG35" s="286"/>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39447</v>
      </c>
      <c r="AR38" s="1">
        <v>39082</v>
      </c>
      <c r="AS38" s="1">
        <v>25569</v>
      </c>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538387354.63</v>
      </c>
      <c r="F39" s="26">
        <f>股权价值增加表!F31</f>
        <v>425359328.74000007</v>
      </c>
      <c r="G39" s="26">
        <f>股权价值增加表!G31</f>
        <v>232589541.70999974</v>
      </c>
      <c r="H39" s="26">
        <f>股权价值增加表!H31</f>
        <v>146338760.84999999</v>
      </c>
      <c r="I39" s="26">
        <f>股权价值增加表!I31</f>
        <v>431574444.92999971</v>
      </c>
      <c r="J39" s="26">
        <f>股权价值增加表!J31</f>
        <v>332948179.57000005</v>
      </c>
      <c r="K39" s="26">
        <f>股权价值增加表!K31</f>
        <v>201569235.89000016</v>
      </c>
      <c r="L39" s="26">
        <f>股权价值增加表!L31</f>
        <v>136228262.09</v>
      </c>
      <c r="M39" s="26">
        <f>股权价值增加表!M31</f>
        <v>515209098.85999995</v>
      </c>
      <c r="N39" s="26">
        <f>股权价值增加表!N31</f>
        <v>370693162.94</v>
      </c>
      <c r="O39" s="26">
        <f>股权价值增加表!O31</f>
        <v>209909798.76999992</v>
      </c>
      <c r="P39" s="26">
        <f>股权价值增加表!P31</f>
        <v>135352090.14999995</v>
      </c>
      <c r="Q39" s="26">
        <f>股权价值增加表!Q31</f>
        <v>451866568.5200001</v>
      </c>
      <c r="R39" s="26">
        <f>股权价值增加表!R31</f>
        <v>299267942.67000008</v>
      </c>
      <c r="S39" s="26">
        <f>股权价值增加表!S31</f>
        <v>170024098.80000001</v>
      </c>
      <c r="T39" s="26">
        <f>股权价值增加表!T31</f>
        <v>108758833.57000002</v>
      </c>
      <c r="U39" s="26">
        <f>股权价值增加表!U31</f>
        <v>391324311.58000004</v>
      </c>
      <c r="V39" s="26">
        <f>股权价值增加表!V31</f>
        <v>258040861.87000003</v>
      </c>
      <c r="W39" s="26">
        <f>股权价值增加表!W31</f>
        <v>150262191.10999995</v>
      </c>
      <c r="X39" s="26">
        <f>股权价值增加表!X31</f>
        <v>99194270.459999919</v>
      </c>
      <c r="Y39" s="26">
        <f>股权价值增加表!Y31</f>
        <v>444040577.99000007</v>
      </c>
      <c r="Z39" s="26">
        <f>股权价值增加表!Z31</f>
        <v>279242278.99000013</v>
      </c>
      <c r="AA39" s="26">
        <f>股权价值增加表!AA31</f>
        <v>146425961.03000003</v>
      </c>
      <c r="AB39" s="26">
        <f>股权价值增加表!AB31</f>
        <v>124904015.53999996</v>
      </c>
      <c r="AC39" s="26">
        <f>股权价值增加表!AC31</f>
        <v>443851705.62000006</v>
      </c>
      <c r="AD39" s="26">
        <f>股权价值增加表!AD31</f>
        <v>310084658.5399999</v>
      </c>
      <c r="AE39" s="26">
        <f>股权价值增加表!AE31</f>
        <v>180074060.04000005</v>
      </c>
      <c r="AF39" s="26">
        <f>股权价值增加表!AF31</f>
        <v>112630629.38000003</v>
      </c>
      <c r="AG39" s="26">
        <f>股权价值增加表!AG31</f>
        <v>282870442.33000022</v>
      </c>
      <c r="AH39" s="26">
        <f>股权价值增加表!AH31</f>
        <v>201180008.63000011</v>
      </c>
      <c r="AI39" s="26">
        <f>股权价值增加表!AI31</f>
        <v>109916018.11999997</v>
      </c>
      <c r="AJ39" s="26">
        <f>股权价值增加表!AJ31</f>
        <v>67077628.009999976</v>
      </c>
      <c r="AK39" s="26">
        <f>股权价值增加表!AK31</f>
        <v>196915880.47999987</v>
      </c>
      <c r="AL39" s="26">
        <f>股权价值增加表!AL31</f>
        <v>133034906.21999998</v>
      </c>
      <c r="AM39" s="26">
        <f>股权价值增加表!AM31</f>
        <v>67100112.639999993</v>
      </c>
      <c r="AN39" s="26">
        <f>股权价值增加表!AN31</f>
        <v>44924420.930000037</v>
      </c>
      <c r="AO39" s="26">
        <f>股权价值增加表!AO31</f>
        <v>138093372.69999996</v>
      </c>
      <c r="AP39" s="26">
        <f>股权价值增加表!AP31</f>
        <v>105790831.61000009</v>
      </c>
      <c r="AQ39" s="26">
        <f>股权价值增加表!AQ31</f>
        <v>113614586.10999995</v>
      </c>
      <c r="AR39" s="26">
        <f>股权价值增加表!AR31</f>
        <v>55021222.969999909</v>
      </c>
      <c r="AS39" s="26">
        <f>股权价值增加表!AS31</f>
        <v>0</v>
      </c>
      <c r="AT39" s="26">
        <f>股权价值增加表!AT31</f>
        <v>556604.28</v>
      </c>
      <c r="AU39" s="26">
        <f>股权价值增加表!AU31</f>
        <v>47918.79</v>
      </c>
      <c r="AV39" s="26">
        <f>股权价值增加表!AV31</f>
        <v>665864.48</v>
      </c>
      <c r="AW39" s="26">
        <f>股权价值增加表!AW31</f>
        <v>5051692.58</v>
      </c>
      <c r="AX39" s="26">
        <f>股权价值增加表!AX31</f>
        <v>2496157.7200000002</v>
      </c>
      <c r="AY39" s="26">
        <f>股权价值增加表!AY31</f>
        <v>1832311.81</v>
      </c>
      <c r="AZ39" s="26">
        <f>股权价值增加表!AZ31</f>
        <v>100000</v>
      </c>
      <c r="BA39" s="26">
        <f>股权价值增加表!BA31</f>
        <v>-3923017.4</v>
      </c>
      <c r="BB39" s="26">
        <f>股权价值增加表!BB31</f>
        <v>-497364.9</v>
      </c>
      <c r="BC39" s="26">
        <f>股权价值增加表!BC31</f>
        <v>-499893.8</v>
      </c>
      <c r="BD39" s="26">
        <f>股权价值增加表!BD31</f>
        <v>0</v>
      </c>
      <c r="BE39" s="26">
        <f>股权价值增加表!BE31</f>
        <v>-126753.75</v>
      </c>
      <c r="BF39" s="26">
        <f>股权价值增加表!BF31</f>
        <v>344265.81</v>
      </c>
      <c r="BG39" s="26">
        <f>股权价值增加表!BG31</f>
        <v>344265.81</v>
      </c>
      <c r="BH39" s="26">
        <f>股权价值增加表!BH31</f>
        <v>1026367.48</v>
      </c>
      <c r="BI39" s="26">
        <f>股权价值增加表!BI31</f>
        <v>-554425.18000000005</v>
      </c>
      <c r="BJ39" s="26">
        <f>股权价值增加表!BJ31</f>
        <v>287254.11</v>
      </c>
      <c r="BK39" s="26">
        <f>股权价值增加表!BK31</f>
        <v>52424.27</v>
      </c>
      <c r="BL39" s="26">
        <f>股权价值增加表!BL31</f>
        <v>265460.88</v>
      </c>
      <c r="BM39" s="26">
        <f>股权价值增加表!BM31</f>
        <v>178932.4</v>
      </c>
      <c r="BN39" s="26">
        <f>股权价值增加表!BN31</f>
        <v>1871129.6000000001</v>
      </c>
      <c r="BO39" s="26">
        <f>股权价值增加表!BO31</f>
        <v>1511721.55</v>
      </c>
      <c r="BP39" s="26">
        <f>股权价值增加表!BP31</f>
        <v>-174029.22</v>
      </c>
      <c r="BQ39" s="26">
        <f>股权价值增加表!BQ31</f>
        <v>12349967.949999999</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499927833.65999997</v>
      </c>
      <c r="F40" s="26">
        <f>股权价值增加表!F38</f>
        <v>401428922.01000005</v>
      </c>
      <c r="G40" s="26">
        <f>股权价值增加表!G38</f>
        <v>209898062.10999975</v>
      </c>
      <c r="H40" s="26">
        <f>股权价值增加表!H38</f>
        <v>147365458.57999998</v>
      </c>
      <c r="I40" s="26">
        <f>股权价值增加表!I38</f>
        <v>427742954.32999969</v>
      </c>
      <c r="J40" s="26">
        <f>股权价值增加表!J38</f>
        <v>334819772.02000004</v>
      </c>
      <c r="K40" s="26">
        <f>股权价值增加表!K38</f>
        <v>203723495.75000018</v>
      </c>
      <c r="L40" s="26">
        <f>股权价值增加表!L38</f>
        <v>136959989.61000001</v>
      </c>
      <c r="M40" s="26">
        <f>股权价值增加表!M38</f>
        <v>513059262.03999996</v>
      </c>
      <c r="N40" s="26">
        <f>股权价值增加表!N38</f>
        <v>381008120.25999999</v>
      </c>
      <c r="O40" s="26">
        <f>股权价值增加表!O38</f>
        <v>217267458.76999992</v>
      </c>
      <c r="P40" s="26">
        <f>股权价值增加表!P38</f>
        <v>139584865.06999993</v>
      </c>
      <c r="Q40" s="26">
        <f>股权价值增加表!Q38</f>
        <v>450483006.57000011</v>
      </c>
      <c r="R40" s="26">
        <f>股权价值增加表!R38</f>
        <v>317210179.42000008</v>
      </c>
      <c r="S40" s="26">
        <f>股权价值增加表!S38</f>
        <v>182941247.09</v>
      </c>
      <c r="T40" s="26">
        <f>股权价值增加表!T38</f>
        <v>116670305.96000002</v>
      </c>
      <c r="U40" s="26">
        <f>股权价值增加表!U38</f>
        <v>390428605.66000003</v>
      </c>
      <c r="V40" s="26">
        <f>股权价值增加表!V38</f>
        <v>274655166.74000001</v>
      </c>
      <c r="W40" s="26">
        <f>股权价值增加表!W38</f>
        <v>161995567.14999995</v>
      </c>
      <c r="X40" s="26">
        <f>股权价值增加表!X38</f>
        <v>105193117.48999992</v>
      </c>
      <c r="Y40" s="26">
        <f>股权价值增加表!Y38</f>
        <v>443029151.84000009</v>
      </c>
      <c r="Z40" s="26">
        <f>股权价值增加表!Z38</f>
        <v>295514436.34000015</v>
      </c>
      <c r="AA40" s="26">
        <f>股权价值增加表!AA38</f>
        <v>158856513.42000002</v>
      </c>
      <c r="AB40" s="26">
        <f>股权价值增加表!AB38</f>
        <v>129330228.97999996</v>
      </c>
      <c r="AC40" s="26">
        <f>股权价值增加表!AC38</f>
        <v>442624871.00000006</v>
      </c>
      <c r="AD40" s="26">
        <f>股权价值增加表!AD38</f>
        <v>327496170.33999991</v>
      </c>
      <c r="AE40" s="26">
        <f>股权价值增加表!AE38</f>
        <v>187409909.66000006</v>
      </c>
      <c r="AF40" s="26">
        <f>股权价值增加表!AF38</f>
        <v>118124505.07000002</v>
      </c>
      <c r="AG40" s="26">
        <f>股权价值增加表!AG38</f>
        <v>282106837.75000024</v>
      </c>
      <c r="AH40" s="26">
        <f>股权价值增加表!AH38</f>
        <v>214068795.29000011</v>
      </c>
      <c r="AI40" s="26">
        <f>股权价值增加表!AI38</f>
        <v>113308355.36999997</v>
      </c>
      <c r="AJ40" s="26">
        <f>股权价值增加表!AJ38</f>
        <v>69539699.089999974</v>
      </c>
      <c r="AK40" s="26">
        <f>股权价值增加表!AK38</f>
        <v>196366845.73999986</v>
      </c>
      <c r="AL40" s="26">
        <f>股权价值增加表!AL38</f>
        <v>133841809.75999999</v>
      </c>
      <c r="AM40" s="26">
        <f>股权价值增加表!AM38</f>
        <v>67293163.789999992</v>
      </c>
      <c r="AN40" s="26">
        <f>股权价值增加表!AN38</f>
        <v>44927934.520000041</v>
      </c>
      <c r="AO40" s="26">
        <f>股权价值增加表!AO38</f>
        <v>136391056.76999995</v>
      </c>
      <c r="AP40" s="26">
        <f>股权价值增加表!AP38</f>
        <v>104921539.81000009</v>
      </c>
      <c r="AQ40" s="26">
        <f>股权价值增加表!AQ38</f>
        <v>111162605.29999995</v>
      </c>
      <c r="AR40" s="26">
        <f>股权价值增加表!AR38</f>
        <v>53571633.85999991</v>
      </c>
      <c r="AS40" s="26">
        <f>股权价值增加表!AS38</f>
        <v>0</v>
      </c>
      <c r="AT40" s="26">
        <f>股权价值增加表!AT38</f>
        <v>41574884.270000003</v>
      </c>
      <c r="AU40" s="26">
        <f>股权价值增加表!AU38</f>
        <v>36535126.310000002</v>
      </c>
      <c r="AV40" s="26">
        <f>股权价值增加表!AV38</f>
        <v>4042843.62</v>
      </c>
      <c r="AW40" s="26">
        <f>股权价值增加表!AW38</f>
        <v>55549045.109999999</v>
      </c>
      <c r="AX40" s="26">
        <f>股权价值增加表!AX38</f>
        <v>28863876.779999997</v>
      </c>
      <c r="AY40" s="26">
        <f>股权价值增加表!AY38</f>
        <v>26228829.809999999</v>
      </c>
      <c r="AZ40" s="26">
        <f>股权价值增加表!AZ38</f>
        <v>3017708.8</v>
      </c>
      <c r="BA40" s="26">
        <f>股权价值增加表!BA38</f>
        <v>21302963.41</v>
      </c>
      <c r="BB40" s="26">
        <f>股权价值增加表!BB38</f>
        <v>6940683.96</v>
      </c>
      <c r="BC40" s="26">
        <f>股权价值增加表!BC38</f>
        <v>4996075.1100000003</v>
      </c>
      <c r="BD40" s="26">
        <f>股权价值增加表!BD38</f>
        <v>6057952.7199999997</v>
      </c>
      <c r="BE40" s="26">
        <f>股权价值增加表!BE38</f>
        <v>26329845.359999999</v>
      </c>
      <c r="BF40" s="26">
        <f>股权价值增加表!BF38</f>
        <v>13124671.940000001</v>
      </c>
      <c r="BG40" s="26">
        <f>股权价值增加表!BG38</f>
        <v>11452035.85</v>
      </c>
      <c r="BH40" s="26">
        <f>股权价值增加表!BH38</f>
        <v>2762185.67</v>
      </c>
      <c r="BI40" s="26">
        <f>股权价值增加表!BI38</f>
        <v>27804282.080000002</v>
      </c>
      <c r="BJ40" s="26">
        <f>股权价值增加表!BJ38</f>
        <v>19869707.960000001</v>
      </c>
      <c r="BK40" s="26">
        <f>股权价值增加表!BK38</f>
        <v>12179434.549999999</v>
      </c>
      <c r="BL40" s="26">
        <f>股权价值增加表!BL38</f>
        <v>2711192.57</v>
      </c>
      <c r="BM40" s="26">
        <f>股权价值增加表!BM38</f>
        <v>26872741.259999998</v>
      </c>
      <c r="BN40" s="26">
        <f>股权价值增加表!BN38</f>
        <v>23612016.5</v>
      </c>
      <c r="BO40" s="26">
        <f>股权价值增加表!BO38</f>
        <v>13157561.25</v>
      </c>
      <c r="BP40" s="26">
        <f>股权价值增加表!BP38</f>
        <v>7352696.9100000001</v>
      </c>
      <c r="BQ40" s="26">
        <f>股权价值增加表!BQ38</f>
        <v>37770902.789999999</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7.1434666210596354E-2</v>
      </c>
      <c r="F41" s="59">
        <f t="shared" ref="F41:BQ41" si="34">1-F40/F39</f>
        <v>5.6259273308726265E-2</v>
      </c>
      <c r="G41" s="59">
        <f t="shared" si="34"/>
        <v>9.7560188790829061E-2</v>
      </c>
      <c r="H41" s="59">
        <f t="shared" si="34"/>
        <v>-7.0158973879270725E-3</v>
      </c>
      <c r="I41" s="59">
        <f t="shared" si="34"/>
        <v>8.8779366920612723E-3</v>
      </c>
      <c r="J41" s="59">
        <f t="shared" si="34"/>
        <v>-5.6212725127890995E-3</v>
      </c>
      <c r="K41" s="59">
        <f t="shared" si="34"/>
        <v>-1.0687443698876864E-2</v>
      </c>
      <c r="L41" s="59">
        <f t="shared" si="34"/>
        <v>-5.3713341767260836E-3</v>
      </c>
      <c r="M41" s="59">
        <f t="shared" si="34"/>
        <v>4.1727462204315113E-3</v>
      </c>
      <c r="N41" s="59">
        <f t="shared" si="34"/>
        <v>-2.7826133177615509E-2</v>
      </c>
      <c r="O41" s="59">
        <f t="shared" si="34"/>
        <v>-3.5051531863273588E-2</v>
      </c>
      <c r="P41" s="59">
        <f t="shared" si="34"/>
        <v>-3.127232771440136E-2</v>
      </c>
      <c r="Q41" s="59">
        <f t="shared" si="34"/>
        <v>3.0618816402628868E-3</v>
      </c>
      <c r="R41" s="59">
        <f t="shared" si="34"/>
        <v>-5.9953754451357089E-2</v>
      </c>
      <c r="S41" s="59">
        <f t="shared" si="34"/>
        <v>-7.5972455558752872E-2</v>
      </c>
      <c r="T41" s="59">
        <f t="shared" si="34"/>
        <v>-7.2743262595842184E-2</v>
      </c>
      <c r="U41" s="59">
        <f t="shared" si="34"/>
        <v>2.2889094633132823E-3</v>
      </c>
      <c r="V41" s="59">
        <f t="shared" si="34"/>
        <v>-6.438633303887431E-2</v>
      </c>
      <c r="W41" s="59">
        <f t="shared" si="34"/>
        <v>-7.8086017203160107E-2</v>
      </c>
      <c r="X41" s="59">
        <f t="shared" si="34"/>
        <v>-6.047574121147492E-2</v>
      </c>
      <c r="Y41" s="59">
        <f t="shared" si="34"/>
        <v>2.2777786538751288E-3</v>
      </c>
      <c r="Z41" s="59">
        <f t="shared" si="34"/>
        <v>-5.8272541711288373E-2</v>
      </c>
      <c r="AA41" s="59">
        <f t="shared" si="34"/>
        <v>-8.4893090696213314E-2</v>
      </c>
      <c r="AB41" s="59">
        <f t="shared" si="34"/>
        <v>-3.5436918668019235E-2</v>
      </c>
      <c r="AC41" s="59">
        <f t="shared" si="34"/>
        <v>2.7640642234015855E-3</v>
      </c>
      <c r="AD41" s="59">
        <f t="shared" si="34"/>
        <v>-5.6150832749934265E-2</v>
      </c>
      <c r="AE41" s="59">
        <f t="shared" si="34"/>
        <v>-4.0737958695274967E-2</v>
      </c>
      <c r="AF41" s="59">
        <f t="shared" si="34"/>
        <v>-4.8777812218951722E-2</v>
      </c>
      <c r="AG41" s="59">
        <f t="shared" si="34"/>
        <v>2.6994852262052227E-3</v>
      </c>
      <c r="AH41" s="59">
        <f t="shared" si="34"/>
        <v>-6.406594148081779E-2</v>
      </c>
      <c r="AI41" s="59">
        <f t="shared" si="34"/>
        <v>-3.0862992564891112E-2</v>
      </c>
      <c r="AJ41" s="59">
        <f t="shared" si="34"/>
        <v>-3.6704802376627654E-2</v>
      </c>
      <c r="AK41" s="59">
        <f t="shared" si="34"/>
        <v>2.7881689311277658E-3</v>
      </c>
      <c r="AL41" s="59">
        <f t="shared" si="34"/>
        <v>-6.0653520412576878E-3</v>
      </c>
      <c r="AM41" s="59">
        <f t="shared" si="34"/>
        <v>-2.8770614892368318E-3</v>
      </c>
      <c r="AN41" s="59">
        <f t="shared" si="34"/>
        <v>-7.8211136109729296E-5</v>
      </c>
      <c r="AO41" s="59">
        <f t="shared" si="34"/>
        <v>1.2327281872521079E-2</v>
      </c>
      <c r="AP41" s="59">
        <f t="shared" si="34"/>
        <v>8.2170806937661434E-3</v>
      </c>
      <c r="AQ41" s="59">
        <f t="shared" si="34"/>
        <v>2.1581567067682883E-2</v>
      </c>
      <c r="AR41" s="59">
        <f t="shared" si="34"/>
        <v>2.6345999448074475E-2</v>
      </c>
      <c r="AS41" s="59" t="e">
        <f t="shared" si="34"/>
        <v>#DIV/0!</v>
      </c>
      <c r="AT41" s="59">
        <f t="shared" si="34"/>
        <v>-73.693791916224583</v>
      </c>
      <c r="AU41" s="59">
        <f t="shared" si="34"/>
        <v>-761.43841528552787</v>
      </c>
      <c r="AV41" s="59">
        <f t="shared" si="34"/>
        <v>-5.0715712302299112</v>
      </c>
      <c r="AW41" s="59">
        <f t="shared" si="34"/>
        <v>-9.9961254035771105</v>
      </c>
      <c r="AX41" s="59">
        <f t="shared" si="34"/>
        <v>-10.563322521142613</v>
      </c>
      <c r="AY41" s="59">
        <f t="shared" si="34"/>
        <v>-13.314610464689412</v>
      </c>
      <c r="AZ41" s="59">
        <f t="shared" si="34"/>
        <v>-29.177087999999998</v>
      </c>
      <c r="BA41" s="59">
        <f t="shared" si="34"/>
        <v>6.4302495344527406</v>
      </c>
      <c r="BB41" s="59">
        <f t="shared" si="34"/>
        <v>14.954913103035617</v>
      </c>
      <c r="BC41" s="59">
        <f t="shared" si="34"/>
        <v>10.994273003585963</v>
      </c>
      <c r="BD41" s="59" t="e">
        <f t="shared" si="34"/>
        <v>#DIV/0!</v>
      </c>
      <c r="BE41" s="59">
        <f t="shared" si="34"/>
        <v>208.72438969261265</v>
      </c>
      <c r="BF41" s="59">
        <f t="shared" si="34"/>
        <v>-37.123657821263173</v>
      </c>
      <c r="BG41" s="59">
        <f t="shared" si="34"/>
        <v>-32.265097832398752</v>
      </c>
      <c r="BH41" s="59">
        <f t="shared" si="34"/>
        <v>-1.6912248525255302</v>
      </c>
      <c r="BI41" s="59">
        <f t="shared" si="34"/>
        <v>51.149746229058351</v>
      </c>
      <c r="BJ41" s="59">
        <f t="shared" si="34"/>
        <v>-68.171187698585072</v>
      </c>
      <c r="BK41" s="59">
        <f t="shared" si="34"/>
        <v>-231.32435186984958</v>
      </c>
      <c r="BL41" s="59">
        <f t="shared" si="34"/>
        <v>-9.2131529511994383</v>
      </c>
      <c r="BM41" s="59">
        <f t="shared" si="34"/>
        <v>-149.18376358893079</v>
      </c>
      <c r="BN41" s="59">
        <f t="shared" si="34"/>
        <v>-11.619124030745919</v>
      </c>
      <c r="BO41" s="59">
        <f t="shared" si="34"/>
        <v>-7.7036936464919741</v>
      </c>
      <c r="BP41" s="59">
        <f t="shared" si="34"/>
        <v>43.249783743212781</v>
      </c>
      <c r="BQ41" s="59">
        <f t="shared" si="34"/>
        <v>-2.0583806324776739</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50">
        <f>E39/(E39-E40)</f>
        <v>13.998805524644048</v>
      </c>
      <c r="F42" s="29">
        <f t="shared" ref="F42:BQ42" si="36">F39/(F39-F40)</f>
        <v>17.774847437371562</v>
      </c>
      <c r="G42" s="29">
        <f t="shared" si="36"/>
        <v>10.25008266583021</v>
      </c>
      <c r="H42" s="29">
        <f t="shared" si="36"/>
        <v>-142.53344151252924</v>
      </c>
      <c r="I42" s="29">
        <f t="shared" si="36"/>
        <v>112.63878474085178</v>
      </c>
      <c r="J42" s="29">
        <f t="shared" si="36"/>
        <v>-177.89566289926108</v>
      </c>
      <c r="K42" s="29">
        <f t="shared" si="36"/>
        <v>-93.567744371377202</v>
      </c>
      <c r="L42" s="29">
        <f t="shared" si="36"/>
        <v>-186.1734844823084</v>
      </c>
      <c r="M42" s="29">
        <f t="shared" si="36"/>
        <v>239.65032790721375</v>
      </c>
      <c r="N42" s="29">
        <f t="shared" si="36"/>
        <v>-35.937440305375908</v>
      </c>
      <c r="O42" s="29">
        <f t="shared" si="36"/>
        <v>-28.529423589836977</v>
      </c>
      <c r="P42" s="29">
        <f t="shared" si="36"/>
        <v>-31.977152744516914</v>
      </c>
      <c r="Q42" s="29">
        <f t="shared" si="36"/>
        <v>326.59655646066591</v>
      </c>
      <c r="R42" s="29">
        <f t="shared" si="36"/>
        <v>-16.679522561199072</v>
      </c>
      <c r="S42" s="29">
        <f t="shared" si="36"/>
        <v>-13.16266524025483</v>
      </c>
      <c r="T42" s="29">
        <f t="shared" si="36"/>
        <v>-13.746977579984959</v>
      </c>
      <c r="U42" s="29">
        <f t="shared" si="36"/>
        <v>436.88927676172193</v>
      </c>
      <c r="V42" s="29">
        <f t="shared" si="36"/>
        <v>-15.531246350001547</v>
      </c>
      <c r="W42" s="29">
        <f t="shared" si="36"/>
        <v>-12.80639012998002</v>
      </c>
      <c r="X42" s="29">
        <f t="shared" si="36"/>
        <v>-16.535555909982904</v>
      </c>
      <c r="Y42" s="29">
        <f t="shared" si="36"/>
        <v>439.02422138285681</v>
      </c>
      <c r="Z42" s="29">
        <f t="shared" si="36"/>
        <v>-17.160741073463115</v>
      </c>
      <c r="AA42" s="29">
        <f t="shared" si="36"/>
        <v>-11.779521652456525</v>
      </c>
      <c r="AB42" s="29">
        <f t="shared" si="36"/>
        <v>-28.219157804554502</v>
      </c>
      <c r="AC42" s="29">
        <f t="shared" si="36"/>
        <v>361.78609438002195</v>
      </c>
      <c r="AD42" s="29">
        <f t="shared" si="36"/>
        <v>-17.809174878197521</v>
      </c>
      <c r="AE42" s="29">
        <f t="shared" si="36"/>
        <v>-24.547130784831975</v>
      </c>
      <c r="AF42" s="29">
        <f t="shared" si="36"/>
        <v>-20.501124476662497</v>
      </c>
      <c r="AG42" s="29">
        <f t="shared" si="36"/>
        <v>370.4409975251935</v>
      </c>
      <c r="AH42" s="29">
        <f t="shared" si="36"/>
        <v>-15.608917575954367</v>
      </c>
      <c r="AI42" s="29">
        <f t="shared" si="36"/>
        <v>-32.401264974465604</v>
      </c>
      <c r="AJ42" s="29">
        <f t="shared" si="36"/>
        <v>-27.244391339830866</v>
      </c>
      <c r="AK42" s="29">
        <f t="shared" si="36"/>
        <v>358.65832548227542</v>
      </c>
      <c r="AL42" s="29">
        <f t="shared" si="36"/>
        <v>-164.87089177970256</v>
      </c>
      <c r="AM42" s="29">
        <f t="shared" si="36"/>
        <v>-347.57686053670494</v>
      </c>
      <c r="AN42" s="29">
        <f t="shared" si="36"/>
        <v>-12785.903002329331</v>
      </c>
      <c r="AO42" s="29">
        <f t="shared" si="36"/>
        <v>81.120883771556663</v>
      </c>
      <c r="AP42" s="29">
        <f t="shared" si="36"/>
        <v>121.69772176615545</v>
      </c>
      <c r="AQ42" s="29">
        <f t="shared" si="36"/>
        <v>46.335838211555924</v>
      </c>
      <c r="AR42" s="29">
        <f t="shared" si="36"/>
        <v>37.956426818079457</v>
      </c>
      <c r="AS42" s="29" t="e">
        <f t="shared" si="36"/>
        <v>#DIV/0!</v>
      </c>
      <c r="AT42" s="29">
        <f t="shared" si="36"/>
        <v>-1.3569664065282519E-2</v>
      </c>
      <c r="AU42" s="29">
        <f t="shared" si="36"/>
        <v>-1.3133038469368729E-3</v>
      </c>
      <c r="AV42" s="29">
        <f t="shared" si="36"/>
        <v>-0.19717755200584389</v>
      </c>
      <c r="AW42" s="29">
        <f t="shared" si="36"/>
        <v>-0.10003876098254531</v>
      </c>
      <c r="AX42" s="29">
        <f t="shared" si="36"/>
        <v>-9.4667184306688384E-2</v>
      </c>
      <c r="AY42" s="29">
        <f t="shared" si="36"/>
        <v>-7.510546423059225E-2</v>
      </c>
      <c r="AZ42" s="29">
        <f t="shared" si="36"/>
        <v>-3.4273468277574513E-2</v>
      </c>
      <c r="BA42" s="29">
        <f t="shared" si="36"/>
        <v>0.15551496013367497</v>
      </c>
      <c r="BB42" s="29">
        <f t="shared" si="36"/>
        <v>6.6867657010793016E-2</v>
      </c>
      <c r="BC42" s="29">
        <f t="shared" si="36"/>
        <v>9.0956446112792869E-2</v>
      </c>
      <c r="BD42" s="29">
        <f t="shared" si="36"/>
        <v>0</v>
      </c>
      <c r="BE42" s="29">
        <f t="shared" si="36"/>
        <v>4.7910069420861404E-3</v>
      </c>
      <c r="BF42" s="29">
        <f t="shared" si="36"/>
        <v>-2.6937000788409216E-2</v>
      </c>
      <c r="BG42" s="29">
        <f t="shared" si="36"/>
        <v>-3.0993242456430977E-2</v>
      </c>
      <c r="BH42" s="29">
        <f t="shared" si="36"/>
        <v>-0.5912874320092244</v>
      </c>
      <c r="BI42" s="29">
        <f t="shared" si="36"/>
        <v>1.9550439126751647E-2</v>
      </c>
      <c r="BJ42" s="29">
        <f t="shared" si="36"/>
        <v>-1.4668953758315634E-2</v>
      </c>
      <c r="BK42" s="29">
        <f t="shared" si="36"/>
        <v>-4.322934407539729E-3</v>
      </c>
      <c r="BL42" s="29">
        <f t="shared" si="36"/>
        <v>-0.10854047526366231</v>
      </c>
      <c r="BM42" s="29">
        <f t="shared" si="36"/>
        <v>-6.7031423255646998E-3</v>
      </c>
      <c r="BN42" s="29">
        <f t="shared" si="36"/>
        <v>-8.6065007771141122E-2</v>
      </c>
      <c r="BO42" s="29">
        <f t="shared" si="36"/>
        <v>-0.12980786177230313</v>
      </c>
      <c r="BP42" s="29">
        <f t="shared" si="36"/>
        <v>2.3121502894379923E-2</v>
      </c>
      <c r="BQ42" s="29">
        <f t="shared" si="36"/>
        <v>-0.4858187957182144</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5" t="s">
        <v>698</v>
      </c>
      <c r="B43" s="286"/>
      <c r="C43" s="286"/>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39447</v>
      </c>
      <c r="AR46" s="1">
        <v>39082</v>
      </c>
      <c r="AS46" s="1">
        <v>25569</v>
      </c>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409116925.75999999</v>
      </c>
      <c r="F47" s="26">
        <f>股权价值增加表!F42</f>
        <v>310919933.17000008</v>
      </c>
      <c r="G47" s="26">
        <f>股权价值增加表!G42</f>
        <v>165566023.43999976</v>
      </c>
      <c r="H47" s="26">
        <f>股权价值增加表!H42</f>
        <v>125379847.31999998</v>
      </c>
      <c r="I47" s="26">
        <f>股权价值增加表!I42</f>
        <v>347033272.61999971</v>
      </c>
      <c r="J47" s="26">
        <f>股权价值增加表!J42</f>
        <v>271441166.31000006</v>
      </c>
      <c r="K47" s="26">
        <f>股权价值增加表!K42</f>
        <v>159643588.96000019</v>
      </c>
      <c r="L47" s="26">
        <f>股权价值增加表!L42</f>
        <v>113830763.40000001</v>
      </c>
      <c r="M47" s="26">
        <f>股权价值增加表!M42</f>
        <v>424447290.04999995</v>
      </c>
      <c r="N47" s="26">
        <f>股权价值增加表!N42</f>
        <v>332138634.56999999</v>
      </c>
      <c r="O47" s="26">
        <f>股权价值增加表!O42</f>
        <v>187205834.47999993</v>
      </c>
      <c r="P47" s="26">
        <f>股权价值增加表!P42</f>
        <v>118405557.65999994</v>
      </c>
      <c r="Q47" s="26">
        <f>股权价值增加表!Q42</f>
        <v>396850889.44000012</v>
      </c>
      <c r="R47" s="26">
        <f>股权价值增加表!R42</f>
        <v>276893539.67000008</v>
      </c>
      <c r="S47" s="26">
        <f>股权价值增加表!S42</f>
        <v>157607109.34999999</v>
      </c>
      <c r="T47" s="26">
        <f>股权价值增加表!T42</f>
        <v>98967715.520000026</v>
      </c>
      <c r="U47" s="26">
        <f>股权价值增加表!U42</f>
        <v>330567230.81</v>
      </c>
      <c r="V47" s="26">
        <f>股权价值增加表!V42</f>
        <v>236719062.20000002</v>
      </c>
      <c r="W47" s="26">
        <f>股权价值增加表!W42</f>
        <v>136742523.95999995</v>
      </c>
      <c r="X47" s="26">
        <f>股权价值增加表!X42</f>
        <v>85675411.339999914</v>
      </c>
      <c r="Y47" s="26">
        <f>股权价值增加表!Y42</f>
        <v>381078698.31000006</v>
      </c>
      <c r="Z47" s="26">
        <f>股权价值增加表!Z42</f>
        <v>253289668.10000014</v>
      </c>
      <c r="AA47" s="26">
        <f>股权价值增加表!AA42</f>
        <v>133778390.80000001</v>
      </c>
      <c r="AB47" s="26">
        <f>股权价值增加表!AB42</f>
        <v>106341388.36999996</v>
      </c>
      <c r="AC47" s="26">
        <f>股权价值增加表!AC42</f>
        <v>372076760.74000007</v>
      </c>
      <c r="AD47" s="26">
        <f>股权价值增加表!AD42</f>
        <v>279561185.24999988</v>
      </c>
      <c r="AE47" s="26">
        <f>股权价值增加表!AE42</f>
        <v>162127978.39000005</v>
      </c>
      <c r="AF47" s="26">
        <f>股权价值增加表!AF42</f>
        <v>88671221.550000027</v>
      </c>
      <c r="AG47" s="26">
        <f>股权价值增加表!AG42</f>
        <v>210741023.48000026</v>
      </c>
      <c r="AH47" s="26">
        <f>股权价值增加表!AH42</f>
        <v>144248245.18000013</v>
      </c>
      <c r="AI47" s="26">
        <f>股权价值增加表!AI42</f>
        <v>77337776.939999968</v>
      </c>
      <c r="AJ47" s="26">
        <f>股权价值增加表!AJ42</f>
        <v>50165119.959999979</v>
      </c>
      <c r="AK47" s="26">
        <f>股权价值增加表!AK42</f>
        <v>145440527.06999987</v>
      </c>
      <c r="AL47" s="26">
        <f>股权价值增加表!AL42</f>
        <v>101662169.32999998</v>
      </c>
      <c r="AM47" s="26">
        <f>股权价值增加表!AM42</f>
        <v>51051582.179999992</v>
      </c>
      <c r="AN47" s="26">
        <f>股权价值增加表!AN42</f>
        <v>33777696.210000038</v>
      </c>
      <c r="AO47" s="26">
        <f>股权价值增加表!AO42</f>
        <v>110229793.30999994</v>
      </c>
      <c r="AP47" s="26">
        <f>股权价值增加表!AP42</f>
        <v>84100158.340000093</v>
      </c>
      <c r="AQ47" s="26">
        <f>股权价值增加表!AQ42</f>
        <v>85138294.759999961</v>
      </c>
      <c r="AR47" s="26">
        <f>股权价值增加表!AR42</f>
        <v>49517218.419999912</v>
      </c>
      <c r="AS47" s="26">
        <f>股权价值增加表!AS42</f>
        <v>0</v>
      </c>
      <c r="AT47" s="26">
        <f>股权价值增加表!AT42</f>
        <v>-606675948.97000003</v>
      </c>
      <c r="AU47" s="26">
        <f>股权价值增加表!AU42</f>
        <v>-525244177.46999997</v>
      </c>
      <c r="AV47" s="26">
        <f>股权价值增加表!AV42</f>
        <v>-370504198.70999998</v>
      </c>
      <c r="AW47" s="26">
        <f>股权价值增加表!AW42</f>
        <v>-550836582.15999997</v>
      </c>
      <c r="AX47" s="26">
        <f>股权价值增加表!AX42</f>
        <v>-497364124.85000002</v>
      </c>
      <c r="AY47" s="26">
        <f>股权价值增加表!AY42</f>
        <v>-393993423.18000001</v>
      </c>
      <c r="AZ47" s="26">
        <f>股权价值增加表!AZ42</f>
        <v>-277925918.08999997</v>
      </c>
      <c r="BA47" s="26">
        <f>股权价值增加表!BA42</f>
        <v>-375599127.04999995</v>
      </c>
      <c r="BB47" s="26">
        <f>股权价值增加表!BB42</f>
        <v>-376909155.56</v>
      </c>
      <c r="BC47" s="26">
        <f>股权价值增加表!BC42</f>
        <v>-331126120.21999997</v>
      </c>
      <c r="BD47" s="26">
        <f>股权价值增加表!BD42</f>
        <v>-232460368.78999999</v>
      </c>
      <c r="BE47" s="26">
        <f>股权价值增加表!BE42</f>
        <v>-415071515.56999999</v>
      </c>
      <c r="BF47" s="26">
        <f>股权价值增加表!BF42</f>
        <v>-341885591.56999999</v>
      </c>
      <c r="BG47" s="26">
        <f>股权价值增加表!BG42</f>
        <v>-266868592.27000001</v>
      </c>
      <c r="BH47" s="26">
        <f>股权价值增加表!BH42</f>
        <v>-190592880.15000001</v>
      </c>
      <c r="BI47" s="26">
        <f>股权价值增加表!BI42</f>
        <v>-355643656.85000002</v>
      </c>
      <c r="BJ47" s="26">
        <f>股权价值增加表!BJ42</f>
        <v>-291496615.11000001</v>
      </c>
      <c r="BK47" s="26">
        <f>股权价值增加表!BK42</f>
        <v>-237870081.79999998</v>
      </c>
      <c r="BL47" s="26">
        <f>股权价值增加表!BL42</f>
        <v>-204685096.5</v>
      </c>
      <c r="BM47" s="26">
        <f>股权价值增加表!BM42</f>
        <v>-223212941.22</v>
      </c>
      <c r="BN47" s="26">
        <f>股权价值增加表!BN42</f>
        <v>-167173236.28999999</v>
      </c>
      <c r="BO47" s="26">
        <f>股权价值增加表!BO42</f>
        <v>-113551397.55</v>
      </c>
      <c r="BP47" s="26">
        <f>股权价值增加表!BP42</f>
        <v>-114049159.08</v>
      </c>
      <c r="BQ47" s="26">
        <f>股权价值增加表!BQ42</f>
        <v>-79004755.060000002</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8.7758475670423053E-2</v>
      </c>
      <c r="F48" s="63">
        <f>股权价值增加表!F43</f>
        <v>9.769153957510987E-2</v>
      </c>
      <c r="G48" s="63">
        <f>股权价值增加表!G43</f>
        <v>8.3558607282617367E-2</v>
      </c>
      <c r="H48" s="63">
        <f>股权价值增加表!H43</f>
        <v>0.11853254681962487</v>
      </c>
      <c r="I48" s="63">
        <f>股权价值增加表!I43</f>
        <v>0.11009182871443379</v>
      </c>
      <c r="J48" s="63">
        <f>股权价值增加表!J43</f>
        <v>0.12594333210501402</v>
      </c>
      <c r="K48" s="63">
        <f>股权价值增加表!K43</f>
        <v>0.11886350436648557</v>
      </c>
      <c r="L48" s="63">
        <f>股权价值增加表!L43</f>
        <v>0.14921848135114291</v>
      </c>
      <c r="M48" s="63">
        <f>股权价值增加表!M43</f>
        <v>0.14557633289197322</v>
      </c>
      <c r="N48" s="63">
        <f>股权价值增加表!N43</f>
        <v>0.16232809413569965</v>
      </c>
      <c r="O48" s="63">
        <f>股权价值增加表!O43</f>
        <v>0.149767531995882</v>
      </c>
      <c r="P48" s="63">
        <f>股权价值增加表!P43</f>
        <v>0.16785711345254103</v>
      </c>
      <c r="Q48" s="63">
        <f>股权价值增加表!Q43</f>
        <v>0.14371362606605287</v>
      </c>
      <c r="R48" s="63">
        <f>股权价值增加表!R43</f>
        <v>0.14728427457586968</v>
      </c>
      <c r="S48" s="63">
        <f>股权价值增加表!S43</f>
        <v>0.14169735212355053</v>
      </c>
      <c r="T48" s="63">
        <f>股权价值增加表!T43</f>
        <v>0.15056507527583585</v>
      </c>
      <c r="U48" s="63">
        <f>股权价值增加表!U43</f>
        <v>0.13095871866346628</v>
      </c>
      <c r="V48" s="63">
        <f>股权价值增加表!V43</f>
        <v>0.1374158881388837</v>
      </c>
      <c r="W48" s="63">
        <f>股权价值增加表!W43</f>
        <v>0.12683972433177276</v>
      </c>
      <c r="X48" s="63">
        <f>股权价值增加表!X43</f>
        <v>0.13923010869942817</v>
      </c>
      <c r="Y48" s="63">
        <f>股权价值增加表!Y43</f>
        <v>0.13984776173082955</v>
      </c>
      <c r="Z48" s="63">
        <f>股权价值增加表!Z43</f>
        <v>0.13708214612805555</v>
      </c>
      <c r="AA48" s="63">
        <f>股权价值增加表!AA43</f>
        <v>0.12906866082559859</v>
      </c>
      <c r="AB48" s="63">
        <f>股权价值增加表!AB43</f>
        <v>0.17310414049770076</v>
      </c>
      <c r="AC48" s="63">
        <f>股权价值增加表!AC43</f>
        <v>0.15617500321063818</v>
      </c>
      <c r="AD48" s="63">
        <f>股权价值增加表!AD43</f>
        <v>0.1711008843748279</v>
      </c>
      <c r="AE48" s="63">
        <f>股权价值增加表!AE43</f>
        <v>0.16160338987240458</v>
      </c>
      <c r="AF48" s="63">
        <f>股权价值增加表!AF43</f>
        <v>0.1520556355122335</v>
      </c>
      <c r="AG48" s="63">
        <f>股权价值增加表!AG43</f>
        <v>0.11586723635626968</v>
      </c>
      <c r="AH48" s="63">
        <f>股权价值增加表!AH43</f>
        <v>0.12590740816563198</v>
      </c>
      <c r="AI48" s="63">
        <f>股权价值增加表!AI43</f>
        <v>0.11685456158888612</v>
      </c>
      <c r="AJ48" s="63">
        <f>股权价值增加表!AJ43</f>
        <v>0.13960511247048041</v>
      </c>
      <c r="AK48" s="63">
        <f>股权价值增加表!AK43</f>
        <v>0.12698827369007801</v>
      </c>
      <c r="AL48" s="63">
        <f>股权价值增加表!AL43</f>
        <v>0.14043393283600661</v>
      </c>
      <c r="AM48" s="63">
        <f>股权价值增加表!AM43</f>
        <v>0.12525827413645735</v>
      </c>
      <c r="AN48" s="63">
        <f>股权价值增加表!AN43</f>
        <v>0.13236188146320896</v>
      </c>
      <c r="AO48" s="63">
        <f>股权价值增加表!AO43</f>
        <v>0.12211328624086885</v>
      </c>
      <c r="AP48" s="63">
        <f>股权价值增加表!AP43</f>
        <v>0.13288579545916374</v>
      </c>
      <c r="AQ48" s="63">
        <f>股权价值增加表!AQ43</f>
        <v>0.11271181738776465</v>
      </c>
      <c r="AR48" s="63">
        <f>股权价值增加表!AR43</f>
        <v>8.9625937463242419E-2</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0.17889827298485492</v>
      </c>
      <c r="F49" s="59">
        <f t="shared" ref="F49:BQ49" si="38">(F47-J47)/J47</f>
        <v>0.14544133963421446</v>
      </c>
      <c r="G49" s="59">
        <f t="shared" si="38"/>
        <v>3.7097853528483875E-2</v>
      </c>
      <c r="H49" s="59">
        <f t="shared" si="38"/>
        <v>0.10145837184115705</v>
      </c>
      <c r="I49" s="59">
        <f t="shared" si="38"/>
        <v>-0.18238782351721661</v>
      </c>
      <c r="J49" s="59">
        <f t="shared" si="38"/>
        <v>-0.18274738901898996</v>
      </c>
      <c r="K49" s="59">
        <f t="shared" si="38"/>
        <v>-0.14722962880168325</v>
      </c>
      <c r="L49" s="59">
        <f t="shared" si="38"/>
        <v>-3.8636651441112203E-2</v>
      </c>
      <c r="M49" s="59">
        <f t="shared" si="38"/>
        <v>6.9538462289807049E-2</v>
      </c>
      <c r="N49" s="59">
        <f t="shared" si="38"/>
        <v>0.19951745701918747</v>
      </c>
      <c r="O49" s="59">
        <f t="shared" si="38"/>
        <v>0.18780069790043349</v>
      </c>
      <c r="P49" s="59">
        <f t="shared" si="38"/>
        <v>0.19640588890901284</v>
      </c>
      <c r="Q49" s="59">
        <f t="shared" si="38"/>
        <v>0.20051491028794063</v>
      </c>
      <c r="R49" s="59">
        <f t="shared" si="38"/>
        <v>0.16971374040024417</v>
      </c>
      <c r="S49" s="59">
        <f t="shared" si="38"/>
        <v>0.15258300626441101</v>
      </c>
      <c r="T49" s="59">
        <f t="shared" si="38"/>
        <v>0.15514724670827737</v>
      </c>
      <c r="U49" s="59">
        <f t="shared" si="38"/>
        <v>-0.13254865129960627</v>
      </c>
      <c r="V49" s="59">
        <f t="shared" si="38"/>
        <v>-6.5421562688684001E-2</v>
      </c>
      <c r="W49" s="59">
        <f t="shared" si="38"/>
        <v>2.2157040029217756E-2</v>
      </c>
      <c r="X49" s="59">
        <f t="shared" si="38"/>
        <v>-0.19433615967186429</v>
      </c>
      <c r="Y49" s="59">
        <f t="shared" si="38"/>
        <v>2.4193764620226765E-2</v>
      </c>
      <c r="Z49" s="59">
        <f t="shared" si="38"/>
        <v>-9.3974122789993966E-2</v>
      </c>
      <c r="AA49" s="59">
        <f t="shared" si="38"/>
        <v>-0.17485931713652095</v>
      </c>
      <c r="AB49" s="59">
        <f t="shared" si="38"/>
        <v>0.19927735866406285</v>
      </c>
      <c r="AC49" s="59">
        <f t="shared" si="38"/>
        <v>0.76556398273025794</v>
      </c>
      <c r="AD49" s="59">
        <f t="shared" si="38"/>
        <v>0.93805605677316595</v>
      </c>
      <c r="AE49" s="59">
        <f t="shared" si="38"/>
        <v>1.0963620213156868</v>
      </c>
      <c r="AF49" s="59">
        <f t="shared" si="38"/>
        <v>0.76758715260132038</v>
      </c>
      <c r="AG49" s="59">
        <f t="shared" si="38"/>
        <v>0.44898418429528619</v>
      </c>
      <c r="AH49" s="59">
        <f t="shared" si="38"/>
        <v>0.41889796500174831</v>
      </c>
      <c r="AI49" s="59">
        <f t="shared" si="38"/>
        <v>0.51489481104266099</v>
      </c>
      <c r="AJ49" s="59">
        <f t="shared" si="38"/>
        <v>0.4851551641686081</v>
      </c>
      <c r="AK49" s="59">
        <f t="shared" si="38"/>
        <v>0.31943028016914232</v>
      </c>
      <c r="AL49" s="59">
        <f t="shared" si="38"/>
        <v>0.20882256747960209</v>
      </c>
      <c r="AM49" s="59">
        <f t="shared" si="38"/>
        <v>-0.40036874917554416</v>
      </c>
      <c r="AN49" s="59">
        <f t="shared" si="38"/>
        <v>-0.31785957919725777</v>
      </c>
      <c r="AO49" s="59" t="e">
        <f t="shared" si="38"/>
        <v>#DIV/0!</v>
      </c>
      <c r="AP49" s="59">
        <f t="shared" si="38"/>
        <v>-1.1386245136020035</v>
      </c>
      <c r="AQ49" s="59">
        <f t="shared" si="38"/>
        <v>-1.1620927911473378</v>
      </c>
      <c r="AR49" s="59">
        <f t="shared" si="38"/>
        <v>-1.1336481977597179</v>
      </c>
      <c r="AS49" s="59">
        <f t="shared" si="38"/>
        <v>-1</v>
      </c>
      <c r="AT49" s="59">
        <f t="shared" si="38"/>
        <v>0.21978228556988774</v>
      </c>
      <c r="AU49" s="59">
        <f t="shared" si="38"/>
        <v>0.33312930259253765</v>
      </c>
      <c r="AV49" s="59">
        <f t="shared" si="38"/>
        <v>0.33310416407447341</v>
      </c>
      <c r="AW49" s="59">
        <f t="shared" si="38"/>
        <v>0.46655447920322857</v>
      </c>
      <c r="AX49" s="59">
        <f t="shared" si="38"/>
        <v>0.31958621199061016</v>
      </c>
      <c r="AY49" s="59">
        <f t="shared" si="38"/>
        <v>0.18985908728139914</v>
      </c>
      <c r="AZ49" s="59">
        <f t="shared" si="38"/>
        <v>0.19558408831860988</v>
      </c>
      <c r="BA49" s="59">
        <f t="shared" si="38"/>
        <v>-9.5097801316947256E-2</v>
      </c>
      <c r="BB49" s="59">
        <f t="shared" si="38"/>
        <v>0.10244235163337981</v>
      </c>
      <c r="BC49" s="59">
        <f t="shared" si="38"/>
        <v>0.24078340355986305</v>
      </c>
      <c r="BD49" s="59">
        <f t="shared" si="38"/>
        <v>0.21966974111021106</v>
      </c>
      <c r="BE49" s="59">
        <f t="shared" si="38"/>
        <v>0.16709944793157067</v>
      </c>
      <c r="BF49" s="59">
        <f t="shared" si="38"/>
        <v>0.17286298999041566</v>
      </c>
      <c r="BG49" s="59">
        <f t="shared" si="38"/>
        <v>0.12190902803145222</v>
      </c>
      <c r="BH49" s="59">
        <f t="shared" si="38"/>
        <v>-6.8848277627286819E-2</v>
      </c>
      <c r="BI49" s="59">
        <f t="shared" si="38"/>
        <v>0.59329317962561823</v>
      </c>
      <c r="BJ49" s="59">
        <f t="shared" si="38"/>
        <v>0.74367991898136643</v>
      </c>
      <c r="BK49" s="59">
        <f t="shared" si="38"/>
        <v>1.0948230222816839</v>
      </c>
      <c r="BL49" s="59">
        <f t="shared" si="38"/>
        <v>0.79470938804926439</v>
      </c>
      <c r="BM49" s="59">
        <f t="shared" si="38"/>
        <v>1.8253102113977997</v>
      </c>
      <c r="BN49" s="59">
        <f t="shared" si="38"/>
        <v>0.13054193744505302</v>
      </c>
      <c r="BO49" s="59">
        <f t="shared" si="38"/>
        <v>-0.25773333387358083</v>
      </c>
      <c r="BP49" s="59">
        <f t="shared" si="38"/>
        <v>-0.10907560658767425</v>
      </c>
      <c r="BQ49" s="59">
        <f t="shared" si="38"/>
        <v>-0.64437444127486465</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156898905.18959999</v>
      </c>
      <c r="F50" s="26">
        <f>股权价值增加表!F47</f>
        <v>67435940.143600076</v>
      </c>
      <c r="G50" s="26">
        <f>股权价值增加表!G47</f>
        <v>-66829377.048000246</v>
      </c>
      <c r="H50" s="26">
        <f>股权价值增加表!H47</f>
        <v>-115103573.74880002</v>
      </c>
      <c r="I50" s="26">
        <f>股权价值增加表!I47</f>
        <v>116612618.8871997</v>
      </c>
      <c r="J50" s="26">
        <f>股权价值增加表!J47</f>
        <v>46637974.101200044</v>
      </c>
      <c r="K50" s="26">
        <f>股权价值增加表!K47</f>
        <v>-54455797.05919981</v>
      </c>
      <c r="L50" s="26">
        <f>股权价值增加表!L47</f>
        <v>-107832644.57599998</v>
      </c>
      <c r="M50" s="26">
        <f>股权价值增加表!M47</f>
        <v>212010520.97879997</v>
      </c>
      <c r="N50" s="26">
        <f>股权价值增加表!N47</f>
        <v>128426523.47959998</v>
      </c>
      <c r="O50" s="26">
        <f>股权价值增加表!O47</f>
        <v>-4710796.6016000807</v>
      </c>
      <c r="P50" s="26">
        <f>股权价值增加表!P47</f>
        <v>-90053147.276000053</v>
      </c>
      <c r="Q50" s="26">
        <f>股权价值增加表!Q47</f>
        <v>197864629.11680013</v>
      </c>
      <c r="R50" s="26">
        <f>股权价值增加表!R47</f>
        <v>92568040.539600074</v>
      </c>
      <c r="S50" s="26">
        <f>股权价值增加表!S47</f>
        <v>-17175475.354800016</v>
      </c>
      <c r="T50" s="26">
        <f>股权价值增加表!T47</f>
        <v>-78984051.278399989</v>
      </c>
      <c r="U50" s="26">
        <f>股权价值增加表!U47</f>
        <v>160532881.25319999</v>
      </c>
      <c r="V50" s="26">
        <f>股权价值增加表!V47</f>
        <v>74264222.605599999</v>
      </c>
      <c r="W50" s="26">
        <f>股权价值增加表!W47</f>
        <v>-17714192.575200051</v>
      </c>
      <c r="X50" s="26">
        <f>股权价值增加表!X47</f>
        <v>-72556269.785600096</v>
      </c>
      <c r="Y50" s="26">
        <f>股权价值增加表!Y47</f>
        <v>229701050.09160006</v>
      </c>
      <c r="Z50" s="26">
        <f>股权价值增加表!Z47</f>
        <v>112216056.39040014</v>
      </c>
      <c r="AA50" s="26">
        <f>股权价值增加表!AA47</f>
        <v>2265681.2744000107</v>
      </c>
      <c r="AB50" s="26">
        <f>股权价值增加表!AB47</f>
        <v>-34205408.961200044</v>
      </c>
      <c r="AC50" s="26">
        <f>股权价值增加表!AC47</f>
        <v>240037274.47840005</v>
      </c>
      <c r="AD50" s="26">
        <f>股权价值增加表!AD47</f>
        <v>155021091.79719988</v>
      </c>
      <c r="AE50" s="26">
        <f>股权价值增加表!AE47</f>
        <v>46982541.486000046</v>
      </c>
      <c r="AF50" s="26">
        <f>股权价值增加表!AF47</f>
        <v>-34038917.839599967</v>
      </c>
      <c r="AG50" s="26">
        <f>股权价值增加表!AG47</f>
        <v>92620576.687200248</v>
      </c>
      <c r="AH50" s="26">
        <f>股权价值增加表!AH47</f>
        <v>33988838.515200123</v>
      </c>
      <c r="AI50" s="26">
        <f>股权价值增加表!AI47</f>
        <v>-27568792.265600026</v>
      </c>
      <c r="AJ50" s="26">
        <f>股权价值增加表!AJ47</f>
        <v>-60426874.409600019</v>
      </c>
      <c r="AK50" s="26">
        <f>股权价值增加表!AK47</f>
        <v>38860646.419599861</v>
      </c>
      <c r="AL50" s="26">
        <f>股权价值增加表!AL47</f>
        <v>-1437995.956400007</v>
      </c>
      <c r="AM50" s="26">
        <f>股权价值增加表!AM47</f>
        <v>24570903.86559999</v>
      </c>
      <c r="AN50" s="26">
        <f>股权价值增加表!AN47</f>
        <v>9670668.0916000344</v>
      </c>
      <c r="AO50" s="26">
        <f>股权价值增加表!AO47</f>
        <v>91566826.173199937</v>
      </c>
      <c r="AP50" s="26">
        <f>股权价值增加表!AP47</f>
        <v>73883528.459200084</v>
      </c>
      <c r="AQ50" s="26">
        <f>股权价值增加表!AQ47</f>
        <v>85138294.759999961</v>
      </c>
      <c r="AR50" s="26">
        <f>股权价值增加表!AR47</f>
        <v>49517218.419999912</v>
      </c>
      <c r="AS50" s="26">
        <f>股权价值增加表!AS47</f>
        <v>0</v>
      </c>
      <c r="AT50" s="26">
        <f>股权价值增加表!AT47</f>
        <v>-1365523001.1691999</v>
      </c>
      <c r="AU50" s="26">
        <f>股权价值增加表!AU47</f>
        <v>-1269565389.4956</v>
      </c>
      <c r="AV50" s="26">
        <f>股权价值增加表!AV47</f>
        <v>-1094636149.8116</v>
      </c>
      <c r="AW50" s="26">
        <f>股权价值增加表!AW47</f>
        <v>-1214450063.3312001</v>
      </c>
      <c r="AX50" s="26">
        <f>股权价值增加表!AX47</f>
        <v>-1148538939.4868002</v>
      </c>
      <c r="AY50" s="26">
        <f>股权价值增加表!AY47</f>
        <v>-1029093452.312</v>
      </c>
      <c r="AZ50" s="26">
        <f>股权价值增加表!AZ47</f>
        <v>-912708678.76999998</v>
      </c>
      <c r="BA50" s="26">
        <f>股权价值增加表!BA47</f>
        <v>-966476645.33319998</v>
      </c>
      <c r="BB50" s="26">
        <f>股权价值增加表!BB47</f>
        <v>-965766447.68720007</v>
      </c>
      <c r="BC50" s="26">
        <f>股权价值增加表!BC47</f>
        <v>-905480197.47199988</v>
      </c>
      <c r="BD50" s="26">
        <f>股权价值增加表!BD47</f>
        <v>-792737615.93959999</v>
      </c>
      <c r="BE50" s="26">
        <f>股权价值增加表!BE47</f>
        <v>-942028467.71160007</v>
      </c>
      <c r="BF50" s="26">
        <f>股权价值增加表!BF47</f>
        <v>-856598894.06439996</v>
      </c>
      <c r="BG50" s="26">
        <f>股权价值增加表!BG47</f>
        <v>-770285781.60280001</v>
      </c>
      <c r="BH50" s="26">
        <f>股权价值增加表!BH47</f>
        <v>-703335824.93879998</v>
      </c>
      <c r="BI50" s="26">
        <f>股权价值增加表!BI47</f>
        <v>-837715071.78279996</v>
      </c>
      <c r="BJ50" s="26">
        <f>股权价值增加表!BJ47</f>
        <v>-761129027.17720008</v>
      </c>
      <c r="BK50" s="26">
        <f>股权价值增加表!BK47</f>
        <v>-694810452.53199995</v>
      </c>
      <c r="BL50" s="26">
        <f>股权价值增加表!BL47</f>
        <v>-653614035.78559995</v>
      </c>
      <c r="BM50" s="26">
        <f>股权价值增加表!BM47</f>
        <v>-648980937.67680001</v>
      </c>
      <c r="BN50" s="26">
        <f>股权价值增加表!BN47</f>
        <v>-584316686.89160001</v>
      </c>
      <c r="BO50" s="26">
        <f>股权价值增加表!BO47</f>
        <v>-519580365.63720006</v>
      </c>
      <c r="BP50" s="26">
        <f>股权价值增加表!BP47</f>
        <v>-510447612.64480001</v>
      </c>
      <c r="BQ50" s="26">
        <f>股权价值增加表!BQ47</f>
        <v>-455184205.68400002</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5" t="s">
        <v>683</v>
      </c>
      <c r="B51" s="286"/>
      <c r="C51" s="286"/>
      <c r="D51" s="286"/>
      <c r="E51" s="286"/>
      <c r="F51" s="286"/>
      <c r="G51" s="286"/>
      <c r="H51" s="286"/>
      <c r="I51" s="286"/>
      <c r="J51" s="286"/>
      <c r="K51" s="286"/>
      <c r="L51" s="286"/>
      <c r="M51" s="286"/>
      <c r="N51" s="286"/>
      <c r="O51" s="286"/>
      <c r="P51" s="286"/>
      <c r="Q51" s="286"/>
      <c r="R51" s="286"/>
      <c r="S51" s="286"/>
      <c r="T51" s="286"/>
      <c r="U51" s="286"/>
      <c r="V51" s="286"/>
      <c r="W51" s="286"/>
      <c r="X51" s="286"/>
      <c r="Y51" s="286"/>
      <c r="Z51" s="286"/>
      <c r="AA51" s="286"/>
      <c r="AB51" s="286"/>
      <c r="AC51" s="286"/>
      <c r="AD51" s="286"/>
      <c r="AE51" s="286"/>
      <c r="AF51" s="286"/>
      <c r="AG51" s="286"/>
    </row>
    <row r="53" spans="1:88" x14ac:dyDescent="0.25">
      <c r="A53" s="20" t="s">
        <v>670</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671</v>
      </c>
      <c r="E54" s="193">
        <f>E39</f>
        <v>538387354.63</v>
      </c>
      <c r="F54" s="193">
        <f t="shared" ref="F54:AC54" si="41">F39</f>
        <v>425359328.74000007</v>
      </c>
      <c r="G54" s="193">
        <f t="shared" si="41"/>
        <v>232589541.70999974</v>
      </c>
      <c r="H54" s="193">
        <f t="shared" si="41"/>
        <v>146338760.84999999</v>
      </c>
      <c r="I54" s="193">
        <f t="shared" si="41"/>
        <v>431574444.92999971</v>
      </c>
      <c r="J54" s="193">
        <f t="shared" si="41"/>
        <v>332948179.57000005</v>
      </c>
      <c r="K54" s="193">
        <f t="shared" si="41"/>
        <v>201569235.89000016</v>
      </c>
      <c r="L54" s="193">
        <f t="shared" si="41"/>
        <v>136228262.09</v>
      </c>
      <c r="M54" s="193">
        <f t="shared" si="41"/>
        <v>515209098.85999995</v>
      </c>
      <c r="N54" s="193">
        <f t="shared" si="41"/>
        <v>370693162.94</v>
      </c>
      <c r="O54" s="193">
        <f t="shared" si="41"/>
        <v>209909798.76999992</v>
      </c>
      <c r="P54" s="193">
        <f t="shared" si="41"/>
        <v>135352090.14999995</v>
      </c>
      <c r="Q54" s="193">
        <f t="shared" si="41"/>
        <v>451866568.5200001</v>
      </c>
      <c r="R54" s="193">
        <f t="shared" si="41"/>
        <v>299267942.67000008</v>
      </c>
      <c r="S54" s="193">
        <f t="shared" si="41"/>
        <v>170024098.80000001</v>
      </c>
      <c r="T54" s="193">
        <f t="shared" si="41"/>
        <v>108758833.57000002</v>
      </c>
      <c r="U54" s="193">
        <f t="shared" si="41"/>
        <v>391324311.58000004</v>
      </c>
      <c r="V54" s="193">
        <f t="shared" si="41"/>
        <v>258040861.87000003</v>
      </c>
      <c r="W54" s="193">
        <f t="shared" si="41"/>
        <v>150262191.10999995</v>
      </c>
      <c r="X54" s="193">
        <f t="shared" si="41"/>
        <v>99194270.459999919</v>
      </c>
      <c r="Y54" s="193">
        <f t="shared" si="41"/>
        <v>444040577.99000007</v>
      </c>
      <c r="Z54" s="193">
        <f t="shared" si="41"/>
        <v>279242278.99000013</v>
      </c>
      <c r="AA54" s="193">
        <f t="shared" si="41"/>
        <v>146425961.03000003</v>
      </c>
      <c r="AB54" s="193">
        <f t="shared" si="41"/>
        <v>124904015.53999996</v>
      </c>
      <c r="AC54" s="193">
        <f t="shared" si="41"/>
        <v>443851705.62000006</v>
      </c>
    </row>
    <row r="55" spans="1:88" s="63" customFormat="1" x14ac:dyDescent="0.25">
      <c r="A55" s="63" t="s">
        <v>672</v>
      </c>
      <c r="E55" s="63">
        <f>E54/E2</f>
        <v>0.11548789743858551</v>
      </c>
      <c r="F55" s="63">
        <f t="shared" ref="F55:AC55" si="42">F54/F2</f>
        <v>0.13364858043541908</v>
      </c>
      <c r="G55" s="63">
        <f t="shared" si="42"/>
        <v>0.11738433870662425</v>
      </c>
      <c r="H55" s="63">
        <f t="shared" si="42"/>
        <v>0.13834684275621684</v>
      </c>
      <c r="I55" s="63">
        <f t="shared" si="42"/>
        <v>0.13691142497678241</v>
      </c>
      <c r="J55" s="63">
        <f t="shared" si="42"/>
        <v>0.15448136965877582</v>
      </c>
      <c r="K55" s="63">
        <f t="shared" si="42"/>
        <v>0.15007947332205959</v>
      </c>
      <c r="L55" s="63">
        <f t="shared" si="42"/>
        <v>0.17857891644584431</v>
      </c>
      <c r="M55" s="63">
        <f t="shared" si="42"/>
        <v>0.1767056900652649</v>
      </c>
      <c r="N55" s="63">
        <f t="shared" si="42"/>
        <v>0.18117107853799705</v>
      </c>
      <c r="O55" s="63">
        <f t="shared" si="42"/>
        <v>0.16793105081825721</v>
      </c>
      <c r="P55" s="63">
        <f t="shared" si="42"/>
        <v>0.19188129004541116</v>
      </c>
      <c r="Q55" s="63">
        <f t="shared" si="42"/>
        <v>0.16363673306029453</v>
      </c>
      <c r="R55" s="63">
        <f t="shared" si="42"/>
        <v>0.15918559130160692</v>
      </c>
      <c r="S55" s="63">
        <f t="shared" si="42"/>
        <v>0.15286090009843167</v>
      </c>
      <c r="T55" s="63">
        <f t="shared" si="42"/>
        <v>0.16546084627031665</v>
      </c>
      <c r="U55" s="63">
        <f t="shared" si="42"/>
        <v>0.15502846516518526</v>
      </c>
      <c r="V55" s="63">
        <f t="shared" si="42"/>
        <v>0.14979323540928197</v>
      </c>
      <c r="W55" s="63">
        <f t="shared" si="42"/>
        <v>0.13938030647624852</v>
      </c>
      <c r="X55" s="63">
        <f t="shared" si="42"/>
        <v>0.16119944850569162</v>
      </c>
      <c r="Y55" s="63">
        <f t="shared" si="42"/>
        <v>0.16295342989507589</v>
      </c>
      <c r="Z55" s="63">
        <f t="shared" si="42"/>
        <v>0.1511278812940986</v>
      </c>
      <c r="AA55" s="63">
        <f t="shared" si="42"/>
        <v>0.14127096750997389</v>
      </c>
      <c r="AB55" s="63">
        <f t="shared" si="42"/>
        <v>0.20332066927257439</v>
      </c>
      <c r="AC55" s="63">
        <f t="shared" si="42"/>
        <v>0.18630172282834179</v>
      </c>
    </row>
    <row r="56" spans="1:88" x14ac:dyDescent="0.25">
      <c r="A56" s="17" t="s">
        <v>673</v>
      </c>
      <c r="E56" s="193">
        <f>E23</f>
        <v>428144030.063025</v>
      </c>
      <c r="F56" s="193">
        <f t="shared" ref="F56:AC56" si="43">F23</f>
        <v>324591800.59195822</v>
      </c>
      <c r="G56" s="193">
        <f t="shared" si="43"/>
        <v>169231697.49786973</v>
      </c>
      <c r="H56" s="193">
        <f t="shared" si="43"/>
        <v>123606189.79480192</v>
      </c>
      <c r="I56" s="193">
        <f t="shared" si="43"/>
        <v>308520479.7763046</v>
      </c>
      <c r="J56" s="193">
        <f t="shared" si="43"/>
        <v>252146262.21428594</v>
      </c>
      <c r="K56" s="193">
        <f t="shared" si="43"/>
        <v>145532799.57464889</v>
      </c>
      <c r="L56" s="193">
        <f t="shared" si="43"/>
        <v>104622458.65169166</v>
      </c>
      <c r="M56" s="193">
        <f t="shared" si="43"/>
        <v>365311550.00787956</v>
      </c>
      <c r="N56" s="193">
        <f t="shared" si="43"/>
        <v>293409183.21914089</v>
      </c>
      <c r="O56" s="193">
        <f t="shared" si="43"/>
        <v>164979107.10671088</v>
      </c>
      <c r="P56" s="193">
        <f t="shared" si="43"/>
        <v>113834650.5501582</v>
      </c>
      <c r="Q56" s="193">
        <f t="shared" si="43"/>
        <v>362984361.74733239</v>
      </c>
      <c r="R56" s="193">
        <f t="shared" si="43"/>
        <v>250115802.33708391</v>
      </c>
      <c r="S56" s="193">
        <f t="shared" si="43"/>
        <v>139150733.29980132</v>
      </c>
      <c r="T56" s="193">
        <f t="shared" si="43"/>
        <v>90529610.928688839</v>
      </c>
      <c r="U56" s="193">
        <f t="shared" si="43"/>
        <v>309180519.11409795</v>
      </c>
      <c r="V56" s="193">
        <f t="shared" si="43"/>
        <v>219176919.57929215</v>
      </c>
      <c r="W56" s="193">
        <f t="shared" si="43"/>
        <v>124376194.05783701</v>
      </c>
      <c r="X56" s="193">
        <f t="shared" si="43"/>
        <v>79521329.740607604</v>
      </c>
      <c r="Y56" s="193">
        <f t="shared" si="43"/>
        <v>362461551.15202373</v>
      </c>
      <c r="Z56" s="193">
        <f t="shared" si="43"/>
        <v>239216405.10780725</v>
      </c>
      <c r="AA56" s="193">
        <f t="shared" si="43"/>
        <v>123232480.25873438</v>
      </c>
      <c r="AB56" s="193">
        <f t="shared" si="43"/>
        <v>102703921.19152451</v>
      </c>
      <c r="AC56" s="193">
        <f t="shared" si="43"/>
        <v>351540275.08176368</v>
      </c>
    </row>
    <row r="57" spans="1:88" s="63" customFormat="1" x14ac:dyDescent="0.25">
      <c r="A57" s="63" t="s">
        <v>674</v>
      </c>
      <c r="E57" s="63">
        <f>E56/E2</f>
        <v>9.1839924187747821E-2</v>
      </c>
      <c r="F57" s="63">
        <f t="shared" ref="F57:AC57" si="44">F56/F2</f>
        <v>0.10198726215455479</v>
      </c>
      <c r="G57" s="63">
        <f t="shared" si="44"/>
        <v>8.5408616195458337E-2</v>
      </c>
      <c r="H57" s="63">
        <f t="shared" si="44"/>
        <v>0.11685575307532445</v>
      </c>
      <c r="I57" s="63">
        <f t="shared" si="44"/>
        <v>9.7874142032542411E-2</v>
      </c>
      <c r="J57" s="63">
        <f t="shared" si="44"/>
        <v>0.11699087825471757</v>
      </c>
      <c r="K57" s="63">
        <f t="shared" si="44"/>
        <v>0.10835723921267153</v>
      </c>
      <c r="L57" s="63">
        <f t="shared" si="44"/>
        <v>0.13714749799550383</v>
      </c>
      <c r="M57" s="63">
        <f t="shared" si="44"/>
        <v>0.12529404017861698</v>
      </c>
      <c r="N57" s="63">
        <f t="shared" si="44"/>
        <v>0.14339961858257558</v>
      </c>
      <c r="O57" s="63">
        <f t="shared" si="44"/>
        <v>0.13198581000901491</v>
      </c>
      <c r="P57" s="63">
        <f t="shared" si="44"/>
        <v>0.1613771872693385</v>
      </c>
      <c r="Q57" s="63">
        <f t="shared" si="44"/>
        <v>0.13144936856659847</v>
      </c>
      <c r="R57" s="63">
        <f t="shared" si="44"/>
        <v>0.1330407511532499</v>
      </c>
      <c r="S57" s="63">
        <f t="shared" si="44"/>
        <v>0.12510406755094908</v>
      </c>
      <c r="T57" s="63">
        <f t="shared" si="44"/>
        <v>0.13772771870656758</v>
      </c>
      <c r="U57" s="63">
        <f t="shared" si="44"/>
        <v>0.12248608103009449</v>
      </c>
      <c r="V57" s="63">
        <f t="shared" si="44"/>
        <v>0.12723263933044221</v>
      </c>
      <c r="W57" s="63">
        <f t="shared" si="44"/>
        <v>0.11536895554411358</v>
      </c>
      <c r="X57" s="63">
        <f t="shared" si="44"/>
        <v>0.12922918268544933</v>
      </c>
      <c r="Y57" s="63">
        <f t="shared" si="44"/>
        <v>0.13301566544362509</v>
      </c>
      <c r="Z57" s="63">
        <f t="shared" si="44"/>
        <v>0.12946559742132863</v>
      </c>
      <c r="AA57" s="63">
        <f t="shared" si="44"/>
        <v>0.11889402393089528</v>
      </c>
      <c r="AB57" s="63">
        <f t="shared" si="44"/>
        <v>0.16718301572050889</v>
      </c>
      <c r="AC57" s="63">
        <f t="shared" si="44"/>
        <v>0.14755504611567871</v>
      </c>
    </row>
    <row r="58" spans="1:88" ht="93" customHeight="1" x14ac:dyDescent="0.25">
      <c r="A58" s="279" t="s">
        <v>675</v>
      </c>
      <c r="B58" s="287"/>
      <c r="C58" s="287"/>
      <c r="D58" s="287"/>
      <c r="E58" s="287"/>
      <c r="F58" s="287"/>
      <c r="G58" s="287"/>
      <c r="H58" s="287"/>
      <c r="I58" s="287"/>
      <c r="J58" s="287"/>
      <c r="K58" s="287"/>
      <c r="L58" s="287"/>
      <c r="M58" s="287"/>
      <c r="N58" s="287"/>
      <c r="O58" s="287"/>
      <c r="P58" s="287"/>
      <c r="Q58" s="287"/>
      <c r="R58" s="287"/>
      <c r="S58" s="287"/>
      <c r="T58" s="287"/>
      <c r="U58" s="287"/>
      <c r="V58" s="287"/>
      <c r="W58" s="287"/>
      <c r="X58" s="287"/>
      <c r="Y58" s="287"/>
      <c r="Z58" s="287"/>
      <c r="AA58" s="287"/>
      <c r="AB58" s="287"/>
      <c r="AC58" s="287"/>
    </row>
    <row r="60" spans="1:88" s="225" customFormat="1" x14ac:dyDescent="0.25">
      <c r="A60" s="227" t="s">
        <v>677</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678</v>
      </c>
      <c r="B61" s="89"/>
      <c r="C61" s="89"/>
      <c r="D61" s="89"/>
      <c r="E61" s="89">
        <f>股权价值增加表!E38</f>
        <v>499927833.65999997</v>
      </c>
      <c r="F61" s="89">
        <f>股权价值增加表!F38</f>
        <v>401428922.01000005</v>
      </c>
      <c r="G61" s="89">
        <f>股权价值增加表!G38</f>
        <v>209898062.10999975</v>
      </c>
      <c r="H61" s="89">
        <f>股权价值增加表!H38</f>
        <v>147365458.57999998</v>
      </c>
      <c r="I61" s="89">
        <f>股权价值增加表!I38</f>
        <v>427742954.32999969</v>
      </c>
      <c r="J61" s="89">
        <f>股权价值增加表!J38</f>
        <v>334819772.02000004</v>
      </c>
      <c r="K61" s="89">
        <f>股权价值增加表!K38</f>
        <v>203723495.75000018</v>
      </c>
      <c r="L61" s="89">
        <f>股权价值增加表!L38</f>
        <v>136959989.61000001</v>
      </c>
      <c r="M61" s="89">
        <f>股权价值增加表!M38</f>
        <v>513059262.03999996</v>
      </c>
      <c r="N61" s="89">
        <f>股权价值增加表!N38</f>
        <v>381008120.25999999</v>
      </c>
      <c r="O61" s="89">
        <f>股权价值增加表!O38</f>
        <v>217267458.76999992</v>
      </c>
      <c r="P61" s="89">
        <f>股权价值增加表!P38</f>
        <v>139584865.06999993</v>
      </c>
      <c r="Q61" s="89">
        <f>股权价值增加表!Q38</f>
        <v>450483006.57000011</v>
      </c>
      <c r="R61" s="89">
        <f>股权价值增加表!R38</f>
        <v>317210179.42000008</v>
      </c>
      <c r="S61" s="89">
        <f>股权价值增加表!S38</f>
        <v>182941247.09</v>
      </c>
      <c r="T61" s="89">
        <f>股权价值增加表!T38</f>
        <v>116670305.96000002</v>
      </c>
      <c r="U61" s="89">
        <f>股权价值增加表!U38</f>
        <v>390428605.66000003</v>
      </c>
      <c r="V61" s="89">
        <f>股权价值增加表!V38</f>
        <v>274655166.74000001</v>
      </c>
      <c r="W61" s="89">
        <f>股权价值增加表!W38</f>
        <v>161995567.14999995</v>
      </c>
      <c r="X61" s="89">
        <f>股权价值增加表!X38</f>
        <v>105193117.48999992</v>
      </c>
      <c r="Y61" s="89">
        <f>股权价值增加表!Y38</f>
        <v>443029151.84000009</v>
      </c>
      <c r="Z61" s="89">
        <f>股权价值增加表!Z38</f>
        <v>295514436.34000015</v>
      </c>
      <c r="AA61" s="89">
        <f>股权价值增加表!AA38</f>
        <v>158856513.42000002</v>
      </c>
      <c r="AB61" s="89">
        <f>股权价值增加表!AB38</f>
        <v>129330228.97999996</v>
      </c>
      <c r="AC61" s="89">
        <f>股权价值增加表!AC38</f>
        <v>442624871.00000006</v>
      </c>
    </row>
    <row r="62" spans="1:88" s="193" customFormat="1" x14ac:dyDescent="0.25">
      <c r="A62" s="89" t="s">
        <v>679</v>
      </c>
      <c r="B62" s="89"/>
      <c r="C62" s="89"/>
      <c r="D62" s="89"/>
      <c r="E62" s="89">
        <f>股权价值增加表!E40</f>
        <v>90810907.900000006</v>
      </c>
      <c r="F62" s="89">
        <f>股权价值增加表!F40</f>
        <v>90508988.840000004</v>
      </c>
      <c r="G62" s="89">
        <f>股权价值增加表!G40</f>
        <v>44332038.670000002</v>
      </c>
      <c r="H62" s="89">
        <f>股权价值增加表!H40</f>
        <v>21985611.260000002</v>
      </c>
      <c r="I62" s="89">
        <f>股权价值增加表!I40</f>
        <v>80709681.709999993</v>
      </c>
      <c r="J62" s="89">
        <f>股权价值增加表!J40</f>
        <v>63378605.710000001</v>
      </c>
      <c r="K62" s="89">
        <f>股权价值增加表!K40</f>
        <v>44079906.789999999</v>
      </c>
      <c r="L62" s="89">
        <f>股权价值增加表!L40</f>
        <v>23129226.210000001</v>
      </c>
      <c r="M62" s="89">
        <f>股权价值增加表!M40</f>
        <v>88611971.989999995</v>
      </c>
      <c r="N62" s="89">
        <f>股权价值增加表!N40</f>
        <v>48869485.689999998</v>
      </c>
      <c r="O62" s="89">
        <f>股权价值增加表!O40</f>
        <v>30061624.289999999</v>
      </c>
      <c r="P62" s="89">
        <f>股权价值增加表!P40</f>
        <v>21179307.41</v>
      </c>
      <c r="Q62" s="89">
        <f>股权价值增加表!Q40</f>
        <v>53632117.130000003</v>
      </c>
      <c r="R62" s="89">
        <f>股权价值增加表!R40</f>
        <v>40316639.75</v>
      </c>
      <c r="S62" s="89">
        <f>股权价值增加表!S40</f>
        <v>25334137.739999998</v>
      </c>
      <c r="T62" s="89">
        <f>股权价值增加表!T40</f>
        <v>17702590.440000001</v>
      </c>
      <c r="U62" s="89">
        <f>股权价值增加表!U40</f>
        <v>59861374.850000001</v>
      </c>
      <c r="V62" s="89">
        <f>股权价值增加表!V40</f>
        <v>37936104.539999999</v>
      </c>
      <c r="W62" s="89">
        <f>股权价值增加表!W40</f>
        <v>25253043.190000001</v>
      </c>
      <c r="X62" s="89">
        <f>股权价值增加表!X40</f>
        <v>19517706.149999999</v>
      </c>
      <c r="Y62" s="89">
        <f>股权价值增加表!Y40</f>
        <v>61950453.530000001</v>
      </c>
      <c r="Z62" s="89">
        <f>股权价值增加表!Z40</f>
        <v>42224768.240000002</v>
      </c>
      <c r="AA62" s="89">
        <f>股权价值增加表!AA40</f>
        <v>25078122.620000001</v>
      </c>
      <c r="AB62" s="89">
        <f>股权价值增加表!AB40</f>
        <v>22988840.609999999</v>
      </c>
      <c r="AC62" s="89">
        <f>股权价值增加表!AC40</f>
        <v>70548110.260000005</v>
      </c>
    </row>
    <row r="63" spans="1:88" x14ac:dyDescent="0.25">
      <c r="A63" s="184" t="s">
        <v>680</v>
      </c>
      <c r="B63" s="64"/>
      <c r="C63" s="64"/>
      <c r="D63" s="64"/>
      <c r="E63" s="64">
        <f>股权价值增加表!E42</f>
        <v>409116925.75999999</v>
      </c>
      <c r="F63" s="64">
        <f>股权价值增加表!F42</f>
        <v>310919933.17000008</v>
      </c>
      <c r="G63" s="64">
        <f>股权价值增加表!G42</f>
        <v>165566023.43999976</v>
      </c>
      <c r="H63" s="64">
        <f>股权价值增加表!H42</f>
        <v>125379847.31999998</v>
      </c>
      <c r="I63" s="64">
        <f>股权价值增加表!I42</f>
        <v>347033272.61999971</v>
      </c>
      <c r="J63" s="64">
        <f>股权价值增加表!J42</f>
        <v>271441166.31000006</v>
      </c>
      <c r="K63" s="64">
        <f>股权价值增加表!K42</f>
        <v>159643588.96000019</v>
      </c>
      <c r="L63" s="64">
        <f>股权价值增加表!L42</f>
        <v>113830763.40000001</v>
      </c>
      <c r="M63" s="64">
        <f>股权价值增加表!M42</f>
        <v>424447290.04999995</v>
      </c>
      <c r="N63" s="64">
        <f>股权价值增加表!N42</f>
        <v>332138634.56999999</v>
      </c>
      <c r="O63" s="64">
        <f>股权价值增加表!O42</f>
        <v>187205834.47999993</v>
      </c>
      <c r="P63" s="64">
        <f>股权价值增加表!P42</f>
        <v>118405557.65999994</v>
      </c>
      <c r="Q63" s="64">
        <f>股权价值增加表!Q42</f>
        <v>396850889.44000012</v>
      </c>
      <c r="R63" s="64">
        <f>股权价值增加表!R42</f>
        <v>276893539.67000008</v>
      </c>
      <c r="S63" s="64">
        <f>股权价值增加表!S42</f>
        <v>157607109.34999999</v>
      </c>
      <c r="T63" s="64">
        <f>股权价值增加表!T42</f>
        <v>98967715.520000026</v>
      </c>
      <c r="U63" s="64">
        <f>股权价值增加表!U42</f>
        <v>330567230.81</v>
      </c>
      <c r="V63" s="64">
        <f>股权价值增加表!V42</f>
        <v>236719062.20000002</v>
      </c>
      <c r="W63" s="64">
        <f>股权价值增加表!W42</f>
        <v>136742523.95999995</v>
      </c>
      <c r="X63" s="64">
        <f>股权价值增加表!X42</f>
        <v>85675411.339999914</v>
      </c>
      <c r="Y63" s="64">
        <f>股权价值增加表!Y42</f>
        <v>381078698.31000006</v>
      </c>
      <c r="Z63" s="64">
        <f>股权价值增加表!Z42</f>
        <v>253289668.10000014</v>
      </c>
      <c r="AA63" s="64">
        <f>股权价值增加表!AA42</f>
        <v>133778390.80000001</v>
      </c>
      <c r="AB63" s="64">
        <f>股权价值增加表!AB42</f>
        <v>106341388.36999996</v>
      </c>
      <c r="AC63" s="64">
        <f>股权价值增加表!AC42</f>
        <v>372076760.74000007</v>
      </c>
    </row>
    <row r="64" spans="1:88" s="63" customFormat="1" x14ac:dyDescent="0.25">
      <c r="A64" s="214" t="s">
        <v>681</v>
      </c>
      <c r="B64" s="214"/>
      <c r="C64" s="214"/>
      <c r="D64" s="214"/>
      <c r="E64" s="214">
        <f>1-E63/E61</f>
        <v>0.18164803354749859</v>
      </c>
      <c r="F64" s="214">
        <f t="shared" ref="F64:AC64" si="46">1-F63/F61</f>
        <v>0.22546703507762023</v>
      </c>
      <c r="G64" s="214">
        <f t="shared" si="46"/>
        <v>0.21120747006595619</v>
      </c>
      <c r="H64" s="214">
        <f t="shared" si="46"/>
        <v>0.14919107551967292</v>
      </c>
      <c r="I64" s="214">
        <f t="shared" si="46"/>
        <v>0.18868734339860849</v>
      </c>
      <c r="J64" s="214">
        <f t="shared" si="46"/>
        <v>0.18929170558724995</v>
      </c>
      <c r="K64" s="214">
        <f t="shared" si="46"/>
        <v>0.21637124685948239</v>
      </c>
      <c r="L64" s="214">
        <f t="shared" si="46"/>
        <v>0.16887578829307426</v>
      </c>
      <c r="M64" s="214">
        <f t="shared" si="46"/>
        <v>0.17271293697664791</v>
      </c>
      <c r="N64" s="214">
        <f t="shared" si="46"/>
        <v>0.12826363295525423</v>
      </c>
      <c r="O64" s="214">
        <f t="shared" si="46"/>
        <v>0.13836229530269106</v>
      </c>
      <c r="P64" s="214">
        <f t="shared" si="46"/>
        <v>0.15173068655673272</v>
      </c>
      <c r="Q64" s="214">
        <f t="shared" si="46"/>
        <v>0.11905469539985003</v>
      </c>
      <c r="R64" s="214">
        <f t="shared" si="46"/>
        <v>0.12709755980629811</v>
      </c>
      <c r="S64" s="214">
        <f t="shared" si="46"/>
        <v>0.13848237148802534</v>
      </c>
      <c r="T64" s="214">
        <f t="shared" si="46"/>
        <v>0.15173175637397629</v>
      </c>
      <c r="U64" s="214">
        <f t="shared" si="46"/>
        <v>0.1533222053461154</v>
      </c>
      <c r="V64" s="214">
        <f t="shared" si="46"/>
        <v>0.13812266847290688</v>
      </c>
      <c r="W64" s="214">
        <f t="shared" si="46"/>
        <v>0.15588724823943434</v>
      </c>
      <c r="X64" s="214">
        <f t="shared" si="46"/>
        <v>0.18554166485136669</v>
      </c>
      <c r="Y64" s="214">
        <f t="shared" si="46"/>
        <v>0.13983380839095083</v>
      </c>
      <c r="Z64" s="214">
        <f t="shared" si="46"/>
        <v>0.14288563619077777</v>
      </c>
      <c r="AA64" s="214">
        <f t="shared" si="46"/>
        <v>0.15786650531411373</v>
      </c>
      <c r="AB64" s="214">
        <f t="shared" si="46"/>
        <v>0.17775303416152666</v>
      </c>
      <c r="AC64" s="214">
        <f t="shared" si="46"/>
        <v>0.15938577988311908</v>
      </c>
    </row>
    <row r="65" spans="1:29" ht="42.6" customHeight="1" x14ac:dyDescent="0.25">
      <c r="A65" s="281" t="s">
        <v>682</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734</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3" t="s">
        <v>702</v>
      </c>
      <c r="B69" s="283"/>
      <c r="C69" s="283"/>
      <c r="D69" s="283"/>
      <c r="E69" s="283"/>
      <c r="F69" s="257"/>
      <c r="G69" s="257"/>
      <c r="H69" s="257"/>
      <c r="I69" s="257" t="s">
        <v>706</v>
      </c>
      <c r="J69" s="257"/>
      <c r="K69" s="257"/>
      <c r="L69" s="257"/>
      <c r="M69" s="257" t="s">
        <v>707</v>
      </c>
    </row>
    <row r="70" spans="1:29" ht="57.6" x14ac:dyDescent="0.25">
      <c r="A70" s="284" t="s">
        <v>703</v>
      </c>
      <c r="B70" s="65"/>
      <c r="C70" s="65"/>
      <c r="D70" s="65"/>
      <c r="E70" s="65" t="s">
        <v>704</v>
      </c>
      <c r="F70" s="65"/>
      <c r="G70" s="65"/>
      <c r="H70" s="65"/>
      <c r="I70" s="258" t="s">
        <v>708</v>
      </c>
      <c r="J70" s="259"/>
      <c r="K70" s="259"/>
      <c r="L70" s="259"/>
      <c r="M70" s="258" t="s">
        <v>709</v>
      </c>
    </row>
    <row r="71" spans="1:29" ht="54.6" customHeight="1" x14ac:dyDescent="0.25">
      <c r="A71" s="284"/>
      <c r="B71" s="65"/>
      <c r="C71" s="65"/>
      <c r="D71" s="65"/>
      <c r="E71" s="65" t="s">
        <v>705</v>
      </c>
      <c r="F71" s="65"/>
      <c r="G71" s="65"/>
      <c r="H71" s="65"/>
      <c r="I71" s="258" t="s">
        <v>710</v>
      </c>
      <c r="J71" s="259"/>
      <c r="K71" s="259"/>
      <c r="L71" s="259"/>
      <c r="M71" s="258" t="s">
        <v>711</v>
      </c>
    </row>
    <row r="72" spans="1:29" ht="57.6" x14ac:dyDescent="0.25">
      <c r="A72" s="284" t="s">
        <v>719</v>
      </c>
      <c r="B72" s="65"/>
      <c r="C72" s="65"/>
      <c r="D72" s="65"/>
      <c r="E72" s="65" t="s">
        <v>712</v>
      </c>
      <c r="F72" s="65"/>
      <c r="G72" s="65"/>
      <c r="H72" s="65"/>
      <c r="I72" s="258" t="s">
        <v>720</v>
      </c>
      <c r="J72" s="259"/>
      <c r="K72" s="259"/>
      <c r="L72" s="259"/>
      <c r="M72" s="258" t="s">
        <v>721</v>
      </c>
    </row>
    <row r="73" spans="1:29" ht="43.2" x14ac:dyDescent="0.25">
      <c r="A73" s="284"/>
      <c r="B73" s="65"/>
      <c r="C73" s="65"/>
      <c r="D73" s="65"/>
      <c r="E73" s="65" t="s">
        <v>713</v>
      </c>
      <c r="F73" s="65"/>
      <c r="G73" s="65"/>
      <c r="H73" s="65"/>
      <c r="I73" s="258" t="s">
        <v>722</v>
      </c>
      <c r="J73" s="259"/>
      <c r="K73" s="259"/>
      <c r="L73" s="259"/>
      <c r="M73" s="258" t="s">
        <v>723</v>
      </c>
    </row>
    <row r="74" spans="1:29" ht="72" x14ac:dyDescent="0.25">
      <c r="A74" s="284"/>
      <c r="B74" s="65"/>
      <c r="C74" s="65"/>
      <c r="D74" s="65"/>
      <c r="E74" s="65" t="s">
        <v>714</v>
      </c>
      <c r="F74" s="65"/>
      <c r="G74" s="65"/>
      <c r="H74" s="65"/>
      <c r="I74" s="258" t="s">
        <v>724</v>
      </c>
      <c r="J74" s="259"/>
      <c r="K74" s="259"/>
      <c r="L74" s="259"/>
      <c r="M74" s="258" t="s">
        <v>725</v>
      </c>
    </row>
    <row r="75" spans="1:29" ht="72" x14ac:dyDescent="0.25">
      <c r="A75" s="284"/>
      <c r="B75" s="65"/>
      <c r="C75" s="65"/>
      <c r="D75" s="65"/>
      <c r="E75" s="65" t="s">
        <v>715</v>
      </c>
      <c r="F75" s="65"/>
      <c r="G75" s="65"/>
      <c r="H75" s="65"/>
      <c r="I75" s="258" t="s">
        <v>726</v>
      </c>
      <c r="J75" s="259"/>
      <c r="K75" s="259"/>
      <c r="L75" s="259"/>
      <c r="M75" s="258" t="s">
        <v>727</v>
      </c>
    </row>
    <row r="76" spans="1:29" x14ac:dyDescent="0.25">
      <c r="A76" s="284"/>
      <c r="B76" s="65"/>
      <c r="C76" s="65"/>
      <c r="D76" s="65"/>
      <c r="E76" s="65" t="s">
        <v>716</v>
      </c>
      <c r="F76" s="65"/>
      <c r="G76" s="65"/>
      <c r="H76" s="65"/>
      <c r="I76" s="258" t="s">
        <v>728</v>
      </c>
      <c r="J76" s="259"/>
      <c r="K76" s="259"/>
      <c r="L76" s="259"/>
      <c r="M76" s="258" t="s">
        <v>729</v>
      </c>
    </row>
    <row r="77" spans="1:29" ht="57.6" x14ac:dyDescent="0.25">
      <c r="A77" s="284"/>
      <c r="B77" s="65"/>
      <c r="C77" s="65"/>
      <c r="D77" s="65"/>
      <c r="E77" s="65" t="s">
        <v>717</v>
      </c>
      <c r="F77" s="65"/>
      <c r="G77" s="65"/>
      <c r="H77" s="65"/>
      <c r="I77" s="258" t="s">
        <v>730</v>
      </c>
      <c r="J77" s="259"/>
      <c r="K77" s="259"/>
      <c r="L77" s="259"/>
      <c r="M77" s="258" t="s">
        <v>731</v>
      </c>
    </row>
    <row r="78" spans="1:29" ht="57.6" x14ac:dyDescent="0.25">
      <c r="A78" s="284"/>
      <c r="B78" s="65"/>
      <c r="C78" s="65"/>
      <c r="D78" s="65"/>
      <c r="E78" s="65" t="s">
        <v>718</v>
      </c>
      <c r="F78" s="65"/>
      <c r="G78" s="65"/>
      <c r="H78" s="65"/>
      <c r="I78" s="258" t="s">
        <v>732</v>
      </c>
      <c r="J78" s="259"/>
      <c r="K78" s="259"/>
      <c r="L78" s="259"/>
      <c r="M78" s="258" t="s">
        <v>733</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19.33203125" bestFit="1" customWidth="1"/>
    <col min="6" max="7" width="20.44140625" hidden="1" customWidth="1"/>
    <col min="8"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2" width="17.21875" hidden="1" customWidth="1"/>
    <col min="43" max="43" width="17.21875" bestFit="1" customWidth="1"/>
    <col min="44" max="44" width="20.44140625" bestFit="1" customWidth="1"/>
    <col min="45" max="45" width="19.33203125" hidden="1" customWidth="1"/>
    <col min="46" max="51" width="20.44140625" bestFit="1" customWidth="1"/>
    <col min="52"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2293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409116925.75999999</v>
      </c>
      <c r="F2" s="26">
        <f>股权价值增加表!F42</f>
        <v>310919933.17000008</v>
      </c>
      <c r="G2" s="26">
        <f>股权价值增加表!G42</f>
        <v>165566023.43999976</v>
      </c>
      <c r="H2" s="26">
        <f>股权价值增加表!H42</f>
        <v>125379847.31999998</v>
      </c>
      <c r="I2" s="26">
        <f>股权价值增加表!I42</f>
        <v>347033272.61999971</v>
      </c>
      <c r="J2" s="26">
        <f>股权价值增加表!J42</f>
        <v>271441166.31000006</v>
      </c>
      <c r="K2" s="26">
        <f>股权价值增加表!K42</f>
        <v>159643588.96000019</v>
      </c>
      <c r="L2" s="26">
        <f>股权价值增加表!L42</f>
        <v>113830763.40000001</v>
      </c>
      <c r="M2" s="26">
        <f>股权价值增加表!M42</f>
        <v>424447290.04999995</v>
      </c>
      <c r="N2" s="26">
        <f>股权价值增加表!N42</f>
        <v>332138634.56999999</v>
      </c>
      <c r="O2" s="26">
        <f>股权价值增加表!O42</f>
        <v>187205834.47999993</v>
      </c>
      <c r="P2" s="26">
        <f>股权价值增加表!P42</f>
        <v>118405557.65999994</v>
      </c>
      <c r="Q2" s="26">
        <f>股权价值增加表!Q42</f>
        <v>396850889.44000012</v>
      </c>
      <c r="R2" s="26">
        <f>股权价值增加表!R42</f>
        <v>276893539.67000008</v>
      </c>
      <c r="S2" s="26">
        <f>股权价值增加表!S42</f>
        <v>157607109.34999999</v>
      </c>
      <c r="T2" s="26">
        <f>股权价值增加表!T42</f>
        <v>98967715.520000026</v>
      </c>
      <c r="U2" s="26">
        <f>股权价值增加表!U42</f>
        <v>330567230.81</v>
      </c>
      <c r="V2" s="26">
        <f>股权价值增加表!V42</f>
        <v>236719062.20000002</v>
      </c>
      <c r="W2" s="26">
        <f>股权价值增加表!W42</f>
        <v>136742523.95999995</v>
      </c>
      <c r="X2" s="26">
        <f>股权价值增加表!X42</f>
        <v>85675411.339999914</v>
      </c>
      <c r="Y2" s="26">
        <f>股权价值增加表!Y42</f>
        <v>381078698.31000006</v>
      </c>
      <c r="Z2" s="26">
        <f>股权价值增加表!Z42</f>
        <v>253289668.10000014</v>
      </c>
      <c r="AA2" s="26">
        <f>股权价值增加表!AA42</f>
        <v>133778390.80000001</v>
      </c>
      <c r="AB2" s="26">
        <f>股权价值增加表!AB42</f>
        <v>106341388.36999996</v>
      </c>
      <c r="AC2" s="26">
        <f>股权价值增加表!AC42</f>
        <v>372076760.74000007</v>
      </c>
      <c r="AD2" s="26">
        <f>股权价值增加表!AD42</f>
        <v>279561185.24999988</v>
      </c>
      <c r="AE2" s="26">
        <f>股权价值增加表!AE42</f>
        <v>162127978.39000005</v>
      </c>
      <c r="AF2" s="26">
        <f>股权价值增加表!AF42</f>
        <v>88671221.550000027</v>
      </c>
      <c r="AG2" s="26">
        <f>股权价值增加表!AG42</f>
        <v>210741023.48000026</v>
      </c>
      <c r="AH2" s="26">
        <f>股权价值增加表!AH42</f>
        <v>144248245.18000013</v>
      </c>
      <c r="AI2" s="26">
        <f>股权价值增加表!AI42</f>
        <v>77337776.939999968</v>
      </c>
      <c r="AJ2" s="26">
        <f>股权价值增加表!AJ42</f>
        <v>50165119.959999979</v>
      </c>
      <c r="AK2" s="26">
        <f>股权价值增加表!AK42</f>
        <v>145440527.06999987</v>
      </c>
      <c r="AL2" s="26">
        <f>股权价值增加表!AL42</f>
        <v>101662169.32999998</v>
      </c>
      <c r="AM2" s="26">
        <f>股权价值增加表!AM42</f>
        <v>51051582.179999992</v>
      </c>
      <c r="AN2" s="26">
        <f>股权价值增加表!AN42</f>
        <v>33777696.210000038</v>
      </c>
      <c r="AO2" s="26">
        <f>股权价值增加表!AO42</f>
        <v>110229793.30999994</v>
      </c>
      <c r="AP2" s="26">
        <f>股权价值增加表!AP42</f>
        <v>84100158.340000093</v>
      </c>
      <c r="AQ2" s="26">
        <f>股权价值增加表!AQ42</f>
        <v>85138294.759999961</v>
      </c>
      <c r="AR2" s="26">
        <f>股权价值增加表!AR42</f>
        <v>49517218.419999912</v>
      </c>
      <c r="AS2" s="26">
        <f>股权价值增加表!AS42</f>
        <v>0</v>
      </c>
      <c r="AT2" s="26">
        <f>股权价值增加表!AT42</f>
        <v>-606675948.97000003</v>
      </c>
      <c r="AU2" s="26">
        <f>股权价值增加表!AU42</f>
        <v>-525244177.46999997</v>
      </c>
      <c r="AV2" s="26">
        <f>股权价值增加表!AV42</f>
        <v>-370504198.70999998</v>
      </c>
      <c r="AW2" s="26">
        <f>股权价值增加表!AW42</f>
        <v>-550836582.15999997</v>
      </c>
      <c r="AX2" s="26">
        <f>股权价值增加表!AX42</f>
        <v>-497364124.85000002</v>
      </c>
      <c r="AY2" s="26">
        <f>股权价值增加表!AY42</f>
        <v>-393993423.18000001</v>
      </c>
      <c r="AZ2" s="26">
        <f>股权价值增加表!AZ42</f>
        <v>-277925918.08999997</v>
      </c>
      <c r="BA2" s="26">
        <f>股权价值增加表!BA42</f>
        <v>-375599127.04999995</v>
      </c>
      <c r="BB2" s="26">
        <f>股权价值增加表!BB42</f>
        <v>-376909155.56</v>
      </c>
      <c r="BC2" s="26">
        <f>股权价值增加表!BC42</f>
        <v>-331126120.21999997</v>
      </c>
      <c r="BD2" s="26">
        <f>股权价值增加表!BD42</f>
        <v>-232460368.78999999</v>
      </c>
      <c r="BE2" s="26">
        <f>股权价值增加表!BE42</f>
        <v>-415071515.56999999</v>
      </c>
      <c r="BF2" s="26">
        <f>股权价值增加表!BF42</f>
        <v>-341885591.56999999</v>
      </c>
      <c r="BG2" s="26">
        <f>股权价值增加表!BG42</f>
        <v>-266868592.27000001</v>
      </c>
      <c r="BH2" s="26">
        <f>股权价值增加表!BH42</f>
        <v>-190592880.15000001</v>
      </c>
      <c r="BI2" s="26">
        <f>股权价值增加表!BI42</f>
        <v>-355643656.85000002</v>
      </c>
      <c r="BJ2" s="26">
        <f>股权价值增加表!BJ42</f>
        <v>-291496615.11000001</v>
      </c>
      <c r="BK2" s="26">
        <f>股权价值增加表!BK42</f>
        <v>-237870081.79999998</v>
      </c>
      <c r="BL2" s="26">
        <f>股权价值增加表!BL42</f>
        <v>-204685096.5</v>
      </c>
      <c r="BM2" s="26">
        <f>股权价值增加表!BM42</f>
        <v>-223212941.22</v>
      </c>
      <c r="BN2" s="26">
        <f>股权价值增加表!BN42</f>
        <v>-167173236.28999999</v>
      </c>
      <c r="BO2" s="26">
        <f>股权价值增加表!BO42</f>
        <v>-113551397.55</v>
      </c>
      <c r="BP2" s="26">
        <f>股权价值增加表!BP42</f>
        <v>-114049159.08</v>
      </c>
      <c r="BQ2" s="26">
        <f>股权价值增加表!BQ42</f>
        <v>-79004755.060000002</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3152725257.1299996</v>
      </c>
      <c r="F3" s="26">
        <f>资产资本表!F107</f>
        <v>3043549912.8300004</v>
      </c>
      <c r="G3" s="26">
        <f>资产资本表!G107</f>
        <v>2904942506.0999999</v>
      </c>
      <c r="H3" s="26">
        <f>资产资本表!H107</f>
        <v>3006042763.3599997</v>
      </c>
      <c r="I3" s="26">
        <f>资产资本表!I107</f>
        <v>2880258171.6600003</v>
      </c>
      <c r="J3" s="26">
        <f>资产资本表!J107</f>
        <v>2810039902.6100001</v>
      </c>
      <c r="K3" s="26">
        <f>资产资本表!K107</f>
        <v>2676242325.2400002</v>
      </c>
      <c r="L3" s="26">
        <f>资产资本表!L107</f>
        <v>2770792599.6999998</v>
      </c>
      <c r="M3" s="26">
        <f>资产资本表!M107</f>
        <v>2655459613.3900003</v>
      </c>
      <c r="N3" s="26">
        <f>资产资本表!N107</f>
        <v>2546401388.6300001</v>
      </c>
      <c r="O3" s="26">
        <f>资产资本表!O107</f>
        <v>2398957888.52</v>
      </c>
      <c r="P3" s="26">
        <f>资产资本表!P107</f>
        <v>2605733811.6999998</v>
      </c>
      <c r="Q3" s="26">
        <f>资产资本表!Q107</f>
        <v>2487328254.04</v>
      </c>
      <c r="R3" s="26">
        <f>资产资本表!R107</f>
        <v>2304068739.1300001</v>
      </c>
      <c r="S3" s="26">
        <f>资产资本表!S107</f>
        <v>2184782308.8099999</v>
      </c>
      <c r="T3" s="26">
        <f>资产资本表!T107</f>
        <v>2224397084.98</v>
      </c>
      <c r="U3" s="26">
        <f>资产资本表!U107</f>
        <v>2125429369.46</v>
      </c>
      <c r="V3" s="26">
        <f>资产资本表!V107</f>
        <v>2030685494.9300001</v>
      </c>
      <c r="W3" s="26">
        <f>资产资本表!W107</f>
        <v>1930708956.6900001</v>
      </c>
      <c r="X3" s="26">
        <f>资产资本表!X107</f>
        <v>1977896014.0699999</v>
      </c>
      <c r="Y3" s="26">
        <f>资产资本表!Y107</f>
        <v>1892220602.73</v>
      </c>
      <c r="Z3" s="26">
        <f>资产资本表!Z107</f>
        <v>1763420146.3699999</v>
      </c>
      <c r="AA3" s="26">
        <f>资产资本表!AA107</f>
        <v>1643908869.0699999</v>
      </c>
      <c r="AB3" s="26">
        <f>资产资本表!AB107</f>
        <v>1756834966.6400001</v>
      </c>
      <c r="AC3" s="26">
        <f>资产资本表!AC107</f>
        <v>1650493578.27</v>
      </c>
      <c r="AD3" s="26">
        <f>资产资本表!AD107</f>
        <v>1556751168.1600001</v>
      </c>
      <c r="AE3" s="26">
        <f>资产资本表!AE107</f>
        <v>1439317961.3</v>
      </c>
      <c r="AF3" s="26">
        <f>资产资本表!AF107</f>
        <v>1533876742.3699999</v>
      </c>
      <c r="AG3" s="26">
        <f>资产资本表!AG107</f>
        <v>1476505584.9100001</v>
      </c>
      <c r="AH3" s="26">
        <f>资产资本表!AH107</f>
        <v>1378242583.3099999</v>
      </c>
      <c r="AI3" s="26">
        <f>资产资本表!AI107</f>
        <v>1311332115.0699999</v>
      </c>
      <c r="AJ3" s="26">
        <f>资产资本表!AJ107</f>
        <v>1382399929.6200001</v>
      </c>
      <c r="AK3" s="26">
        <f>资产资本表!AK107</f>
        <v>1332248508.1299999</v>
      </c>
      <c r="AL3" s="26">
        <f>资产资本表!AL107</f>
        <v>1288752066.0799999</v>
      </c>
      <c r="AM3" s="26">
        <f>资产资本表!AM107</f>
        <v>331008478.93000001</v>
      </c>
      <c r="AN3" s="26">
        <f>资产资本表!AN107</f>
        <v>301337851.48000002</v>
      </c>
      <c r="AO3" s="26">
        <f>资产资本表!AO107</f>
        <v>233287089.20999998</v>
      </c>
      <c r="AP3" s="26">
        <f>资产资本表!AP107</f>
        <v>127707873.51000001</v>
      </c>
      <c r="AQ3" s="26">
        <f>资产资本表!AQ107</f>
        <v>0</v>
      </c>
      <c r="AR3" s="26">
        <f>资产资本表!AR107</f>
        <v>10641944677.480001</v>
      </c>
      <c r="AS3" s="26">
        <f>资产资本表!AS107</f>
        <v>9626236984.1700001</v>
      </c>
      <c r="AT3" s="26">
        <f>资产资本表!AT107</f>
        <v>9485588152.4899998</v>
      </c>
      <c r="AU3" s="26">
        <f>资产资本表!AU107</f>
        <v>9304015150.3199997</v>
      </c>
      <c r="AV3" s="26">
        <f>资产资本表!AV107</f>
        <v>9051649388.7700005</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430</v>
      </c>
      <c r="E4" s="59">
        <f>E2/E3</f>
        <v>0.12976612054436637</v>
      </c>
      <c r="F4" s="59">
        <f t="shared" ref="F4:BQ4" si="0">F2/F3</f>
        <v>0.1021570015524719</v>
      </c>
      <c r="G4" s="59">
        <f t="shared" si="0"/>
        <v>5.6994595621886746E-2</v>
      </c>
      <c r="H4" s="59">
        <f t="shared" si="0"/>
        <v>4.1709269358449458E-2</v>
      </c>
      <c r="I4" s="59">
        <f t="shared" si="0"/>
        <v>0.12048686330780947</v>
      </c>
      <c r="J4" s="59">
        <f t="shared" si="0"/>
        <v>9.6596908128557937E-2</v>
      </c>
      <c r="K4" s="59">
        <f t="shared" si="0"/>
        <v>5.9652142653294167E-2</v>
      </c>
      <c r="L4" s="59">
        <f t="shared" si="0"/>
        <v>4.1082383218550796E-2</v>
      </c>
      <c r="M4" s="59">
        <f t="shared" si="0"/>
        <v>0.15983948236672449</v>
      </c>
      <c r="N4" s="59">
        <f t="shared" si="0"/>
        <v>0.13043451674706133</v>
      </c>
      <c r="O4" s="59">
        <f t="shared" si="0"/>
        <v>7.8036315425067213E-2</v>
      </c>
      <c r="P4" s="59">
        <f t="shared" si="0"/>
        <v>4.5440388856431688E-2</v>
      </c>
      <c r="Q4" s="59">
        <f t="shared" si="0"/>
        <v>0.1595490618479575</v>
      </c>
      <c r="R4" s="59">
        <f t="shared" si="0"/>
        <v>0.12017590229298154</v>
      </c>
      <c r="S4" s="59">
        <f t="shared" si="0"/>
        <v>7.2138587315751804E-2</v>
      </c>
      <c r="T4" s="59">
        <f t="shared" si="0"/>
        <v>4.4491928256995474E-2</v>
      </c>
      <c r="U4" s="59">
        <f t="shared" si="0"/>
        <v>0.1555296240655534</v>
      </c>
      <c r="V4" s="59">
        <f t="shared" si="0"/>
        <v>0.11657101150868268</v>
      </c>
      <c r="W4" s="59">
        <f t="shared" si="0"/>
        <v>7.0825032165609675E-2</v>
      </c>
      <c r="X4" s="59">
        <f t="shared" si="0"/>
        <v>4.3316438645175287E-2</v>
      </c>
      <c r="Y4" s="59">
        <f t="shared" si="0"/>
        <v>0.20139232062065016</v>
      </c>
      <c r="Z4" s="59">
        <f t="shared" si="0"/>
        <v>0.14363546238336727</v>
      </c>
      <c r="AA4" s="59">
        <f t="shared" si="0"/>
        <v>8.1378228025305185E-2</v>
      </c>
      <c r="AB4" s="59">
        <f t="shared" si="0"/>
        <v>6.0530095535029721E-2</v>
      </c>
      <c r="AC4" s="59">
        <f t="shared" si="0"/>
        <v>0.22543363127168314</v>
      </c>
      <c r="AD4" s="59">
        <f t="shared" si="0"/>
        <v>0.17957987825403518</v>
      </c>
      <c r="AE4" s="59">
        <f t="shared" si="0"/>
        <v>0.11264222551879027</v>
      </c>
      <c r="AF4" s="59">
        <f t="shared" si="0"/>
        <v>5.7808570337270854E-2</v>
      </c>
      <c r="AG4" s="59">
        <f t="shared" si="0"/>
        <v>0.14272958100110802</v>
      </c>
      <c r="AH4" s="59">
        <f t="shared" si="0"/>
        <v>0.10466099867091047</v>
      </c>
      <c r="AI4" s="59">
        <f t="shared" si="0"/>
        <v>5.8976498822246579E-2</v>
      </c>
      <c r="AJ4" s="59">
        <f t="shared" si="0"/>
        <v>3.6288427744487498E-2</v>
      </c>
      <c r="AK4" s="59">
        <f t="shared" si="0"/>
        <v>0.10916921744138136</v>
      </c>
      <c r="AL4" s="59">
        <f t="shared" si="0"/>
        <v>7.8884195033126922E-2</v>
      </c>
      <c r="AM4" s="59">
        <f t="shared" si="0"/>
        <v>0.15423043646805229</v>
      </c>
      <c r="AN4" s="59">
        <f t="shared" si="0"/>
        <v>0.11209244389346781</v>
      </c>
      <c r="AO4" s="59">
        <f t="shared" si="0"/>
        <v>0.47250704564612006</v>
      </c>
      <c r="AP4" s="59">
        <f t="shared" si="0"/>
        <v>0.65853542172883128</v>
      </c>
      <c r="AQ4" s="59" t="e">
        <f t="shared" si="0"/>
        <v>#DIV/0!</v>
      </c>
      <c r="AR4" s="59">
        <f t="shared" si="0"/>
        <v>4.6530234765066944E-3</v>
      </c>
      <c r="AS4" s="59">
        <f t="shared" si="0"/>
        <v>0</v>
      </c>
      <c r="AT4" s="59">
        <f t="shared" si="0"/>
        <v>-6.3957652305486765E-2</v>
      </c>
      <c r="AU4" s="59">
        <f t="shared" si="0"/>
        <v>-5.6453495505317926E-2</v>
      </c>
      <c r="AV4" s="59">
        <f t="shared" si="0"/>
        <v>-4.0932230447377788E-2</v>
      </c>
      <c r="AW4" s="59">
        <f t="shared" si="0"/>
        <v>-6.6404507779177488E-2</v>
      </c>
      <c r="AX4" s="59">
        <f t="shared" si="0"/>
        <v>-6.1103607040135344E-2</v>
      </c>
      <c r="AY4" s="59">
        <f t="shared" si="0"/>
        <v>-4.9629148809012189E-2</v>
      </c>
      <c r="AZ4" s="59">
        <f t="shared" si="0"/>
        <v>-3.5026271701805722E-2</v>
      </c>
      <c r="BA4" s="59">
        <f t="shared" si="0"/>
        <v>-5.0853060463875034E-2</v>
      </c>
      <c r="BB4" s="59">
        <f t="shared" si="0"/>
        <v>-5.1205500633057732E-2</v>
      </c>
      <c r="BC4" s="59">
        <f t="shared" si="0"/>
        <v>-4.6121531415502376E-2</v>
      </c>
      <c r="BD4" s="59">
        <f t="shared" si="0"/>
        <v>-3.3192191183581021E-2</v>
      </c>
      <c r="BE4" s="59">
        <f t="shared" si="0"/>
        <v>-6.3014106011219678E-2</v>
      </c>
      <c r="BF4" s="59">
        <f t="shared" si="0"/>
        <v>-5.3138023037392887E-2</v>
      </c>
      <c r="BG4" s="59">
        <f t="shared" si="0"/>
        <v>-4.2409134677930588E-2</v>
      </c>
      <c r="BH4" s="59">
        <f t="shared" si="0"/>
        <v>-2.9736987250561689E-2</v>
      </c>
      <c r="BI4" s="59">
        <f t="shared" si="0"/>
        <v>-5.901924832437138E-2</v>
      </c>
      <c r="BJ4" s="59">
        <f t="shared" si="0"/>
        <v>-4.9655280618628096E-2</v>
      </c>
      <c r="BK4" s="59">
        <f t="shared" si="0"/>
        <v>-4.1645710825496417E-2</v>
      </c>
      <c r="BL4" s="59">
        <f t="shared" si="0"/>
        <v>-3.6475277682160433E-2</v>
      </c>
      <c r="BM4" s="59">
        <f t="shared" si="0"/>
        <v>-4.1940764562401395E-2</v>
      </c>
      <c r="BN4" s="59">
        <f t="shared" si="0"/>
        <v>-3.2060575046575363E-2</v>
      </c>
      <c r="BO4" s="59">
        <f t="shared" si="0"/>
        <v>-2.2373063298402562E-2</v>
      </c>
      <c r="BP4" s="59">
        <f t="shared" si="0"/>
        <v>-2.3017074472285983E-2</v>
      </c>
      <c r="BQ4" s="59">
        <f t="shared" si="0"/>
        <v>-1.6801503628961819E-2</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156898905.18959999</v>
      </c>
      <c r="F5" s="26">
        <f>股权价值增加表!F47</f>
        <v>67435940.143600076</v>
      </c>
      <c r="G5" s="26">
        <f>股权价值增加表!G47</f>
        <v>-66829377.048000246</v>
      </c>
      <c r="H5" s="26">
        <f>股权价值增加表!H47</f>
        <v>-115103573.74880002</v>
      </c>
      <c r="I5" s="26">
        <f>股权价值增加表!I47</f>
        <v>116612618.8871997</v>
      </c>
      <c r="J5" s="26">
        <f>股权价值增加表!J47</f>
        <v>46637974.101200044</v>
      </c>
      <c r="K5" s="26">
        <f>股权价值增加表!K47</f>
        <v>-54455797.05919981</v>
      </c>
      <c r="L5" s="26">
        <f>股权价值增加表!L47</f>
        <v>-107832644.57599998</v>
      </c>
      <c r="M5" s="26">
        <f>股权价值增加表!M47</f>
        <v>212010520.97879997</v>
      </c>
      <c r="N5" s="26">
        <f>股权价值增加表!N47</f>
        <v>128426523.47959998</v>
      </c>
      <c r="O5" s="26">
        <f>股权价值增加表!O47</f>
        <v>-4710796.6016000807</v>
      </c>
      <c r="P5" s="26">
        <f>股权价值增加表!P47</f>
        <v>-90053147.276000053</v>
      </c>
      <c r="Q5" s="26">
        <f>股权价值增加表!Q47</f>
        <v>197864629.11680013</v>
      </c>
      <c r="R5" s="26">
        <f>股权价值增加表!R47</f>
        <v>92568040.539600074</v>
      </c>
      <c r="S5" s="26">
        <f>股权价值增加表!S47</f>
        <v>-17175475.354800016</v>
      </c>
      <c r="T5" s="26">
        <f>股权价值增加表!T47</f>
        <v>-78984051.278399989</v>
      </c>
      <c r="U5" s="26">
        <f>股权价值增加表!U47</f>
        <v>160532881.25319999</v>
      </c>
      <c r="V5" s="26">
        <f>股权价值增加表!V47</f>
        <v>74264222.605599999</v>
      </c>
      <c r="W5" s="26">
        <f>股权价值增加表!W47</f>
        <v>-17714192.575200051</v>
      </c>
      <c r="X5" s="26">
        <f>股权价值增加表!X47</f>
        <v>-72556269.785600096</v>
      </c>
      <c r="Y5" s="26">
        <f>股权价值增加表!Y47</f>
        <v>229701050.09160006</v>
      </c>
      <c r="Z5" s="26">
        <f>股权价值增加表!Z47</f>
        <v>112216056.39040014</v>
      </c>
      <c r="AA5" s="26">
        <f>股权价值增加表!AA47</f>
        <v>2265681.2744000107</v>
      </c>
      <c r="AB5" s="26">
        <f>股权价值增加表!AB47</f>
        <v>-34205408.961200044</v>
      </c>
      <c r="AC5" s="26">
        <f>股权价值增加表!AC47</f>
        <v>240037274.47840005</v>
      </c>
      <c r="AD5" s="26">
        <f>股权价值增加表!AD47</f>
        <v>155021091.79719988</v>
      </c>
      <c r="AE5" s="26">
        <f>股权价值增加表!AE47</f>
        <v>46982541.486000046</v>
      </c>
      <c r="AF5" s="26">
        <f>股权价值增加表!AF47</f>
        <v>-34038917.839599967</v>
      </c>
      <c r="AG5" s="26">
        <f>股权价值增加表!AG47</f>
        <v>92620576.687200248</v>
      </c>
      <c r="AH5" s="26">
        <f>股权价值增加表!AH47</f>
        <v>33988838.515200123</v>
      </c>
      <c r="AI5" s="26">
        <f>股权价值增加表!AI47</f>
        <v>-27568792.265600026</v>
      </c>
      <c r="AJ5" s="26">
        <f>股权价值增加表!AJ47</f>
        <v>-60426874.409600019</v>
      </c>
      <c r="AK5" s="26">
        <f>股权价值增加表!AK47</f>
        <v>38860646.419599861</v>
      </c>
      <c r="AL5" s="26">
        <f>股权价值增加表!AL47</f>
        <v>-1437995.956400007</v>
      </c>
      <c r="AM5" s="26">
        <f>股权价值增加表!AM47</f>
        <v>24570903.86559999</v>
      </c>
      <c r="AN5" s="26">
        <f>股权价值增加表!AN47</f>
        <v>9670668.0916000344</v>
      </c>
      <c r="AO5" s="26">
        <f>股权价值增加表!AO47</f>
        <v>91566826.173199937</v>
      </c>
      <c r="AP5" s="26">
        <f>股权价值增加表!AP47</f>
        <v>73883528.459200084</v>
      </c>
      <c r="AQ5" s="26">
        <f>股权价值增加表!AQ47</f>
        <v>85138294.759999961</v>
      </c>
      <c r="AR5" s="26">
        <f>股权价值增加表!AR47</f>
        <v>49517218.419999912</v>
      </c>
      <c r="AS5" s="26">
        <f>股权价值增加表!AS47</f>
        <v>0</v>
      </c>
      <c r="AT5" s="26">
        <f>股权价值增加表!AT47</f>
        <v>-1365523001.1691999</v>
      </c>
      <c r="AU5" s="26">
        <f>股权价值增加表!AU47</f>
        <v>-1269565389.4956</v>
      </c>
      <c r="AV5" s="26">
        <f>股权价值增加表!AV47</f>
        <v>-1094636149.8116</v>
      </c>
      <c r="AW5" s="26">
        <f>股权价值增加表!AW47</f>
        <v>-1214450063.3312001</v>
      </c>
      <c r="AX5" s="26">
        <f>股权价值增加表!AX47</f>
        <v>-1148538939.4868002</v>
      </c>
      <c r="AY5" s="26">
        <f>股权价值增加表!AY47</f>
        <v>-1029093452.312</v>
      </c>
      <c r="AZ5" s="26">
        <f>股权价值增加表!AZ47</f>
        <v>-912708678.76999998</v>
      </c>
      <c r="BA5" s="26">
        <f>股权价值增加表!BA47</f>
        <v>-966476645.33319998</v>
      </c>
      <c r="BB5" s="26">
        <f>股权价值增加表!BB47</f>
        <v>-965766447.68720007</v>
      </c>
      <c r="BC5" s="26">
        <f>股权价值增加表!BC47</f>
        <v>-905480197.47199988</v>
      </c>
      <c r="BD5" s="26">
        <f>股权价值增加表!BD47</f>
        <v>-792737615.93959999</v>
      </c>
      <c r="BE5" s="26">
        <f>股权价值增加表!BE47</f>
        <v>-942028467.71160007</v>
      </c>
      <c r="BF5" s="26">
        <f>股权价值增加表!BF47</f>
        <v>-856598894.06439996</v>
      </c>
      <c r="BG5" s="26">
        <f>股权价值增加表!BG47</f>
        <v>-770285781.60280001</v>
      </c>
      <c r="BH5" s="26">
        <f>股权价值增加表!BH47</f>
        <v>-703335824.93879998</v>
      </c>
      <c r="BI5" s="26">
        <f>股权价值增加表!BI47</f>
        <v>-837715071.78279996</v>
      </c>
      <c r="BJ5" s="26">
        <f>股权价值增加表!BJ47</f>
        <v>-761129027.17720008</v>
      </c>
      <c r="BK5" s="26">
        <f>股权价值增加表!BK47</f>
        <v>-694810452.53199995</v>
      </c>
      <c r="BL5" s="26">
        <f>股权价值增加表!BL47</f>
        <v>-653614035.78559995</v>
      </c>
      <c r="BM5" s="26">
        <f>股权价值增加表!BM47</f>
        <v>-648980937.67680001</v>
      </c>
      <c r="BN5" s="26">
        <f>股权价值增加表!BN47</f>
        <v>-584316686.89160001</v>
      </c>
      <c r="BO5" s="26">
        <f>股权价值增加表!BO47</f>
        <v>-519580365.63720006</v>
      </c>
      <c r="BP5" s="26">
        <f>股权价值增加表!BP47</f>
        <v>-510447612.64480001</v>
      </c>
      <c r="BQ5" s="26">
        <f>股权价值增加表!BQ47</f>
        <v>-455184205.68400002</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437</v>
      </c>
      <c r="E6" s="158">
        <f>股权价值增加表!E31/股权价值增加表!E4</f>
        <v>0.11548789743858551</v>
      </c>
      <c r="F6" s="158">
        <f>股权价值增加表!F31/股权价值增加表!F4</f>
        <v>0.13364858043541908</v>
      </c>
      <c r="G6" s="158">
        <f>股权价值增加表!G31/股权价值增加表!G4</f>
        <v>0.11738433870662425</v>
      </c>
      <c r="H6" s="158">
        <f>股权价值增加表!H31/股权价值增加表!H4</f>
        <v>0.13834684275621684</v>
      </c>
      <c r="I6" s="158">
        <f>股权价值增加表!I31/股权价值增加表!I4</f>
        <v>0.13691142497678241</v>
      </c>
      <c r="J6" s="158">
        <f>股权价值增加表!J31/股权价值增加表!J4</f>
        <v>0.15448136965877582</v>
      </c>
      <c r="K6" s="158">
        <f>股权价值增加表!K31/股权价值增加表!K4</f>
        <v>0.15007947332205959</v>
      </c>
      <c r="L6" s="158">
        <f>股权价值增加表!L31/股权价值增加表!L4</f>
        <v>0.17857891644584431</v>
      </c>
      <c r="M6" s="158">
        <f>股权价值增加表!M31/股权价值增加表!M4</f>
        <v>0.1767056900652649</v>
      </c>
      <c r="N6" s="158">
        <f>股权价值增加表!N31/股权价值增加表!N4</f>
        <v>0.18117107853799705</v>
      </c>
      <c r="O6" s="158">
        <f>股权价值增加表!O31/股权价值增加表!O4</f>
        <v>0.16793105081825721</v>
      </c>
      <c r="P6" s="158">
        <f>股权价值增加表!P31/股权价值增加表!P4</f>
        <v>0.19188129004541116</v>
      </c>
      <c r="Q6" s="158">
        <f>股权价值增加表!Q31/股权价值增加表!Q4</f>
        <v>0.16363673306029453</v>
      </c>
      <c r="R6" s="158">
        <f>股权价值增加表!R31/股权价值增加表!R4</f>
        <v>0.15918559130160692</v>
      </c>
      <c r="S6" s="158">
        <f>股权价值增加表!S31/股权价值增加表!S4</f>
        <v>0.15286090009843167</v>
      </c>
      <c r="T6" s="158">
        <f>股权价值增加表!T31/股权价值增加表!T4</f>
        <v>0.16546084627031665</v>
      </c>
      <c r="U6" s="158">
        <f>股权价值增加表!U31/股权价值增加表!U4</f>
        <v>0.15502846516518526</v>
      </c>
      <c r="V6" s="158">
        <f>股权价值增加表!V31/股权价值增加表!V4</f>
        <v>0.14979323540928197</v>
      </c>
      <c r="W6" s="158">
        <f>股权价值增加表!W31/股权价值增加表!W4</f>
        <v>0.13938030647624852</v>
      </c>
      <c r="X6" s="158">
        <f>股权价值增加表!X31/股权价值增加表!X4</f>
        <v>0.16119944850569162</v>
      </c>
      <c r="Y6" s="158">
        <f>股权价值增加表!Y31/股权价值增加表!Y4</f>
        <v>0.16295342989507589</v>
      </c>
      <c r="Z6" s="158">
        <f>股权价值增加表!Z31/股权价值增加表!Z4</f>
        <v>0.1511278812940986</v>
      </c>
      <c r="AA6" s="158">
        <f>股权价值增加表!AA31/股权价值增加表!AA4</f>
        <v>0.14127096750997389</v>
      </c>
      <c r="AB6" s="158">
        <f>股权价值增加表!AB31/股权价值增加表!AB4</f>
        <v>0.20332066927257439</v>
      </c>
      <c r="AC6" s="158">
        <f>股权价值增加表!AC31/股权价值增加表!AC4</f>
        <v>0.18630172282834179</v>
      </c>
      <c r="AD6" s="158">
        <f>股权价值增加表!AD31/股权价值增加表!AD4</f>
        <v>0.18978228061172001</v>
      </c>
      <c r="AE6" s="158">
        <f>股权价值增加表!AE31/股权价值增加表!AE4</f>
        <v>0.17949140438024375</v>
      </c>
      <c r="AF6" s="158">
        <f>股权价值增加表!AF31/股权价值增加表!AF4</f>
        <v>0.19314182921075071</v>
      </c>
      <c r="AG6" s="158">
        <f>股权价值增加表!AG31/股权价值增加表!AG4</f>
        <v>0.15552461432722967</v>
      </c>
      <c r="AH6" s="158">
        <f>股权价值增加表!AH31/股权价值增加表!AH4</f>
        <v>0.17560042709521137</v>
      </c>
      <c r="AI6" s="158">
        <f>股权价值增加表!AI31/股权价值增加表!AI4</f>
        <v>0.16607909636416637</v>
      </c>
      <c r="AJ6" s="158">
        <f>股权价值增加表!AJ31/股权价值增加表!AJ4</f>
        <v>0.18667113345001354</v>
      </c>
      <c r="AK6" s="158">
        <f>股权价值增加表!AK31/股权价值增加表!AK4</f>
        <v>0.17193287337498189</v>
      </c>
      <c r="AL6" s="158">
        <f>股权价值增加表!AL31/股权价值增加表!AL4</f>
        <v>0.18377155640166704</v>
      </c>
      <c r="AM6" s="158">
        <f>股权价值增加表!AM31/股权价值增加表!AM4</f>
        <v>0.16463435499440751</v>
      </c>
      <c r="AN6" s="158">
        <f>股权价值增加表!AN31/股权价值增加表!AN4</f>
        <v>0.17604163531376499</v>
      </c>
      <c r="AO6" s="158">
        <f>股权价值增加表!AO31/股权价值增加表!AO4</f>
        <v>0.15298074179507948</v>
      </c>
      <c r="AP6" s="158">
        <f>股权价值增加表!AP31/股权价值增加表!AP4</f>
        <v>0.16715900526545061</v>
      </c>
      <c r="AQ6" s="158">
        <f>股权价值增加表!AQ31/股权价值增加表!AQ4</f>
        <v>0.15041065267181283</v>
      </c>
      <c r="AR6" s="158">
        <f>股权价值增加表!AR31/股权价值增加表!AR4</f>
        <v>9.9588160369455947E-2</v>
      </c>
      <c r="AS6" s="158" t="e">
        <f>股权价值增加表!AS31/股权价值增加表!AS4</f>
        <v>#DIV/0!</v>
      </c>
      <c r="AT6" s="158" t="e">
        <f>股权价值增加表!AT31/股权价值增加表!AT4</f>
        <v>#DIV/0!</v>
      </c>
      <c r="AU6" s="158" t="e">
        <f>股权价值增加表!AU31/股权价值增加表!AU4</f>
        <v>#DIV/0!</v>
      </c>
      <c r="AV6" s="158" t="e">
        <f>股权价值增加表!AV31/股权价值增加表!AV4</f>
        <v>#DIV/0!</v>
      </c>
      <c r="AW6" s="158" t="e">
        <f>股权价值增加表!AW31/股权价值增加表!AW4</f>
        <v>#DIV/0!</v>
      </c>
      <c r="AX6" s="158" t="e">
        <f>股权价值增加表!AX31/股权价值增加表!AX4</f>
        <v>#DIV/0!</v>
      </c>
      <c r="AY6" s="158" t="e">
        <f>股权价值增加表!AY31/股权价值增加表!AY4</f>
        <v>#DIV/0!</v>
      </c>
      <c r="AZ6" s="158" t="e">
        <f>股权价值增加表!AZ31/股权价值增加表!AZ4</f>
        <v>#DIV/0!</v>
      </c>
      <c r="BA6" s="158" t="e">
        <f>股权价值增加表!BA31/股权价值增加表!BA4</f>
        <v>#DIV/0!</v>
      </c>
      <c r="BB6" s="158" t="e">
        <f>股权价值增加表!BB31/股权价值增加表!BB4</f>
        <v>#DIV/0!</v>
      </c>
      <c r="BC6" s="158" t="e">
        <f>股权价值增加表!BC31/股权价值增加表!BC4</f>
        <v>#DIV/0!</v>
      </c>
      <c r="BD6" s="158" t="e">
        <f>股权价值增加表!BD31/股权价值增加表!BD4</f>
        <v>#DIV/0!</v>
      </c>
      <c r="BE6" s="158" t="e">
        <f>股权价值增加表!BE31/股权价值增加表!BE4</f>
        <v>#DIV/0!</v>
      </c>
      <c r="BF6" s="158" t="e">
        <f>股权价值增加表!BF31/股权价值增加表!BF4</f>
        <v>#DIV/0!</v>
      </c>
      <c r="BG6" s="158" t="e">
        <f>股权价值增加表!BG31/股权价值增加表!BG4</f>
        <v>#DIV/0!</v>
      </c>
      <c r="BH6" s="158" t="e">
        <f>股权价值增加表!BH31/股权价值增加表!BH4</f>
        <v>#DIV/0!</v>
      </c>
      <c r="BI6" s="158" t="e">
        <f>股权价值增加表!BI31/股权价值增加表!BI4</f>
        <v>#DIV/0!</v>
      </c>
      <c r="BJ6" s="158" t="e">
        <f>股权价值增加表!BJ31/股权价值增加表!BJ4</f>
        <v>#DIV/0!</v>
      </c>
      <c r="BK6" s="158" t="e">
        <f>股权价值增加表!BK31/股权价值增加表!BK4</f>
        <v>#DIV/0!</v>
      </c>
      <c r="BL6" s="158" t="e">
        <f>股权价值增加表!BL31/股权价值增加表!BL4</f>
        <v>#DIV/0!</v>
      </c>
      <c r="BM6" s="158" t="e">
        <f>股权价值增加表!BM31/股权价值增加表!BM4</f>
        <v>#DIV/0!</v>
      </c>
      <c r="BN6" s="158" t="e">
        <f>股权价值增加表!BN31/股权价值增加表!BN4</f>
        <v>#DIV/0!</v>
      </c>
      <c r="BO6" s="158" t="e">
        <f>股权价值增加表!BO31/股权价值增加表!BO4</f>
        <v>#DIV/0!</v>
      </c>
      <c r="BP6" s="158" t="e">
        <f>股权价值增加表!BP31/股权价值增加表!BP4</f>
        <v>#DIV/0!</v>
      </c>
      <c r="BQ6" s="158" t="e">
        <f>股权价值增加表!BQ31/股权价值增加表!BQ4</f>
        <v>#DIV/0!</v>
      </c>
      <c r="BR6" s="158" t="e">
        <f>股权价值增加表!BR31/股权价值增加表!BR4</f>
        <v>#DIV/0!</v>
      </c>
      <c r="BS6" s="158" t="e">
        <f>股权价值增加表!BS31/股权价值增加表!BS4</f>
        <v>#DIV/0!</v>
      </c>
      <c r="BT6" s="158" t="e">
        <f>股权价值增加表!BT31/股权价值增加表!BT4</f>
        <v>#DIV/0!</v>
      </c>
      <c r="BU6" s="158" t="e">
        <f>股权价值增加表!BU31/股权价值增加表!BU4</f>
        <v>#DIV/0!</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431</v>
      </c>
      <c r="E7" s="61">
        <f>股权价值增加表!E4/资产资本表!E70</f>
        <v>1.3647201572749028</v>
      </c>
      <c r="F7" s="61">
        <f>股权价值增加表!F4/资产资本表!F70</f>
        <v>0.91739843303102453</v>
      </c>
      <c r="G7" s="61">
        <f>股权价值增加表!G4/资产资本表!G70</f>
        <v>0.59428897003148862</v>
      </c>
      <c r="H7" s="61">
        <f>股权价值增加表!H4/资产资本表!H70</f>
        <v>0.29770225768693725</v>
      </c>
      <c r="I7" s="61">
        <f>股权价值增加表!I4/资产资本表!I70</f>
        <v>0.93285111508999929</v>
      </c>
      <c r="J7" s="61">
        <f>股权价值增加表!J4/资产资本表!J70</f>
        <v>0.6857061867338754</v>
      </c>
      <c r="K7" s="61">
        <f>股权价值增加表!K4/资产资本表!K70</f>
        <v>0.45318072248464564</v>
      </c>
      <c r="L7" s="61">
        <f>股权价值增加表!L4/资产资本表!L70</f>
        <v>0.26474089018208874</v>
      </c>
      <c r="M7" s="61">
        <f>股权价值增加表!M4/资产资本表!M70</f>
        <v>1.0525215192972486</v>
      </c>
      <c r="N7" s="61">
        <f>股权价值增加表!N4/资产资本表!N70</f>
        <v>0.80352398296516314</v>
      </c>
      <c r="O7" s="61">
        <f>股权价值增加表!O4/资产资本表!O70</f>
        <v>0.52020103479289936</v>
      </c>
      <c r="P7" s="61">
        <f>股权价值增加表!P4/资产资本表!P70</f>
        <v>0.27043196326055757</v>
      </c>
      <c r="Q7" s="61">
        <f>股权价值增加表!Q4/资产资本表!Q70</f>
        <v>1.107699180477099</v>
      </c>
      <c r="R7" s="61">
        <f>股权价值增加表!R4/资产资本表!R70</f>
        <v>0.81438317606313781</v>
      </c>
      <c r="S7" s="61">
        <f>股权价值增加表!S4/资产资本表!S70</f>
        <v>0.50737777547231433</v>
      </c>
      <c r="T7" s="61">
        <f>股权价值增加表!T4/资产资本表!T70</f>
        <v>0.29479934961932625</v>
      </c>
      <c r="U7" s="61">
        <f>股权价值增加表!U4/资产资本表!U70</f>
        <v>1.1832380971325658</v>
      </c>
      <c r="V7" s="61">
        <f>股权价值增加表!V4/资产资本表!V70</f>
        <v>0.84830810386981259</v>
      </c>
      <c r="W7" s="61">
        <f>股权价值增加表!W4/资产资本表!W70</f>
        <v>0.55838210417702971</v>
      </c>
      <c r="X7" s="61">
        <f>股权价值增加表!X4/资产资本表!X70</f>
        <v>0.31111401872627564</v>
      </c>
      <c r="Y7" s="61">
        <f>股权价值增加表!Y4/资产资本表!Y70</f>
        <v>1.4400825449625561</v>
      </c>
      <c r="Z7" s="61">
        <f>股权价值增加表!Z4/资产资本表!Z70</f>
        <v>1.0478057605633775</v>
      </c>
      <c r="AA7" s="61">
        <f>股权价值增加表!AA4/资产资本表!AA70</f>
        <v>0.63050338869840639</v>
      </c>
      <c r="AB7" s="61">
        <f>股权价值增加表!AB4/资产资本表!AB70</f>
        <v>0.34967445239031536</v>
      </c>
      <c r="AC7" s="61">
        <f>股权价值增加表!AC4/资产资本表!AC70</f>
        <v>1.4434680751543425</v>
      </c>
      <c r="AD7" s="61">
        <f>股权价值增加表!AD4/资产资本表!AD70</f>
        <v>1.0495555233988887</v>
      </c>
      <c r="AE7" s="61">
        <f>股权价值增加表!AE4/资产资本表!AE70</f>
        <v>0.69702885321729913</v>
      </c>
      <c r="AF7" s="61">
        <f>股权价值增加表!AF4/资产资本表!AF70</f>
        <v>0.38018038688621913</v>
      </c>
      <c r="AG7" s="61">
        <f>股权价值增加表!AG4/资产资本表!AG70</f>
        <v>1.2318372776428512</v>
      </c>
      <c r="AH7" s="61">
        <f>股权价值增加表!AH4/资产资本表!AH70</f>
        <v>0.83125369821947481</v>
      </c>
      <c r="AI7" s="61">
        <f>股权价值增加表!AI4/资产资本表!AI70</f>
        <v>0.50470001359241556</v>
      </c>
      <c r="AJ7" s="61">
        <f>股权价值增加表!AJ4/资产资本表!AJ70</f>
        <v>0.25993623802395288</v>
      </c>
      <c r="AK7" s="61">
        <f>股权价值增加表!AK4/资产资本表!AK70</f>
        <v>0.85967951425038602</v>
      </c>
      <c r="AL7" s="61">
        <f>股权价值增加表!AL4/资产资本表!AL70</f>
        <v>0.56171748123898846</v>
      </c>
      <c r="AM7" s="61">
        <f>股权价值增加表!AM4/资产资本表!AM70</f>
        <v>1.2312993894521684</v>
      </c>
      <c r="AN7" s="61">
        <f>股权价值增加表!AN4/资产资本表!AN70</f>
        <v>0.84686348255501942</v>
      </c>
      <c r="AO7" s="61">
        <f>股权价值增加表!AO4/资产资本表!AO70</f>
        <v>3.7880571865499042</v>
      </c>
      <c r="AP7" s="61">
        <f>股权价值增加表!AP4/资产资本表!AP70</f>
        <v>4.0632259363501548</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0.15760866155573425</v>
      </c>
      <c r="F8" s="63">
        <f>股权价值增加表!F31/资产资本表!F70</f>
        <v>0.12260899826827432</v>
      </c>
      <c r="G8" s="63">
        <f>股权价值增加表!G31/资产资本表!G70</f>
        <v>6.9760217747787137E-2</v>
      </c>
      <c r="H8" s="63">
        <f>股权价值增加表!H31/资产资本表!H70</f>
        <v>4.118616743238545E-2</v>
      </c>
      <c r="I8" s="63">
        <f>股权价值增加表!I31/资产资本表!I70</f>
        <v>0.12771797545815225</v>
      </c>
      <c r="J8" s="63">
        <f>股权价值增加表!J31/资产资本表!J70</f>
        <v>0.10592883091014535</v>
      </c>
      <c r="K8" s="63">
        <f>股权价值增加表!K31/资产资本表!K70</f>
        <v>6.8013124150206064E-2</v>
      </c>
      <c r="L8" s="63">
        <f>股权价值增加表!L31/资产资本表!L70</f>
        <v>4.7277141307625677E-2</v>
      </c>
      <c r="M8" s="63">
        <f>股权价值增加表!M31/资产资本表!M70</f>
        <v>0.18598654137596132</v>
      </c>
      <c r="N8" s="63">
        <f>股权价值增加表!N31/资产资本表!N70</f>
        <v>0.14557530662494578</v>
      </c>
      <c r="O8" s="63">
        <f>股权价值增加表!O31/资产资本表!O70</f>
        <v>8.7357906409516364E-2</v>
      </c>
      <c r="P8" s="63">
        <f>股权价值增加表!P31/资产资本表!P70</f>
        <v>5.1890833979949022E-2</v>
      </c>
      <c r="Q8" s="63">
        <f>股权价值增加表!Q31/资产资本表!Q70</f>
        <v>0.18126027510683804</v>
      </c>
      <c r="R8" s="63">
        <f>股权价值增加表!R31/资产资本表!R70</f>
        <v>0.12963806742769124</v>
      </c>
      <c r="S8" s="63">
        <f>股权价值增加表!S31/资产资本表!S70</f>
        <v>7.7558223448637942E-2</v>
      </c>
      <c r="T8" s="63">
        <f>股权价值增加表!T31/资产资本表!T70</f>
        <v>4.8777749867952677E-2</v>
      </c>
      <c r="U8" s="63">
        <f>股权价值增加表!U31/资产资本表!U70</f>
        <v>0.18343558612343605</v>
      </c>
      <c r="V8" s="63">
        <f>股权价值增加表!V31/资产资本表!V70</f>
        <v>0.12707081550257246</v>
      </c>
      <c r="W8" s="63">
        <f>股权价值增加表!W31/资产资本表!W70</f>
        <v>7.7827468811046935E-2</v>
      </c>
      <c r="X8" s="63">
        <f>股权价值增加表!X31/资产资本表!X70</f>
        <v>5.0151408241065051E-2</v>
      </c>
      <c r="Y8" s="63">
        <f>股权价值增加表!Y31/资产资本表!Y70</f>
        <v>0.23466639003367831</v>
      </c>
      <c r="Z8" s="63">
        <f>股权价值增加表!Z31/资产资本表!Z70</f>
        <v>0.15835266460169478</v>
      </c>
      <c r="AA8" s="63">
        <f>股权价值增加表!AA31/资产资本表!AA70</f>
        <v>8.9071823739741013E-2</v>
      </c>
      <c r="AB8" s="63">
        <f>股权价值增加表!AB31/资产资本表!AB70</f>
        <v>7.1096043687519872E-2</v>
      </c>
      <c r="AC8" s="63">
        <f>股权价值增加表!AC31/资产资本表!AC70</f>
        <v>0.26892058924896434</v>
      </c>
      <c r="AD8" s="63">
        <f>股权价值增加表!AD31/资产资本表!AD70</f>
        <v>0.19918704085926853</v>
      </c>
      <c r="AE8" s="63">
        <f>股权价值增加表!AE31/资产资本表!AE70</f>
        <v>0.12511068775752379</v>
      </c>
      <c r="AF8" s="63">
        <f>股权价值增加表!AF31/资产资本表!AF70</f>
        <v>7.3428735353255267E-2</v>
      </c>
      <c r="AG8" s="63">
        <f>股权价值增加表!AG31/资产资本表!AG70</f>
        <v>0.19158101751930895</v>
      </c>
      <c r="AH8" s="63">
        <f>股权价值增加表!AH31/资产资本表!AH70</f>
        <v>0.14596850443181372</v>
      </c>
      <c r="AI8" s="63">
        <f>股权价值增加表!AI31/资产资本表!AI70</f>
        <v>8.3820122192410862E-2</v>
      </c>
      <c r="AJ8" s="63">
        <f>股权价值增加表!AJ31/资产资本表!AJ70</f>
        <v>4.8522592176663784E-2</v>
      </c>
      <c r="AK8" s="63">
        <f>股权价值增加表!AK31/资产资本表!AK70</f>
        <v>0.14780716906667754</v>
      </c>
      <c r="AL8" s="63">
        <f>股权价值增加表!AL31/资产资本表!AL70</f>
        <v>0.10322769578531311</v>
      </c>
      <c r="AM8" s="63">
        <f>股权价值增加表!AM31/资产资本表!AM70</f>
        <v>0.20271418078746553</v>
      </c>
      <c r="AN8" s="63">
        <f>股权价值增加表!AN31/资产资本表!AN70</f>
        <v>0.1490832323564957</v>
      </c>
      <c r="AO8" s="63">
        <f>股权价值增加表!AO31/资产资本表!AO70</f>
        <v>0.57949979836058607</v>
      </c>
      <c r="AP8" s="63">
        <f>股权价值增加表!AP31/资产资本表!AP70</f>
        <v>0.67920480568907093</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432</v>
      </c>
      <c r="E9" s="158">
        <f>股权价值增加表!E38/股权价值增加表!E31</f>
        <v>0.92856533378940365</v>
      </c>
      <c r="F9" s="158">
        <f>股权价值增加表!F38/股权价值增加表!F31</f>
        <v>0.94374072669127373</v>
      </c>
      <c r="G9" s="158">
        <f>股权价值增加表!G38/股权价值增加表!G31</f>
        <v>0.90243981120917094</v>
      </c>
      <c r="H9" s="158">
        <f>股权价值增加表!H38/股权价值增加表!H31</f>
        <v>1.0070158973879271</v>
      </c>
      <c r="I9" s="158">
        <f>股权价值增加表!I38/股权价值增加表!I31</f>
        <v>0.99112206330793873</v>
      </c>
      <c r="J9" s="158">
        <f>股权价值增加表!J38/股权价值增加表!J31</f>
        <v>1.0056212725127891</v>
      </c>
      <c r="K9" s="158">
        <f>股权价值增加表!K38/股权价值增加表!K31</f>
        <v>1.0106874436988769</v>
      </c>
      <c r="L9" s="158">
        <f>股权价值增加表!L38/股权价值增加表!L31</f>
        <v>1.0053713341767261</v>
      </c>
      <c r="M9" s="158">
        <f>股权价值增加表!M38/股权价值增加表!M31</f>
        <v>0.99582725377956849</v>
      </c>
      <c r="N9" s="158">
        <f>股权价值增加表!N38/股权价值增加表!N31</f>
        <v>1.0278261331776155</v>
      </c>
      <c r="O9" s="158">
        <f>股权价值增加表!O38/股权价值增加表!O31</f>
        <v>1.0350515318632736</v>
      </c>
      <c r="P9" s="158">
        <f>股权价值增加表!P38/股权价值增加表!P31</f>
        <v>1.0312723277144014</v>
      </c>
      <c r="Q9" s="158">
        <f>股权价值增加表!Q38/股权价值增加表!Q31</f>
        <v>0.99693811835973711</v>
      </c>
      <c r="R9" s="158">
        <f>股权价值增加表!R38/股权价值增加表!R31</f>
        <v>1.0599537544513571</v>
      </c>
      <c r="S9" s="158">
        <f>股权价值增加表!S38/股权价值增加表!S31</f>
        <v>1.0759724555587529</v>
      </c>
      <c r="T9" s="158">
        <f>股权价值增加表!T38/股权价值增加表!T31</f>
        <v>1.0727432625958422</v>
      </c>
      <c r="U9" s="158">
        <f>股权价值增加表!U38/股权价值增加表!U31</f>
        <v>0.99771109053668672</v>
      </c>
      <c r="V9" s="158">
        <f>股权价值增加表!V38/股权价值增加表!V31</f>
        <v>1.0643863330388743</v>
      </c>
      <c r="W9" s="158">
        <f>股权价值增加表!W38/股权价值增加表!W31</f>
        <v>1.0780860172031601</v>
      </c>
      <c r="X9" s="158">
        <f>股权价值增加表!X38/股权价值增加表!X31</f>
        <v>1.0604757412114749</v>
      </c>
      <c r="Y9" s="158">
        <f>股权价值增加表!Y38/股权价值增加表!Y31</f>
        <v>0.99772222134612487</v>
      </c>
      <c r="Z9" s="158">
        <f>股权价值增加表!Z38/股权价值增加表!Z31</f>
        <v>1.0582725417112884</v>
      </c>
      <c r="AA9" s="158">
        <f>股权价值增加表!AA38/股权价值增加表!AA31</f>
        <v>1.0848930906962133</v>
      </c>
      <c r="AB9" s="158">
        <f>股权价值增加表!AB38/股权价值增加表!AB31</f>
        <v>1.0354369186680192</v>
      </c>
      <c r="AC9" s="158">
        <f>股权价值增加表!AC38/股权价值增加表!AC31</f>
        <v>0.99723593577659841</v>
      </c>
      <c r="AD9" s="158">
        <f>股权价值增加表!AD38/股权价值增加表!AD31</f>
        <v>1.0561508327499343</v>
      </c>
      <c r="AE9" s="158">
        <f>股权价值增加表!AE38/股权价值增加表!AE31</f>
        <v>1.040737958695275</v>
      </c>
      <c r="AF9" s="158">
        <f>股权价值增加表!AF38/股权价值增加表!AF31</f>
        <v>1.0487778122189517</v>
      </c>
      <c r="AG9" s="158">
        <f>股权价值增加表!AG38/股权价值增加表!AG31</f>
        <v>0.99730051477379478</v>
      </c>
      <c r="AH9" s="158">
        <f>股权价值增加表!AH38/股权价值增加表!AH31</f>
        <v>1.0640659414808178</v>
      </c>
      <c r="AI9" s="158">
        <f>股权价值增加表!AI38/股权价值增加表!AI31</f>
        <v>1.0308629925648911</v>
      </c>
      <c r="AJ9" s="158">
        <f>股权价值增加表!AJ38/股权价值增加表!AJ31</f>
        <v>1.0367048023766277</v>
      </c>
      <c r="AK9" s="158">
        <f>股权价值增加表!AK38/股权价值增加表!AK31</f>
        <v>0.99721183106887223</v>
      </c>
      <c r="AL9" s="158">
        <f>股权价值增加表!AL38/股权价值增加表!AL31</f>
        <v>1.0060653520412577</v>
      </c>
      <c r="AM9" s="158">
        <f>股权价值增加表!AM38/股权价值增加表!AM31</f>
        <v>1.0028770614892368</v>
      </c>
      <c r="AN9" s="158">
        <f>股权价值增加表!AN38/股权价值增加表!AN31</f>
        <v>1.0000782111361097</v>
      </c>
      <c r="AO9" s="158">
        <f>股权价值增加表!AO38/股权价值增加表!AO31</f>
        <v>0.98767271812747892</v>
      </c>
      <c r="AP9" s="158">
        <f>股权价值增加表!AP38/股权价值增加表!AP31</f>
        <v>0.99178291930623386</v>
      </c>
      <c r="AQ9" s="158">
        <f>股权价值增加表!AQ38/股权价值增加表!AQ31</f>
        <v>0.97841843293231712</v>
      </c>
      <c r="AR9" s="158">
        <f>股权价值增加表!AR38/股权价值增加表!AR31</f>
        <v>0.97365400055192552</v>
      </c>
      <c r="AS9" s="158" t="e">
        <f>股权价值增加表!AS38/股权价值增加表!AS31</f>
        <v>#DIV/0!</v>
      </c>
      <c r="AT9" s="158">
        <f>股权价值增加表!AT38/股权价值增加表!AT31</f>
        <v>74.693791916224583</v>
      </c>
      <c r="AU9" s="158">
        <f>股权价值增加表!AU38/股权价值增加表!AU31</f>
        <v>762.43841528552787</v>
      </c>
      <c r="AV9" s="158">
        <f>股权价值增加表!AV38/股权价值增加表!AV31</f>
        <v>6.0715712302299112</v>
      </c>
      <c r="AW9" s="158">
        <f>股权价值增加表!AW38/股权价值增加表!AW31</f>
        <v>10.996125403577111</v>
      </c>
      <c r="AX9" s="158">
        <f>股权价值增加表!AX38/股权价值增加表!AX31</f>
        <v>11.563322521142613</v>
      </c>
      <c r="AY9" s="158">
        <f>股权价值增加表!AY38/股权价值增加表!AY31</f>
        <v>14.314610464689412</v>
      </c>
      <c r="AZ9" s="158">
        <f>股权价值增加表!AZ38/股权价值增加表!AZ31</f>
        <v>30.177087999999998</v>
      </c>
      <c r="BA9" s="158">
        <f>股权价值增加表!BA38/股权价值增加表!BA31</f>
        <v>-5.4302495344527406</v>
      </c>
      <c r="BB9" s="158">
        <f>股权价值增加表!BB38/股权价值增加表!BB31</f>
        <v>-13.954913103035617</v>
      </c>
      <c r="BC9" s="158">
        <f>股权价值增加表!BC38/股权价值增加表!BC31</f>
        <v>-9.9942730035859633</v>
      </c>
      <c r="BD9" s="158" t="e">
        <f>股权价值增加表!BD38/股权价值增加表!BD31</f>
        <v>#DIV/0!</v>
      </c>
      <c r="BE9" s="158">
        <f>股权价值增加表!BE38/股权价值增加表!BE31</f>
        <v>-207.72438969261265</v>
      </c>
      <c r="BF9" s="158">
        <f>股权价值增加表!BF38/股权价值增加表!BF31</f>
        <v>38.123657821263173</v>
      </c>
      <c r="BG9" s="158">
        <f>股权价值增加表!BG38/股权价值增加表!BG31</f>
        <v>33.265097832398752</v>
      </c>
      <c r="BH9" s="158">
        <f>股权价值增加表!BH38/股权价值增加表!BH31</f>
        <v>2.6912248525255302</v>
      </c>
      <c r="BI9" s="158">
        <f>股权价值增加表!BI38/股权价值增加表!BI31</f>
        <v>-50.149746229058351</v>
      </c>
      <c r="BJ9" s="158">
        <f>股权价值增加表!BJ38/股权价值增加表!BJ31</f>
        <v>69.171187698585072</v>
      </c>
      <c r="BK9" s="158">
        <f>股权价值增加表!BK38/股权价值增加表!BK31</f>
        <v>232.32435186984958</v>
      </c>
      <c r="BL9" s="158">
        <f>股权价值增加表!BL38/股权价值增加表!BL31</f>
        <v>10.213152951199438</v>
      </c>
      <c r="BM9" s="158">
        <f>股权价值增加表!BM38/股权价值增加表!BM31</f>
        <v>150.18376358893079</v>
      </c>
      <c r="BN9" s="158">
        <f>股权价值增加表!BN38/股权价值增加表!BN31</f>
        <v>12.619124030745919</v>
      </c>
      <c r="BO9" s="158">
        <f>股权价值增加表!BO38/股权价值增加表!BO31</f>
        <v>8.7036936464919741</v>
      </c>
      <c r="BP9" s="158">
        <f>股权价值增加表!BP38/股权价值增加表!BP31</f>
        <v>-42.249783743212781</v>
      </c>
      <c r="BQ9" s="158">
        <f>股权价值增加表!BQ38/股权价值增加表!BQ31</f>
        <v>3.0583806324776739</v>
      </c>
      <c r="BR9" s="158">
        <f>股权价值增加表!BR38/股权价值增加表!BR31</f>
        <v>1</v>
      </c>
      <c r="BS9" s="158">
        <f>股权价值增加表!BS38/股权价值增加表!BS31</f>
        <v>2.6875461769888385</v>
      </c>
      <c r="BT9" s="158">
        <f>股权价值增加表!BT38/股权价值增加表!BT31</f>
        <v>2.0192338281291593</v>
      </c>
      <c r="BU9" s="158">
        <f>股权价值增加表!BU38/股权价值增加表!BU31</f>
        <v>7.0450850452289444</v>
      </c>
      <c r="BV9" s="158" t="e">
        <f>股权价值增加表!BV38/股权价值增加表!BV31</f>
        <v>#DIV/0!</v>
      </c>
      <c r="BW9" s="158" t="e">
        <f>股权价值增加表!BW38/股权价值增加表!BW31</f>
        <v>#DIV/0!</v>
      </c>
      <c r="BX9" s="158" t="e">
        <f>股权价值增加表!BX38/股权价值增加表!BX31</f>
        <v>#DIV/0!</v>
      </c>
      <c r="BY9" s="158" t="e">
        <f>股权价值增加表!BY38/股权价值增加表!BY31</f>
        <v>#DIV/0!</v>
      </c>
      <c r="BZ9" s="158" t="e">
        <f>股权价值增加表!BZ38/股权价值增加表!BZ31</f>
        <v>#DIV/0!</v>
      </c>
      <c r="CA9" s="158" t="e">
        <f>股权价值增加表!CA38/股权价值增加表!CA31</f>
        <v>#DIV/0!</v>
      </c>
      <c r="CB9" s="158" t="e">
        <f>股权价值增加表!CB38/股权价值增加表!CB31</f>
        <v>#DIV/0!</v>
      </c>
      <c r="CC9" s="158" t="e">
        <f>股权价值增加表!CC38/股权价值增加表!CC31</f>
        <v>#DIV/0!</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433</v>
      </c>
      <c r="E10" s="61">
        <f>资产资本表!E70/资产资本表!E107</f>
        <v>1.0834993220530871</v>
      </c>
      <c r="F10" s="61">
        <f>资产资本表!F70/资产资本表!F107</f>
        <v>1.1398643981278374</v>
      </c>
      <c r="G10" s="61">
        <f>资产资本表!G70/资产资本表!G107</f>
        <v>1.1477434264460535</v>
      </c>
      <c r="H10" s="61">
        <f>资产资本表!H70/资产资本表!H107</f>
        <v>1.1819873757712358</v>
      </c>
      <c r="I10" s="61">
        <f>资产资本表!I70/资产资本表!I107</f>
        <v>1.1732006030843016</v>
      </c>
      <c r="J10" s="61">
        <f>资产资本表!J70/资产资本表!J107</f>
        <v>1.1185360313177832</v>
      </c>
      <c r="K10" s="61">
        <f>资产资本表!K70/资产资本表!K107</f>
        <v>1.1074040059635568</v>
      </c>
      <c r="L10" s="61">
        <f>资产资本表!L70/资产资本表!L107</f>
        <v>1.0399488735973903</v>
      </c>
      <c r="M10" s="61">
        <f>资产资本表!M70/资产资本表!M107</f>
        <v>1.0431873338279072</v>
      </c>
      <c r="N10" s="61">
        <f>资产资本表!N70/资产资本表!N107</f>
        <v>1</v>
      </c>
      <c r="O10" s="61">
        <f>资产资本表!O70/资产资本表!O107</f>
        <v>1.0016312612817118</v>
      </c>
      <c r="P10" s="61">
        <f>资产资本表!P70/资产资本表!P107</f>
        <v>1.0010234874905584</v>
      </c>
      <c r="Q10" s="61">
        <f>资产资本表!Q70/资产资本表!Q107</f>
        <v>1.0022463266442319</v>
      </c>
      <c r="R10" s="61">
        <f>资产资本表!R70/资产资本表!R107</f>
        <v>1.0019180906042189</v>
      </c>
      <c r="S10" s="61">
        <f>资产资本表!S70/资产资本表!S107</f>
        <v>1.0034008360650113</v>
      </c>
      <c r="T10" s="61">
        <f>资产资本表!T70/资产资本表!T107</f>
        <v>1.0023755426293626</v>
      </c>
      <c r="U10" s="61">
        <f>资产资本表!U70/资产资本表!U107</f>
        <v>1.0037060934619535</v>
      </c>
      <c r="V10" s="61">
        <f>资产资本表!V70/资产资本表!V107</f>
        <v>0.99999999999999989</v>
      </c>
      <c r="W10" s="61">
        <f>资产资本表!W70/资产资本表!W107</f>
        <v>1</v>
      </c>
      <c r="X10" s="61">
        <f>资产资本表!X70/资产资本表!X107</f>
        <v>1.0000000000000002</v>
      </c>
      <c r="Y10" s="61">
        <f>资产资本表!Y70/资产资本表!Y107</f>
        <v>1</v>
      </c>
      <c r="Z10" s="61">
        <f>资产资本表!Z70/资产资本表!Z107</f>
        <v>1</v>
      </c>
      <c r="AA10" s="61">
        <f>资产资本表!AA70/资产资本表!AA107</f>
        <v>1.0000000000000002</v>
      </c>
      <c r="AB10" s="61">
        <f>资产资本表!AB70/资产资本表!AB107</f>
        <v>1</v>
      </c>
      <c r="AC10" s="61">
        <f>资产资本表!AC70/资产资本表!AC107</f>
        <v>1</v>
      </c>
      <c r="AD10" s="61">
        <f>资产资本表!AD70/资产资本表!AD107</f>
        <v>0.99999999999999989</v>
      </c>
      <c r="AE10" s="61">
        <f>资产资本表!AE70/资产资本表!AE107</f>
        <v>1.0000000000000002</v>
      </c>
      <c r="AF10" s="61">
        <f>资产资本表!AF70/资产资本表!AF107</f>
        <v>1</v>
      </c>
      <c r="AG10" s="61">
        <f>资产资本表!AG70/资产资本表!AG107</f>
        <v>1</v>
      </c>
      <c r="AH10" s="61">
        <f>资产资本表!AH70/资产资本表!AH107</f>
        <v>1</v>
      </c>
      <c r="AI10" s="61">
        <f>资产资本表!AI70/资产资本表!AI107</f>
        <v>1</v>
      </c>
      <c r="AJ10" s="61">
        <f>资产资本表!AJ70/资产资本表!AJ107</f>
        <v>0.99999999999999978</v>
      </c>
      <c r="AK10" s="61">
        <f>资产资本表!AK70/资产资本表!AK107</f>
        <v>1.0000000000000002</v>
      </c>
      <c r="AL10" s="61">
        <f>资产资本表!AL70/资产资本表!AL107</f>
        <v>1</v>
      </c>
      <c r="AM10" s="61">
        <f>资产资本表!AM70/资产资本表!AM107</f>
        <v>1</v>
      </c>
      <c r="AN10" s="61">
        <f>资产资本表!AN70/资产资本表!AN107</f>
        <v>1</v>
      </c>
      <c r="AO10" s="61">
        <f>资产资本表!AO70/资产资本表!AO107</f>
        <v>1.0214775899385058</v>
      </c>
      <c r="AP10" s="61">
        <f>资产资本表!AP70/资产资本表!AP107</f>
        <v>1.2196342381176966</v>
      </c>
      <c r="AQ10" s="61" t="e">
        <f>资产资本表!AQ70/资产资本表!AQ107</f>
        <v>#DIV/0!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1.0060999096428174</v>
      </c>
      <c r="F11" s="28">
        <f t="shared" ref="F11:BQ11" si="2">F9*F10</f>
        <v>1.0757364554186766</v>
      </c>
      <c r="G11" s="28">
        <f t="shared" si="2"/>
        <v>1.0357693610785434</v>
      </c>
      <c r="H11" s="28">
        <f t="shared" si="2"/>
        <v>1.1902800779134719</v>
      </c>
      <c r="I11" s="28">
        <f t="shared" si="2"/>
        <v>1.1627850024030311</v>
      </c>
      <c r="J11" s="28">
        <f t="shared" si="2"/>
        <v>1.1248236271651941</v>
      </c>
      <c r="K11" s="28">
        <f t="shared" si="2"/>
        <v>1.1192393239292031</v>
      </c>
      <c r="L11" s="28">
        <f t="shared" si="2"/>
        <v>1.0455347865241917</v>
      </c>
      <c r="M11" s="28">
        <f t="shared" si="2"/>
        <v>1.0388343778234748</v>
      </c>
      <c r="N11" s="28">
        <f t="shared" si="2"/>
        <v>1.0278261331776155</v>
      </c>
      <c r="O11" s="28">
        <f t="shared" si="2"/>
        <v>1.0367399713517786</v>
      </c>
      <c r="P11" s="28">
        <f t="shared" si="2"/>
        <v>1.032327822041176</v>
      </c>
      <c r="Q11" s="28">
        <f t="shared" si="2"/>
        <v>0.99917756701765892</v>
      </c>
      <c r="R11" s="28">
        <f t="shared" si="2"/>
        <v>1.0619868417886769</v>
      </c>
      <c r="S11" s="28">
        <f t="shared" si="2"/>
        <v>1.0796316614905759</v>
      </c>
      <c r="T11" s="28">
        <f t="shared" si="2"/>
        <v>1.0752916099465002</v>
      </c>
      <c r="U11" s="28">
        <f t="shared" si="2"/>
        <v>1.0014087010862431</v>
      </c>
      <c r="V11" s="28">
        <f t="shared" si="2"/>
        <v>1.0643863330388741</v>
      </c>
      <c r="W11" s="28">
        <f t="shared" si="2"/>
        <v>1.0780860172031601</v>
      </c>
      <c r="X11" s="28">
        <f t="shared" si="2"/>
        <v>1.0604757412114751</v>
      </c>
      <c r="Y11" s="28">
        <f t="shared" si="2"/>
        <v>0.99772222134612487</v>
      </c>
      <c r="Z11" s="28">
        <f t="shared" si="2"/>
        <v>1.0582725417112884</v>
      </c>
      <c r="AA11" s="28">
        <f t="shared" si="2"/>
        <v>1.0848930906962135</v>
      </c>
      <c r="AB11" s="28">
        <f t="shared" si="2"/>
        <v>1.0354369186680192</v>
      </c>
      <c r="AC11" s="28">
        <f t="shared" si="2"/>
        <v>0.99723593577659841</v>
      </c>
      <c r="AD11" s="28">
        <f t="shared" si="2"/>
        <v>1.056150832749934</v>
      </c>
      <c r="AE11" s="28">
        <f t="shared" si="2"/>
        <v>1.0407379586952752</v>
      </c>
      <c r="AF11" s="28">
        <f t="shared" si="2"/>
        <v>1.0487778122189517</v>
      </c>
      <c r="AG11" s="28">
        <f t="shared" si="2"/>
        <v>0.99730051477379478</v>
      </c>
      <c r="AH11" s="28">
        <f t="shared" si="2"/>
        <v>1.0640659414808178</v>
      </c>
      <c r="AI11" s="28">
        <f t="shared" si="2"/>
        <v>1.0308629925648911</v>
      </c>
      <c r="AJ11" s="28">
        <f t="shared" si="2"/>
        <v>1.0367048023766274</v>
      </c>
      <c r="AK11" s="28">
        <f t="shared" si="2"/>
        <v>0.99721183106887246</v>
      </c>
      <c r="AL11" s="28">
        <f t="shared" si="2"/>
        <v>1.0060653520412577</v>
      </c>
      <c r="AM11" s="28">
        <f t="shared" si="2"/>
        <v>1.0028770614892368</v>
      </c>
      <c r="AN11" s="28">
        <f t="shared" si="2"/>
        <v>1.0000782111361097</v>
      </c>
      <c r="AO11" s="28">
        <f t="shared" si="2"/>
        <v>1.0088855477608702</v>
      </c>
      <c r="AP11" s="28">
        <f t="shared" si="2"/>
        <v>1.2096124051662034</v>
      </c>
      <c r="AQ11" s="28" t="e">
        <f t="shared" si="2"/>
        <v>#DIV/0!</v>
      </c>
      <c r="AR11" s="28">
        <f t="shared" si="2"/>
        <v>0</v>
      </c>
      <c r="AS11" s="28" t="e">
        <f t="shared" si="2"/>
        <v>#DIV/0!</v>
      </c>
      <c r="AT11" s="28">
        <f t="shared" si="2"/>
        <v>0</v>
      </c>
      <c r="AU11" s="28">
        <f t="shared" si="2"/>
        <v>0</v>
      </c>
      <c r="AV11" s="28">
        <f t="shared" si="2"/>
        <v>0</v>
      </c>
      <c r="AW11" s="28">
        <f t="shared" si="2"/>
        <v>0</v>
      </c>
      <c r="AX11" s="28">
        <f t="shared" si="2"/>
        <v>0</v>
      </c>
      <c r="AY11" s="28">
        <f t="shared" si="2"/>
        <v>0</v>
      </c>
      <c r="AZ11" s="28">
        <f t="shared" si="2"/>
        <v>0</v>
      </c>
      <c r="BA11" s="28">
        <f t="shared" si="2"/>
        <v>0</v>
      </c>
      <c r="BB11" s="28">
        <f t="shared" si="2"/>
        <v>0</v>
      </c>
      <c r="BC11" s="28">
        <f t="shared" si="2"/>
        <v>0</v>
      </c>
      <c r="BD11" s="28" t="e">
        <f t="shared" si="2"/>
        <v>#DIV/0!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434</v>
      </c>
      <c r="E12" s="158">
        <f>E2/股权价值增加表!E38</f>
        <v>0.81835196645250141</v>
      </c>
      <c r="F12" s="158">
        <f>F2/股权价值增加表!F38</f>
        <v>0.77453296492237977</v>
      </c>
      <c r="G12" s="158">
        <f>G2/股权价值增加表!G38</f>
        <v>0.78879252993404381</v>
      </c>
      <c r="H12" s="158">
        <f>H2/股权价值增加表!H38</f>
        <v>0.85080892448032708</v>
      </c>
      <c r="I12" s="158">
        <f>I2/股权价值增加表!I38</f>
        <v>0.81131265660139151</v>
      </c>
      <c r="J12" s="158">
        <f>J2/股权价值增加表!J38</f>
        <v>0.81070829441275005</v>
      </c>
      <c r="K12" s="158">
        <f>K2/股权价值增加表!K38</f>
        <v>0.78362875314051761</v>
      </c>
      <c r="L12" s="158">
        <f>L2/股权价值增加表!L38</f>
        <v>0.83112421170692574</v>
      </c>
      <c r="M12" s="158">
        <f>M2/股权价值增加表!M38</f>
        <v>0.82728706302335209</v>
      </c>
      <c r="N12" s="158">
        <f>N2/股权价值增加表!N38</f>
        <v>0.87173636704474577</v>
      </c>
      <c r="O12" s="158">
        <f>O2/股权价值增加表!O38</f>
        <v>0.86163770469730894</v>
      </c>
      <c r="P12" s="158">
        <f>P2/股权价值增加表!P38</f>
        <v>0.84826931344326728</v>
      </c>
      <c r="Q12" s="158">
        <f>Q2/股权价值增加表!Q38</f>
        <v>0.88094530460014997</v>
      </c>
      <c r="R12" s="158">
        <f>R2/股权价值增加表!R38</f>
        <v>0.87290244019370189</v>
      </c>
      <c r="S12" s="158">
        <f>S2/股权价值增加表!S38</f>
        <v>0.86151762851197466</v>
      </c>
      <c r="T12" s="158">
        <f>T2/股权价值增加表!T38</f>
        <v>0.84826824362602371</v>
      </c>
      <c r="U12" s="158">
        <f>U2/股权价值增加表!U38</f>
        <v>0.8466777946538846</v>
      </c>
      <c r="V12" s="158">
        <f>V2/股权价值增加表!V38</f>
        <v>0.86187733152709312</v>
      </c>
      <c r="W12" s="158">
        <f>W2/股权价值增加表!W38</f>
        <v>0.84411275176056566</v>
      </c>
      <c r="X12" s="158">
        <f>X2/股权价值增加表!X38</f>
        <v>0.81445833514863331</v>
      </c>
      <c r="Y12" s="158">
        <f>Y2/股权价值增加表!Y38</f>
        <v>0.86016619160904917</v>
      </c>
      <c r="Z12" s="158">
        <f>Z2/股权价值增加表!Z38</f>
        <v>0.85711436380922223</v>
      </c>
      <c r="AA12" s="158">
        <f>AA2/股权价值增加表!AA38</f>
        <v>0.84213349468588627</v>
      </c>
      <c r="AB12" s="158">
        <f>AB2/股权价值增加表!AB38</f>
        <v>0.82224696583847334</v>
      </c>
      <c r="AC12" s="158">
        <f>AC2/股权价值增加表!AC38</f>
        <v>0.84061422011688092</v>
      </c>
      <c r="AD12" s="158">
        <f>AD2/股权价值增加表!AD38</f>
        <v>0.85363192174053548</v>
      </c>
      <c r="AE12" s="158">
        <f>AE2/股权价值增加表!AE38</f>
        <v>0.86509821537256693</v>
      </c>
      <c r="AF12" s="158">
        <f>AF2/股权价值增加表!AF38</f>
        <v>0.75065898898330941</v>
      </c>
      <c r="AG12" s="158">
        <f>AG2/股权价值增加表!AG38</f>
        <v>0.74702557783004353</v>
      </c>
      <c r="AH12" s="158">
        <f>AH2/股权价值增加表!AH38</f>
        <v>0.67384059869438828</v>
      </c>
      <c r="AI12" s="158">
        <f>AI2/股权价值增加表!AI38</f>
        <v>0.68254257761891635</v>
      </c>
      <c r="AJ12" s="158">
        <f>AJ2/股权价值增加表!AJ38</f>
        <v>0.72138822307923789</v>
      </c>
      <c r="AK12" s="158">
        <f>AK2/股权价值增加表!AK38</f>
        <v>0.7406572454831345</v>
      </c>
      <c r="AL12" s="158">
        <f>AL2/股权价值增加表!AL38</f>
        <v>0.75956959572122262</v>
      </c>
      <c r="AM12" s="158">
        <f>AM2/股权价值增加表!AM38</f>
        <v>0.75864440464287464</v>
      </c>
      <c r="AN12" s="158">
        <f>AN2/股权价值增加表!AN38</f>
        <v>0.75181947647656977</v>
      </c>
      <c r="AO12" s="158">
        <f>AO2/股权价值增加表!AO38</f>
        <v>0.80818930449291493</v>
      </c>
      <c r="AP12" s="158">
        <f>AP2/股权价值增加表!AP38</f>
        <v>0.80155284122111681</v>
      </c>
      <c r="AQ12" s="158">
        <f>AQ2/股权价值增加表!AQ38</f>
        <v>0.76588970301868231</v>
      </c>
      <c r="AR12" s="158">
        <f>AR2/股权价值增加表!AR38</f>
        <v>0.9243178684712976</v>
      </c>
      <c r="AS12" s="158" t="e">
        <f>AS2/股权价值增加表!AS38</f>
        <v>#DIV/0!</v>
      </c>
      <c r="AT12" s="158">
        <f>AT2/股权价值增加表!AT38</f>
        <v>-14.592366512196667</v>
      </c>
      <c r="AU12" s="158">
        <f>AU2/股权价值增加表!AU38</f>
        <v>-14.376416082794156</v>
      </c>
      <c r="AV12" s="158">
        <f>AV2/股权价值增加表!AV38</f>
        <v>-91.644454630179325</v>
      </c>
      <c r="AW12" s="158">
        <f>AW2/股权价值增加表!AW38</f>
        <v>-9.9162205411310982</v>
      </c>
      <c r="AX12" s="158">
        <f>AX2/股权价值增加表!AX38</f>
        <v>-17.231369460204579</v>
      </c>
      <c r="AY12" s="158">
        <f>AY2/股权价值增加表!AY38</f>
        <v>-15.021387764306059</v>
      </c>
      <c r="AZ12" s="158">
        <f>AZ2/股权价值增加表!AZ38</f>
        <v>-92.098322439196252</v>
      </c>
      <c r="BA12" s="158">
        <f>BA2/股权价值增加表!BA38</f>
        <v>-17.631308838172572</v>
      </c>
      <c r="BB12" s="158">
        <f>BB2/股权价值增加表!BB38</f>
        <v>-54.304324722487436</v>
      </c>
      <c r="BC12" s="158">
        <f>BC2/股权价值增加表!BC38</f>
        <v>-66.277250227328935</v>
      </c>
      <c r="BD12" s="158">
        <f>BD2/股权价值增加表!BD38</f>
        <v>-38.372760490940244</v>
      </c>
      <c r="BE12" s="158">
        <f>BE2/股权价值增加表!BE38</f>
        <v>-15.764297507062913</v>
      </c>
      <c r="BF12" s="158">
        <f>BF2/股权价值增加表!BF38</f>
        <v>-26.049077122304052</v>
      </c>
      <c r="BG12" s="158">
        <f>BG2/股权价值增加表!BG38</f>
        <v>-23.303157252166656</v>
      </c>
      <c r="BH12" s="158">
        <f>BH2/股权价值增加表!BH38</f>
        <v>-69.000749015543192</v>
      </c>
      <c r="BI12" s="158">
        <f>BI2/股权价值增加表!BI38</f>
        <v>-12.790967082937895</v>
      </c>
      <c r="BJ12" s="158">
        <f>BJ2/股权价值增加表!BJ38</f>
        <v>-14.670402589550692</v>
      </c>
      <c r="BK12" s="158">
        <f>BK2/股权价值增加表!BK38</f>
        <v>-19.530470057823827</v>
      </c>
      <c r="BL12" s="158">
        <f>BL2/股权价值增加表!BL38</f>
        <v>-75.496332781702776</v>
      </c>
      <c r="BM12" s="158">
        <f>BM2/股权价值增加表!BM38</f>
        <v>-8.3062959249435355</v>
      </c>
      <c r="BN12" s="158">
        <f>BN2/股权价值增加表!BN38</f>
        <v>-7.0800067537645504</v>
      </c>
      <c r="BO12" s="158">
        <f>BO2/股权价值增加表!BO38</f>
        <v>-8.6301249443167141</v>
      </c>
      <c r="BP12" s="158">
        <f>BP2/股权价值增加表!BP38</f>
        <v>-15.511200920697274</v>
      </c>
      <c r="BQ12" s="158">
        <f>BQ2/股权价值增加表!BQ38</f>
        <v>-2.0916829946917983</v>
      </c>
      <c r="BR12" s="158">
        <f>BR2/股权价值增加表!BR38</f>
        <v>-11.625</v>
      </c>
      <c r="BS12" s="158">
        <f>BS2/股权价值增加表!BS38</f>
        <v>-5.8283566880658215</v>
      </c>
      <c r="BT12" s="158">
        <f>BT2/股权价值增加表!BT38</f>
        <v>-11.853075776272602</v>
      </c>
      <c r="BU12" s="158">
        <f>BU2/股权价值增加表!BU38</f>
        <v>-13.285141378045161</v>
      </c>
      <c r="BV12" s="158">
        <f>BV2/股权价值增加表!BV38</f>
        <v>-38.705149385866775</v>
      </c>
      <c r="BW12" s="158">
        <f>BW2/股权价值增加表!BW38</f>
        <v>-19.112527092609866</v>
      </c>
      <c r="BX12" s="158">
        <f>BX2/股权价值增加表!BX38</f>
        <v>-5.948062846312304</v>
      </c>
      <c r="BY12" s="158">
        <f>BY2/股权价值增加表!BY38</f>
        <v>-5.0894858138564683</v>
      </c>
      <c r="BZ12" s="158">
        <f>BZ2/股权价值增加表!BZ38</f>
        <v>-10.640426755835241</v>
      </c>
      <c r="CA12" s="158">
        <f>CA2/股权价值增加表!CA38</f>
        <v>15.20372750495731</v>
      </c>
      <c r="CB12" s="158">
        <f>CB2/股权价值增加表!CB38</f>
        <v>8.8774211764848925</v>
      </c>
      <c r="CC12" s="158">
        <f>CC2/股权价值增加表!CC38</f>
        <v>9.6111449985966146</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435</v>
      </c>
      <c r="E13" s="63">
        <f>1-E2/股权价值增加表!E38</f>
        <v>0.18164803354749859</v>
      </c>
      <c r="F13" s="63">
        <f>1-F2/股权价值增加表!F38</f>
        <v>0.22546703507762023</v>
      </c>
      <c r="G13" s="63">
        <f>1-G2/股权价值增加表!G38</f>
        <v>0.21120747006595619</v>
      </c>
      <c r="H13" s="63">
        <f>1-H2/股权价值增加表!H38</f>
        <v>0.14919107551967292</v>
      </c>
      <c r="I13" s="63">
        <f>1-I2/股权价值增加表!I38</f>
        <v>0.18868734339860849</v>
      </c>
      <c r="J13" s="63">
        <f>1-J2/股权价值增加表!J38</f>
        <v>0.18929170558724995</v>
      </c>
      <c r="K13" s="63">
        <f>1-K2/股权价值增加表!K38</f>
        <v>0.21637124685948239</v>
      </c>
      <c r="L13" s="63">
        <f>1-L2/股权价值增加表!L38</f>
        <v>0.16887578829307426</v>
      </c>
      <c r="M13" s="63">
        <f>1-M2/股权价值增加表!M38</f>
        <v>0.17271293697664791</v>
      </c>
      <c r="N13" s="63">
        <f>1-N2/股权价值增加表!N38</f>
        <v>0.12826363295525423</v>
      </c>
      <c r="O13" s="63">
        <f>1-O2/股权价值增加表!O38</f>
        <v>0.13836229530269106</v>
      </c>
      <c r="P13" s="63">
        <f>1-P2/股权价值增加表!P38</f>
        <v>0.15173068655673272</v>
      </c>
      <c r="Q13" s="63">
        <f>1-Q2/股权价值增加表!Q38</f>
        <v>0.11905469539985003</v>
      </c>
      <c r="R13" s="63">
        <f>1-R2/股权价值增加表!R38</f>
        <v>0.12709755980629811</v>
      </c>
      <c r="S13" s="63">
        <f>1-S2/股权价值增加表!S38</f>
        <v>0.13848237148802534</v>
      </c>
      <c r="T13" s="63">
        <f>1-T2/股权价值增加表!T38</f>
        <v>0.15173175637397629</v>
      </c>
      <c r="U13" s="63">
        <f>1-U2/股权价值增加表!U38</f>
        <v>0.1533222053461154</v>
      </c>
      <c r="V13" s="63">
        <f>1-V2/股权价值增加表!V38</f>
        <v>0.13812266847290688</v>
      </c>
      <c r="W13" s="63">
        <f>1-W2/股权价值增加表!W38</f>
        <v>0.15588724823943434</v>
      </c>
      <c r="X13" s="63">
        <f>1-X2/股权价值增加表!X38</f>
        <v>0.18554166485136669</v>
      </c>
      <c r="Y13" s="63">
        <f>1-Y2/股权价值增加表!Y38</f>
        <v>0.13983380839095083</v>
      </c>
      <c r="Z13" s="63">
        <f>1-Z2/股权价值增加表!Z38</f>
        <v>0.14288563619077777</v>
      </c>
      <c r="AA13" s="63">
        <f>1-AA2/股权价值增加表!AA38</f>
        <v>0.15786650531411373</v>
      </c>
      <c r="AB13" s="63">
        <f>1-AB2/股权价值增加表!AB38</f>
        <v>0.17775303416152666</v>
      </c>
      <c r="AC13" s="63">
        <f>1-AC2/股权价值增加表!AC38</f>
        <v>0.15938577988311908</v>
      </c>
      <c r="AD13" s="63">
        <f>1-AD2/股权价值增加表!AD38</f>
        <v>0.14636807825946452</v>
      </c>
      <c r="AE13" s="63">
        <f>1-AE2/股权价值增加表!AE38</f>
        <v>0.13490178462743307</v>
      </c>
      <c r="AF13" s="63">
        <f>1-AF2/股权价值增加表!AF38</f>
        <v>0.24934101101669059</v>
      </c>
      <c r="AG13" s="63">
        <f>1-AG2/股权价值增加表!AG38</f>
        <v>0.25297442216995647</v>
      </c>
      <c r="AH13" s="63">
        <f>1-AH2/股权价值增加表!AH38</f>
        <v>0.32615940130561172</v>
      </c>
      <c r="AI13" s="63">
        <f>1-AI2/股权价值增加表!AI38</f>
        <v>0.31745742238108365</v>
      </c>
      <c r="AJ13" s="63">
        <f>1-AJ2/股权价值增加表!AJ38</f>
        <v>0.27861177692076211</v>
      </c>
      <c r="AK13" s="63">
        <f>1-AK2/股权价值增加表!AK38</f>
        <v>0.2593427545168655</v>
      </c>
      <c r="AL13" s="63">
        <f>1-AL2/股权价值增加表!AL38</f>
        <v>0.24043040427877738</v>
      </c>
      <c r="AM13" s="63">
        <f>1-AM2/股权价值增加表!AM38</f>
        <v>0.24135559535712536</v>
      </c>
      <c r="AN13" s="63">
        <f>1-AN2/股权价值增加表!AN38</f>
        <v>0.24818052352343023</v>
      </c>
      <c r="AO13" s="63">
        <f>1-AO2/股权价值增加表!AO38</f>
        <v>0.19181069550708507</v>
      </c>
      <c r="AP13" s="63">
        <f>1-AP2/股权价值增加表!AP38</f>
        <v>0.19844715877888319</v>
      </c>
      <c r="AQ13" s="63">
        <f>1-AQ2/股权价值增加表!AQ38</f>
        <v>0.23411029698131769</v>
      </c>
      <c r="AR13" s="63">
        <f>1-AR2/股权价值增加表!AR38</f>
        <v>7.5682131528702401E-2</v>
      </c>
      <c r="AS13" s="63" t="e">
        <f>1-AS2/股权价值增加表!AS38</f>
        <v>#DIV/0!</v>
      </c>
      <c r="AT13" s="63">
        <f>1-AT2/股权价值增加表!AT38</f>
        <v>15.592366512196667</v>
      </c>
      <c r="AU13" s="63">
        <f>1-AU2/股权价值增加表!AU38</f>
        <v>15.376416082794156</v>
      </c>
      <c r="AV13" s="63">
        <f>1-AV2/股权价值增加表!AV38</f>
        <v>92.644454630179325</v>
      </c>
      <c r="AW13" s="63">
        <f>1-AW2/股权价值增加表!AW38</f>
        <v>10.916220541131098</v>
      </c>
      <c r="AX13" s="63">
        <f>1-AX2/股权价值增加表!AX38</f>
        <v>18.231369460204579</v>
      </c>
      <c r="AY13" s="63">
        <f>1-AY2/股权价值增加表!AY38</f>
        <v>16.021387764306059</v>
      </c>
      <c r="AZ13" s="63">
        <f>1-AZ2/股权价值增加表!AZ38</f>
        <v>93.098322439196252</v>
      </c>
      <c r="BA13" s="63">
        <f>1-BA2/股权价值增加表!BA38</f>
        <v>18.631308838172572</v>
      </c>
      <c r="BB13" s="63">
        <f>1-BB2/股权价值增加表!BB38</f>
        <v>55.304324722487436</v>
      </c>
      <c r="BC13" s="63">
        <f>1-BC2/股权价值增加表!BC38</f>
        <v>67.277250227328935</v>
      </c>
      <c r="BD13" s="63">
        <f>1-BD2/股权价值增加表!BD38</f>
        <v>39.372760490940244</v>
      </c>
      <c r="BE13" s="63">
        <f>1-BE2/股权价值增加表!BE38</f>
        <v>16.764297507062913</v>
      </c>
      <c r="BF13" s="63">
        <f>1-BF2/股权价值增加表!BF38</f>
        <v>27.049077122304052</v>
      </c>
      <c r="BG13" s="63">
        <f>1-BG2/股权价值增加表!BG38</f>
        <v>24.303157252166656</v>
      </c>
      <c r="BH13" s="63">
        <f>1-BH2/股权价值增加表!BH38</f>
        <v>70.000749015543192</v>
      </c>
      <c r="BI13" s="63">
        <f>1-BI2/股权价值增加表!BI38</f>
        <v>13.790967082937895</v>
      </c>
      <c r="BJ13" s="63">
        <f>1-BJ2/股权价值增加表!BJ38</f>
        <v>15.670402589550692</v>
      </c>
      <c r="BK13" s="63">
        <f>1-BK2/股权价值增加表!BK38</f>
        <v>20.530470057823827</v>
      </c>
      <c r="BL13" s="63">
        <f>1-BL2/股权价值增加表!BL38</f>
        <v>76.496332781702776</v>
      </c>
      <c r="BM13" s="63">
        <f>1-BM2/股权价值增加表!BM38</f>
        <v>9.3062959249435355</v>
      </c>
      <c r="BN13" s="63">
        <f>1-BN2/股权价值增加表!BN38</f>
        <v>8.0800067537645504</v>
      </c>
      <c r="BO13" s="63">
        <f>1-BO2/股权价值增加表!BO38</f>
        <v>9.6301249443167141</v>
      </c>
      <c r="BP13" s="63">
        <f>1-BP2/股权价值增加表!BP38</f>
        <v>16.511200920697274</v>
      </c>
      <c r="BQ13" s="63">
        <f>1-BQ2/股权价值增加表!BQ38</f>
        <v>3.0916829946917983</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436</v>
      </c>
      <c r="E14" s="59">
        <f>E6*E7*E9*E10*E12</f>
        <v>0.12976612054436637</v>
      </c>
      <c r="F14" s="59">
        <f t="shared" ref="F14:BQ14" si="4">F6*F7*F9*F10*F12</f>
        <v>0.10215700155247193</v>
      </c>
      <c r="G14" s="59">
        <f t="shared" si="4"/>
        <v>5.6994595621886732E-2</v>
      </c>
      <c r="H14" s="59">
        <f t="shared" si="4"/>
        <v>4.1709269358449472E-2</v>
      </c>
      <c r="I14" s="59">
        <f t="shared" si="4"/>
        <v>0.1204868633078095</v>
      </c>
      <c r="J14" s="59">
        <f t="shared" si="4"/>
        <v>9.6596908128557937E-2</v>
      </c>
      <c r="K14" s="59">
        <f t="shared" si="4"/>
        <v>5.965214265329416E-2</v>
      </c>
      <c r="L14" s="59">
        <f t="shared" si="4"/>
        <v>4.1082383218550789E-2</v>
      </c>
      <c r="M14" s="59">
        <f t="shared" si="4"/>
        <v>0.15983948236672449</v>
      </c>
      <c r="N14" s="59">
        <f t="shared" si="4"/>
        <v>0.13043451674706133</v>
      </c>
      <c r="O14" s="59">
        <f t="shared" si="4"/>
        <v>7.8036315425067199E-2</v>
      </c>
      <c r="P14" s="59">
        <f t="shared" si="4"/>
        <v>4.5440388856431695E-2</v>
      </c>
      <c r="Q14" s="59">
        <f t="shared" si="4"/>
        <v>0.15954906184795753</v>
      </c>
      <c r="R14" s="59">
        <f t="shared" si="4"/>
        <v>0.1201759022929815</v>
      </c>
      <c r="S14" s="59">
        <f t="shared" si="4"/>
        <v>7.2138587315751804E-2</v>
      </c>
      <c r="T14" s="59">
        <f t="shared" si="4"/>
        <v>4.4491928256995474E-2</v>
      </c>
      <c r="U14" s="59">
        <f t="shared" si="4"/>
        <v>0.1555296240655534</v>
      </c>
      <c r="V14" s="59">
        <f t="shared" si="4"/>
        <v>0.11657101150868268</v>
      </c>
      <c r="W14" s="59">
        <f t="shared" si="4"/>
        <v>7.0825032165609675E-2</v>
      </c>
      <c r="X14" s="59">
        <f t="shared" si="4"/>
        <v>4.3316438645175301E-2</v>
      </c>
      <c r="Y14" s="59">
        <f t="shared" si="4"/>
        <v>0.20139232062065016</v>
      </c>
      <c r="Z14" s="59">
        <f t="shared" si="4"/>
        <v>0.1436354623833673</v>
      </c>
      <c r="AA14" s="59">
        <f t="shared" si="4"/>
        <v>8.1378228025305199E-2</v>
      </c>
      <c r="AB14" s="59">
        <f t="shared" si="4"/>
        <v>6.0530095535029721E-2</v>
      </c>
      <c r="AC14" s="59">
        <f t="shared" si="4"/>
        <v>0.22543363127168314</v>
      </c>
      <c r="AD14" s="59">
        <f t="shared" si="4"/>
        <v>0.17957987825403524</v>
      </c>
      <c r="AE14" s="59">
        <f t="shared" si="4"/>
        <v>0.11264222551879026</v>
      </c>
      <c r="AF14" s="59">
        <f t="shared" si="4"/>
        <v>5.7808570337270854E-2</v>
      </c>
      <c r="AG14" s="59">
        <f t="shared" si="4"/>
        <v>0.14272958100110805</v>
      </c>
      <c r="AH14" s="59">
        <f t="shared" si="4"/>
        <v>0.10466099867091049</v>
      </c>
      <c r="AI14" s="59">
        <f t="shared" si="4"/>
        <v>5.8976498822246572E-2</v>
      </c>
      <c r="AJ14" s="59">
        <f t="shared" si="4"/>
        <v>3.6288427744487498E-2</v>
      </c>
      <c r="AK14" s="59">
        <f t="shared" si="4"/>
        <v>0.10916921744138137</v>
      </c>
      <c r="AL14" s="59">
        <f t="shared" si="4"/>
        <v>7.8884195033126908E-2</v>
      </c>
      <c r="AM14" s="59">
        <f t="shared" si="4"/>
        <v>0.15423043646805229</v>
      </c>
      <c r="AN14" s="59">
        <f t="shared" si="4"/>
        <v>0.11209244389346781</v>
      </c>
      <c r="AO14" s="59">
        <f t="shared" si="4"/>
        <v>0.47250704564612006</v>
      </c>
      <c r="AP14" s="59">
        <f t="shared" si="4"/>
        <v>0.65853542172883128</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697</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39447</v>
      </c>
      <c r="AR18" s="1">
        <v>39082</v>
      </c>
      <c r="AS18" s="1">
        <v>25569</v>
      </c>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9" t="s">
        <v>446</v>
      </c>
      <c r="B19" s="76">
        <v>43373</v>
      </c>
      <c r="C19" s="76">
        <v>43281</v>
      </c>
      <c r="D19" s="76">
        <v>43190</v>
      </c>
      <c r="E19" s="76">
        <f>股权价值增加表!E4</f>
        <v>4661850865.5100002</v>
      </c>
      <c r="F19" s="76">
        <f>股权价值增加表!F4</f>
        <v>3182670009.3200002</v>
      </c>
      <c r="G19" s="76">
        <f>股权价值增加表!G4</f>
        <v>1981435890.6199999</v>
      </c>
      <c r="H19" s="76">
        <f>股权价值增加表!H4</f>
        <v>1057767260.42</v>
      </c>
      <c r="I19" s="76">
        <f>股权价值增加表!I4</f>
        <v>3152216442.1500001</v>
      </c>
      <c r="J19" s="76">
        <f>股权价值增加表!J4</f>
        <v>2155264290.48</v>
      </c>
      <c r="K19" s="76">
        <f>股权价值增加表!K4</f>
        <v>1343083310.6500001</v>
      </c>
      <c r="L19" s="76">
        <f>股权价值增加表!L4</f>
        <v>762846279.96000004</v>
      </c>
      <c r="M19" s="76">
        <f>股权价值增加表!M4</f>
        <v>2915633891.98</v>
      </c>
      <c r="N19" s="76">
        <f>股权价值增加表!N4</f>
        <v>2046094586.02</v>
      </c>
      <c r="O19" s="76">
        <f>股权价值增加表!O4</f>
        <v>1249976092.8499999</v>
      </c>
      <c r="P19" s="76">
        <f>股权价值增加表!P4</f>
        <v>705394935.15999997</v>
      </c>
      <c r="Q19" s="76">
        <f>股权价值增加表!Q4</f>
        <v>2761400573.5100002</v>
      </c>
      <c r="R19" s="76">
        <f>股权价值增加表!R4</f>
        <v>1879993912.9100001</v>
      </c>
      <c r="S19" s="76">
        <f>股权价值增加表!S4</f>
        <v>1112279848.48</v>
      </c>
      <c r="T19" s="76">
        <f>股权价值增加表!T4</f>
        <v>657308577.96000004</v>
      </c>
      <c r="U19" s="76">
        <f>股权价值增加表!U4</f>
        <v>2524209416.4000001</v>
      </c>
      <c r="V19" s="76">
        <f>股权价值增加表!V4</f>
        <v>1722646961.76</v>
      </c>
      <c r="W19" s="76">
        <f>股权价值增加表!W4</f>
        <v>1078073329.79</v>
      </c>
      <c r="X19" s="76">
        <f>股权价值增加表!X4</f>
        <v>615351177.55999994</v>
      </c>
      <c r="Y19" s="76">
        <f>股权价值增加表!Y4</f>
        <v>2724953861.21</v>
      </c>
      <c r="Z19" s="76">
        <f>股权价值增加表!Z4</f>
        <v>1847721787.6600001</v>
      </c>
      <c r="AA19" s="76">
        <f>股权价值增加表!AA4</f>
        <v>1036490112.66</v>
      </c>
      <c r="AB19" s="76">
        <f>股权价值增加表!AB4</f>
        <v>614320304.89999998</v>
      </c>
      <c r="AC19" s="76">
        <f>股权价值增加表!AC4</f>
        <v>2382434788.48</v>
      </c>
      <c r="AD19" s="76">
        <f>股权价值增加表!AD4</f>
        <v>1633896787.0999999</v>
      </c>
      <c r="AE19" s="76">
        <f>股权价值增加表!AE4</f>
        <v>1003246147.98</v>
      </c>
      <c r="AF19" s="76">
        <f>股权价值增加表!AF4</f>
        <v>583149853.35000002</v>
      </c>
      <c r="AG19" s="76">
        <f>股权价值增加表!AG4</f>
        <v>1818814620.1400001</v>
      </c>
      <c r="AH19" s="76">
        <f>股权价值增加表!AH4</f>
        <v>1145669244.4200001</v>
      </c>
      <c r="AI19" s="76">
        <f>股权价值增加表!AI4</f>
        <v>661829336.29999995</v>
      </c>
      <c r="AJ19" s="76">
        <f>股权价值增加表!AJ4</f>
        <v>359335837.14999998</v>
      </c>
      <c r="AK19" s="76">
        <f>股权价值增加表!AK4</f>
        <v>1145306750.3299999</v>
      </c>
      <c r="AL19" s="76">
        <f>股权价值增加表!AL4</f>
        <v>723914564.5</v>
      </c>
      <c r="AM19" s="76">
        <f>股权价值增加表!AM4</f>
        <v>407570538.00999999</v>
      </c>
      <c r="AN19" s="76">
        <f>股权价值增加表!AN4</f>
        <v>255192022.33000001</v>
      </c>
      <c r="AO19" s="76">
        <f>股权价值增加表!AO4</f>
        <v>902684684.88</v>
      </c>
      <c r="AP19" s="76">
        <f>股权价值增加表!AP4</f>
        <v>632875455.57000005</v>
      </c>
      <c r="AQ19" s="76">
        <f>股权价值增加表!AQ4</f>
        <v>755362629.51999998</v>
      </c>
      <c r="AR19" s="76">
        <f>股权价值增加表!AR4</f>
        <v>552487592.55999994</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447</v>
      </c>
      <c r="E20" s="76">
        <f>股权价值增加表!E15</f>
        <v>523178348.21000004</v>
      </c>
      <c r="F20" s="76">
        <f>股权价值增加表!F15</f>
        <v>419080678.67000008</v>
      </c>
      <c r="G20" s="76">
        <f>股权价值增加表!G15</f>
        <v>214545258.82999974</v>
      </c>
      <c r="H20" s="76">
        <f>股权价值增加表!H15</f>
        <v>145280786.59999999</v>
      </c>
      <c r="I20" s="76">
        <f>股权价值增加表!I15</f>
        <v>380273224.21999973</v>
      </c>
      <c r="J20" s="76">
        <f>股权价值增加表!J15</f>
        <v>311019714.43000007</v>
      </c>
      <c r="K20" s="76">
        <f>股权价值增加表!K15</f>
        <v>185716513.07000017</v>
      </c>
      <c r="L20" s="76">
        <f>股权价值增加表!L15</f>
        <v>125880653.19</v>
      </c>
      <c r="M20" s="76">
        <f>股权价值增加表!M15</f>
        <v>441577738.04999995</v>
      </c>
      <c r="N20" s="76">
        <f>股权价值增加表!N15</f>
        <v>336580179.87</v>
      </c>
      <c r="O20" s="76">
        <f>股权价值增加表!O15</f>
        <v>191471550.28999993</v>
      </c>
      <c r="P20" s="76">
        <f>股权价值增加表!P15</f>
        <v>134196355.73999994</v>
      </c>
      <c r="Q20" s="76">
        <f>股权价值增加表!Q15</f>
        <v>412039612.28000009</v>
      </c>
      <c r="R20" s="76">
        <f>股权价值增加表!R15</f>
        <v>286533512.59000009</v>
      </c>
      <c r="S20" s="76">
        <f>股权价值增加表!S15</f>
        <v>161518149.71000001</v>
      </c>
      <c r="T20" s="76">
        <f>股权价值增加表!T15</f>
        <v>106722857.55000003</v>
      </c>
      <c r="U20" s="76">
        <f>股权价值增加表!U15</f>
        <v>365169041.95000005</v>
      </c>
      <c r="V20" s="76">
        <f>股权价值增加表!V15</f>
        <v>254301756.83000004</v>
      </c>
      <c r="W20" s="76">
        <f>股权价值增加表!W15</f>
        <v>147345474.63999996</v>
      </c>
      <c r="X20" s="76">
        <f>股权价值增加表!X15</f>
        <v>97637075.229999915</v>
      </c>
      <c r="Y20" s="76">
        <f>股权价值增加表!Y15</f>
        <v>421385488.86000007</v>
      </c>
      <c r="Z20" s="76">
        <f>股权价值增加表!Z15</f>
        <v>279095083.70000011</v>
      </c>
      <c r="AA20" s="76">
        <f>股权价值增加表!AA15</f>
        <v>146333664.48000002</v>
      </c>
      <c r="AB20" s="76">
        <f>股权价值增加表!AB15</f>
        <v>124906415.53999996</v>
      </c>
      <c r="AC20" s="76">
        <f>股权价值增加表!AC15</f>
        <v>418194537.60000008</v>
      </c>
      <c r="AD20" s="76">
        <f>股权价值增加表!AD15</f>
        <v>310682288.46999991</v>
      </c>
      <c r="AE20" s="76">
        <f>股权价值增加表!AE15</f>
        <v>180381562.75000006</v>
      </c>
      <c r="AF20" s="76">
        <f>股权价值增加表!AF15</f>
        <v>112630629.38000003</v>
      </c>
      <c r="AG20" s="76">
        <f>股权价值增加表!AG15</f>
        <v>263460306.01000023</v>
      </c>
      <c r="AH20" s="76">
        <f>股权价值增加表!AH15</f>
        <v>201391132.57000011</v>
      </c>
      <c r="AI20" s="76">
        <f>股权价值增加表!AI15</f>
        <v>110012381.93999997</v>
      </c>
      <c r="AJ20" s="76">
        <f>股权价值增加表!AJ15</f>
        <v>67077628.009999976</v>
      </c>
      <c r="AK20" s="76">
        <f>股权价值增加表!AK15</f>
        <v>195366080.11999986</v>
      </c>
      <c r="AL20" s="76">
        <f>股权价值增加表!AL15</f>
        <v>133034906.21999998</v>
      </c>
      <c r="AM20" s="76">
        <f>股权价值增加表!AM15</f>
        <v>67100112.639999993</v>
      </c>
      <c r="AN20" s="76">
        <f>股权价值增加表!AN15</f>
        <v>44924420.930000037</v>
      </c>
      <c r="AO20" s="76">
        <f>股权价值增加表!AO15</f>
        <v>138003723.61999995</v>
      </c>
      <c r="AP20" s="76">
        <f>股权价值增加表!AP15</f>
        <v>105787811.07000008</v>
      </c>
      <c r="AQ20" s="76">
        <f>股权价值增加表!AQ15</f>
        <v>113604229.94999996</v>
      </c>
      <c r="AR20" s="76">
        <f>股权价值增加表!AR15</f>
        <v>55021222.969999909</v>
      </c>
      <c r="AS20" s="76">
        <f>股权价值增加表!AS15</f>
        <v>0</v>
      </c>
      <c r="AT20" s="76">
        <f>股权价值增加表!AT15</f>
        <v>0</v>
      </c>
      <c r="AU20" s="76">
        <f>股权价值增加表!AU15</f>
        <v>0</v>
      </c>
      <c r="AV20" s="76">
        <f>股权价值增加表!AV15</f>
        <v>0</v>
      </c>
      <c r="AW20" s="76">
        <f>股权价值增加表!AW15</f>
        <v>0</v>
      </c>
      <c r="AX20" s="76">
        <f>股权价值增加表!AX15</f>
        <v>0</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448</v>
      </c>
      <c r="E21" s="244">
        <f>E20/E19</f>
        <v>0.11222545793574309</v>
      </c>
      <c r="F21" s="244">
        <f t="shared" ref="F21:BQ21" si="6">F20/F19</f>
        <v>0.1316758185557351</v>
      </c>
      <c r="G21" s="244">
        <f t="shared" si="6"/>
        <v>0.10827766865718154</v>
      </c>
      <c r="H21" s="244">
        <f t="shared" si="6"/>
        <v>0.13734664707084468</v>
      </c>
      <c r="I21" s="244">
        <f t="shared" si="6"/>
        <v>0.12063677453589787</v>
      </c>
      <c r="J21" s="244">
        <f t="shared" si="6"/>
        <v>0.14430699557534668</v>
      </c>
      <c r="K21" s="244">
        <f t="shared" si="6"/>
        <v>0.1382762421343175</v>
      </c>
      <c r="L21" s="244">
        <f t="shared" si="6"/>
        <v>0.16501444196149265</v>
      </c>
      <c r="M21" s="244">
        <f t="shared" si="6"/>
        <v>0.15145170978586944</v>
      </c>
      <c r="N21" s="244">
        <f t="shared" si="6"/>
        <v>0.1644988370379814</v>
      </c>
      <c r="O21" s="244">
        <f t="shared" si="6"/>
        <v>0.15318016991303926</v>
      </c>
      <c r="P21" s="244">
        <f t="shared" si="6"/>
        <v>0.1902428682870555</v>
      </c>
      <c r="Q21" s="244">
        <f t="shared" si="6"/>
        <v>0.14921399533000709</v>
      </c>
      <c r="R21" s="244">
        <f t="shared" si="6"/>
        <v>0.15241193634849665</v>
      </c>
      <c r="S21" s="244">
        <f t="shared" si="6"/>
        <v>0.1452135898449699</v>
      </c>
      <c r="T21" s="244">
        <f t="shared" si="6"/>
        <v>0.16236340301722726</v>
      </c>
      <c r="U21" s="244">
        <f t="shared" si="6"/>
        <v>0.14466669824518766</v>
      </c>
      <c r="V21" s="244">
        <f t="shared" si="6"/>
        <v>0.14762267746966803</v>
      </c>
      <c r="W21" s="244">
        <f t="shared" si="6"/>
        <v>0.13667481660890515</v>
      </c>
      <c r="X21" s="244">
        <f t="shared" si="6"/>
        <v>0.15866886875418354</v>
      </c>
      <c r="Y21" s="244">
        <f t="shared" si="6"/>
        <v>0.154639494950159</v>
      </c>
      <c r="Z21" s="244">
        <f t="shared" si="6"/>
        <v>0.15104821817003788</v>
      </c>
      <c r="AA21" s="244">
        <f t="shared" si="6"/>
        <v>0.1411819203026029</v>
      </c>
      <c r="AB21" s="244">
        <f t="shared" si="6"/>
        <v>0.20332457602932794</v>
      </c>
      <c r="AC21" s="244">
        <f t="shared" si="6"/>
        <v>0.17553241734973546</v>
      </c>
      <c r="AD21" s="244">
        <f t="shared" si="6"/>
        <v>0.19014805030703885</v>
      </c>
      <c r="AE21" s="244">
        <f t="shared" si="6"/>
        <v>0.17979791212076102</v>
      </c>
      <c r="AF21" s="244">
        <f t="shared" si="6"/>
        <v>0.19314182921075071</v>
      </c>
      <c r="AG21" s="244">
        <f t="shared" si="6"/>
        <v>0.14485275359713176</v>
      </c>
      <c r="AH21" s="244">
        <f t="shared" si="6"/>
        <v>0.17578470710536986</v>
      </c>
      <c r="AI21" s="244">
        <f t="shared" si="6"/>
        <v>0.16622469858321989</v>
      </c>
      <c r="AJ21" s="244">
        <f t="shared" si="6"/>
        <v>0.18667113345001354</v>
      </c>
      <c r="AK21" s="244">
        <f t="shared" si="6"/>
        <v>0.17057969846393428</v>
      </c>
      <c r="AL21" s="244">
        <f t="shared" si="6"/>
        <v>0.18377155640166704</v>
      </c>
      <c r="AM21" s="244">
        <f t="shared" si="6"/>
        <v>0.16463435499440751</v>
      </c>
      <c r="AN21" s="244">
        <f t="shared" si="6"/>
        <v>0.17604163531376499</v>
      </c>
      <c r="AO21" s="244">
        <f t="shared" si="6"/>
        <v>0.15288142795769899</v>
      </c>
      <c r="AP21" s="244">
        <f t="shared" si="6"/>
        <v>0.16715423254125436</v>
      </c>
      <c r="AQ21" s="244">
        <f t="shared" si="6"/>
        <v>0.15039694248865673</v>
      </c>
      <c r="AR21" s="244">
        <f t="shared" si="6"/>
        <v>9.9588160369455947E-2</v>
      </c>
      <c r="AS21" s="244" t="e">
        <f t="shared" si="6"/>
        <v>#DIV/0!</v>
      </c>
      <c r="AT21" s="244" t="e">
        <f t="shared" si="6"/>
        <v>#DIV/0!</v>
      </c>
      <c r="AU21" s="244" t="e">
        <f t="shared" si="6"/>
        <v>#DIV/0!</v>
      </c>
      <c r="AV21" s="244" t="e">
        <f t="shared" si="6"/>
        <v>#DIV/0!</v>
      </c>
      <c r="AW21" s="244" t="e">
        <f t="shared" si="6"/>
        <v>#DIV/0!</v>
      </c>
      <c r="AX21" s="244" t="e">
        <f t="shared" si="6"/>
        <v>#DIV/0!</v>
      </c>
      <c r="AY21" s="244" t="e">
        <f t="shared" si="6"/>
        <v>#DIV/0!</v>
      </c>
      <c r="AZ21" s="244" t="e">
        <f t="shared" si="6"/>
        <v>#DIV/0!</v>
      </c>
      <c r="BA21" s="244" t="e">
        <f t="shared" si="6"/>
        <v>#DIV/0!</v>
      </c>
      <c r="BB21" s="244" t="e">
        <f t="shared" si="6"/>
        <v>#DIV/0!</v>
      </c>
      <c r="BC21" s="244" t="e">
        <f t="shared" si="6"/>
        <v>#DIV/0!</v>
      </c>
      <c r="BD21" s="244" t="e">
        <f t="shared" si="6"/>
        <v>#DIV/0!</v>
      </c>
      <c r="BE21" s="244" t="e">
        <f t="shared" si="6"/>
        <v>#DIV/0!</v>
      </c>
      <c r="BF21" s="244" t="e">
        <f t="shared" si="6"/>
        <v>#DIV/0!</v>
      </c>
      <c r="BG21" s="244" t="e">
        <f t="shared" si="6"/>
        <v>#DIV/0!</v>
      </c>
      <c r="BH21" s="244" t="e">
        <f t="shared" si="6"/>
        <v>#DIV/0!</v>
      </c>
      <c r="BI21" s="244" t="e">
        <f t="shared" si="6"/>
        <v>#DIV/0!</v>
      </c>
      <c r="BJ21" s="244" t="e">
        <f t="shared" si="6"/>
        <v>#DIV/0!</v>
      </c>
      <c r="BK21" s="244" t="e">
        <f t="shared" si="6"/>
        <v>#DIV/0!</v>
      </c>
      <c r="BL21" s="244" t="e">
        <f t="shared" si="6"/>
        <v>#DIV/0!</v>
      </c>
      <c r="BM21" s="244" t="e">
        <f t="shared" si="6"/>
        <v>#DIV/0!</v>
      </c>
      <c r="BN21" s="244" t="e">
        <f t="shared" si="6"/>
        <v>#DIV/0!</v>
      </c>
      <c r="BO21" s="244" t="e">
        <f t="shared" si="6"/>
        <v>#DIV/0!</v>
      </c>
      <c r="BP21" s="244" t="e">
        <f t="shared" si="6"/>
        <v>#DIV/0!</v>
      </c>
      <c r="BQ21" s="244" t="e">
        <f t="shared" si="6"/>
        <v>#DIV/0!</v>
      </c>
      <c r="BR21" s="244" t="e">
        <f t="shared" ref="BR21:CK21" si="7">BR20/BR19</f>
        <v>#DIV/0!</v>
      </c>
      <c r="BS21" s="244" t="e">
        <f t="shared" si="7"/>
        <v>#DIV/0!</v>
      </c>
      <c r="BT21" s="244" t="e">
        <f t="shared" si="7"/>
        <v>#DIV/0!</v>
      </c>
      <c r="BU21" s="244" t="e">
        <f t="shared" si="7"/>
        <v>#DIV/0!</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684</v>
      </c>
      <c r="E22" s="26">
        <f>资产资本表!E69</f>
        <v>2680117320.0499992</v>
      </c>
      <c r="F22" s="193">
        <f>资产资本表!F69</f>
        <v>2890560207.4200001</v>
      </c>
      <c r="G22" s="193">
        <f>资产资本表!G69</f>
        <v>2504438056.0900002</v>
      </c>
      <c r="H22" s="193">
        <f>资产资本表!H69</f>
        <v>2443659795.6799998</v>
      </c>
      <c r="I22" s="193">
        <f>资产资本表!I69</f>
        <v>1787570001.7400002</v>
      </c>
      <c r="J22" s="193">
        <f>资产资本表!J69</f>
        <v>2161379578.3899999</v>
      </c>
      <c r="K22" s="193">
        <f>资产资本表!K69</f>
        <v>2188562170.0300002</v>
      </c>
      <c r="L22" s="193">
        <f>资产资本表!L69</f>
        <v>2037984988.5599999</v>
      </c>
      <c r="M22" s="193">
        <f>资产资本表!M69</f>
        <v>2028174239.1399999</v>
      </c>
      <c r="N22" s="193">
        <f>资产资本表!N69</f>
        <v>1748731929.8800001</v>
      </c>
      <c r="O22" s="193">
        <f>资产资本表!O69</f>
        <v>1782876392.8599999</v>
      </c>
      <c r="P22" s="193">
        <f>资产资本表!P69</f>
        <v>1938506990.79</v>
      </c>
      <c r="Q22" s="193">
        <f>资产资本表!Q69</f>
        <v>1845710928.3200002</v>
      </c>
      <c r="R22" s="193">
        <f>资产资本表!R69</f>
        <v>1679371097.1199999</v>
      </c>
      <c r="S22" s="193">
        <f>资产资本表!S69</f>
        <v>1356669673.4099998</v>
      </c>
      <c r="T22" s="193">
        <f>资产资本表!T69</f>
        <v>1344823173.3800001</v>
      </c>
      <c r="U22" s="193">
        <f>资产资本表!U69</f>
        <v>1201029703.2</v>
      </c>
      <c r="V22" s="193">
        <f>资产资本表!V69</f>
        <v>1077761632.8499999</v>
      </c>
      <c r="W22" s="193">
        <f>资产资本表!W69</f>
        <v>1161551794.3099999</v>
      </c>
      <c r="X22" s="193">
        <f>资产资本表!X69</f>
        <v>986132128.21000004</v>
      </c>
      <c r="Y22" s="193">
        <f>资产资本表!Y69</f>
        <v>936176717.49000001</v>
      </c>
      <c r="Z22" s="193">
        <f>资产资本表!Z69</f>
        <v>960246523.98999989</v>
      </c>
      <c r="AA22" s="193">
        <f>资产资本表!AA69</f>
        <v>976079955.10000002</v>
      </c>
      <c r="AB22" s="193">
        <f>资产资本表!AB69</f>
        <v>742810549.9000001</v>
      </c>
      <c r="AC22" s="193">
        <f>资产资本表!AC69</f>
        <v>648190675.69999993</v>
      </c>
      <c r="AD22" s="193">
        <f>资产资本表!AD69</f>
        <v>574388781.76999998</v>
      </c>
      <c r="AE22" s="193">
        <f>资产资本表!AE69</f>
        <v>577123182.08000016</v>
      </c>
      <c r="AF22" s="193">
        <f>资产资本表!AF69</f>
        <v>382002316.06999999</v>
      </c>
      <c r="AG22" s="193">
        <f>资产资本表!AG69</f>
        <v>419313608.45999998</v>
      </c>
      <c r="AH22" s="193">
        <f>资产资本表!AH69</f>
        <v>417632582.29000002</v>
      </c>
      <c r="AI22" s="193">
        <f>资产资本表!AI69</f>
        <v>380541206.63999999</v>
      </c>
      <c r="AJ22" s="193">
        <f>资产资本表!AJ69</f>
        <v>255044536.88999999</v>
      </c>
      <c r="AK22" s="193">
        <f>资产资本表!AK69</f>
        <v>265364126.43000007</v>
      </c>
      <c r="AL22" s="193">
        <f>资产资本表!AL69</f>
        <v>230768906.96999997</v>
      </c>
      <c r="AM22" s="193">
        <f>资产资本表!AM69</f>
        <v>256199726.94999999</v>
      </c>
      <c r="AN22" s="193">
        <f>资产资本表!AN69</f>
        <v>222832050.40000004</v>
      </c>
      <c r="AO22" s="193">
        <f>资产资本表!AO69</f>
        <v>188152417.22999999</v>
      </c>
      <c r="AP22" s="193">
        <f>资产资本表!AP69</f>
        <v>103147268.55000003</v>
      </c>
      <c r="AQ22" s="193">
        <f>资产资本表!AQ69</f>
        <v>0</v>
      </c>
      <c r="AR22" s="193">
        <f>资产资本表!AR69</f>
        <v>0</v>
      </c>
      <c r="AS22" s="193">
        <f>资产资本表!AS69</f>
        <v>0</v>
      </c>
      <c r="AT22" s="193">
        <f>资产资本表!AT69</f>
        <v>0</v>
      </c>
      <c r="AU22" s="193">
        <f>资产资本表!AU69</f>
        <v>0</v>
      </c>
      <c r="AV22" s="193">
        <f>资产资本表!AV69</f>
        <v>0</v>
      </c>
      <c r="AW22" s="193">
        <f>资产资本表!AW69</f>
        <v>0</v>
      </c>
      <c r="AX22" s="193">
        <f>资产资本表!AX69</f>
        <v>0</v>
      </c>
      <c r="AY22" s="193">
        <f>资产资本表!AY69</f>
        <v>0</v>
      </c>
      <c r="AZ22" s="193">
        <f>资产资本表!AZ69</f>
        <v>0</v>
      </c>
      <c r="BA22" s="193">
        <f>资产资本表!BA69</f>
        <v>0</v>
      </c>
      <c r="BB22" s="193">
        <f>资产资本表!BB69</f>
        <v>0</v>
      </c>
      <c r="BC22" s="193">
        <f>资产资本表!BC69</f>
        <v>0</v>
      </c>
      <c r="BD22" s="193">
        <f>资产资本表!BD69</f>
        <v>0</v>
      </c>
      <c r="BE22" s="193">
        <f>资产资本表!BE69</f>
        <v>0</v>
      </c>
      <c r="BF22" s="193">
        <f>资产资本表!BF69</f>
        <v>0</v>
      </c>
      <c r="BG22" s="193">
        <f>资产资本表!BG69</f>
        <v>0</v>
      </c>
      <c r="BH22" s="193">
        <f>资产资本表!BH69</f>
        <v>0</v>
      </c>
      <c r="BI22" s="193">
        <f>资产资本表!BI69</f>
        <v>0</v>
      </c>
      <c r="BJ22" s="193">
        <f>资产资本表!BJ69</f>
        <v>0</v>
      </c>
      <c r="BK22" s="193">
        <f>资产资本表!BK69</f>
        <v>0</v>
      </c>
      <c r="BL22" s="193">
        <f>资产资本表!BL69</f>
        <v>0</v>
      </c>
      <c r="BM22" s="193">
        <f>资产资本表!BM69</f>
        <v>0</v>
      </c>
      <c r="BN22" s="193">
        <f>资产资本表!BN69</f>
        <v>0</v>
      </c>
      <c r="BO22" s="193">
        <f>资产资本表!BO69</f>
        <v>0</v>
      </c>
      <c r="BP22" s="193">
        <f>资产资本表!BP69</f>
        <v>0</v>
      </c>
      <c r="BQ22" s="193">
        <f>资产资本表!BQ69</f>
        <v>0</v>
      </c>
      <c r="BR22" s="193">
        <f>资产资本表!BR69</f>
        <v>0</v>
      </c>
      <c r="BS22" s="193">
        <f>资产资本表!BS69</f>
        <v>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685</v>
      </c>
      <c r="E23" s="246">
        <f>E19/E22</f>
        <v>1.7394204464985998</v>
      </c>
      <c r="F23" s="246">
        <f t="shared" ref="F23:BQ23" si="8">F19/F22</f>
        <v>1.1010564668918368</v>
      </c>
      <c r="G23" s="246">
        <f t="shared" si="8"/>
        <v>0.79116985377289539</v>
      </c>
      <c r="H23" s="246">
        <f t="shared" si="8"/>
        <v>0.43286191567662713</v>
      </c>
      <c r="I23" s="246">
        <f t="shared" si="8"/>
        <v>1.7634086715942137</v>
      </c>
      <c r="J23" s="246">
        <f t="shared" si="8"/>
        <v>0.99717065527446358</v>
      </c>
      <c r="K23" s="246">
        <f t="shared" si="8"/>
        <v>0.61368296000089839</v>
      </c>
      <c r="L23" s="246">
        <f t="shared" si="8"/>
        <v>0.37431398378405734</v>
      </c>
      <c r="M23" s="246">
        <f t="shared" si="8"/>
        <v>1.4375657848885344</v>
      </c>
      <c r="N23" s="246">
        <f t="shared" si="8"/>
        <v>1.1700447341636893</v>
      </c>
      <c r="O23" s="246">
        <f t="shared" si="8"/>
        <v>0.70110081543278036</v>
      </c>
      <c r="P23" s="246">
        <f t="shared" si="8"/>
        <v>0.36388568032583174</v>
      </c>
      <c r="Q23" s="246">
        <f t="shared" si="8"/>
        <v>1.4961175832791311</v>
      </c>
      <c r="R23" s="246">
        <f t="shared" si="8"/>
        <v>1.119463063365836</v>
      </c>
      <c r="S23" s="246">
        <f t="shared" si="8"/>
        <v>0.81986047914248417</v>
      </c>
      <c r="T23" s="246">
        <f t="shared" si="8"/>
        <v>0.48876952076008551</v>
      </c>
      <c r="U23" s="246">
        <f t="shared" si="8"/>
        <v>2.1017044038748964</v>
      </c>
      <c r="V23" s="246">
        <f t="shared" si="8"/>
        <v>1.5983561756644511</v>
      </c>
      <c r="W23" s="246">
        <f t="shared" si="8"/>
        <v>0.92813194820159617</v>
      </c>
      <c r="X23" s="246">
        <f t="shared" si="8"/>
        <v>0.62400479606821913</v>
      </c>
      <c r="Y23" s="246">
        <f t="shared" si="8"/>
        <v>2.9107259455414809</v>
      </c>
      <c r="Z23" s="246">
        <f t="shared" si="8"/>
        <v>1.9242160648313291</v>
      </c>
      <c r="AA23" s="246">
        <f t="shared" si="8"/>
        <v>1.0618905830863117</v>
      </c>
      <c r="AB23" s="246">
        <f t="shared" si="8"/>
        <v>0.82702151306642324</v>
      </c>
      <c r="AC23" s="246">
        <f t="shared" si="8"/>
        <v>3.675515365763538</v>
      </c>
      <c r="AD23" s="246">
        <f t="shared" si="8"/>
        <v>2.8445833883891107</v>
      </c>
      <c r="AE23" s="246">
        <f t="shared" si="8"/>
        <v>1.738357042536772</v>
      </c>
      <c r="AF23" s="246">
        <f t="shared" si="8"/>
        <v>1.5265610411721713</v>
      </c>
      <c r="AG23" s="246">
        <f t="shared" si="8"/>
        <v>4.3375997903333117</v>
      </c>
      <c r="AH23" s="246">
        <f t="shared" si="8"/>
        <v>2.7432467987482321</v>
      </c>
      <c r="AI23" s="246">
        <f t="shared" si="8"/>
        <v>1.7391791605004934</v>
      </c>
      <c r="AJ23" s="246">
        <f t="shared" si="8"/>
        <v>1.4089140725448299</v>
      </c>
      <c r="AK23" s="246">
        <f t="shared" si="8"/>
        <v>4.315981838758896</v>
      </c>
      <c r="AL23" s="246">
        <f t="shared" si="8"/>
        <v>3.1369675144065621</v>
      </c>
      <c r="AM23" s="246">
        <f t="shared" si="8"/>
        <v>1.5908312739519102</v>
      </c>
      <c r="AN23" s="246">
        <f t="shared" si="8"/>
        <v>1.1452213533551903</v>
      </c>
      <c r="AO23" s="246">
        <f t="shared" si="8"/>
        <v>4.7976247032561181</v>
      </c>
      <c r="AP23" s="246">
        <f t="shared" si="8"/>
        <v>6.1356491981483483</v>
      </c>
      <c r="AQ23" s="246" t="e">
        <f t="shared" si="8"/>
        <v>#DIV/0!</v>
      </c>
      <c r="AR23" s="246" t="e">
        <f t="shared" si="8"/>
        <v>#DIV/0!</v>
      </c>
      <c r="AS23" s="246" t="e">
        <f t="shared" si="8"/>
        <v>#DIV/0!</v>
      </c>
      <c r="AT23" s="246" t="e">
        <f t="shared" si="8"/>
        <v>#DIV/0!</v>
      </c>
      <c r="AU23" s="246" t="e">
        <f t="shared" si="8"/>
        <v>#DIV/0!</v>
      </c>
      <c r="AV23" s="246" t="e">
        <f t="shared" si="8"/>
        <v>#DIV/0!</v>
      </c>
      <c r="AW23" s="246" t="e">
        <f t="shared" si="8"/>
        <v>#DIV/0!</v>
      </c>
      <c r="AX23" s="246" t="e">
        <f t="shared" si="8"/>
        <v>#DIV/0!</v>
      </c>
      <c r="AY23" s="246" t="e">
        <f t="shared" si="8"/>
        <v>#DIV/0!</v>
      </c>
      <c r="AZ23" s="246" t="e">
        <f t="shared" si="8"/>
        <v>#DIV/0!</v>
      </c>
      <c r="BA23" s="246" t="e">
        <f t="shared" si="8"/>
        <v>#DIV/0!</v>
      </c>
      <c r="BB23" s="246" t="e">
        <f t="shared" si="8"/>
        <v>#DIV/0!</v>
      </c>
      <c r="BC23" s="246" t="e">
        <f t="shared" si="8"/>
        <v>#DIV/0!</v>
      </c>
      <c r="BD23" s="246" t="e">
        <f t="shared" si="8"/>
        <v>#DIV/0!</v>
      </c>
      <c r="BE23" s="246" t="e">
        <f t="shared" si="8"/>
        <v>#DIV/0!</v>
      </c>
      <c r="BF23" s="246" t="e">
        <f t="shared" si="8"/>
        <v>#DIV/0!</v>
      </c>
      <c r="BG23" s="246" t="e">
        <f t="shared" si="8"/>
        <v>#DIV/0!</v>
      </c>
      <c r="BH23" s="246" t="e">
        <f t="shared" si="8"/>
        <v>#DIV/0!</v>
      </c>
      <c r="BI23" s="246" t="e">
        <f t="shared" si="8"/>
        <v>#DIV/0!</v>
      </c>
      <c r="BJ23" s="246" t="e">
        <f t="shared" si="8"/>
        <v>#DIV/0!</v>
      </c>
      <c r="BK23" s="246" t="e">
        <f t="shared" si="8"/>
        <v>#DIV/0!</v>
      </c>
      <c r="BL23" s="246" t="e">
        <f t="shared" si="8"/>
        <v>#DIV/0!</v>
      </c>
      <c r="BM23" s="246" t="e">
        <f t="shared" si="8"/>
        <v>#DIV/0!</v>
      </c>
      <c r="BN23" s="246" t="e">
        <f t="shared" si="8"/>
        <v>#DIV/0!</v>
      </c>
      <c r="BO23" s="246" t="e">
        <f t="shared" si="8"/>
        <v>#DIV/0!</v>
      </c>
      <c r="BP23" s="246" t="e">
        <f t="shared" si="8"/>
        <v>#DIV/0!</v>
      </c>
      <c r="BQ23" s="246" t="e">
        <f t="shared" si="8"/>
        <v>#DIV/0!</v>
      </c>
      <c r="BR23" s="246" t="e">
        <f t="shared" ref="BR23:CK23" si="9">BR19/BR22</f>
        <v>#DIV/0!</v>
      </c>
      <c r="BS23" s="246" t="e">
        <f t="shared" si="9"/>
        <v>#DIV/0!</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692</v>
      </c>
      <c r="E24" s="161">
        <f>E21*E23</f>
        <v>0.1952072561511001</v>
      </c>
      <c r="F24" s="161">
        <f t="shared" ref="F24:BQ24" si="10">F21*F23</f>
        <v>0.14498251155406824</v>
      </c>
      <c r="G24" s="161">
        <f t="shared" si="10"/>
        <v>8.5666027278372331E-2</v>
      </c>
      <c r="H24" s="161">
        <f t="shared" si="10"/>
        <v>5.9452132762847436E-2</v>
      </c>
      <c r="I24" s="161">
        <f t="shared" si="10"/>
        <v>0.21273193432975832</v>
      </c>
      <c r="J24" s="161">
        <f t="shared" si="10"/>
        <v>0.14389870133855756</v>
      </c>
      <c r="K24" s="161">
        <f t="shared" si="10"/>
        <v>8.48577735707889E-2</v>
      </c>
      <c r="L24" s="161">
        <f t="shared" si="10"/>
        <v>6.176721315250943E-2</v>
      </c>
      <c r="M24" s="161">
        <f t="shared" si="10"/>
        <v>0.21772179605103392</v>
      </c>
      <c r="N24" s="161">
        <f t="shared" si="10"/>
        <v>0.192470998052341</v>
      </c>
      <c r="O24" s="161">
        <f t="shared" si="10"/>
        <v>0.10739474203416367</v>
      </c>
      <c r="P24" s="161">
        <f t="shared" si="10"/>
        <v>6.922665555377279E-2</v>
      </c>
      <c r="Q24" s="161">
        <f t="shared" si="10"/>
        <v>0.22324168208455378</v>
      </c>
      <c r="R24" s="161">
        <f t="shared" si="10"/>
        <v>0.17061953315820685</v>
      </c>
      <c r="S24" s="161">
        <f t="shared" si="10"/>
        <v>0.1190548833482972</v>
      </c>
      <c r="T24" s="161">
        <f t="shared" si="10"/>
        <v>7.935828268170679E-2</v>
      </c>
      <c r="U24" s="161">
        <f t="shared" si="10"/>
        <v>0.30404663679595167</v>
      </c>
      <c r="V24" s="161">
        <f t="shared" si="10"/>
        <v>0.23595361820176533</v>
      </c>
      <c r="W24" s="161">
        <f t="shared" si="10"/>
        <v>0.12685226380931902</v>
      </c>
      <c r="X24" s="161">
        <f t="shared" si="10"/>
        <v>9.9010135089329321E-2</v>
      </c>
      <c r="Y24" s="161">
        <f t="shared" si="10"/>
        <v>0.45011319015685858</v>
      </c>
      <c r="Z24" s="161">
        <f t="shared" si="10"/>
        <v>0.29064940796693434</v>
      </c>
      <c r="AA24" s="161">
        <f t="shared" si="10"/>
        <v>0.14991975167137619</v>
      </c>
      <c r="AB24" s="161">
        <f t="shared" si="10"/>
        <v>0.16815379851136381</v>
      </c>
      <c r="AC24" s="161">
        <f t="shared" si="10"/>
        <v>0.64517209715857093</v>
      </c>
      <c r="AD24" s="161">
        <f t="shared" si="10"/>
        <v>0.54089198523797966</v>
      </c>
      <c r="AE24" s="161">
        <f t="shared" si="10"/>
        <v>0.31255296676853256</v>
      </c>
      <c r="AF24" s="161">
        <f t="shared" si="10"/>
        <v>0.29484279189386131</v>
      </c>
      <c r="AG24" s="161">
        <f t="shared" si="10"/>
        <v>0.62831327363212164</v>
      </c>
      <c r="AH24" s="161">
        <f t="shared" si="10"/>
        <v>0.48222083503570151</v>
      </c>
      <c r="AI24" s="161">
        <f t="shared" si="10"/>
        <v>0.28909453173641192</v>
      </c>
      <c r="AJ24" s="161">
        <f t="shared" si="10"/>
        <v>0.26300358685561803</v>
      </c>
      <c r="AK24" s="161">
        <f t="shared" si="10"/>
        <v>0.73621888063130914</v>
      </c>
      <c r="AL24" s="161">
        <f t="shared" si="10"/>
        <v>0.57648540250396274</v>
      </c>
      <c r="AM24" s="161">
        <f t="shared" si="10"/>
        <v>0.26190548069200431</v>
      </c>
      <c r="AN24" s="161">
        <f t="shared" si="10"/>
        <v>0.20160663984089081</v>
      </c>
      <c r="AO24" s="161">
        <f t="shared" si="10"/>
        <v>0.73346771543892719</v>
      </c>
      <c r="AP24" s="161">
        <f t="shared" si="10"/>
        <v>1.02559973285885</v>
      </c>
      <c r="AQ24" s="161" t="e">
        <f t="shared" si="10"/>
        <v>#DIV/0!</v>
      </c>
      <c r="AR24" s="161" t="e">
        <f t="shared" si="10"/>
        <v>#DIV/0!</v>
      </c>
      <c r="AS24" s="161" t="e">
        <f t="shared" si="10"/>
        <v>#DIV/0!</v>
      </c>
      <c r="AT24" s="161" t="e">
        <f t="shared" si="10"/>
        <v>#DIV/0!</v>
      </c>
      <c r="AU24" s="161" t="e">
        <f t="shared" si="10"/>
        <v>#DIV/0!</v>
      </c>
      <c r="AV24" s="161" t="e">
        <f t="shared" si="10"/>
        <v>#DIV/0!</v>
      </c>
      <c r="AW24" s="161" t="e">
        <f t="shared" si="10"/>
        <v>#DIV/0!</v>
      </c>
      <c r="AX24" s="161" t="e">
        <f t="shared" si="10"/>
        <v>#DIV/0!</v>
      </c>
      <c r="AY24" s="161" t="e">
        <f t="shared" si="10"/>
        <v>#DIV/0!</v>
      </c>
      <c r="AZ24" s="161" t="e">
        <f t="shared" si="10"/>
        <v>#DIV/0!</v>
      </c>
      <c r="BA24" s="161" t="e">
        <f t="shared" si="10"/>
        <v>#DIV/0!</v>
      </c>
      <c r="BB24" s="161" t="e">
        <f t="shared" si="10"/>
        <v>#DIV/0!</v>
      </c>
      <c r="BC24" s="161" t="e">
        <f t="shared" si="10"/>
        <v>#DIV/0!</v>
      </c>
      <c r="BD24" s="161" t="e">
        <f t="shared" si="10"/>
        <v>#DIV/0!</v>
      </c>
      <c r="BE24" s="161" t="e">
        <f t="shared" si="10"/>
        <v>#DIV/0!</v>
      </c>
      <c r="BF24" s="161" t="e">
        <f t="shared" si="10"/>
        <v>#DIV/0!</v>
      </c>
      <c r="BG24" s="161" t="e">
        <f t="shared" si="10"/>
        <v>#DIV/0!</v>
      </c>
      <c r="BH24" s="161" t="e">
        <f t="shared" si="10"/>
        <v>#DIV/0!</v>
      </c>
      <c r="BI24" s="161" t="e">
        <f t="shared" si="10"/>
        <v>#DIV/0!</v>
      </c>
      <c r="BJ24" s="161" t="e">
        <f t="shared" si="10"/>
        <v>#DIV/0!</v>
      </c>
      <c r="BK24" s="161" t="e">
        <f t="shared" si="10"/>
        <v>#DIV/0!</v>
      </c>
      <c r="BL24" s="161" t="e">
        <f t="shared" si="10"/>
        <v>#DIV/0!</v>
      </c>
      <c r="BM24" s="161" t="e">
        <f t="shared" si="10"/>
        <v>#DIV/0!</v>
      </c>
      <c r="BN24" s="161" t="e">
        <f t="shared" si="10"/>
        <v>#DIV/0!</v>
      </c>
      <c r="BO24" s="161" t="e">
        <f t="shared" si="10"/>
        <v>#DIV/0!</v>
      </c>
      <c r="BP24" s="161" t="e">
        <f t="shared" si="10"/>
        <v>#DIV/0!</v>
      </c>
      <c r="BQ24" s="161" t="e">
        <f t="shared" si="10"/>
        <v>#DIV/0!</v>
      </c>
      <c r="BR24" s="161" t="e">
        <f t="shared" ref="BR24:CK24" si="11">BR21*BR23</f>
        <v>#DIV/0!</v>
      </c>
      <c r="BS24" s="161" t="e">
        <f t="shared" si="11"/>
        <v>#DIV/0!</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39447</v>
      </c>
      <c r="AR25" s="1">
        <v>39082</v>
      </c>
      <c r="AS25" s="1">
        <v>25569</v>
      </c>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7" t="s">
        <v>442</v>
      </c>
      <c r="E26" s="76">
        <f>利润表!E14</f>
        <v>0</v>
      </c>
      <c r="F26" s="76">
        <f>利润表!F14</f>
        <v>0</v>
      </c>
      <c r="G26" s="76">
        <f>利润表!G14</f>
        <v>0</v>
      </c>
      <c r="H26" s="76">
        <f>利润表!H14</f>
        <v>0</v>
      </c>
      <c r="I26" s="76">
        <f>利润表!I14</f>
        <v>0</v>
      </c>
      <c r="J26" s="76">
        <f>利润表!J14</f>
        <v>0</v>
      </c>
      <c r="K26" s="76">
        <f>利润表!K14</f>
        <v>0</v>
      </c>
      <c r="L26" s="76">
        <f>利润表!L14</f>
        <v>0</v>
      </c>
      <c r="M26" s="76">
        <f>利润表!M14</f>
        <v>0</v>
      </c>
      <c r="N26" s="76">
        <f>利润表!N14</f>
        <v>0</v>
      </c>
      <c r="O26" s="76">
        <f>利润表!O14</f>
        <v>0</v>
      </c>
      <c r="P26" s="76">
        <f>利润表!P14</f>
        <v>0</v>
      </c>
      <c r="Q26" s="76">
        <f>利润表!Q14</f>
        <v>0</v>
      </c>
      <c r="R26" s="76">
        <f>利润表!R14</f>
        <v>0</v>
      </c>
      <c r="S26" s="76">
        <f>利润表!S14</f>
        <v>0</v>
      </c>
      <c r="T26" s="76">
        <f>利润表!T14</f>
        <v>0</v>
      </c>
      <c r="U26" s="76">
        <f>利润表!U14</f>
        <v>0</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0</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443</v>
      </c>
      <c r="E27" s="76">
        <f>资产资本表!E19</f>
        <v>2681764.62</v>
      </c>
      <c r="F27" s="76">
        <f>资产资本表!F19</f>
        <v>36554845.829999998</v>
      </c>
      <c r="G27" s="76">
        <f>资产资本表!G19</f>
        <v>37301246.560000002</v>
      </c>
      <c r="H27" s="76">
        <f>资产资本表!H19</f>
        <v>44582193.149999999</v>
      </c>
      <c r="I27" s="76">
        <f>资产资本表!I19</f>
        <v>44208476.719999999</v>
      </c>
      <c r="J27" s="76">
        <f>资产资本表!J19</f>
        <v>46497065.140000001</v>
      </c>
      <c r="K27" s="76">
        <f>资产资本表!K19</f>
        <v>48418056.219999999</v>
      </c>
      <c r="L27" s="76">
        <f>资产资本表!L19</f>
        <v>47013607.68</v>
      </c>
      <c r="M27" s="76">
        <f>资产资本表!M19</f>
        <v>48378901.780000001</v>
      </c>
      <c r="N27" s="76">
        <f>资产资本表!N19</f>
        <v>0</v>
      </c>
      <c r="O27" s="76">
        <f>资产资本表!O19</f>
        <v>0</v>
      </c>
      <c r="P27" s="76">
        <f>资产资本表!P19</f>
        <v>0</v>
      </c>
      <c r="Q27" s="76">
        <f>资产资本表!Q19</f>
        <v>0</v>
      </c>
      <c r="R27" s="76">
        <f>资产资本表!R19</f>
        <v>0</v>
      </c>
      <c r="S27" s="76">
        <f>资产资本表!S19</f>
        <v>0</v>
      </c>
      <c r="T27" s="76">
        <f>资产资本表!T19</f>
        <v>0</v>
      </c>
      <c r="U27" s="76">
        <f>资产资本表!U19</f>
        <v>0</v>
      </c>
      <c r="V27" s="76">
        <f>资产资本表!V19</f>
        <v>0</v>
      </c>
      <c r="W27" s="76">
        <f>资产资本表!W19</f>
        <v>0</v>
      </c>
      <c r="X27" s="76">
        <f>资产资本表!X19</f>
        <v>0</v>
      </c>
      <c r="Y27" s="76">
        <f>资产资本表!Y19</f>
        <v>0</v>
      </c>
      <c r="Z27" s="76">
        <f>资产资本表!Z19</f>
        <v>0</v>
      </c>
      <c r="AA27" s="76">
        <f>资产资本表!AA19</f>
        <v>0</v>
      </c>
      <c r="AB27" s="76">
        <f>资产资本表!AB19</f>
        <v>0</v>
      </c>
      <c r="AC27" s="76">
        <f>资产资本表!AC19</f>
        <v>0</v>
      </c>
      <c r="AD27" s="76">
        <f>资产资本表!AD19</f>
        <v>0</v>
      </c>
      <c r="AE27" s="76">
        <f>资产资本表!AE19</f>
        <v>0</v>
      </c>
      <c r="AF27" s="76">
        <f>资产资本表!AF19</f>
        <v>0</v>
      </c>
      <c r="AG27" s="76">
        <f>资产资本表!AG19</f>
        <v>0</v>
      </c>
      <c r="AH27" s="76">
        <f>资产资本表!AH19</f>
        <v>0</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444</v>
      </c>
      <c r="E28" s="110">
        <f>E26/E27</f>
        <v>0</v>
      </c>
      <c r="F28" s="110">
        <f t="shared" ref="F28:BQ28" si="12">F26/F27</f>
        <v>0</v>
      </c>
      <c r="G28" s="110">
        <f t="shared" si="12"/>
        <v>0</v>
      </c>
      <c r="H28" s="110">
        <f t="shared" si="12"/>
        <v>0</v>
      </c>
      <c r="I28" s="110">
        <f t="shared" si="12"/>
        <v>0</v>
      </c>
      <c r="J28" s="110">
        <f t="shared" si="12"/>
        <v>0</v>
      </c>
      <c r="K28" s="110">
        <f t="shared" si="12"/>
        <v>0</v>
      </c>
      <c r="L28" s="110">
        <f t="shared" si="12"/>
        <v>0</v>
      </c>
      <c r="M28" s="110">
        <f t="shared" si="12"/>
        <v>0</v>
      </c>
      <c r="N28" s="110" t="e">
        <f t="shared" si="12"/>
        <v>#DIV/0!</v>
      </c>
      <c r="O28" s="110" t="e">
        <f t="shared" si="12"/>
        <v>#DIV/0!</v>
      </c>
      <c r="P28" s="110" t="e">
        <f t="shared" si="12"/>
        <v>#DIV/0!</v>
      </c>
      <c r="Q28" s="110" t="e">
        <f t="shared" si="12"/>
        <v>#DIV/0!</v>
      </c>
      <c r="R28" s="110" t="e">
        <f t="shared" si="12"/>
        <v>#DIV/0!</v>
      </c>
      <c r="S28" s="110" t="e">
        <f t="shared" si="12"/>
        <v>#DIV/0!</v>
      </c>
      <c r="T28" s="110" t="e">
        <f t="shared" si="12"/>
        <v>#DIV/0!</v>
      </c>
      <c r="U28" s="110" t="e">
        <f t="shared" si="12"/>
        <v>#DIV/0!</v>
      </c>
      <c r="V28" s="110" t="e">
        <f t="shared" si="12"/>
        <v>#DIV/0!</v>
      </c>
      <c r="W28" s="110" t="e">
        <f t="shared" si="12"/>
        <v>#DIV/0!</v>
      </c>
      <c r="X28" s="110" t="e">
        <f t="shared" si="12"/>
        <v>#DIV/0!</v>
      </c>
      <c r="Y28" s="110" t="e">
        <f t="shared" si="12"/>
        <v>#DIV/0!</v>
      </c>
      <c r="Z28" s="110" t="e">
        <f t="shared" si="12"/>
        <v>#DIV/0!</v>
      </c>
      <c r="AA28" s="110" t="e">
        <f t="shared" si="12"/>
        <v>#DIV/0!</v>
      </c>
      <c r="AB28" s="110" t="e">
        <f t="shared" si="12"/>
        <v>#DIV/0!</v>
      </c>
      <c r="AC28" s="110" t="e">
        <f t="shared" si="12"/>
        <v>#DIV/0!</v>
      </c>
      <c r="AD28" s="110" t="e">
        <f t="shared" si="12"/>
        <v>#DIV/0!</v>
      </c>
      <c r="AE28" s="110" t="e">
        <f t="shared" si="12"/>
        <v>#DIV/0!</v>
      </c>
      <c r="AF28" s="110" t="e">
        <f t="shared" si="12"/>
        <v>#DIV/0!</v>
      </c>
      <c r="AG28" s="110" t="e">
        <f t="shared" si="12"/>
        <v>#DIV/0!</v>
      </c>
      <c r="AH28" s="110" t="e">
        <f t="shared" si="12"/>
        <v>#DIV/0!</v>
      </c>
      <c r="AI28" s="110" t="e">
        <f t="shared" si="12"/>
        <v>#DIV/0!</v>
      </c>
      <c r="AJ28" s="110" t="e">
        <f t="shared" si="12"/>
        <v>#DIV/0!</v>
      </c>
      <c r="AK28" s="110" t="e">
        <f t="shared" si="12"/>
        <v>#DIV/0!</v>
      </c>
      <c r="AL28" s="110" t="e">
        <f t="shared" si="12"/>
        <v>#DIV/0!</v>
      </c>
      <c r="AM28" s="110" t="e">
        <f t="shared" si="12"/>
        <v>#DIV/0!</v>
      </c>
      <c r="AN28" s="110" t="e">
        <f t="shared" si="12"/>
        <v>#DIV/0!</v>
      </c>
      <c r="AO28" s="110" t="e">
        <f t="shared" si="12"/>
        <v>#DIV/0!</v>
      </c>
      <c r="AP28" s="110" t="e">
        <f t="shared" si="12"/>
        <v>#DIV/0!</v>
      </c>
      <c r="AQ28" s="110" t="e">
        <f t="shared" si="12"/>
        <v>#DIV/0!</v>
      </c>
      <c r="AR28" s="110" t="e">
        <f t="shared" si="12"/>
        <v>#DIV/0!</v>
      </c>
      <c r="AS28" s="110" t="e">
        <f t="shared" si="12"/>
        <v>#DIV/0!</v>
      </c>
      <c r="AT28" s="110" t="e">
        <f t="shared" si="12"/>
        <v>#DIV/0!</v>
      </c>
      <c r="AU28" s="110" t="e">
        <f t="shared" si="12"/>
        <v>#DIV/0!</v>
      </c>
      <c r="AV28" s="110" t="e">
        <f t="shared" si="12"/>
        <v>#DIV/0!</v>
      </c>
      <c r="AW28" s="110" t="e">
        <f t="shared" si="12"/>
        <v>#DIV/0!</v>
      </c>
      <c r="AX28" s="110" t="e">
        <f t="shared" si="12"/>
        <v>#DIV/0!</v>
      </c>
      <c r="AY28" s="110" t="e">
        <f t="shared" si="12"/>
        <v>#DIV/0!</v>
      </c>
      <c r="AZ28" s="110" t="e">
        <f t="shared" si="12"/>
        <v>#DIV/0!</v>
      </c>
      <c r="BA28" s="110" t="e">
        <f t="shared" si="12"/>
        <v>#DIV/0!</v>
      </c>
      <c r="BB28" s="110" t="e">
        <f t="shared" si="12"/>
        <v>#DIV/0!</v>
      </c>
      <c r="BC28" s="110" t="e">
        <f t="shared" si="12"/>
        <v>#DIV/0!</v>
      </c>
      <c r="BD28" s="110" t="e">
        <f t="shared" si="12"/>
        <v>#DIV/0!</v>
      </c>
      <c r="BE28" s="110" t="e">
        <f t="shared" si="12"/>
        <v>#DIV/0!</v>
      </c>
      <c r="BF28" s="110" t="e">
        <f t="shared" si="12"/>
        <v>#DIV/0!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694</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39447</v>
      </c>
      <c r="AR31" s="1">
        <v>39082</v>
      </c>
      <c r="AS31" s="1">
        <v>25569</v>
      </c>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7" t="s">
        <v>449</v>
      </c>
      <c r="E32" s="76">
        <f>股权价值增加表!E29</f>
        <v>7540760.0164271062</v>
      </c>
      <c r="F32" s="76">
        <f>股权价值增加表!F29</f>
        <v>128994.48533827998</v>
      </c>
      <c r="G32" s="76">
        <f>股权价值增加表!G29</f>
        <v>12180896.088518757</v>
      </c>
      <c r="H32" s="76">
        <f>股权价值增加表!H29</f>
        <v>939992.4570601983</v>
      </c>
      <c r="I32" s="76">
        <f>股权价值增加表!I29</f>
        <v>42139498.120721474</v>
      </c>
      <c r="J32" s="76">
        <f>股权价值增加表!J29</f>
        <v>18027127.135673136</v>
      </c>
      <c r="K32" s="76">
        <f>股权价值增加表!K29</f>
        <v>12642273.472663125</v>
      </c>
      <c r="L32" s="76">
        <f>股权价值增加表!L29</f>
        <v>8599498.5860650763</v>
      </c>
      <c r="M32" s="76">
        <f>股权价值增加表!M29</f>
        <v>61216111.9209425</v>
      </c>
      <c r="N32" s="76">
        <f>股权价值增加表!N29</f>
        <v>29912931.741094485</v>
      </c>
      <c r="O32" s="76">
        <f>股权价值增加表!O29</f>
        <v>15884345.381188713</v>
      </c>
      <c r="P32" s="76">
        <f>股权价值增加表!P29</f>
        <v>998805.38915454806</v>
      </c>
      <c r="Q32" s="76">
        <f>股权价值增加表!Q29</f>
        <v>35092604.180883817</v>
      </c>
      <c r="R32" s="76">
        <f>股权价值增加表!R29</f>
        <v>11140398.069648199</v>
      </c>
      <c r="S32" s="76">
        <f>股权价值增加表!S29</f>
        <v>7361148.1036858261</v>
      </c>
      <c r="T32" s="76">
        <f>股权价值增加表!T29</f>
        <v>1760186.5254525978</v>
      </c>
      <c r="U32" s="76">
        <f>股权价值增加表!U29</f>
        <v>22039030.675239809</v>
      </c>
      <c r="V32" s="76">
        <f>股权价值增加表!V29</f>
        <v>3158446.3873934578</v>
      </c>
      <c r="W32" s="76">
        <f>股权价值增加表!W29</f>
        <v>2405392.4451926495</v>
      </c>
      <c r="X32" s="76">
        <f>股权价值增加表!X29</f>
        <v>1253212.0154899401</v>
      </c>
      <c r="Y32" s="76">
        <f>股权价值增加表!Y29</f>
        <v>19487611.257494103</v>
      </c>
      <c r="Z32" s="76">
        <f>股权价值增加表!Z29</f>
        <v>147195.29</v>
      </c>
      <c r="AA32" s="76">
        <f>股权价值增加表!AA29</f>
        <v>92296.55</v>
      </c>
      <c r="AB32" s="76">
        <f>股权价值增加表!AB29</f>
        <v>-2400</v>
      </c>
      <c r="AC32" s="76">
        <f>股权价值增加表!AC29</f>
        <v>21455167.405559704</v>
      </c>
      <c r="AD32" s="76">
        <f>股权价值增加表!AD29</f>
        <v>-597629.93000000005</v>
      </c>
      <c r="AE32" s="76">
        <f>股权价值增加表!AE29</f>
        <v>-307502.71000000002</v>
      </c>
      <c r="AF32" s="76">
        <f>股权价值增加表!AF29</f>
        <v>0</v>
      </c>
      <c r="AG32" s="76">
        <f>股权价值增加表!AG29</f>
        <v>14404954.953241179</v>
      </c>
      <c r="AH32" s="76">
        <f>股权价值增加表!AH29</f>
        <v>-211123.94</v>
      </c>
      <c r="AI32" s="76">
        <f>股权价值增加表!AI29</f>
        <v>-96363.82</v>
      </c>
      <c r="AJ32" s="76">
        <f>股权价值增加表!AJ29</f>
        <v>0</v>
      </c>
      <c r="AK32" s="76">
        <f>股权价值增加表!AK29</f>
        <v>1144446.0423256264</v>
      </c>
      <c r="AL32" s="76">
        <f>股权价值增加表!AL29</f>
        <v>0</v>
      </c>
      <c r="AM32" s="76">
        <f>股权价值增加表!AM29</f>
        <v>0</v>
      </c>
      <c r="AN32" s="76">
        <f>股权价值增加表!AN29</f>
        <v>0</v>
      </c>
      <c r="AO32" s="76">
        <f>股权价值增加表!AO29</f>
        <v>72453.427613629668</v>
      </c>
      <c r="AP32" s="76">
        <f>股权价值增加表!AP29</f>
        <v>2421.1224190220323</v>
      </c>
      <c r="AQ32" s="76">
        <f>股权价值增加表!AQ29</f>
        <v>7931.6763068139562</v>
      </c>
      <c r="AR32" s="76">
        <f>股权价值增加表!AR29</f>
        <v>0</v>
      </c>
      <c r="AS32" s="76" t="e">
        <f>股权价值增加表!AS29</f>
        <v>#DIV/0!</v>
      </c>
      <c r="AT32" s="76">
        <f>股权价值增加表!AT29</f>
        <v>-8122173.6560173379</v>
      </c>
      <c r="AU32" s="76">
        <f>股权价值增加表!AU29</f>
        <v>-688900.4632240358</v>
      </c>
      <c r="AV32" s="76">
        <f>股权价值增加表!AV29</f>
        <v>-61022787.12720795</v>
      </c>
      <c r="AW32" s="76">
        <f>股权价值增加表!AW29</f>
        <v>-50093697.729275554</v>
      </c>
      <c r="AX32" s="76">
        <f>股权价值增加表!AX29</f>
        <v>-43012215.904261902</v>
      </c>
      <c r="AY32" s="76">
        <f>股权价值增加表!AY29</f>
        <v>-27523866.203127492</v>
      </c>
      <c r="AZ32" s="76">
        <f>股权价值增加表!AZ29</f>
        <v>-9209832.2439196259</v>
      </c>
      <c r="BA32" s="76">
        <f>股权价值增加表!BA29</f>
        <v>69167931.356924787</v>
      </c>
      <c r="BB32" s="76">
        <f>股权价值增加表!BB29</f>
        <v>27009065.035167493</v>
      </c>
      <c r="BC32" s="76">
        <f>股权价值增加表!BC29</f>
        <v>33131586.469690327</v>
      </c>
      <c r="BD32" s="76">
        <f>股权价值增加表!BD29</f>
        <v>0</v>
      </c>
      <c r="BE32" s="76">
        <f>股权价值增加表!BE29</f>
        <v>1998183.825135876</v>
      </c>
      <c r="BF32" s="76">
        <f>股权价值增加表!BF29</f>
        <v>-8967806.6352624726</v>
      </c>
      <c r="BG32" s="76">
        <f>股权价值增加表!BG29</f>
        <v>-8022480.3069745274</v>
      </c>
      <c r="BH32" s="76">
        <f>股权价值增加表!BH29</f>
        <v>-70820124.885195538</v>
      </c>
      <c r="BI32" s="76">
        <f>股权价值增加表!BI29</f>
        <v>7091634.2273319187</v>
      </c>
      <c r="BJ32" s="76">
        <f>股权价值增加表!BJ29</f>
        <v>-4214133.4392030779</v>
      </c>
      <c r="BK32" s="76">
        <f>股权价值增加表!BK29</f>
        <v>-1023870.6355382719</v>
      </c>
      <c r="BL32" s="76">
        <f>股权价值增加表!BL29</f>
        <v>-20041322.937003668</v>
      </c>
      <c r="BM32" s="76">
        <f>股权价值增加表!BM29</f>
        <v>-1486265.4649603667</v>
      </c>
      <c r="BN32" s="76">
        <f>股权价值增加表!BN29</f>
        <v>-13247610.205168763</v>
      </c>
      <c r="BO32" s="76">
        <f>股权价值增加表!BO29</f>
        <v>-13046345.857516127</v>
      </c>
      <c r="BP32" s="76">
        <f>股权价值增加表!BP29</f>
        <v>2699402.1974922284</v>
      </c>
      <c r="BQ32" s="76">
        <f>股权价值增加表!BQ29</f>
        <v>-25832217.946003724</v>
      </c>
      <c r="BR32" s="76">
        <f>股权价值增加表!BR29</f>
        <v>-147870000</v>
      </c>
      <c r="BS32" s="76">
        <f>股权价值增加表!BS29</f>
        <v>-56921533.426971629</v>
      </c>
      <c r="BT32" s="76">
        <f>股权价值增加表!BT29</f>
        <v>-63396403.961102709</v>
      </c>
      <c r="BU32" s="76">
        <f>股权价值增加表!BU29</f>
        <v>-31533634.159668338</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450</v>
      </c>
    </row>
    <row r="34" spans="1:89" s="76" customFormat="1" x14ac:dyDescent="0.25">
      <c r="A34" s="147" t="s">
        <v>451</v>
      </c>
      <c r="E34" s="76">
        <f>资产资本表!E4</f>
        <v>430523371.25999999</v>
      </c>
      <c r="F34" s="76">
        <f>资产资本表!F4</f>
        <v>352507611.31</v>
      </c>
      <c r="G34" s="76">
        <f>资产资本表!G4</f>
        <v>602354687.92999995</v>
      </c>
      <c r="H34" s="76">
        <f>资产资本表!H4</f>
        <v>676673658.49000001</v>
      </c>
      <c r="I34" s="76">
        <f>资产资本表!I4</f>
        <v>1158545020.5699999</v>
      </c>
      <c r="J34" s="76">
        <f>资产资本表!J4</f>
        <v>528927546.98000002</v>
      </c>
      <c r="K34" s="76">
        <f>资产资本表!K4</f>
        <v>566329470.64999998</v>
      </c>
      <c r="L34" s="76">
        <f>资产资本表!L4</f>
        <v>692567896.78999996</v>
      </c>
      <c r="M34" s="76">
        <f>资产资本表!M4</f>
        <v>589602793.25999999</v>
      </c>
      <c r="N34" s="76">
        <f>资产资本表!N4</f>
        <v>736928180.35000002</v>
      </c>
      <c r="O34" s="76">
        <f>资产资本表!O4</f>
        <v>619994822.77999997</v>
      </c>
      <c r="P34" s="76">
        <f>资产资本表!P4</f>
        <v>669893756.87</v>
      </c>
      <c r="Q34" s="76">
        <f>资产资本表!Q4</f>
        <v>647204677.45000005</v>
      </c>
      <c r="R34" s="76">
        <f>资产资本表!R4</f>
        <v>629117054.61000001</v>
      </c>
      <c r="S34" s="76">
        <f>资产资本表!S4</f>
        <v>835542721.87</v>
      </c>
      <c r="T34" s="76">
        <f>资产资本表!T4</f>
        <v>884858061.70000005</v>
      </c>
      <c r="U34" s="76">
        <f>资产资本表!U4</f>
        <v>932276706.14999998</v>
      </c>
      <c r="V34" s="76">
        <f>资产资本表!V4</f>
        <v>902923862.08000004</v>
      </c>
      <c r="W34" s="76">
        <f>资产资本表!W4</f>
        <v>668725962.38</v>
      </c>
      <c r="X34" s="76">
        <f>资产资本表!X4</f>
        <v>841093308.09000003</v>
      </c>
      <c r="Y34" s="76">
        <f>资产资本表!Y4</f>
        <v>956043885.24000001</v>
      </c>
      <c r="Z34" s="76">
        <f>资产资本表!Z4</f>
        <v>803173622.38</v>
      </c>
      <c r="AA34" s="76">
        <f>资产资本表!AA4</f>
        <v>667828913.97000003</v>
      </c>
      <c r="AB34" s="76">
        <f>资产资本表!AB4</f>
        <v>1014024416.74</v>
      </c>
      <c r="AC34" s="76">
        <f>资产资本表!AC4</f>
        <v>1002302902.5700001</v>
      </c>
      <c r="AD34" s="76">
        <f>资产资本表!AD4</f>
        <v>982362386.38999999</v>
      </c>
      <c r="AE34" s="76">
        <f>资产资本表!AE4</f>
        <v>862194779.22000003</v>
      </c>
      <c r="AF34" s="76">
        <f>资产资本表!AF4</f>
        <v>1151874426.3</v>
      </c>
      <c r="AG34" s="76">
        <f>资产资本表!AG4</f>
        <v>1057191976.45</v>
      </c>
      <c r="AH34" s="76">
        <f>资产资本表!AH4</f>
        <v>960610001.01999998</v>
      </c>
      <c r="AI34" s="76">
        <f>资产资本表!AI4</f>
        <v>930790908.42999995</v>
      </c>
      <c r="AJ34" s="76">
        <f>资产资本表!AJ4</f>
        <v>1127355392.73</v>
      </c>
      <c r="AK34" s="76">
        <f>资产资本表!AK4</f>
        <v>1066884381.7</v>
      </c>
      <c r="AL34" s="76">
        <f>资产资本表!AL4</f>
        <v>1057983159.11</v>
      </c>
      <c r="AM34" s="76">
        <f>资产资本表!AM4</f>
        <v>74808751.980000004</v>
      </c>
      <c r="AN34" s="76">
        <f>资产资本表!AN4</f>
        <v>78505801.079999998</v>
      </c>
      <c r="AO34" s="76">
        <f>资产资本表!AO4</f>
        <v>45134760.259999998</v>
      </c>
      <c r="AP34" s="76">
        <f>资产资本表!AP4</f>
        <v>52609626.460000001</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452</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453</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455</v>
      </c>
      <c r="E38" s="76">
        <f>资产资本表!E8</f>
        <v>228463347.99000001</v>
      </c>
      <c r="F38" s="76">
        <f>资产资本表!F8</f>
        <v>189611525</v>
      </c>
      <c r="G38" s="76">
        <f>资产资本表!G8</f>
        <v>190034675</v>
      </c>
      <c r="H38" s="76">
        <f>资产资本表!H8</f>
        <v>388188950</v>
      </c>
      <c r="I38" s="76">
        <f>资产资本表!I8</f>
        <v>388797125</v>
      </c>
      <c r="J38" s="76">
        <f>资产资本表!J8</f>
        <v>406326690</v>
      </c>
      <c r="K38" s="76">
        <f>资产资本表!K8</f>
        <v>160371775</v>
      </c>
      <c r="L38" s="76">
        <f>资产资本表!L8</f>
        <v>103916150</v>
      </c>
      <c r="M38" s="76">
        <f>资产资本表!M8</f>
        <v>103985900</v>
      </c>
      <c r="N38" s="76">
        <f>资产资本表!N8</f>
        <v>60741278.399999999</v>
      </c>
      <c r="O38" s="76">
        <f>资产资本表!O8</f>
        <v>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50000000</v>
      </c>
      <c r="W39" s="76">
        <f>资产资本表!W9</f>
        <v>100431200</v>
      </c>
      <c r="X39" s="76">
        <f>资产资本表!X9</f>
        <v>150670577.77000001</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5010356.16</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459</v>
      </c>
      <c r="E42" s="76">
        <f>资产资本表!E6</f>
        <v>74189874.799999997</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460</v>
      </c>
      <c r="E43" s="76">
        <f>SUM(E34:E42)</f>
        <v>733176594.04999995</v>
      </c>
      <c r="F43" s="76">
        <f t="shared" ref="F43:BQ43" si="14">SUM(F34:F42)</f>
        <v>542119136.30999994</v>
      </c>
      <c r="G43" s="76">
        <f t="shared" si="14"/>
        <v>792389362.92999995</v>
      </c>
      <c r="H43" s="76">
        <f t="shared" si="14"/>
        <v>1064862608.49</v>
      </c>
      <c r="I43" s="76">
        <f t="shared" si="14"/>
        <v>1547342145.5699999</v>
      </c>
      <c r="J43" s="76">
        <f t="shared" si="14"/>
        <v>935254236.98000002</v>
      </c>
      <c r="K43" s="76">
        <f t="shared" si="14"/>
        <v>726701245.64999998</v>
      </c>
      <c r="L43" s="76">
        <f t="shared" si="14"/>
        <v>796484046.78999996</v>
      </c>
      <c r="M43" s="76">
        <f t="shared" si="14"/>
        <v>693588693.25999999</v>
      </c>
      <c r="N43" s="76">
        <f t="shared" si="14"/>
        <v>797669458.75</v>
      </c>
      <c r="O43" s="76">
        <f t="shared" si="14"/>
        <v>619994822.77999997</v>
      </c>
      <c r="P43" s="76">
        <f t="shared" si="14"/>
        <v>669893756.87</v>
      </c>
      <c r="Q43" s="76">
        <f t="shared" si="14"/>
        <v>647204677.45000005</v>
      </c>
      <c r="R43" s="76">
        <f t="shared" si="14"/>
        <v>629117054.61000001</v>
      </c>
      <c r="S43" s="76">
        <f t="shared" si="14"/>
        <v>835542721.87</v>
      </c>
      <c r="T43" s="76">
        <f t="shared" si="14"/>
        <v>884858061.70000005</v>
      </c>
      <c r="U43" s="76">
        <f t="shared" si="14"/>
        <v>932276706.14999998</v>
      </c>
      <c r="V43" s="76">
        <f t="shared" si="14"/>
        <v>952923862.08000004</v>
      </c>
      <c r="W43" s="76">
        <f t="shared" si="14"/>
        <v>769157162.38</v>
      </c>
      <c r="X43" s="76">
        <f t="shared" si="14"/>
        <v>991763885.86000001</v>
      </c>
      <c r="Y43" s="76">
        <f t="shared" si="14"/>
        <v>956043885.24000001</v>
      </c>
      <c r="Z43" s="76">
        <f t="shared" si="14"/>
        <v>803173622.38</v>
      </c>
      <c r="AA43" s="76">
        <f t="shared" si="14"/>
        <v>667828913.97000003</v>
      </c>
      <c r="AB43" s="76">
        <f t="shared" si="14"/>
        <v>1014024416.74</v>
      </c>
      <c r="AC43" s="76">
        <f t="shared" si="14"/>
        <v>1002302902.5700001</v>
      </c>
      <c r="AD43" s="76">
        <f t="shared" si="14"/>
        <v>982362386.38999999</v>
      </c>
      <c r="AE43" s="76">
        <f t="shared" si="14"/>
        <v>862194779.22000003</v>
      </c>
      <c r="AF43" s="76">
        <f t="shared" si="14"/>
        <v>1151874426.3</v>
      </c>
      <c r="AG43" s="76">
        <f t="shared" si="14"/>
        <v>1057191976.45</v>
      </c>
      <c r="AH43" s="76">
        <f t="shared" si="14"/>
        <v>960610001.01999998</v>
      </c>
      <c r="AI43" s="76">
        <f t="shared" si="14"/>
        <v>930790908.42999995</v>
      </c>
      <c r="AJ43" s="76">
        <f t="shared" si="14"/>
        <v>1127355392.73</v>
      </c>
      <c r="AK43" s="76">
        <f t="shared" si="14"/>
        <v>1066884381.7</v>
      </c>
      <c r="AL43" s="76">
        <f t="shared" si="14"/>
        <v>1057983159.11</v>
      </c>
      <c r="AM43" s="76">
        <f t="shared" si="14"/>
        <v>74808751.980000004</v>
      </c>
      <c r="AN43" s="76">
        <f t="shared" si="14"/>
        <v>78505801.079999998</v>
      </c>
      <c r="AO43" s="76">
        <f t="shared" si="14"/>
        <v>50145116.420000002</v>
      </c>
      <c r="AP43" s="76">
        <f t="shared" si="14"/>
        <v>52609626.460000001</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461</v>
      </c>
      <c r="E44" s="110">
        <f>E32/E43</f>
        <v>1.0285052847599297E-2</v>
      </c>
      <c r="F44" s="110">
        <f t="shared" ref="F44:BQ44" si="16">F32/F43</f>
        <v>2.3794490306373739E-4</v>
      </c>
      <c r="G44" s="110">
        <f t="shared" si="16"/>
        <v>1.5372361945240831E-2</v>
      </c>
      <c r="H44" s="110">
        <f t="shared" si="16"/>
        <v>8.8273590373609751E-4</v>
      </c>
      <c r="I44" s="110">
        <f t="shared" si="16"/>
        <v>2.7233471434463124E-2</v>
      </c>
      <c r="J44" s="110">
        <f t="shared" si="16"/>
        <v>1.9275108759607404E-2</v>
      </c>
      <c r="K44" s="110">
        <f t="shared" si="16"/>
        <v>1.739679620523453E-2</v>
      </c>
      <c r="L44" s="110">
        <f t="shared" si="16"/>
        <v>1.079682464541868E-2</v>
      </c>
      <c r="M44" s="110">
        <f t="shared" si="16"/>
        <v>8.8259962303040188E-2</v>
      </c>
      <c r="N44" s="110">
        <f t="shared" si="16"/>
        <v>3.7500409991840476E-2</v>
      </c>
      <c r="O44" s="110">
        <f t="shared" si="16"/>
        <v>2.5620125842284881E-2</v>
      </c>
      <c r="P44" s="110">
        <f t="shared" si="16"/>
        <v>1.4909907413100088E-3</v>
      </c>
      <c r="Q44" s="110">
        <f t="shared" si="16"/>
        <v>5.4221802473908891E-2</v>
      </c>
      <c r="R44" s="110">
        <f t="shared" si="16"/>
        <v>1.7707989297086078E-2</v>
      </c>
      <c r="S44" s="110">
        <f t="shared" si="16"/>
        <v>8.8100200157462793E-3</v>
      </c>
      <c r="T44" s="110">
        <f t="shared" si="16"/>
        <v>1.9892303654564735E-3</v>
      </c>
      <c r="U44" s="110">
        <f t="shared" si="16"/>
        <v>2.3640010020473265E-2</v>
      </c>
      <c r="V44" s="110">
        <f t="shared" si="16"/>
        <v>3.3144792706726232E-3</v>
      </c>
      <c r="W44" s="110">
        <f t="shared" si="16"/>
        <v>3.127309427568292E-3</v>
      </c>
      <c r="X44" s="110">
        <f t="shared" si="16"/>
        <v>1.2636193285090508E-3</v>
      </c>
      <c r="Y44" s="110">
        <f t="shared" si="16"/>
        <v>2.038359489387042E-2</v>
      </c>
      <c r="Z44" s="110">
        <f t="shared" si="16"/>
        <v>1.8326708683961051E-4</v>
      </c>
      <c r="AA44" s="110">
        <f t="shared" si="16"/>
        <v>1.3820388436213487E-4</v>
      </c>
      <c r="AB44" s="110">
        <f t="shared" si="16"/>
        <v>-2.3668069135019356E-6</v>
      </c>
      <c r="AC44" s="110">
        <f t="shared" si="16"/>
        <v>2.1405871768451046E-2</v>
      </c>
      <c r="AD44" s="110">
        <f t="shared" si="16"/>
        <v>-6.083599476932128E-4</v>
      </c>
      <c r="AE44" s="110">
        <f t="shared" si="16"/>
        <v>-3.5665109255032589E-4</v>
      </c>
      <c r="AF44" s="110">
        <f t="shared" si="16"/>
        <v>0</v>
      </c>
      <c r="AG44" s="110">
        <f t="shared" si="16"/>
        <v>1.3625675633305813E-2</v>
      </c>
      <c r="AH44" s="110">
        <f t="shared" si="16"/>
        <v>-2.1978111801441091E-4</v>
      </c>
      <c r="AI44" s="110">
        <f t="shared" si="16"/>
        <v>-1.0352896566484571E-4</v>
      </c>
      <c r="AJ44" s="110">
        <f t="shared" si="16"/>
        <v>0</v>
      </c>
      <c r="AK44" s="110">
        <f t="shared" si="16"/>
        <v>1.0726992183558237E-3</v>
      </c>
      <c r="AL44" s="110">
        <f t="shared" si="16"/>
        <v>0</v>
      </c>
      <c r="AM44" s="110">
        <f t="shared" si="16"/>
        <v>0</v>
      </c>
      <c r="AN44" s="110">
        <f t="shared" si="16"/>
        <v>0</v>
      </c>
      <c r="AO44" s="110">
        <f t="shared" si="16"/>
        <v>1.4448750503794257E-3</v>
      </c>
      <c r="AP44" s="110">
        <f t="shared" si="16"/>
        <v>4.6020520994629244E-5</v>
      </c>
      <c r="AQ44" s="110" t="e">
        <f t="shared" si="16"/>
        <v>#DIV/0!</v>
      </c>
      <c r="AR44" s="110" t="e">
        <f t="shared" si="16"/>
        <v>#DIV/0!</v>
      </c>
      <c r="AS44" s="110" t="e">
        <f t="shared" si="16"/>
        <v>#DIV/0!</v>
      </c>
      <c r="AT44" s="110" t="e">
        <f t="shared" si="16"/>
        <v>#DIV/0!</v>
      </c>
      <c r="AU44" s="110" t="e">
        <f t="shared" si="16"/>
        <v>#DIV/0!</v>
      </c>
      <c r="AV44" s="110" t="e">
        <f t="shared" si="16"/>
        <v>#DIV/0!</v>
      </c>
      <c r="AW44" s="110" t="e">
        <f t="shared" si="16"/>
        <v>#DIV/0!</v>
      </c>
      <c r="AX44" s="110" t="e">
        <f t="shared" si="16"/>
        <v>#DIV/0!</v>
      </c>
      <c r="AY44" s="110" t="e">
        <f t="shared" si="16"/>
        <v>#DIV/0!</v>
      </c>
      <c r="AZ44" s="110" t="e">
        <f t="shared" si="16"/>
        <v>#DIV/0!</v>
      </c>
      <c r="BA44" s="110" t="e">
        <f t="shared" si="16"/>
        <v>#DIV/0!</v>
      </c>
      <c r="BB44" s="110" t="e">
        <f t="shared" si="16"/>
        <v>#DIV/0!</v>
      </c>
      <c r="BC44" s="110" t="e">
        <f t="shared" si="16"/>
        <v>#DIV/0!</v>
      </c>
      <c r="BD44" s="110" t="e">
        <f t="shared" si="16"/>
        <v>#DIV/0!</v>
      </c>
      <c r="BE44" s="110" t="e">
        <f t="shared" si="16"/>
        <v>#DIV/0!</v>
      </c>
      <c r="BF44" s="110" t="e">
        <f t="shared" si="16"/>
        <v>#DIV/0!</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695</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696</v>
      </c>
      <c r="E46" s="57">
        <f>E43/资产资本表!E70</f>
        <v>0.21463167862036087</v>
      </c>
      <c r="F46" s="57">
        <f>F43/资产资本表!F70</f>
        <v>0.15626478545075001</v>
      </c>
      <c r="G46" s="57">
        <f>G43/资产资本表!G70</f>
        <v>0.23766010325584033</v>
      </c>
      <c r="H46" s="57">
        <f>H43/资产资本表!H70</f>
        <v>0.29969920088848329</v>
      </c>
      <c r="I46" s="57">
        <f>I43/资产资本表!I70</f>
        <v>0.45791266951713955</v>
      </c>
      <c r="J46" s="57">
        <f>J43/资产资本表!J70</f>
        <v>0.29755497703876937</v>
      </c>
      <c r="K46" s="57">
        <f>K43/资产资本表!K70</f>
        <v>0.24520220966395412</v>
      </c>
      <c r="L46" s="57">
        <f>L43/资产资本表!L70</f>
        <v>0.27641466059724851</v>
      </c>
      <c r="M46" s="57">
        <f>M43/资产资本表!M70</f>
        <v>0.25038020967085672</v>
      </c>
      <c r="N46" s="57">
        <f>N43/资产资本表!N70</f>
        <v>0.31325362227325732</v>
      </c>
      <c r="O46" s="57">
        <f>O43/资产资本表!O70</f>
        <v>0.25802249356708268</v>
      </c>
      <c r="P46" s="57">
        <f>P43/资产资本表!P70</f>
        <v>0.2568216396468076</v>
      </c>
      <c r="Q46" s="57">
        <f>Q43/资产资本表!Q70</f>
        <v>0.25961756424967081</v>
      </c>
      <c r="R46" s="57">
        <f>R43/资产资本表!R70</f>
        <v>0.27252340634217009</v>
      </c>
      <c r="S46" s="57">
        <f>S43/资产资本表!S70</f>
        <v>0.38114131808988361</v>
      </c>
      <c r="T46" s="57">
        <f>T43/资产资本表!T70</f>
        <v>0.39685406495707076</v>
      </c>
      <c r="U46" s="57">
        <f>U43/资产资本表!U70</f>
        <v>0.43701022134652312</v>
      </c>
      <c r="V46" s="57">
        <f>V43/资产资本表!V70</f>
        <v>0.46926216022085115</v>
      </c>
      <c r="W46" s="57">
        <f>W43/资产资本表!W70</f>
        <v>0.39838068794099346</v>
      </c>
      <c r="X46" s="57">
        <f>X43/资产资本表!X70</f>
        <v>0.50142367384582853</v>
      </c>
      <c r="Y46" s="57">
        <f>Y43/资产资本表!Y70</f>
        <v>0.50524969649979945</v>
      </c>
      <c r="Z46" s="57">
        <f>Z43/资产资本表!Z70</f>
        <v>0.45546356268716381</v>
      </c>
      <c r="AA46" s="57">
        <f>AA43/资产资本表!AA70</f>
        <v>0.40624448625781023</v>
      </c>
      <c r="AB46" s="57">
        <f>AB43/资产资本表!AB70</f>
        <v>0.57718820264566584</v>
      </c>
      <c r="AC46" s="57">
        <f>AC43/资产资本表!AC70</f>
        <v>0.60727464545520082</v>
      </c>
      <c r="AD46" s="57">
        <f>AD43/资产资本表!AD70</f>
        <v>0.63103365938122402</v>
      </c>
      <c r="AE46" s="57">
        <f>AE43/资产资本表!AE70</f>
        <v>0.59903009786750716</v>
      </c>
      <c r="AF46" s="57">
        <f>AF43/资产资本表!AF70</f>
        <v>0.75095631512101391</v>
      </c>
      <c r="AG46" s="57">
        <f>AG43/资产资本表!AG70</f>
        <v>0.71600946671288135</v>
      </c>
      <c r="AH46" s="57">
        <f>AH43/资产资本表!AH70</f>
        <v>0.69698180324177061</v>
      </c>
      <c r="AI46" s="57">
        <f>AI43/资产资本表!AI70</f>
        <v>0.70980562264374469</v>
      </c>
      <c r="AJ46" s="57">
        <f>AJ43/资产资本表!AJ70</f>
        <v>0.81550596797259123</v>
      </c>
      <c r="AK46" s="57">
        <f>AK43/资产资本表!AK70</f>
        <v>0.80081484436978179</v>
      </c>
      <c r="AL46" s="57">
        <f>AL43/资产资本表!AL70</f>
        <v>0.82093614974994356</v>
      </c>
      <c r="AM46" s="57">
        <f>AM43/资产资本表!AM70</f>
        <v>0.22600252483508187</v>
      </c>
      <c r="AN46" s="57">
        <f>AN43/资产资本表!AN70</f>
        <v>0.26052419466862259</v>
      </c>
      <c r="AO46" s="57">
        <f>AO43/资产资本表!AO70</f>
        <v>0.21043069834558487</v>
      </c>
      <c r="AP46" s="57">
        <f>AP43/资产资本表!AP70</f>
        <v>0.33776756050910184</v>
      </c>
      <c r="AQ46" s="57" t="e">
        <f>AQ43/资产资本表!AQ70</f>
        <v>#DIV/0!</v>
      </c>
      <c r="AR46" s="57" t="e">
        <f>AR43/资产资本表!AR70</f>
        <v>#DIV/0!</v>
      </c>
      <c r="AS46" s="57" t="e">
        <f>AS43/资产资本表!AS70</f>
        <v>#DIV/0!</v>
      </c>
      <c r="AT46" s="57" t="e">
        <f>AT43/资产资本表!AT70</f>
        <v>#DIV/0!</v>
      </c>
      <c r="AU46" s="57" t="e">
        <f>AU43/资产资本表!AU70</f>
        <v>#DIV/0!</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39447</v>
      </c>
      <c r="AR48" s="1">
        <v>39082</v>
      </c>
      <c r="AS48" s="1">
        <v>25569</v>
      </c>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7" t="s">
        <v>463</v>
      </c>
      <c r="E49" s="76">
        <f>利润表!E4</f>
        <v>4661850865.5100002</v>
      </c>
      <c r="F49" s="76">
        <f>利润表!F4</f>
        <v>3182670009.3200002</v>
      </c>
      <c r="G49" s="76">
        <f>利润表!G4</f>
        <v>1981435890.6199999</v>
      </c>
      <c r="H49" s="76">
        <f>利润表!H4</f>
        <v>1057767260.42</v>
      </c>
      <c r="I49" s="76">
        <f>利润表!I4</f>
        <v>3152216442.1500001</v>
      </c>
      <c r="J49" s="76">
        <f>利润表!J4</f>
        <v>2155264290.48</v>
      </c>
      <c r="K49" s="76">
        <f>利润表!K4</f>
        <v>1343083310.6500001</v>
      </c>
      <c r="L49" s="76">
        <f>利润表!L4</f>
        <v>762846279.96000004</v>
      </c>
      <c r="M49" s="76">
        <f>利润表!M4</f>
        <v>2915633891.98</v>
      </c>
      <c r="N49" s="76">
        <f>利润表!N4</f>
        <v>2046094586.02</v>
      </c>
      <c r="O49" s="76">
        <f>利润表!O4</f>
        <v>1249976092.8499999</v>
      </c>
      <c r="P49" s="76">
        <f>利润表!P4</f>
        <v>705394935.15999997</v>
      </c>
      <c r="Q49" s="76">
        <f>利润表!Q4</f>
        <v>2761400573.5100002</v>
      </c>
      <c r="R49" s="76">
        <f>利润表!R4</f>
        <v>1879993912.9100001</v>
      </c>
      <c r="S49" s="76">
        <f>利润表!S4</f>
        <v>1112279848.48</v>
      </c>
      <c r="T49" s="76">
        <f>利润表!T4</f>
        <v>657308577.96000004</v>
      </c>
      <c r="U49" s="76">
        <f>利润表!U4</f>
        <v>2524209416.4000001</v>
      </c>
      <c r="V49" s="76">
        <f>利润表!V4</f>
        <v>1722646961.76</v>
      </c>
      <c r="W49" s="76">
        <f>利润表!W4</f>
        <v>1078073329.79</v>
      </c>
      <c r="X49" s="76">
        <f>利润表!X4</f>
        <v>615351177.55999994</v>
      </c>
      <c r="Y49" s="76">
        <f>利润表!Y4</f>
        <v>2724953861.21</v>
      </c>
      <c r="Z49" s="76">
        <f>利润表!Z4</f>
        <v>1847721787.6600001</v>
      </c>
      <c r="AA49" s="76">
        <f>利润表!AA4</f>
        <v>1036490112.66</v>
      </c>
      <c r="AB49" s="76">
        <f>利润表!AB4</f>
        <v>614320304.89999998</v>
      </c>
      <c r="AC49" s="76">
        <f>利润表!AC4</f>
        <v>2382434788.48</v>
      </c>
      <c r="AD49" s="76">
        <f>利润表!AD4</f>
        <v>1633896787.0999999</v>
      </c>
      <c r="AE49" s="76">
        <f>利润表!AE4</f>
        <v>1003246147.98</v>
      </c>
      <c r="AF49" s="76">
        <f>利润表!AF4</f>
        <v>583149853.35000002</v>
      </c>
      <c r="AG49" s="76">
        <f>利润表!AG4</f>
        <v>1818814620.1400001</v>
      </c>
      <c r="AH49" s="76">
        <f>利润表!AH4</f>
        <v>1145669244.4200001</v>
      </c>
      <c r="AI49" s="76">
        <f>利润表!AI4</f>
        <v>661829336.29999995</v>
      </c>
      <c r="AJ49" s="76">
        <f>利润表!AJ4</f>
        <v>359335837.14999998</v>
      </c>
      <c r="AK49" s="76">
        <f>利润表!AK4</f>
        <v>1145306750.3299999</v>
      </c>
      <c r="AL49" s="76">
        <f>利润表!AL4</f>
        <v>723914564.5</v>
      </c>
      <c r="AM49" s="76">
        <f>利润表!AM4</f>
        <v>407570538.00999999</v>
      </c>
      <c r="AN49" s="76">
        <f>利润表!AN4</f>
        <v>255192022.33000001</v>
      </c>
      <c r="AO49" s="76">
        <f>利润表!AO4</f>
        <v>902684684.88</v>
      </c>
      <c r="AP49" s="76">
        <f>利润表!AP4</f>
        <v>632875455.57000005</v>
      </c>
      <c r="AQ49" s="76">
        <f>利润表!AQ4</f>
        <v>755362629.51999998</v>
      </c>
      <c r="AR49" s="76">
        <f>利润表!AR4</f>
        <v>552487592.55999994</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464</v>
      </c>
      <c r="E50" s="76">
        <f>资产资本表!E50</f>
        <v>1597100710.9399998</v>
      </c>
      <c r="F50" s="76">
        <f>资产资本表!F50</f>
        <v>1754650310.4399998</v>
      </c>
      <c r="G50" s="76">
        <f>资产资本表!G50</f>
        <v>1349137181.4500003</v>
      </c>
      <c r="H50" s="76">
        <f>资产资本表!H50</f>
        <v>1278750158.9299998</v>
      </c>
      <c r="I50" s="76">
        <f>资产资本表!I50</f>
        <v>949049399.85000014</v>
      </c>
      <c r="J50" s="76">
        <f>资产资本表!J50</f>
        <v>1300496511.9699998</v>
      </c>
      <c r="K50" s="76">
        <f>资产资本表!K50</f>
        <v>1335104250.45</v>
      </c>
      <c r="L50" s="76">
        <f>资产资本表!L50</f>
        <v>1169926680.3800001</v>
      </c>
      <c r="M50" s="76">
        <f>资产资本表!M50</f>
        <v>1157095856.3699999</v>
      </c>
      <c r="N50" s="76">
        <f>资产资本表!N50</f>
        <v>919351714.72000003</v>
      </c>
      <c r="O50" s="76">
        <f>资产资本表!O50</f>
        <v>960746978.13</v>
      </c>
      <c r="P50" s="76">
        <f>资产资本表!P50</f>
        <v>1113176673.5599999</v>
      </c>
      <c r="Q50" s="76">
        <f>资产资本表!Q50</f>
        <v>1020208913.4599999</v>
      </c>
      <c r="R50" s="76">
        <f>资产资本表!R50</f>
        <v>1020629371.64</v>
      </c>
      <c r="S50" s="76">
        <f>资产资本表!S50</f>
        <v>713919009.73999977</v>
      </c>
      <c r="T50" s="76">
        <f>资产资本表!T50</f>
        <v>706716177.13999999</v>
      </c>
      <c r="U50" s="76">
        <f>资产资本表!U50</f>
        <v>554743546.35000014</v>
      </c>
      <c r="V50" s="76">
        <f>资产资本表!V50</f>
        <v>440012245.28999996</v>
      </c>
      <c r="W50" s="76">
        <f>资产资本表!W50</f>
        <v>605557151.28999996</v>
      </c>
      <c r="X50" s="76">
        <f>资产资本表!X50</f>
        <v>461092421.37</v>
      </c>
      <c r="Y50" s="76">
        <f>资产资本表!Y50</f>
        <v>421625578.88000011</v>
      </c>
      <c r="Z50" s="76">
        <f>资产资本表!Z50</f>
        <v>463458176.65999985</v>
      </c>
      <c r="AA50" s="76">
        <f>资产资本表!AA50</f>
        <v>538043845.96000004</v>
      </c>
      <c r="AB50" s="76">
        <f>资产资本表!AB50</f>
        <v>318249727.29000002</v>
      </c>
      <c r="AC50" s="76">
        <f>资产资本表!AC50</f>
        <v>241941336.04999995</v>
      </c>
      <c r="AD50" s="76">
        <f>资产资本表!AD50</f>
        <v>261233161.02999997</v>
      </c>
      <c r="AE50" s="76">
        <f>资产资本表!AE50</f>
        <v>321419707.1500001</v>
      </c>
      <c r="AF50" s="76">
        <f>资产资本表!AF50</f>
        <v>148020334.52999997</v>
      </c>
      <c r="AG50" s="76">
        <f>资产资本表!AG50</f>
        <v>204497911.35999995</v>
      </c>
      <c r="AH50" s="76">
        <f>资产资本表!AH50</f>
        <v>282006776.60000002</v>
      </c>
      <c r="AI50" s="76">
        <f>资产资本表!AI50</f>
        <v>252834625.30000001</v>
      </c>
      <c r="AJ50" s="76">
        <f>资产资本表!AJ50</f>
        <v>126923235.34999999</v>
      </c>
      <c r="AK50" s="76">
        <f>资产资本表!AK50</f>
        <v>137423752.91000006</v>
      </c>
      <c r="AL50" s="76">
        <f>资产资本表!AL50</f>
        <v>133608740.93999997</v>
      </c>
      <c r="AM50" s="76">
        <f>资产资本表!AM50</f>
        <v>157946398.67999998</v>
      </c>
      <c r="AN50" s="76">
        <f>资产资本表!AN50</f>
        <v>120859525.39000002</v>
      </c>
      <c r="AO50" s="76">
        <f>资产资本表!AO50</f>
        <v>110265855.45999999</v>
      </c>
      <c r="AP50" s="76">
        <f>资产资本表!AP50</f>
        <v>38950841.790000021</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465</v>
      </c>
      <c r="E51" s="44">
        <f>E49/E50</f>
        <v>2.9189460837232937</v>
      </c>
      <c r="F51" s="44">
        <f t="shared" ref="F51:BQ51" si="18">F49/F50</f>
        <v>1.8138486001361189</v>
      </c>
      <c r="G51" s="44">
        <f t="shared" si="18"/>
        <v>1.4686689521746257</v>
      </c>
      <c r="H51" s="44">
        <f t="shared" si="18"/>
        <v>0.82718837063925887</v>
      </c>
      <c r="I51" s="44">
        <f t="shared" si="18"/>
        <v>3.3214461150791692</v>
      </c>
      <c r="J51" s="44">
        <f t="shared" si="18"/>
        <v>1.6572626459529622</v>
      </c>
      <c r="K51" s="44">
        <f t="shared" si="18"/>
        <v>1.005976357424756</v>
      </c>
      <c r="L51" s="44">
        <f t="shared" si="18"/>
        <v>0.6520462288390777</v>
      </c>
      <c r="M51" s="44">
        <f t="shared" si="18"/>
        <v>2.5197859588978422</v>
      </c>
      <c r="N51" s="44">
        <f t="shared" si="18"/>
        <v>2.2255841298377992</v>
      </c>
      <c r="O51" s="44">
        <f t="shared" si="18"/>
        <v>1.301046083208043</v>
      </c>
      <c r="P51" s="44">
        <f t="shared" si="18"/>
        <v>0.63367743136775256</v>
      </c>
      <c r="Q51" s="44">
        <f t="shared" si="18"/>
        <v>2.706701085510824</v>
      </c>
      <c r="R51" s="44">
        <f t="shared" si="18"/>
        <v>1.8419947192869128</v>
      </c>
      <c r="S51" s="44">
        <f t="shared" si="18"/>
        <v>1.5579916395349638</v>
      </c>
      <c r="T51" s="44">
        <f t="shared" si="18"/>
        <v>0.93008848420599788</v>
      </c>
      <c r="U51" s="44">
        <f t="shared" si="18"/>
        <v>4.5502276376324344</v>
      </c>
      <c r="V51" s="44">
        <f t="shared" si="18"/>
        <v>3.9149977760838244</v>
      </c>
      <c r="W51" s="44">
        <f t="shared" si="18"/>
        <v>1.7802998899334492</v>
      </c>
      <c r="X51" s="44">
        <f t="shared" si="18"/>
        <v>1.3345506216121825</v>
      </c>
      <c r="Y51" s="44">
        <f t="shared" si="18"/>
        <v>6.4629709337097783</v>
      </c>
      <c r="Z51" s="44">
        <f t="shared" si="18"/>
        <v>3.9868145190057089</v>
      </c>
      <c r="AA51" s="44">
        <f t="shared" si="18"/>
        <v>1.9264045494482918</v>
      </c>
      <c r="AB51" s="44">
        <f t="shared" si="18"/>
        <v>1.9303089750653906</v>
      </c>
      <c r="AC51" s="44">
        <f t="shared" si="18"/>
        <v>9.8471589327242643</v>
      </c>
      <c r="AD51" s="44">
        <f t="shared" si="18"/>
        <v>6.2545535209152234</v>
      </c>
      <c r="AE51" s="44">
        <f t="shared" si="18"/>
        <v>3.1212963165068324</v>
      </c>
      <c r="AF51" s="44">
        <f t="shared" si="18"/>
        <v>3.9396604203175229</v>
      </c>
      <c r="AG51" s="44">
        <f t="shared" si="18"/>
        <v>8.8940498611652927</v>
      </c>
      <c r="AH51" s="44">
        <f t="shared" si="18"/>
        <v>4.0625592697902562</v>
      </c>
      <c r="AI51" s="44">
        <f t="shared" si="18"/>
        <v>2.6176372619640556</v>
      </c>
      <c r="AJ51" s="44">
        <f t="shared" si="18"/>
        <v>2.831127304304097</v>
      </c>
      <c r="AK51" s="44">
        <f t="shared" si="18"/>
        <v>8.3341251135825889</v>
      </c>
      <c r="AL51" s="44">
        <f t="shared" si="18"/>
        <v>5.4181676992607111</v>
      </c>
      <c r="AM51" s="44">
        <f t="shared" si="18"/>
        <v>2.5804357770495261</v>
      </c>
      <c r="AN51" s="44">
        <f t="shared" si="18"/>
        <v>2.1114762904001503</v>
      </c>
      <c r="AO51" s="44">
        <f t="shared" si="18"/>
        <v>8.1864388673559745</v>
      </c>
      <c r="AP51" s="44">
        <f t="shared" si="18"/>
        <v>16.248055920898743</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466</v>
      </c>
      <c r="E52" s="76">
        <f>资产资本表!E68</f>
        <v>1083016609.1099997</v>
      </c>
      <c r="F52" s="76">
        <f>资产资本表!F68</f>
        <v>1135909896.98</v>
      </c>
      <c r="G52" s="76">
        <f>资产资本表!G68</f>
        <v>1155300874.6399999</v>
      </c>
      <c r="H52" s="76">
        <f>资产资本表!H68</f>
        <v>1164909636.75</v>
      </c>
      <c r="I52" s="76">
        <f>资产资本表!I68</f>
        <v>838520601.88999999</v>
      </c>
      <c r="J52" s="76">
        <f>资产资本表!J68</f>
        <v>860883066.41999996</v>
      </c>
      <c r="K52" s="76">
        <f>资产资本表!K68</f>
        <v>853457919.58000004</v>
      </c>
      <c r="L52" s="76">
        <f>资产资本表!L68</f>
        <v>868058308.17999995</v>
      </c>
      <c r="M52" s="76">
        <f>资产资本表!M68</f>
        <v>871078382.76999986</v>
      </c>
      <c r="N52" s="76">
        <f>资产资本表!N68</f>
        <v>829380215.16000009</v>
      </c>
      <c r="O52" s="76">
        <f>资产资本表!O68</f>
        <v>822129414.7299999</v>
      </c>
      <c r="P52" s="76">
        <f>资产资本表!P68</f>
        <v>825330317.23000002</v>
      </c>
      <c r="Q52" s="76">
        <f>资产资本表!Q68</f>
        <v>825502014.86000013</v>
      </c>
      <c r="R52" s="76">
        <f>资产资本表!R68</f>
        <v>658741725.48000002</v>
      </c>
      <c r="S52" s="76">
        <f>资产资本表!S68</f>
        <v>642750663.67000008</v>
      </c>
      <c r="T52" s="76">
        <f>资产资本表!T68</f>
        <v>638106996.24000001</v>
      </c>
      <c r="U52" s="76">
        <f>资产资本表!U68</f>
        <v>646286156.8499999</v>
      </c>
      <c r="V52" s="76">
        <f>资产资本表!V68</f>
        <v>637749387.55999994</v>
      </c>
      <c r="W52" s="76">
        <f>资产资本表!W68</f>
        <v>555994643.0200001</v>
      </c>
      <c r="X52" s="76">
        <f>资产资本表!X68</f>
        <v>525039706.84000003</v>
      </c>
      <c r="Y52" s="76">
        <f>资产资本表!Y68</f>
        <v>514551138.60999995</v>
      </c>
      <c r="Z52" s="76">
        <f>资产资本表!Z68</f>
        <v>496788347.33000004</v>
      </c>
      <c r="AA52" s="76">
        <f>资产资本表!AA68</f>
        <v>438036109.13999999</v>
      </c>
      <c r="AB52" s="76">
        <f>资产资本表!AB68</f>
        <v>424560822.61000007</v>
      </c>
      <c r="AC52" s="76">
        <f>资产资本表!AC68</f>
        <v>406249339.64999998</v>
      </c>
      <c r="AD52" s="76">
        <f>资产资本表!AD68</f>
        <v>313155620.74000001</v>
      </c>
      <c r="AE52" s="76">
        <f>资产资本表!AE68</f>
        <v>255703474.93000001</v>
      </c>
      <c r="AF52" s="76">
        <f>资产资本表!AF68</f>
        <v>233981981.54000002</v>
      </c>
      <c r="AG52" s="76">
        <f>资产资本表!AG68</f>
        <v>214815697.10000002</v>
      </c>
      <c r="AH52" s="76">
        <f>资产资本表!AH68</f>
        <v>135625805.69</v>
      </c>
      <c r="AI52" s="76">
        <f>资产资本表!AI68</f>
        <v>127706581.34</v>
      </c>
      <c r="AJ52" s="76">
        <f>资产资本表!AJ68</f>
        <v>128121301.53999999</v>
      </c>
      <c r="AK52" s="76">
        <f>资产资本表!AK68</f>
        <v>127940373.52</v>
      </c>
      <c r="AL52" s="76">
        <f>资产资本表!AL68</f>
        <v>97160166.030000001</v>
      </c>
      <c r="AM52" s="76">
        <f>资产资本表!AM68</f>
        <v>98253328.269999996</v>
      </c>
      <c r="AN52" s="76">
        <f>资产资本表!AN68</f>
        <v>101972525.01000001</v>
      </c>
      <c r="AO52" s="76">
        <f>资产资本表!AO68</f>
        <v>77886561.769999996</v>
      </c>
      <c r="AP52" s="76">
        <f>资产资本表!AP68</f>
        <v>64196426.760000005</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467</v>
      </c>
      <c r="E53" s="44">
        <f>E49/E52</f>
        <v>4.3045054215198153</v>
      </c>
      <c r="F53" s="44">
        <f t="shared" ref="F53:BQ53" si="20">F49/F52</f>
        <v>2.8018683680647931</v>
      </c>
      <c r="G53" s="44">
        <f t="shared" si="20"/>
        <v>1.715082134978414</v>
      </c>
      <c r="H53" s="44">
        <f t="shared" si="20"/>
        <v>0.90802516096534469</v>
      </c>
      <c r="I53" s="44">
        <f t="shared" si="20"/>
        <v>3.7592593849751572</v>
      </c>
      <c r="J53" s="44">
        <f t="shared" si="20"/>
        <v>2.5035505686535466</v>
      </c>
      <c r="K53" s="44">
        <f t="shared" si="20"/>
        <v>1.5736959958271315</v>
      </c>
      <c r="L53" s="44">
        <f t="shared" si="20"/>
        <v>0.87879612783087002</v>
      </c>
      <c r="M53" s="44">
        <f t="shared" si="20"/>
        <v>3.3471544577979109</v>
      </c>
      <c r="N53" s="44">
        <f t="shared" si="20"/>
        <v>2.4670163920238646</v>
      </c>
      <c r="O53" s="44">
        <f t="shared" si="20"/>
        <v>1.5204128090472369</v>
      </c>
      <c r="P53" s="44">
        <f t="shared" si="20"/>
        <v>0.85468196240199801</v>
      </c>
      <c r="Q53" s="44">
        <f t="shared" si="20"/>
        <v>3.3451166972358219</v>
      </c>
      <c r="R53" s="44">
        <f t="shared" si="20"/>
        <v>2.8539165505875919</v>
      </c>
      <c r="S53" s="44">
        <f t="shared" si="20"/>
        <v>1.7304997277312262</v>
      </c>
      <c r="T53" s="44">
        <f t="shared" si="20"/>
        <v>1.0300914765597995</v>
      </c>
      <c r="U53" s="44">
        <f t="shared" si="20"/>
        <v>3.9057148132384611</v>
      </c>
      <c r="V53" s="44">
        <f t="shared" si="20"/>
        <v>2.7011346390323769</v>
      </c>
      <c r="W53" s="44">
        <f t="shared" si="20"/>
        <v>1.9389994909559223</v>
      </c>
      <c r="X53" s="44">
        <f t="shared" si="20"/>
        <v>1.1720088396048136</v>
      </c>
      <c r="Y53" s="44">
        <f t="shared" si="20"/>
        <v>5.2957882253863939</v>
      </c>
      <c r="Z53" s="44">
        <f t="shared" si="20"/>
        <v>3.7193339932198928</v>
      </c>
      <c r="AA53" s="44">
        <f t="shared" si="20"/>
        <v>2.366220708824553</v>
      </c>
      <c r="AB53" s="44">
        <f t="shared" si="20"/>
        <v>1.4469547640393381</v>
      </c>
      <c r="AC53" s="44">
        <f t="shared" si="20"/>
        <v>5.8644643965023127</v>
      </c>
      <c r="AD53" s="44">
        <f t="shared" si="20"/>
        <v>5.2175234256981637</v>
      </c>
      <c r="AE53" s="44">
        <f t="shared" si="20"/>
        <v>3.9234748305811769</v>
      </c>
      <c r="AF53" s="44">
        <f t="shared" si="20"/>
        <v>2.492285301252176</v>
      </c>
      <c r="AG53" s="44">
        <f t="shared" si="20"/>
        <v>8.4668608704759301</v>
      </c>
      <c r="AH53" s="44">
        <f t="shared" si="20"/>
        <v>8.4472806527590851</v>
      </c>
      <c r="AI53" s="44">
        <f t="shared" si="20"/>
        <v>5.182421527187989</v>
      </c>
      <c r="AJ53" s="44">
        <f t="shared" si="20"/>
        <v>2.8046533467177888</v>
      </c>
      <c r="AK53" s="44">
        <f t="shared" si="20"/>
        <v>8.9518790575592799</v>
      </c>
      <c r="AL53" s="44">
        <f t="shared" si="20"/>
        <v>7.4507341236580222</v>
      </c>
      <c r="AM53" s="44">
        <f t="shared" si="20"/>
        <v>4.1481601202352838</v>
      </c>
      <c r="AN53" s="44">
        <f t="shared" si="20"/>
        <v>2.5025566671510235</v>
      </c>
      <c r="AO53" s="44">
        <f t="shared" si="20"/>
        <v>11.589735948874457</v>
      </c>
      <c r="AP53" s="44">
        <f t="shared" si="20"/>
        <v>9.8584218392095444</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468</v>
      </c>
      <c r="E54" s="76">
        <f>资产资本表!E17</f>
        <v>733176594.04999995</v>
      </c>
      <c r="F54" s="76">
        <f>资产资本表!F17</f>
        <v>542119136.30999994</v>
      </c>
      <c r="G54" s="76">
        <f>资产资本表!G17</f>
        <v>792389362.92999995</v>
      </c>
      <c r="H54" s="76">
        <f>资产资本表!H17</f>
        <v>1064862608.49</v>
      </c>
      <c r="I54" s="76">
        <f>资产资本表!I17</f>
        <v>1547342145.5699999</v>
      </c>
      <c r="J54" s="76">
        <f>资产资本表!J17</f>
        <v>935254236.98000002</v>
      </c>
      <c r="K54" s="76">
        <f>资产资本表!K17</f>
        <v>726701245.64999998</v>
      </c>
      <c r="L54" s="76">
        <f>资产资本表!L17</f>
        <v>796484046.78999996</v>
      </c>
      <c r="M54" s="76">
        <f>资产资本表!M17</f>
        <v>693588693.25999999</v>
      </c>
      <c r="N54" s="76">
        <f>资产资本表!N17</f>
        <v>797669458.75</v>
      </c>
      <c r="O54" s="76">
        <f>资产资本表!O17</f>
        <v>619994822.77999997</v>
      </c>
      <c r="P54" s="76">
        <f>资产资本表!P17</f>
        <v>669893756.87</v>
      </c>
      <c r="Q54" s="76">
        <f>资产资本表!Q17</f>
        <v>647204677.45000005</v>
      </c>
      <c r="R54" s="76">
        <f>资产资本表!R17</f>
        <v>629117054.61000001</v>
      </c>
      <c r="S54" s="76">
        <f>资产资本表!S17</f>
        <v>835542721.87</v>
      </c>
      <c r="T54" s="76">
        <f>资产资本表!T17</f>
        <v>884858061.70000005</v>
      </c>
      <c r="U54" s="76">
        <f>资产资本表!U17</f>
        <v>932276706.14999998</v>
      </c>
      <c r="V54" s="76">
        <f>资产资本表!V17</f>
        <v>952923862.08000004</v>
      </c>
      <c r="W54" s="76">
        <f>资产资本表!W17</f>
        <v>769157162.38</v>
      </c>
      <c r="X54" s="76">
        <f>资产资本表!X17</f>
        <v>991763885.86000001</v>
      </c>
      <c r="Y54" s="76">
        <f>资产资本表!Y17</f>
        <v>956043885.24000001</v>
      </c>
      <c r="Z54" s="76">
        <f>资产资本表!Z17</f>
        <v>803173622.38</v>
      </c>
      <c r="AA54" s="76">
        <f>资产资本表!AA17</f>
        <v>667828913.97000003</v>
      </c>
      <c r="AB54" s="76">
        <f>资产资本表!AB17</f>
        <v>1014024416.74</v>
      </c>
      <c r="AC54" s="76">
        <f>资产资本表!AC17</f>
        <v>1002302902.5700001</v>
      </c>
      <c r="AD54" s="76">
        <f>资产资本表!AD17</f>
        <v>982362386.38999999</v>
      </c>
      <c r="AE54" s="76">
        <f>资产资本表!AE17</f>
        <v>862194779.22000003</v>
      </c>
      <c r="AF54" s="76">
        <f>资产资本表!AF17</f>
        <v>1151874426.3</v>
      </c>
      <c r="AG54" s="76">
        <f>资产资本表!AG17</f>
        <v>1057191976.45</v>
      </c>
      <c r="AH54" s="76">
        <f>资产资本表!AH17</f>
        <v>960610001.01999998</v>
      </c>
      <c r="AI54" s="76">
        <f>资产资本表!AI17</f>
        <v>930790908.42999995</v>
      </c>
      <c r="AJ54" s="76">
        <f>资产资本表!AJ17</f>
        <v>1127355392.73</v>
      </c>
      <c r="AK54" s="76">
        <f>资产资本表!AK17</f>
        <v>1066884381.7</v>
      </c>
      <c r="AL54" s="76">
        <f>资产资本表!AL17</f>
        <v>1057983159.11</v>
      </c>
      <c r="AM54" s="76">
        <f>资产资本表!AM17</f>
        <v>74808751.980000004</v>
      </c>
      <c r="AN54" s="76">
        <f>资产资本表!AN17</f>
        <v>78505801.079999998</v>
      </c>
      <c r="AO54" s="76">
        <f>资产资本表!AO17</f>
        <v>50145116.420000002</v>
      </c>
      <c r="AP54" s="76">
        <f>资产资本表!AP17</f>
        <v>52609626.460000001</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469</v>
      </c>
      <c r="E55" s="44">
        <f>E49/E54</f>
        <v>6.3584283832062418</v>
      </c>
      <c r="F55" s="44">
        <f t="shared" ref="F55:BQ55" si="22">F49/F54</f>
        <v>5.8707944364097386</v>
      </c>
      <c r="G55" s="44">
        <f t="shared" si="22"/>
        <v>2.500583656617108</v>
      </c>
      <c r="H55" s="44">
        <f t="shared" si="22"/>
        <v>0.99333684175457959</v>
      </c>
      <c r="I55" s="44">
        <f t="shared" si="22"/>
        <v>2.0371812731752401</v>
      </c>
      <c r="J55" s="44">
        <f t="shared" si="22"/>
        <v>2.3044688869194498</v>
      </c>
      <c r="K55" s="44">
        <f t="shared" si="22"/>
        <v>1.8481918376907081</v>
      </c>
      <c r="L55" s="44">
        <f t="shared" si="22"/>
        <v>0.95776718069173228</v>
      </c>
      <c r="M55" s="44">
        <f t="shared" si="22"/>
        <v>4.2036929383550952</v>
      </c>
      <c r="N55" s="44">
        <f t="shared" si="22"/>
        <v>2.5650907949094144</v>
      </c>
      <c r="O55" s="44">
        <f t="shared" si="22"/>
        <v>2.0161073075501208</v>
      </c>
      <c r="P55" s="44">
        <f t="shared" si="22"/>
        <v>1.052995236820649</v>
      </c>
      <c r="Q55" s="44">
        <f t="shared" si="22"/>
        <v>4.2666573183463017</v>
      </c>
      <c r="R55" s="44">
        <f t="shared" si="22"/>
        <v>2.9883054339950124</v>
      </c>
      <c r="S55" s="44">
        <f t="shared" si="22"/>
        <v>1.3312064354897903</v>
      </c>
      <c r="T55" s="44">
        <f t="shared" si="22"/>
        <v>0.74284069548642728</v>
      </c>
      <c r="U55" s="44">
        <f t="shared" si="22"/>
        <v>2.7075753365373303</v>
      </c>
      <c r="V55" s="44">
        <f t="shared" si="22"/>
        <v>1.8077487932770226</v>
      </c>
      <c r="W55" s="44">
        <f t="shared" si="22"/>
        <v>1.4016294491156032</v>
      </c>
      <c r="X55" s="44">
        <f t="shared" si="22"/>
        <v>0.62046136820802178</v>
      </c>
      <c r="Y55" s="44">
        <f t="shared" si="22"/>
        <v>2.8502393072949181</v>
      </c>
      <c r="Z55" s="44">
        <f t="shared" si="22"/>
        <v>2.3005259836406831</v>
      </c>
      <c r="AA55" s="44">
        <f t="shared" si="22"/>
        <v>1.5520294060022697</v>
      </c>
      <c r="AB55" s="44">
        <f t="shared" si="22"/>
        <v>0.60582397697580703</v>
      </c>
      <c r="AC55" s="44">
        <f t="shared" si="22"/>
        <v>2.3769608791625867</v>
      </c>
      <c r="AD55" s="44">
        <f t="shared" si="22"/>
        <v>1.6632322345975279</v>
      </c>
      <c r="AE55" s="44">
        <f t="shared" si="22"/>
        <v>1.1635957119661575</v>
      </c>
      <c r="AF55" s="44">
        <f t="shared" si="22"/>
        <v>0.50626165494720476</v>
      </c>
      <c r="AG55" s="44">
        <f t="shared" si="22"/>
        <v>1.7204203783758294</v>
      </c>
      <c r="AH55" s="44">
        <f t="shared" si="22"/>
        <v>1.1926476334865341</v>
      </c>
      <c r="AI55" s="44">
        <f t="shared" si="22"/>
        <v>0.711039751576788</v>
      </c>
      <c r="AJ55" s="44">
        <f t="shared" si="22"/>
        <v>0.31874228789542003</v>
      </c>
      <c r="AK55" s="44">
        <f t="shared" si="22"/>
        <v>1.0735059674461067</v>
      </c>
      <c r="AL55" s="44">
        <f t="shared" si="22"/>
        <v>0.68424015851913345</v>
      </c>
      <c r="AM55" s="44">
        <f t="shared" si="22"/>
        <v>5.4481665209301084</v>
      </c>
      <c r="AN55" s="44">
        <f t="shared" si="22"/>
        <v>3.250613570199111</v>
      </c>
      <c r="AO55" s="44">
        <f t="shared" si="22"/>
        <v>18.001447585032846</v>
      </c>
      <c r="AP55" s="44">
        <f t="shared" si="22"/>
        <v>12.029651190380264</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443</v>
      </c>
      <c r="E56" s="76">
        <f>资产资本表!E19</f>
        <v>2681764.62</v>
      </c>
      <c r="F56" s="76">
        <f>资产资本表!F19</f>
        <v>36554845.829999998</v>
      </c>
      <c r="G56" s="76">
        <f>资产资本表!G19</f>
        <v>37301246.560000002</v>
      </c>
      <c r="H56" s="76">
        <f>资产资本表!H19</f>
        <v>44582193.149999999</v>
      </c>
      <c r="I56" s="76">
        <f>资产资本表!I19</f>
        <v>44208476.719999999</v>
      </c>
      <c r="J56" s="76">
        <f>资产资本表!J19</f>
        <v>46497065.140000001</v>
      </c>
      <c r="K56" s="76">
        <f>资产资本表!K19</f>
        <v>48418056.219999999</v>
      </c>
      <c r="L56" s="76">
        <f>资产资本表!L19</f>
        <v>47013607.68</v>
      </c>
      <c r="M56" s="76">
        <f>资产资本表!M19</f>
        <v>48378901.780000001</v>
      </c>
      <c r="N56" s="76">
        <f>资产资本表!N19</f>
        <v>0</v>
      </c>
      <c r="O56" s="76">
        <f>资产资本表!O19</f>
        <v>0</v>
      </c>
      <c r="P56" s="76">
        <f>资产资本表!P19</f>
        <v>0</v>
      </c>
      <c r="Q56" s="76">
        <f>资产资本表!Q19</f>
        <v>0</v>
      </c>
      <c r="R56" s="76">
        <f>资产资本表!R19</f>
        <v>0</v>
      </c>
      <c r="S56" s="76">
        <f>资产资本表!S19</f>
        <v>0</v>
      </c>
      <c r="T56" s="76">
        <f>资产资本表!T19</f>
        <v>0</v>
      </c>
      <c r="U56" s="76">
        <f>资产资本表!U19</f>
        <v>0</v>
      </c>
      <c r="V56" s="76">
        <f>资产资本表!V19</f>
        <v>0</v>
      </c>
      <c r="W56" s="76">
        <f>资产资本表!W19</f>
        <v>0</v>
      </c>
      <c r="X56" s="76">
        <f>资产资本表!X19</f>
        <v>0</v>
      </c>
      <c r="Y56" s="76">
        <f>资产资本表!Y19</f>
        <v>0</v>
      </c>
      <c r="Z56" s="76">
        <f>资产资本表!Z19</f>
        <v>0</v>
      </c>
      <c r="AA56" s="76">
        <f>资产资本表!AA19</f>
        <v>0</v>
      </c>
      <c r="AB56" s="76">
        <f>资产资本表!AB19</f>
        <v>0</v>
      </c>
      <c r="AC56" s="76">
        <f>资产资本表!AC19</f>
        <v>0</v>
      </c>
      <c r="AD56" s="76">
        <f>资产资本表!AD19</f>
        <v>0</v>
      </c>
      <c r="AE56" s="76">
        <f>资产资本表!AE19</f>
        <v>0</v>
      </c>
      <c r="AF56" s="76">
        <f>资产资本表!AF19</f>
        <v>0</v>
      </c>
      <c r="AG56" s="76">
        <f>资产资本表!AG19</f>
        <v>0</v>
      </c>
      <c r="AH56" s="76">
        <f>资产资本表!AH19</f>
        <v>0</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470</v>
      </c>
      <c r="E57" s="117">
        <f>E49/E56</f>
        <v>1738.3519906046042</v>
      </c>
      <c r="F57" s="117">
        <f t="shared" ref="F57:BQ57" si="24">F49/F56</f>
        <v>87.065611605124914</v>
      </c>
      <c r="G57" s="117">
        <f t="shared" si="24"/>
        <v>53.119830390461885</v>
      </c>
      <c r="H57" s="117">
        <f t="shared" si="24"/>
        <v>23.726227573889553</v>
      </c>
      <c r="I57" s="117">
        <f t="shared" si="24"/>
        <v>71.303439431196949</v>
      </c>
      <c r="J57" s="117">
        <f t="shared" si="24"/>
        <v>46.352695250563073</v>
      </c>
      <c r="K57" s="117">
        <f t="shared" si="24"/>
        <v>27.739306686483914</v>
      </c>
      <c r="L57" s="117">
        <f t="shared" si="24"/>
        <v>16.226074058224668</v>
      </c>
      <c r="M57" s="117">
        <f t="shared" si="24"/>
        <v>60.266640719515728</v>
      </c>
      <c r="N57" s="117" t="e">
        <f t="shared" si="24"/>
        <v>#DIV/0!</v>
      </c>
      <c r="O57" s="117" t="e">
        <f t="shared" si="24"/>
        <v>#DIV/0!</v>
      </c>
      <c r="P57" s="117" t="e">
        <f t="shared" si="24"/>
        <v>#DIV/0!</v>
      </c>
      <c r="Q57" s="117" t="e">
        <f t="shared" si="24"/>
        <v>#DIV/0!</v>
      </c>
      <c r="R57" s="117" t="e">
        <f t="shared" si="24"/>
        <v>#DIV/0!</v>
      </c>
      <c r="S57" s="117" t="e">
        <f t="shared" si="24"/>
        <v>#DIV/0!</v>
      </c>
      <c r="T57" s="117" t="e">
        <f t="shared" si="24"/>
        <v>#DIV/0!</v>
      </c>
      <c r="U57" s="117" t="e">
        <f t="shared" si="24"/>
        <v>#DIV/0!</v>
      </c>
      <c r="V57" s="117" t="e">
        <f t="shared" si="24"/>
        <v>#DIV/0!</v>
      </c>
      <c r="W57" s="117" t="e">
        <f t="shared" si="24"/>
        <v>#DIV/0!</v>
      </c>
      <c r="X57" s="117" t="e">
        <f t="shared" si="24"/>
        <v>#DIV/0!</v>
      </c>
      <c r="Y57" s="117" t="e">
        <f t="shared" si="24"/>
        <v>#DIV/0!</v>
      </c>
      <c r="Z57" s="117" t="e">
        <f t="shared" si="24"/>
        <v>#DIV/0!</v>
      </c>
      <c r="AA57" s="117" t="e">
        <f t="shared" si="24"/>
        <v>#DIV/0!</v>
      </c>
      <c r="AB57" s="117" t="e">
        <f t="shared" si="24"/>
        <v>#DIV/0!</v>
      </c>
      <c r="AC57" s="117" t="e">
        <f t="shared" si="24"/>
        <v>#DIV/0!</v>
      </c>
      <c r="AD57" s="117" t="e">
        <f t="shared" si="24"/>
        <v>#DIV/0!</v>
      </c>
      <c r="AE57" s="117" t="e">
        <f t="shared" si="24"/>
        <v>#DIV/0!</v>
      </c>
      <c r="AF57" s="117" t="e">
        <f t="shared" si="24"/>
        <v>#DIV/0!</v>
      </c>
      <c r="AG57" s="117" t="e">
        <f t="shared" si="24"/>
        <v>#DIV/0!</v>
      </c>
      <c r="AH57" s="117" t="e">
        <f t="shared" si="24"/>
        <v>#DIV/0!</v>
      </c>
      <c r="AI57" s="117" t="e">
        <f t="shared" si="24"/>
        <v>#DIV/0!</v>
      </c>
      <c r="AJ57" s="117" t="e">
        <f t="shared" si="24"/>
        <v>#DIV/0!</v>
      </c>
      <c r="AK57" s="117" t="e">
        <f t="shared" si="24"/>
        <v>#DIV/0!</v>
      </c>
      <c r="AL57" s="117" t="e">
        <f t="shared" si="24"/>
        <v>#DIV/0!</v>
      </c>
      <c r="AM57" s="117" t="e">
        <f t="shared" si="24"/>
        <v>#DIV/0!</v>
      </c>
      <c r="AN57" s="117" t="e">
        <f t="shared" si="24"/>
        <v>#DIV/0!</v>
      </c>
      <c r="AO57" s="117" t="e">
        <f t="shared" si="24"/>
        <v>#DIV/0!</v>
      </c>
      <c r="AP57" s="117" t="e">
        <f t="shared" si="24"/>
        <v>#DIV/0!</v>
      </c>
      <c r="AQ57" s="117" t="e">
        <f t="shared" si="24"/>
        <v>#DIV/0!</v>
      </c>
      <c r="AR57" s="117" t="e">
        <f t="shared" si="24"/>
        <v>#DIV/0!</v>
      </c>
      <c r="AS57" s="117" t="e">
        <f t="shared" si="24"/>
        <v>#DIV/0!</v>
      </c>
      <c r="AT57" s="117" t="e">
        <f t="shared" si="24"/>
        <v>#DIV/0!</v>
      </c>
      <c r="AU57" s="117" t="e">
        <f t="shared" si="24"/>
        <v>#DIV/0!</v>
      </c>
      <c r="AV57" s="117" t="e">
        <f t="shared" si="24"/>
        <v>#DIV/0!</v>
      </c>
      <c r="AW57" s="117" t="e">
        <f t="shared" si="24"/>
        <v>#DIV/0!</v>
      </c>
      <c r="AX57" s="117" t="e">
        <f t="shared" si="24"/>
        <v>#DIV/0!</v>
      </c>
      <c r="AY57" s="117" t="e">
        <f t="shared" si="24"/>
        <v>#DIV/0!</v>
      </c>
      <c r="AZ57" s="117" t="e">
        <f t="shared" si="24"/>
        <v>#DIV/0!</v>
      </c>
      <c r="BA57" s="117" t="e">
        <f t="shared" si="24"/>
        <v>#DIV/0!</v>
      </c>
      <c r="BB57" s="117" t="e">
        <f t="shared" si="24"/>
        <v>#DIV/0!</v>
      </c>
      <c r="BC57" s="117" t="e">
        <f t="shared" si="24"/>
        <v>#DIV/0!</v>
      </c>
      <c r="BD57" s="117" t="e">
        <f t="shared" si="24"/>
        <v>#DIV/0!</v>
      </c>
      <c r="BE57" s="117" t="e">
        <f t="shared" si="24"/>
        <v>#DIV/0!</v>
      </c>
      <c r="BF57" s="117" t="e">
        <f t="shared" si="24"/>
        <v>#DIV/0!</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693</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39447</v>
      </c>
      <c r="AR61" s="1">
        <v>39082</v>
      </c>
      <c r="AS61" s="1">
        <v>25569</v>
      </c>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7"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463</v>
      </c>
      <c r="E63" s="76">
        <f>E49</f>
        <v>4661850865.5100002</v>
      </c>
      <c r="F63" s="76">
        <f t="shared" ref="F63:BQ63" si="26">F49</f>
        <v>3182670009.3200002</v>
      </c>
      <c r="G63" s="76">
        <f t="shared" si="26"/>
        <v>1981435890.6199999</v>
      </c>
      <c r="H63" s="76">
        <f t="shared" si="26"/>
        <v>1057767260.42</v>
      </c>
      <c r="I63" s="76">
        <f t="shared" si="26"/>
        <v>3152216442.1500001</v>
      </c>
      <c r="J63" s="76">
        <f t="shared" si="26"/>
        <v>2155264290.48</v>
      </c>
      <c r="K63" s="76">
        <f t="shared" si="26"/>
        <v>1343083310.6500001</v>
      </c>
      <c r="L63" s="76">
        <f t="shared" si="26"/>
        <v>762846279.96000004</v>
      </c>
      <c r="M63" s="76">
        <f t="shared" si="26"/>
        <v>2915633891.98</v>
      </c>
      <c r="N63" s="76">
        <f t="shared" si="26"/>
        <v>2046094586.02</v>
      </c>
      <c r="O63" s="76">
        <f t="shared" si="26"/>
        <v>1249976092.8499999</v>
      </c>
      <c r="P63" s="76">
        <f t="shared" si="26"/>
        <v>705394935.15999997</v>
      </c>
      <c r="Q63" s="76">
        <f t="shared" si="26"/>
        <v>2761400573.5100002</v>
      </c>
      <c r="R63" s="76">
        <f t="shared" si="26"/>
        <v>1879993912.9100001</v>
      </c>
      <c r="S63" s="76">
        <f t="shared" si="26"/>
        <v>1112279848.48</v>
      </c>
      <c r="T63" s="76">
        <f t="shared" si="26"/>
        <v>657308577.96000004</v>
      </c>
      <c r="U63" s="76">
        <f t="shared" si="26"/>
        <v>2524209416.4000001</v>
      </c>
      <c r="V63" s="76">
        <f t="shared" si="26"/>
        <v>1722646961.76</v>
      </c>
      <c r="W63" s="76">
        <f t="shared" si="26"/>
        <v>1078073329.79</v>
      </c>
      <c r="X63" s="76">
        <f t="shared" si="26"/>
        <v>615351177.55999994</v>
      </c>
      <c r="Y63" s="76">
        <f t="shared" si="26"/>
        <v>2724953861.21</v>
      </c>
      <c r="Z63" s="76">
        <f t="shared" si="26"/>
        <v>1847721787.6600001</v>
      </c>
      <c r="AA63" s="76">
        <f t="shared" si="26"/>
        <v>1036490112.66</v>
      </c>
      <c r="AB63" s="76">
        <f t="shared" si="26"/>
        <v>614320304.89999998</v>
      </c>
      <c r="AC63" s="76">
        <f t="shared" si="26"/>
        <v>2382434788.48</v>
      </c>
      <c r="AD63" s="76">
        <f t="shared" si="26"/>
        <v>1633896787.0999999</v>
      </c>
      <c r="AE63" s="76">
        <f t="shared" si="26"/>
        <v>1003246147.98</v>
      </c>
      <c r="AF63" s="76">
        <f t="shared" si="26"/>
        <v>583149853.35000002</v>
      </c>
      <c r="AG63" s="76">
        <f t="shared" si="26"/>
        <v>1818814620.1400001</v>
      </c>
      <c r="AH63" s="76">
        <f t="shared" si="26"/>
        <v>1145669244.4200001</v>
      </c>
      <c r="AI63" s="76">
        <f t="shared" si="26"/>
        <v>661829336.29999995</v>
      </c>
      <c r="AJ63" s="76">
        <f t="shared" si="26"/>
        <v>359335837.14999998</v>
      </c>
      <c r="AK63" s="76">
        <f t="shared" si="26"/>
        <v>1145306750.3299999</v>
      </c>
      <c r="AL63" s="76">
        <f t="shared" si="26"/>
        <v>723914564.5</v>
      </c>
      <c r="AM63" s="76">
        <f t="shared" si="26"/>
        <v>407570538.00999999</v>
      </c>
      <c r="AN63" s="76">
        <f t="shared" si="26"/>
        <v>255192022.33000001</v>
      </c>
      <c r="AO63" s="76">
        <f t="shared" si="26"/>
        <v>902684684.88</v>
      </c>
      <c r="AP63" s="76">
        <f t="shared" si="26"/>
        <v>632875455.57000005</v>
      </c>
      <c r="AQ63" s="76">
        <f t="shared" si="26"/>
        <v>755362629.51999998</v>
      </c>
      <c r="AR63" s="76">
        <f t="shared" si="26"/>
        <v>552487592.55999994</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473</v>
      </c>
      <c r="E64" s="76">
        <f>资产资本表!E22+资产资本表!E23-资产资本表!E37</f>
        <v>395251778.04999995</v>
      </c>
      <c r="F64" s="76">
        <f>资产资本表!F22+资产资本表!F23-资产资本表!F37</f>
        <v>381287417.51999998</v>
      </c>
      <c r="G64" s="76">
        <f>资产资本表!G22+资产资本表!G23-资产资本表!G37</f>
        <v>311685625.25999999</v>
      </c>
      <c r="H64" s="76">
        <f>资产资本表!H22+资产资本表!H23-资产资本表!H37</f>
        <v>271683526.72000003</v>
      </c>
      <c r="I64" s="76">
        <f>资产资本表!I22+资产资本表!I23-资产资本表!I37</f>
        <v>185068438.53999999</v>
      </c>
      <c r="J64" s="76">
        <f>资产资本表!J22+资产资本表!J23-资产资本表!J37</f>
        <v>223700077.00999999</v>
      </c>
      <c r="K64" s="76">
        <f>资产资本表!K22+资产资本表!K23-资产资本表!K37</f>
        <v>190873364.37</v>
      </c>
      <c r="L64" s="76">
        <f>资产资本表!L22+资产资本表!L23-资产资本表!L37</f>
        <v>244223902.33000004</v>
      </c>
      <c r="M64" s="76">
        <f>资产资本表!M22+资产资本表!M23-资产资本表!M37</f>
        <v>188341767.87</v>
      </c>
      <c r="N64" s="76">
        <f>资产资本表!N22+资产资本表!N23-资产资本表!N37</f>
        <v>177051374.20999998</v>
      </c>
      <c r="O64" s="76">
        <f>资产资本表!O22+资产资本表!O23-资产资本表!O37</f>
        <v>153266220.40000001</v>
      </c>
      <c r="P64" s="76">
        <f>资产资本表!P22+资产资本表!P23-资产资本表!P37</f>
        <v>80500528.519999996</v>
      </c>
      <c r="Q64" s="76">
        <f>资产资本表!Q22+资产资本表!Q23-资产资本表!Q37</f>
        <v>71488623.379999995</v>
      </c>
      <c r="R64" s="76">
        <f>资产资本表!R22+资产资本表!R23-资产资本表!R37</f>
        <v>107906407.30000001</v>
      </c>
      <c r="S64" s="76">
        <f>资产资本表!S22+资产资本表!S23-资产资本表!S37</f>
        <v>84821907.330000013</v>
      </c>
      <c r="T64" s="76">
        <f>资产资本表!T22+资产资本表!T23-资产资本表!T37</f>
        <v>58882571.989999995</v>
      </c>
      <c r="U64" s="76">
        <f>资产资本表!U22+资产资本表!U23-资产资本表!U37</f>
        <v>59490416.670000002</v>
      </c>
      <c r="V64" s="76">
        <f>资产资本表!V22+资产资本表!V23-资产资本表!V37</f>
        <v>76251731.270000011</v>
      </c>
      <c r="W64" s="76">
        <f>资产资本表!W22+资产资本表!W23-资产资本表!W37</f>
        <v>98910400.510000005</v>
      </c>
      <c r="X64" s="76">
        <f>资产资本表!X22+资产资本表!X23-资产资本表!X37</f>
        <v>98155140.639999986</v>
      </c>
      <c r="Y64" s="76">
        <f>资产资本表!Y22+资产资本表!Y23-资产资本表!Y37</f>
        <v>104134212.42000002</v>
      </c>
      <c r="Z64" s="76">
        <f>资产资本表!Z22+资产资本表!Z23-资产资本表!Z37</f>
        <v>110790545.41</v>
      </c>
      <c r="AA64" s="76">
        <f>资产资本表!AA22+资产资本表!AA23-资产资本表!AA37</f>
        <v>62735757.68</v>
      </c>
      <c r="AB64" s="76">
        <f>资产资本表!AB22+资产资本表!AB23-资产资本表!AB37</f>
        <v>59955007.269999996</v>
      </c>
      <c r="AC64" s="76">
        <f>资产资本表!AC22+资产资本表!AC23-资产资本表!AC37</f>
        <v>70444304.569999993</v>
      </c>
      <c r="AD64" s="76">
        <f>资产资本表!AD22+资产资本表!AD23-资产资本表!AD37</f>
        <v>62695217.669999994</v>
      </c>
      <c r="AE64" s="76">
        <f>资产资本表!AE22+资产资本表!AE23-资产资本表!AE37</f>
        <v>22351499.729999989</v>
      </c>
      <c r="AF64" s="76">
        <f>资产资本表!AF22+资产资本表!AF23-资产资本表!AF37</f>
        <v>5079093.8199999928</v>
      </c>
      <c r="AG64" s="76">
        <f>资产资本表!AG22+资产资本表!AG23-资产资本表!AG37</f>
        <v>66668958.359999999</v>
      </c>
      <c r="AH64" s="76">
        <f>资产资本表!AH22+资产资本表!AH23-资产资本表!AH37</f>
        <v>27062027.720000006</v>
      </c>
      <c r="AI64" s="76">
        <f>资产资本表!AI22+资产资本表!AI23-资产资本表!AI37</f>
        <v>25428781.740000002</v>
      </c>
      <c r="AJ64" s="76">
        <f>资产资本表!AJ22+资产资本表!AJ23-资产资本表!AJ37</f>
        <v>-1413686.3999999985</v>
      </c>
      <c r="AK64" s="76">
        <f>资产资本表!AK22+资产资本表!AK23-资产资本表!AK37</f>
        <v>34499813.680000007</v>
      </c>
      <c r="AL64" s="76">
        <f>资产资本表!AL22+资产资本表!AL23-资产资本表!AL37</f>
        <v>36907524.159999996</v>
      </c>
      <c r="AM64" s="76">
        <f>资产资本表!AM22+资产资本表!AM23-资产资本表!AM37</f>
        <v>22502583.609999999</v>
      </c>
      <c r="AN64" s="76">
        <f>资产资本表!AN22+资产资本表!AN23-资产资本表!AN37</f>
        <v>16973318.370000001</v>
      </c>
      <c r="AO64" s="76">
        <f>资产资本表!AO22+资产资本表!AO23-资产资本表!AO37</f>
        <v>13990957.320000002</v>
      </c>
      <c r="AP64" s="76">
        <f>资产资本表!AP22+资产资本表!AP23-资产资本表!AP37</f>
        <v>-30120554.680000003</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691</v>
      </c>
      <c r="E65" s="155">
        <f>E63/(E64+I64)*2</f>
        <v>16.06647754890686</v>
      </c>
      <c r="F65" s="155">
        <f t="shared" ref="F65:BQ65" si="28">F63/(F64+J64)*2</f>
        <v>10.521440651570952</v>
      </c>
      <c r="G65" s="155">
        <f t="shared" si="28"/>
        <v>7.8853863188430733</v>
      </c>
      <c r="H65" s="155">
        <f t="shared" si="28"/>
        <v>4.1006087559847275</v>
      </c>
      <c r="I65" s="155">
        <f t="shared" si="28"/>
        <v>16.883397336434367</v>
      </c>
      <c r="J65" s="155">
        <f t="shared" si="28"/>
        <v>10.756114713590033</v>
      </c>
      <c r="K65" s="155">
        <f t="shared" si="28"/>
        <v>7.8054566814662003</v>
      </c>
      <c r="L65" s="155">
        <f t="shared" si="28"/>
        <v>4.6984224621668931</v>
      </c>
      <c r="M65" s="155">
        <f t="shared" si="28"/>
        <v>22.44259324672052</v>
      </c>
      <c r="N65" s="155">
        <f t="shared" si="28"/>
        <v>14.360685819335638</v>
      </c>
      <c r="O65" s="155">
        <f t="shared" si="28"/>
        <v>10.500112750414123</v>
      </c>
      <c r="P65" s="155">
        <f t="shared" si="28"/>
        <v>10.121670885193025</v>
      </c>
      <c r="Q65" s="155">
        <f t="shared" si="28"/>
        <v>42.165533851154535</v>
      </c>
      <c r="R65" s="155">
        <f t="shared" si="28"/>
        <v>20.417168934354741</v>
      </c>
      <c r="S65" s="155">
        <f t="shared" si="28"/>
        <v>12.107613098166805</v>
      </c>
      <c r="T65" s="155">
        <f t="shared" si="28"/>
        <v>8.3713468179290054</v>
      </c>
      <c r="U65" s="155">
        <f t="shared" si="28"/>
        <v>30.853660973148301</v>
      </c>
      <c r="V65" s="155">
        <f t="shared" si="28"/>
        <v>18.41986734054974</v>
      </c>
      <c r="W65" s="155">
        <f t="shared" si="28"/>
        <v>13.338681746123841</v>
      </c>
      <c r="X65" s="155">
        <f t="shared" si="28"/>
        <v>7.7838290039456846</v>
      </c>
      <c r="Y65" s="155">
        <f t="shared" si="28"/>
        <v>31.217516429768818</v>
      </c>
      <c r="Z65" s="155">
        <f t="shared" si="28"/>
        <v>21.301134512207263</v>
      </c>
      <c r="AA65" s="155">
        <f t="shared" si="28"/>
        <v>24.362992631566122</v>
      </c>
      <c r="AB65" s="155">
        <f t="shared" si="28"/>
        <v>18.892251744968345</v>
      </c>
      <c r="AC65" s="155">
        <f t="shared" si="28"/>
        <v>34.751339696383667</v>
      </c>
      <c r="AD65" s="155">
        <f t="shared" si="28"/>
        <v>36.407017171719822</v>
      </c>
      <c r="AE65" s="155">
        <f t="shared" si="28"/>
        <v>41.994149766987555</v>
      </c>
      <c r="AF65" s="155">
        <f t="shared" si="28"/>
        <v>318.19101482039395</v>
      </c>
      <c r="AG65" s="155">
        <f t="shared" si="28"/>
        <v>35.956048165156716</v>
      </c>
      <c r="AH65" s="155">
        <f t="shared" si="28"/>
        <v>35.819204942037182</v>
      </c>
      <c r="AI65" s="155">
        <f t="shared" si="28"/>
        <v>27.615709732750183</v>
      </c>
      <c r="AJ65" s="155">
        <f t="shared" si="28"/>
        <v>46.188218055905587</v>
      </c>
      <c r="AK65" s="155">
        <f t="shared" si="28"/>
        <v>47.238133224567612</v>
      </c>
      <c r="AL65" s="155">
        <f t="shared" si="28"/>
        <v>213.32483272047975</v>
      </c>
      <c r="AM65" s="155">
        <f t="shared" si="28"/>
        <v>36.224332732076</v>
      </c>
      <c r="AN65" s="155">
        <f t="shared" si="28"/>
        <v>30.069785620830253</v>
      </c>
      <c r="AO65" s="155">
        <f t="shared" si="28"/>
        <v>129.03830155919593</v>
      </c>
      <c r="AP65" s="155">
        <f t="shared" si="28"/>
        <v>-42.022828748915984</v>
      </c>
      <c r="AQ65" s="155" t="e">
        <f t="shared" si="28"/>
        <v>#DIV/0!</v>
      </c>
      <c r="AR65" s="155" t="e">
        <f t="shared" si="28"/>
        <v>#DIV/0!</v>
      </c>
      <c r="AS65" s="155" t="e">
        <f t="shared" si="28"/>
        <v>#DIV/0!</v>
      </c>
      <c r="AT65" s="155" t="e">
        <f t="shared" si="28"/>
        <v>#DIV/0!</v>
      </c>
      <c r="AU65" s="155" t="e">
        <f t="shared" si="28"/>
        <v>#DIV/0!</v>
      </c>
      <c r="AV65" s="155" t="e">
        <f t="shared" si="28"/>
        <v>#DIV/0!</v>
      </c>
      <c r="AW65" s="155" t="e">
        <f t="shared" si="28"/>
        <v>#DIV/0!</v>
      </c>
      <c r="AX65" s="155" t="e">
        <f t="shared" si="28"/>
        <v>#DIV/0!</v>
      </c>
      <c r="AY65" s="155" t="e">
        <f t="shared" si="28"/>
        <v>#DIV/0!</v>
      </c>
      <c r="AZ65" s="155" t="e">
        <f t="shared" si="28"/>
        <v>#DIV/0!</v>
      </c>
      <c r="BA65" s="155" t="e">
        <f t="shared" si="28"/>
        <v>#DIV/0!</v>
      </c>
      <c r="BB65" s="155" t="e">
        <f t="shared" si="28"/>
        <v>#DIV/0!</v>
      </c>
      <c r="BC65" s="155" t="e">
        <f t="shared" si="28"/>
        <v>#DIV/0!</v>
      </c>
      <c r="BD65" s="155" t="e">
        <f t="shared" si="28"/>
        <v>#DIV/0!</v>
      </c>
      <c r="BE65" s="155" t="e">
        <f t="shared" si="28"/>
        <v>#DIV/0!</v>
      </c>
      <c r="BF65" s="155" t="e">
        <f t="shared" si="28"/>
        <v>#DIV/0!</v>
      </c>
      <c r="BG65" s="155" t="e">
        <f t="shared" si="28"/>
        <v>#DIV/0!</v>
      </c>
      <c r="BH65" s="155" t="e">
        <f t="shared" si="28"/>
        <v>#DIV/0!</v>
      </c>
      <c r="BI65" s="155" t="e">
        <f t="shared" si="28"/>
        <v>#DIV/0!</v>
      </c>
      <c r="BJ65" s="155" t="e">
        <f t="shared" si="28"/>
        <v>#DIV/0!</v>
      </c>
      <c r="BK65" s="155" t="e">
        <f t="shared" si="28"/>
        <v>#DIV/0!</v>
      </c>
      <c r="BL65" s="155" t="e">
        <f t="shared" si="28"/>
        <v>#DIV/0!</v>
      </c>
      <c r="BM65" s="155" t="e">
        <f t="shared" si="28"/>
        <v>#DIV/0!</v>
      </c>
      <c r="BN65" s="155" t="e">
        <f t="shared" si="28"/>
        <v>#DIV/0!</v>
      </c>
      <c r="BO65" s="155" t="e">
        <f t="shared" si="28"/>
        <v>#DIV/0!</v>
      </c>
      <c r="BP65" s="155" t="e">
        <f t="shared" si="28"/>
        <v>#DIV/0!</v>
      </c>
      <c r="BQ65" s="155" t="e">
        <f t="shared" si="28"/>
        <v>#DIV/0!</v>
      </c>
      <c r="BR65" s="155" t="e">
        <f t="shared" ref="BR65:CK65" si="29">BR63/(BR64+BV64)*2</f>
        <v>#DIV/0!</v>
      </c>
      <c r="BS65" s="155" t="e">
        <f t="shared" si="29"/>
        <v>#DIV/0!</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474</v>
      </c>
      <c r="E66" s="83">
        <f>E62/E65</f>
        <v>22.718109734316595</v>
      </c>
      <c r="F66" s="83">
        <f t="shared" ref="F66:BQ66" si="30">F62/F65</f>
        <v>34.691066754770127</v>
      </c>
      <c r="G66" s="83">
        <f t="shared" si="30"/>
        <v>46.288157008590545</v>
      </c>
      <c r="H66" s="83">
        <f t="shared" si="30"/>
        <v>89.011174125620343</v>
      </c>
      <c r="I66" s="83">
        <f t="shared" si="30"/>
        <v>21.61887164808531</v>
      </c>
      <c r="J66" s="83">
        <f t="shared" si="30"/>
        <v>33.934186248388862</v>
      </c>
      <c r="K66" s="83">
        <f t="shared" si="30"/>
        <v>46.762158179249198</v>
      </c>
      <c r="L66" s="83">
        <f t="shared" si="30"/>
        <v>77.6856493725478</v>
      </c>
      <c r="M66" s="83">
        <f t="shared" si="30"/>
        <v>16.263717654524463</v>
      </c>
      <c r="N66" s="83">
        <f t="shared" si="30"/>
        <v>25.416613425840261</v>
      </c>
      <c r="O66" s="83">
        <f t="shared" si="30"/>
        <v>34.761531487898019</v>
      </c>
      <c r="P66" s="83">
        <f t="shared" si="30"/>
        <v>36.061239704400769</v>
      </c>
      <c r="Q66" s="83">
        <f t="shared" si="30"/>
        <v>8.6563590369437691</v>
      </c>
      <c r="R66" s="83">
        <f t="shared" si="30"/>
        <v>17.877111227984035</v>
      </c>
      <c r="S66" s="83">
        <f t="shared" si="30"/>
        <v>30.146321743239721</v>
      </c>
      <c r="T66" s="83">
        <f t="shared" si="30"/>
        <v>43.601108392531948</v>
      </c>
      <c r="U66" s="83">
        <f t="shared" si="30"/>
        <v>11.830038591454565</v>
      </c>
      <c r="V66" s="83">
        <f t="shared" si="30"/>
        <v>19.815560734060455</v>
      </c>
      <c r="W66" s="83">
        <f t="shared" si="30"/>
        <v>27.364023443026316</v>
      </c>
      <c r="X66" s="83">
        <f t="shared" si="30"/>
        <v>46.892088689895246</v>
      </c>
      <c r="Y66" s="83">
        <f t="shared" si="30"/>
        <v>11.692153692660138</v>
      </c>
      <c r="Z66" s="83">
        <f t="shared" si="30"/>
        <v>17.135237552292139</v>
      </c>
      <c r="AA66" s="83">
        <f t="shared" si="30"/>
        <v>14.981739128676852</v>
      </c>
      <c r="AB66" s="83">
        <f t="shared" si="30"/>
        <v>19.320089787455434</v>
      </c>
      <c r="AC66" s="83">
        <f t="shared" si="30"/>
        <v>10.503192198889041</v>
      </c>
      <c r="AD66" s="83">
        <f t="shared" si="30"/>
        <v>10.025539809493759</v>
      </c>
      <c r="AE66" s="83">
        <f t="shared" si="30"/>
        <v>8.6916868665104836</v>
      </c>
      <c r="AF66" s="83">
        <f t="shared" si="30"/>
        <v>1.1471097014038183</v>
      </c>
      <c r="AG66" s="83">
        <f t="shared" si="30"/>
        <v>10.151282430245047</v>
      </c>
      <c r="AH66" s="83">
        <f t="shared" si="30"/>
        <v>10.190064257167204</v>
      </c>
      <c r="AI66" s="83">
        <f t="shared" si="30"/>
        <v>13.217114589205616</v>
      </c>
      <c r="AJ66" s="83">
        <f t="shared" si="30"/>
        <v>7.9024481862064695</v>
      </c>
      <c r="AK66" s="83">
        <f t="shared" si="30"/>
        <v>7.7268083026229917</v>
      </c>
      <c r="AL66" s="83">
        <f t="shared" si="30"/>
        <v>1.7110056777977682</v>
      </c>
      <c r="AM66" s="83">
        <f t="shared" si="30"/>
        <v>10.076100026455395</v>
      </c>
      <c r="AN66" s="83">
        <f t="shared" si="30"/>
        <v>12.138430403280076</v>
      </c>
      <c r="AO66" s="83">
        <f t="shared" si="30"/>
        <v>2.8286175158044635</v>
      </c>
      <c r="AP66" s="83">
        <f t="shared" si="30"/>
        <v>-8.6857551208857036</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475</v>
      </c>
      <c r="E67" s="76">
        <f>股权价值增加表!E5</f>
        <v>2635590846.21</v>
      </c>
      <c r="F67" s="76">
        <f>股权价值增加表!F5</f>
        <v>1773993047.99</v>
      </c>
      <c r="G67" s="76">
        <f>股权价值增加表!G5</f>
        <v>1090223199.48</v>
      </c>
      <c r="H67" s="76">
        <f>股权价值增加表!H5</f>
        <v>586351416.38999999</v>
      </c>
      <c r="I67" s="76">
        <f>股权价值增加表!I5</f>
        <v>1624554797.76</v>
      </c>
      <c r="J67" s="76">
        <f>股权价值增加表!J5</f>
        <v>1105706598.52</v>
      </c>
      <c r="K67" s="76">
        <f>股权价值增加表!K5</f>
        <v>676890906.00999999</v>
      </c>
      <c r="L67" s="76">
        <f>股权价值增加表!L5</f>
        <v>382181848.41000003</v>
      </c>
      <c r="M67" s="76">
        <f>股权价值增加表!M5</f>
        <v>1488077938.76</v>
      </c>
      <c r="N67" s="76">
        <f>股权价值增加表!N5</f>
        <v>1070685858.4</v>
      </c>
      <c r="O67" s="76">
        <f>股权价值增加表!O5</f>
        <v>646044667.88</v>
      </c>
      <c r="P67" s="76">
        <f>股权价值增加表!P5</f>
        <v>368353515.80000001</v>
      </c>
      <c r="Q67" s="76">
        <f>股权价值增加表!Q5</f>
        <v>1522590313.74</v>
      </c>
      <c r="R67" s="76">
        <f>股权价值增加表!R5</f>
        <v>1049502064.09</v>
      </c>
      <c r="S67" s="76">
        <f>股权价值增加表!S5</f>
        <v>614113615.22000003</v>
      </c>
      <c r="T67" s="76">
        <f>股权价值增加表!T5</f>
        <v>364584481.94</v>
      </c>
      <c r="U67" s="76">
        <f>股权价值增加表!U5</f>
        <v>1414058164.54</v>
      </c>
      <c r="V67" s="76">
        <f>股权价值增加表!V5</f>
        <v>987390552.35000002</v>
      </c>
      <c r="W67" s="76">
        <f>股权价值增加表!W5</f>
        <v>613641321.99000001</v>
      </c>
      <c r="X67" s="76">
        <f>股权价值增加表!X5</f>
        <v>354907772.18000001</v>
      </c>
      <c r="Y67" s="76">
        <f>股权价值增加表!Y5</f>
        <v>1574584274.8199999</v>
      </c>
      <c r="Z67" s="76">
        <f>股权价值增加表!Z5</f>
        <v>1075633938.99</v>
      </c>
      <c r="AA67" s="76">
        <f>股权价值增加表!AA5</f>
        <v>583133528.04999995</v>
      </c>
      <c r="AB67" s="76">
        <f>股权价值增加表!AB5</f>
        <v>327439565.81</v>
      </c>
      <c r="AC67" s="76">
        <f>股权价值增加表!AC5</f>
        <v>1377436916.3499999</v>
      </c>
      <c r="AD67" s="76">
        <f>股权价值增加表!AD5</f>
        <v>987289834.52999997</v>
      </c>
      <c r="AE67" s="76">
        <f>股权价值增加表!AE5</f>
        <v>593673817.29999995</v>
      </c>
      <c r="AF67" s="76">
        <f>股权价值增加表!AF5</f>
        <v>349417553.02999997</v>
      </c>
      <c r="AG67" s="76">
        <f>股权价值增加表!AG5</f>
        <v>1131280282.5999999</v>
      </c>
      <c r="AH67" s="76">
        <f>股权价值增加表!AH5</f>
        <v>712739208.15999997</v>
      </c>
      <c r="AI67" s="76">
        <f>股权价值增加表!AI5</f>
        <v>401643789.75</v>
      </c>
      <c r="AJ67" s="76">
        <f>股权价值增加表!AJ5</f>
        <v>217129319.08000001</v>
      </c>
      <c r="AK67" s="76">
        <f>股权价值增加表!AK5</f>
        <v>697436260.83000004</v>
      </c>
      <c r="AL67" s="76">
        <f>股权价值增加表!AL5</f>
        <v>441509914.73000002</v>
      </c>
      <c r="AM67" s="76">
        <f>股权价值增加表!AM5</f>
        <v>245422172.28</v>
      </c>
      <c r="AN67" s="76">
        <f>股权价值增加表!AN5</f>
        <v>160507029.72999999</v>
      </c>
      <c r="AO67" s="76">
        <f>股权价值增加表!AO5</f>
        <v>568121133.83000004</v>
      </c>
      <c r="AP67" s="76">
        <f>股权价值增加表!AP5</f>
        <v>392963008.33999997</v>
      </c>
      <c r="AQ67" s="76">
        <f>股权价值增加表!AQ5</f>
        <v>492404923.29000002</v>
      </c>
      <c r="AR67" s="76">
        <f>股权价值增加表!AR5</f>
        <v>410889235.10000002</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476</v>
      </c>
      <c r="E68" s="76">
        <f>资产资本表!E26</f>
        <v>1006969529.14</v>
      </c>
      <c r="F68" s="76">
        <f>资产资本表!F26</f>
        <v>1155240446.72</v>
      </c>
      <c r="G68" s="76">
        <f>资产资本表!G26</f>
        <v>1079101133.6400001</v>
      </c>
      <c r="H68" s="76">
        <f>资产资本表!H26</f>
        <v>955221936.07000005</v>
      </c>
      <c r="I68" s="76">
        <f>资产资本表!I26</f>
        <v>658849754.71000004</v>
      </c>
      <c r="J68" s="76">
        <f>资产资本表!J26</f>
        <v>648882684.19000006</v>
      </c>
      <c r="K68" s="76">
        <f>资产资本表!K26</f>
        <v>584122349.22000003</v>
      </c>
      <c r="L68" s="76">
        <f>资产资本表!L26</f>
        <v>561215080.60000002</v>
      </c>
      <c r="M68" s="76">
        <f>资产资本表!M26</f>
        <v>659822679.88999999</v>
      </c>
      <c r="N68" s="76">
        <f>资产资本表!N26</f>
        <v>596130321.23000002</v>
      </c>
      <c r="O68" s="76">
        <f>资产资本表!O26</f>
        <v>609801140.38999999</v>
      </c>
      <c r="P68" s="76">
        <f>资产资本表!P26</f>
        <v>560459480.14999998</v>
      </c>
      <c r="Q68" s="76">
        <f>资产资本表!Q26</f>
        <v>633174159.28999996</v>
      </c>
      <c r="R68" s="76">
        <f>资产资本表!R26</f>
        <v>667486290.90999997</v>
      </c>
      <c r="S68" s="76">
        <f>资产资本表!S26</f>
        <v>698269102.41999996</v>
      </c>
      <c r="T68" s="76">
        <f>资产资本表!T26</f>
        <v>606326560.25999999</v>
      </c>
      <c r="U68" s="76">
        <f>资产资本表!U26</f>
        <v>685201506.19000006</v>
      </c>
      <c r="V68" s="76">
        <f>资产资本表!V26</f>
        <v>665815546.09000003</v>
      </c>
      <c r="W68" s="76">
        <f>资产资本表!W26</f>
        <v>678268671.26999998</v>
      </c>
      <c r="X68" s="76">
        <f>资产资本表!X26</f>
        <v>626612547.63</v>
      </c>
      <c r="Y68" s="76">
        <f>资产资本表!Y26</f>
        <v>617828802.88</v>
      </c>
      <c r="Z68" s="76">
        <f>资产资本表!Z26</f>
        <v>684421196.61000001</v>
      </c>
      <c r="AA68" s="76">
        <f>资产资本表!AA26</f>
        <v>767935065.25999999</v>
      </c>
      <c r="AB68" s="76">
        <f>资产资本表!AB26</f>
        <v>616708419.55999994</v>
      </c>
      <c r="AC68" s="76">
        <f>资产资本表!AC26</f>
        <v>517115102.25999999</v>
      </c>
      <c r="AD68" s="76">
        <f>资产资本表!AD26</f>
        <v>498955231.80000001</v>
      </c>
      <c r="AE68" s="76">
        <f>资产资本表!AE26</f>
        <v>518664663.74000001</v>
      </c>
      <c r="AF68" s="76">
        <f>资产资本表!AF26</f>
        <v>433392310.58999997</v>
      </c>
      <c r="AG68" s="76">
        <f>资产资本表!AG26</f>
        <v>458547043.06999999</v>
      </c>
      <c r="AH68" s="76">
        <f>资产资本表!AH26</f>
        <v>462790607.91000003</v>
      </c>
      <c r="AI68" s="76">
        <f>资产资本表!AI26</f>
        <v>392900466.92000002</v>
      </c>
      <c r="AJ68" s="76">
        <f>资产资本表!AJ26</f>
        <v>288797940.39999998</v>
      </c>
      <c r="AK68" s="76">
        <f>资产资本表!AK26</f>
        <v>260446354.96000001</v>
      </c>
      <c r="AL68" s="76">
        <f>资产资本表!AL26</f>
        <v>228862805.44999999</v>
      </c>
      <c r="AM68" s="76">
        <f>资产资本表!AM26</f>
        <v>238414526.06999999</v>
      </c>
      <c r="AN68" s="76">
        <f>资产资本表!AN26</f>
        <v>212903239.86000001</v>
      </c>
      <c r="AO68" s="76">
        <f>资产资本表!AO26</f>
        <v>179548764.44</v>
      </c>
      <c r="AP68" s="76">
        <f>资产资本表!AP26</f>
        <v>151966774.36000001</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477</v>
      </c>
      <c r="E69" s="155">
        <f>E67/(E68+I68)*2</f>
        <v>3.1643178485948229</v>
      </c>
      <c r="F69" s="155">
        <f t="shared" ref="F69:BQ69" si="32">F67/(F68+J68)*2</f>
        <v>1.966598640188375</v>
      </c>
      <c r="G69" s="155">
        <f t="shared" si="32"/>
        <v>1.3109761985867394</v>
      </c>
      <c r="H69" s="155">
        <f t="shared" si="32"/>
        <v>0.77332775439311108</v>
      </c>
      <c r="I69" s="155">
        <f t="shared" si="32"/>
        <v>2.4639247096308416</v>
      </c>
      <c r="J69" s="155">
        <f t="shared" si="32"/>
        <v>1.7762169450543119</v>
      </c>
      <c r="K69" s="155">
        <f t="shared" si="32"/>
        <v>1.1338932718898245</v>
      </c>
      <c r="L69" s="155">
        <f t="shared" si="32"/>
        <v>0.68144872279969826</v>
      </c>
      <c r="M69" s="155">
        <f t="shared" si="32"/>
        <v>2.3017503116306424</v>
      </c>
      <c r="N69" s="155">
        <f t="shared" si="32"/>
        <v>1.6946371994694471</v>
      </c>
      <c r="O69" s="155">
        <f t="shared" si="32"/>
        <v>0.98778283724605664</v>
      </c>
      <c r="P69" s="155">
        <f t="shared" si="32"/>
        <v>0.63139856501979297</v>
      </c>
      <c r="Q69" s="155">
        <f t="shared" si="32"/>
        <v>2.3097973568643635</v>
      </c>
      <c r="R69" s="155">
        <f t="shared" si="32"/>
        <v>1.574290284413671</v>
      </c>
      <c r="S69" s="155">
        <f t="shared" si="32"/>
        <v>0.89225828300197452</v>
      </c>
      <c r="T69" s="155">
        <f t="shared" si="32"/>
        <v>0.59140711752413233</v>
      </c>
      <c r="U69" s="155">
        <f t="shared" si="32"/>
        <v>2.1704148471408047</v>
      </c>
      <c r="V69" s="155">
        <f t="shared" si="32"/>
        <v>1.4625443392624098</v>
      </c>
      <c r="W69" s="155">
        <f t="shared" si="32"/>
        <v>0.84862361573254119</v>
      </c>
      <c r="X69" s="155">
        <f t="shared" si="32"/>
        <v>0.57090289884215262</v>
      </c>
      <c r="Y69" s="155">
        <f t="shared" si="32"/>
        <v>2.7747349762202895</v>
      </c>
      <c r="Z69" s="155">
        <f t="shared" si="32"/>
        <v>1.817906649425552</v>
      </c>
      <c r="AA69" s="155">
        <f t="shared" si="32"/>
        <v>0.90647233153583229</v>
      </c>
      <c r="AB69" s="155">
        <f t="shared" si="32"/>
        <v>0.62363458363318625</v>
      </c>
      <c r="AC69" s="155">
        <f t="shared" si="32"/>
        <v>2.8235940544441376</v>
      </c>
      <c r="AD69" s="155">
        <f t="shared" si="32"/>
        <v>2.0531200526486337</v>
      </c>
      <c r="AE69" s="155">
        <f t="shared" si="32"/>
        <v>1.3025373554386894</v>
      </c>
      <c r="AF69" s="155">
        <f t="shared" si="32"/>
        <v>0.96766067542730727</v>
      </c>
      <c r="AG69" s="155">
        <f t="shared" si="32"/>
        <v>3.1468447017723444</v>
      </c>
      <c r="AH69" s="155">
        <f t="shared" si="32"/>
        <v>2.06097214122769</v>
      </c>
      <c r="AI69" s="155">
        <f t="shared" si="32"/>
        <v>1.2724037737413976</v>
      </c>
      <c r="AJ69" s="155">
        <f t="shared" si="32"/>
        <v>0.86557228734234037</v>
      </c>
      <c r="AK69" s="155">
        <f t="shared" si="32"/>
        <v>3.1701999866773982</v>
      </c>
      <c r="AL69" s="155">
        <f t="shared" si="32"/>
        <v>2.3186744840055442</v>
      </c>
      <c r="AM69" s="155">
        <f t="shared" si="32"/>
        <v>2.0587853963893332</v>
      </c>
      <c r="AN69" s="155">
        <f t="shared" si="32"/>
        <v>1.5077932100567892</v>
      </c>
      <c r="AO69" s="155">
        <f t="shared" si="32"/>
        <v>6.3283212847710759</v>
      </c>
      <c r="AP69" s="155">
        <f t="shared" si="32"/>
        <v>5.1716963789610295</v>
      </c>
      <c r="AQ69" s="155" t="e">
        <f t="shared" si="32"/>
        <v>#DIV/0!</v>
      </c>
      <c r="AR69" s="155" t="e">
        <f t="shared" si="32"/>
        <v>#DIV/0!</v>
      </c>
      <c r="AS69" s="155" t="e">
        <f t="shared" si="32"/>
        <v>#DIV/0!</v>
      </c>
      <c r="AT69" s="155" t="e">
        <f t="shared" si="32"/>
        <v>#DIV/0!</v>
      </c>
      <c r="AU69" s="155" t="e">
        <f t="shared" si="32"/>
        <v>#DIV/0!</v>
      </c>
      <c r="AV69" s="155" t="e">
        <f t="shared" si="32"/>
        <v>#DIV/0!</v>
      </c>
      <c r="AW69" s="155" t="e">
        <f t="shared" si="32"/>
        <v>#DIV/0!</v>
      </c>
      <c r="AX69" s="155" t="e">
        <f t="shared" si="32"/>
        <v>#DIV/0!</v>
      </c>
      <c r="AY69" s="155" t="e">
        <f t="shared" si="32"/>
        <v>#DIV/0!</v>
      </c>
      <c r="AZ69" s="155" t="e">
        <f t="shared" si="32"/>
        <v>#DIV/0!</v>
      </c>
      <c r="BA69" s="155" t="e">
        <f t="shared" si="32"/>
        <v>#DIV/0!</v>
      </c>
      <c r="BB69" s="155" t="e">
        <f t="shared" si="32"/>
        <v>#DIV/0!</v>
      </c>
      <c r="BC69" s="155" t="e">
        <f t="shared" si="32"/>
        <v>#DIV/0!</v>
      </c>
      <c r="BD69" s="155" t="e">
        <f t="shared" si="32"/>
        <v>#DIV/0!</v>
      </c>
      <c r="BE69" s="155" t="e">
        <f t="shared" si="32"/>
        <v>#DIV/0!</v>
      </c>
      <c r="BF69" s="155" t="e">
        <f t="shared" si="32"/>
        <v>#DIV/0!</v>
      </c>
      <c r="BG69" s="155" t="e">
        <f t="shared" si="32"/>
        <v>#DIV/0!</v>
      </c>
      <c r="BH69" s="155" t="e">
        <f t="shared" si="32"/>
        <v>#DIV/0!</v>
      </c>
      <c r="BI69" s="155" t="e">
        <f t="shared" si="32"/>
        <v>#DIV/0!</v>
      </c>
      <c r="BJ69" s="155" t="e">
        <f t="shared" si="32"/>
        <v>#DIV/0!</v>
      </c>
      <c r="BK69" s="155" t="e">
        <f t="shared" si="32"/>
        <v>#DIV/0!</v>
      </c>
      <c r="BL69" s="155" t="e">
        <f t="shared" si="32"/>
        <v>#DIV/0!</v>
      </c>
      <c r="BM69" s="155" t="e">
        <f t="shared" si="32"/>
        <v>#DIV/0!</v>
      </c>
      <c r="BN69" s="155" t="e">
        <f t="shared" si="32"/>
        <v>#DIV/0!</v>
      </c>
      <c r="BO69" s="155" t="e">
        <f t="shared" si="32"/>
        <v>#DIV/0!</v>
      </c>
      <c r="BP69" s="155" t="e">
        <f t="shared" si="32"/>
        <v>#DIV/0!</v>
      </c>
      <c r="BQ69" s="155" t="e">
        <f t="shared" si="32"/>
        <v>#DIV/0!</v>
      </c>
      <c r="BR69" s="155" t="e">
        <f t="shared" ref="BR69:CJ69" si="33">BR67/(BR68+BV68)*2</f>
        <v>#DIV/0!</v>
      </c>
      <c r="BS69" s="155" t="e">
        <f t="shared" si="33"/>
        <v>#DIV/0!</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478</v>
      </c>
      <c r="E70" s="83">
        <f>E62/E69</f>
        <v>115.34871573097038</v>
      </c>
      <c r="F70" s="83">
        <f t="shared" ref="F70:BQ70" si="34">F62/F69</f>
        <v>185.59964018130191</v>
      </c>
      <c r="G70" s="83">
        <f t="shared" si="34"/>
        <v>278.41847959823974</v>
      </c>
      <c r="H70" s="83">
        <f t="shared" si="34"/>
        <v>471.98616359817987</v>
      </c>
      <c r="I70" s="83">
        <f t="shared" si="34"/>
        <v>148.13764340010465</v>
      </c>
      <c r="J70" s="83">
        <f t="shared" si="34"/>
        <v>205.49291628835309</v>
      </c>
      <c r="K70" s="83">
        <f t="shared" si="34"/>
        <v>321.89978461700008</v>
      </c>
      <c r="L70" s="83">
        <f t="shared" si="34"/>
        <v>535.62357340757148</v>
      </c>
      <c r="M70" s="83">
        <f t="shared" si="34"/>
        <v>158.57497581543541</v>
      </c>
      <c r="N70" s="83">
        <f t="shared" si="34"/>
        <v>215.38533446231045</v>
      </c>
      <c r="O70" s="83">
        <f t="shared" si="34"/>
        <v>369.51441778197096</v>
      </c>
      <c r="P70" s="83">
        <f t="shared" si="34"/>
        <v>578.08176993331949</v>
      </c>
      <c r="Q70" s="83">
        <f t="shared" si="34"/>
        <v>158.02252042382679</v>
      </c>
      <c r="R70" s="83">
        <f t="shared" si="34"/>
        <v>231.85050661475731</v>
      </c>
      <c r="S70" s="83">
        <f t="shared" si="34"/>
        <v>409.07437560788918</v>
      </c>
      <c r="T70" s="83">
        <f t="shared" si="34"/>
        <v>617.1721461994515</v>
      </c>
      <c r="U70" s="83">
        <f t="shared" si="34"/>
        <v>168.17061516181232</v>
      </c>
      <c r="V70" s="83">
        <f t="shared" si="34"/>
        <v>249.5650833971138</v>
      </c>
      <c r="W70" s="83">
        <f t="shared" si="34"/>
        <v>430.10822846937629</v>
      </c>
      <c r="X70" s="83">
        <f t="shared" si="34"/>
        <v>639.33814443797007</v>
      </c>
      <c r="Y70" s="83">
        <f t="shared" si="34"/>
        <v>131.54409452725412</v>
      </c>
      <c r="Z70" s="83">
        <f t="shared" si="34"/>
        <v>200.7803866691053</v>
      </c>
      <c r="AA70" s="83">
        <f t="shared" si="34"/>
        <v>402.65983560864129</v>
      </c>
      <c r="AB70" s="83">
        <f t="shared" si="34"/>
        <v>585.27863845134073</v>
      </c>
      <c r="AC70" s="83">
        <f t="shared" si="34"/>
        <v>129.26787383813752</v>
      </c>
      <c r="AD70" s="83">
        <f t="shared" si="34"/>
        <v>177.77820616438413</v>
      </c>
      <c r="AE70" s="83">
        <f t="shared" si="34"/>
        <v>280.2222895765392</v>
      </c>
      <c r="AF70" s="83">
        <f t="shared" si="34"/>
        <v>377.19833953035283</v>
      </c>
      <c r="AG70" s="83">
        <f t="shared" si="34"/>
        <v>115.98920016435103</v>
      </c>
      <c r="AH70" s="83">
        <f t="shared" si="34"/>
        <v>177.10088976873556</v>
      </c>
      <c r="AI70" s="83">
        <f t="shared" si="34"/>
        <v>286.85862737324948</v>
      </c>
      <c r="AJ70" s="83">
        <f t="shared" si="34"/>
        <v>421.68632861467728</v>
      </c>
      <c r="AK70" s="83">
        <f t="shared" si="34"/>
        <v>115.13469230139854</v>
      </c>
      <c r="AL70" s="83">
        <f t="shared" si="34"/>
        <v>157.4175256241476</v>
      </c>
      <c r="AM70" s="83">
        <f t="shared" si="34"/>
        <v>177.28899798887807</v>
      </c>
      <c r="AN70" s="83">
        <f t="shared" si="34"/>
        <v>242.07563581364894</v>
      </c>
      <c r="AO70" s="83">
        <f t="shared" si="34"/>
        <v>57.677223322773145</v>
      </c>
      <c r="AP70" s="83">
        <f t="shared" si="34"/>
        <v>70.576455625828302</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479</v>
      </c>
      <c r="E71" s="76">
        <f>资产资本表!E35+资产资本表!E36-资产资本表!E24</f>
        <v>420562666.25999999</v>
      </c>
      <c r="F71" s="76">
        <f>资产资本表!F35+资产资本表!F36-资产资本表!F24</f>
        <v>367869651.42000002</v>
      </c>
      <c r="G71" s="76">
        <f>资产资本表!G35+资产资本表!G36-资产资本表!G24</f>
        <v>349526037.30000001</v>
      </c>
      <c r="H71" s="76">
        <f>资产资本表!H35+资产资本表!H36-资产资本表!H24</f>
        <v>312557865.52000004</v>
      </c>
      <c r="I71" s="76">
        <f>资产资本表!I35+资产资本表!I36-资产资本表!I24</f>
        <v>288209716.71000004</v>
      </c>
      <c r="J71" s="76">
        <f>资产资本表!J35+资产资本表!J36-资产资本表!J24</f>
        <v>241096925.09000003</v>
      </c>
      <c r="K71" s="76">
        <f>资产资本表!K35+资产资本表!K36-资产资本表!K24</f>
        <v>112268621.31999999</v>
      </c>
      <c r="L71" s="76">
        <f>资产资本表!L35+资产资本表!L36-资产资本表!L24</f>
        <v>138198382.38000003</v>
      </c>
      <c r="M71" s="76">
        <f>资产资本表!M35+资产资本表!M36-资产资本表!M24</f>
        <v>211762808.20000005</v>
      </c>
      <c r="N71" s="76">
        <f>资产资本表!N35+资产资本表!N36-资产资本表!N24</f>
        <v>233542088.69999999</v>
      </c>
      <c r="O71" s="76">
        <f>资产资本表!O35+资产资本表!O36-资产资本表!O24</f>
        <v>240202410.80000004</v>
      </c>
      <c r="P71" s="76">
        <f>资产资本表!P35+资产资本表!P36-资产资本表!P24</f>
        <v>148345223.24000001</v>
      </c>
      <c r="Q71" s="76">
        <f>资产资本表!Q35+资产资本表!Q36-资产资本表!Q24</f>
        <v>247632546.90999997</v>
      </c>
      <c r="R71" s="76">
        <f>资产资本表!R35+资产资本表!R36-资产资本表!R24</f>
        <v>349056348.88</v>
      </c>
      <c r="S71" s="76">
        <f>资产资本表!S35+资产资本表!S36-资产资本表!S24</f>
        <v>262375612.88000005</v>
      </c>
      <c r="T71" s="76">
        <f>资产资本表!T35+资产资本表!T36-资产资本表!T24</f>
        <v>232232572.72999999</v>
      </c>
      <c r="U71" s="76">
        <f>资产资本表!U35+资产资本表!U36-资产资本表!U24</f>
        <v>291266204.84000003</v>
      </c>
      <c r="V71" s="76">
        <f>资产资本表!V35+资产资本表!V36-资产资本表!V24</f>
        <v>178715499.91000003</v>
      </c>
      <c r="W71" s="76">
        <f>资产资本表!W35+资产资本表!W36-资产资本表!W24</f>
        <v>122995866.44</v>
      </c>
      <c r="X71" s="76">
        <f>资产资本表!X35+资产资本表!X36-资产资本表!X24</f>
        <v>154603470.69</v>
      </c>
      <c r="Y71" s="76">
        <f>资产资本表!Y35+资产资本表!Y36-资产资本表!Y24</f>
        <v>223903790.01999998</v>
      </c>
      <c r="Z71" s="76">
        <f>资产资本表!Z35+资产资本表!Z36-资产资本表!Z24</f>
        <v>208731527.06000003</v>
      </c>
      <c r="AA71" s="76">
        <f>资产资本表!AA35+资产资本表!AA36-资产资本表!AA24</f>
        <v>236594498.11000001</v>
      </c>
      <c r="AB71" s="76">
        <f>资产资本表!AB35+资产资本表!AB36-资产资本表!AB24</f>
        <v>248660746.48999995</v>
      </c>
      <c r="AC71" s="76">
        <f>资产资本表!AC35+资产资本表!AC36-资产资本表!AC24</f>
        <v>292668369.69000006</v>
      </c>
      <c r="AD71" s="76">
        <f>资产资本表!AD35+资产资本表!AD36-资产资本表!AD24</f>
        <v>193405200.60000002</v>
      </c>
      <c r="AE71" s="76">
        <f>资产资本表!AE35+资产资本表!AE36-资产资本表!AE24</f>
        <v>199934529.49999997</v>
      </c>
      <c r="AF71" s="76">
        <f>资产资本表!AF35+资产资本表!AF36-资产资本表!AF24</f>
        <v>186684101.16</v>
      </c>
      <c r="AG71" s="76">
        <f>资产资本表!AG35+资产资本表!AG36-资产资本表!AG24</f>
        <v>266819752.66999999</v>
      </c>
      <c r="AH71" s="76">
        <f>资产资本表!AH35+资产资本表!AH36-资产资本表!AH24</f>
        <v>120222011.23</v>
      </c>
      <c r="AI71" s="76">
        <f>资产资本表!AI35+资产资本表!AI36-资产资本表!AI24</f>
        <v>105919141.61</v>
      </c>
      <c r="AJ71" s="76">
        <f>资产资本表!AJ35+资产资本表!AJ36-资产资本表!AJ24</f>
        <v>71688069.599999994</v>
      </c>
      <c r="AK71" s="76">
        <f>资产资本表!AK35+资产资本表!AK36-资产资本表!AK24</f>
        <v>82331856.75</v>
      </c>
      <c r="AL71" s="76">
        <f>资产资本表!AL35+资产资本表!AL36-资产资本表!AL24</f>
        <v>66728723.660000004</v>
      </c>
      <c r="AM71" s="76">
        <f>资产资本表!AM35+资产资本表!AM36-资产资本表!AM24</f>
        <v>75387574.350000009</v>
      </c>
      <c r="AN71" s="76">
        <f>资产资本表!AN35+资产资本表!AN36-资产资本表!AN24</f>
        <v>70962312.879999995</v>
      </c>
      <c r="AO71" s="76">
        <f>资产资本表!AO35+资产资本表!AO36-资产资本表!AO24</f>
        <v>37868258.040000007</v>
      </c>
      <c r="AP71" s="76">
        <f>资产资本表!AP35+资产资本表!AP36-资产资本表!AP24</f>
        <v>31432017.879999999</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480</v>
      </c>
      <c r="E72" s="155">
        <f>E67/(E71+I71)*2</f>
        <v>7.4370585241088767</v>
      </c>
      <c r="F72" s="155">
        <f t="shared" ref="F72:BQ72" si="36">F67/(F71+J71)*2</f>
        <v>5.8262410990001809</v>
      </c>
      <c r="G72" s="155">
        <f t="shared" si="36"/>
        <v>4.7216795566148768</v>
      </c>
      <c r="H72" s="155">
        <f t="shared" si="36"/>
        <v>2.601634116539552</v>
      </c>
      <c r="I72" s="155">
        <f t="shared" si="36"/>
        <v>6.4985762889768219</v>
      </c>
      <c r="J72" s="155">
        <f t="shared" si="36"/>
        <v>4.6591475474842046</v>
      </c>
      <c r="K72" s="155">
        <f t="shared" si="36"/>
        <v>3.8408314120948814</v>
      </c>
      <c r="L72" s="155">
        <f t="shared" si="36"/>
        <v>2.6675301134922602</v>
      </c>
      <c r="M72" s="155">
        <f t="shared" si="36"/>
        <v>6.4784196105060179</v>
      </c>
      <c r="N72" s="155">
        <f t="shared" si="36"/>
        <v>3.6755534836221662</v>
      </c>
      <c r="O72" s="155">
        <f t="shared" si="36"/>
        <v>2.5709228714359686</v>
      </c>
      <c r="P72" s="155">
        <f t="shared" si="36"/>
        <v>1.9357593622147959</v>
      </c>
      <c r="Q72" s="155">
        <f t="shared" si="36"/>
        <v>5.6507472277328388</v>
      </c>
      <c r="R72" s="155">
        <f t="shared" si="36"/>
        <v>3.9771051316819896</v>
      </c>
      <c r="S72" s="155">
        <f t="shared" si="36"/>
        <v>3.1871254006841534</v>
      </c>
      <c r="T72" s="155">
        <f t="shared" si="36"/>
        <v>1.8849561106908503</v>
      </c>
      <c r="U72" s="155">
        <f t="shared" si="36"/>
        <v>5.4896759463806788</v>
      </c>
      <c r="V72" s="155">
        <f t="shared" si="36"/>
        <v>5.096906072924666</v>
      </c>
      <c r="W72" s="155">
        <f t="shared" si="36"/>
        <v>3.4130020294505137</v>
      </c>
      <c r="X72" s="155">
        <f t="shared" si="36"/>
        <v>1.760174878206882</v>
      </c>
      <c r="Y72" s="155">
        <f t="shared" si="36"/>
        <v>6.0962800461564184</v>
      </c>
      <c r="Z72" s="155">
        <f t="shared" si="36"/>
        <v>5.3495931358919826</v>
      </c>
      <c r="AA72" s="155">
        <f t="shared" si="36"/>
        <v>2.6716827114231592</v>
      </c>
      <c r="AB72" s="155">
        <f t="shared" si="36"/>
        <v>1.5042767478587387</v>
      </c>
      <c r="AC72" s="155">
        <f t="shared" si="36"/>
        <v>4.9239183507230724</v>
      </c>
      <c r="AD72" s="155">
        <f t="shared" si="36"/>
        <v>6.2959449772818514</v>
      </c>
      <c r="AE72" s="155">
        <f t="shared" si="36"/>
        <v>3.8820774336004997</v>
      </c>
      <c r="AF72" s="155">
        <f t="shared" si="36"/>
        <v>2.7047615229007875</v>
      </c>
      <c r="AG72" s="155">
        <f t="shared" si="36"/>
        <v>6.4801665069180023</v>
      </c>
      <c r="AH72" s="155">
        <f t="shared" si="36"/>
        <v>7.624888006772145</v>
      </c>
      <c r="AI72" s="155">
        <f t="shared" si="36"/>
        <v>4.4305450862461253</v>
      </c>
      <c r="AJ72" s="155">
        <f t="shared" si="36"/>
        <v>3.0442164304808954</v>
      </c>
      <c r="AK72" s="155">
        <f t="shared" si="36"/>
        <v>11.604585603740587</v>
      </c>
      <c r="AL72" s="155">
        <f t="shared" si="36"/>
        <v>8.9956515772670063</v>
      </c>
      <c r="AM72" s="155">
        <f t="shared" si="36"/>
        <v>6.5109449241750266</v>
      </c>
      <c r="AN72" s="155">
        <f t="shared" si="36"/>
        <v>4.5237259952736757</v>
      </c>
      <c r="AO72" s="155">
        <f t="shared" si="36"/>
        <v>30.005136926546619</v>
      </c>
      <c r="AP72" s="155">
        <f t="shared" si="36"/>
        <v>25.003994960822414</v>
      </c>
      <c r="AQ72" s="155" t="e">
        <f t="shared" si="36"/>
        <v>#DIV/0!</v>
      </c>
      <c r="AR72" s="155" t="e">
        <f t="shared" si="36"/>
        <v>#DIV/0!</v>
      </c>
      <c r="AS72" s="155" t="e">
        <f t="shared" si="36"/>
        <v>#DIV/0!</v>
      </c>
      <c r="AT72" s="155" t="e">
        <f t="shared" si="36"/>
        <v>#DIV/0!</v>
      </c>
      <c r="AU72" s="155" t="e">
        <f t="shared" si="36"/>
        <v>#DIV/0!</v>
      </c>
      <c r="AV72" s="155" t="e">
        <f t="shared" si="36"/>
        <v>#DIV/0!</v>
      </c>
      <c r="AW72" s="155" t="e">
        <f t="shared" si="36"/>
        <v>#DIV/0!</v>
      </c>
      <c r="AX72" s="155" t="e">
        <f t="shared" si="36"/>
        <v>#DIV/0!</v>
      </c>
      <c r="AY72" s="155" t="e">
        <f t="shared" si="36"/>
        <v>#DIV/0!</v>
      </c>
      <c r="AZ72" s="155" t="e">
        <f t="shared" si="36"/>
        <v>#DIV/0!</v>
      </c>
      <c r="BA72" s="155" t="e">
        <f t="shared" si="36"/>
        <v>#DIV/0!</v>
      </c>
      <c r="BB72" s="155" t="e">
        <f t="shared" si="36"/>
        <v>#DIV/0!</v>
      </c>
      <c r="BC72" s="155" t="e">
        <f t="shared" si="36"/>
        <v>#DIV/0!</v>
      </c>
      <c r="BD72" s="155" t="e">
        <f t="shared" si="36"/>
        <v>#DIV/0!</v>
      </c>
      <c r="BE72" s="155" t="e">
        <f t="shared" si="36"/>
        <v>#DIV/0!</v>
      </c>
      <c r="BF72" s="155" t="e">
        <f t="shared" si="36"/>
        <v>#DIV/0!</v>
      </c>
      <c r="BG72" s="155" t="e">
        <f t="shared" si="36"/>
        <v>#DIV/0!</v>
      </c>
      <c r="BH72" s="155" t="e">
        <f t="shared" si="36"/>
        <v>#DIV/0!</v>
      </c>
      <c r="BI72" s="155" t="e">
        <f t="shared" si="36"/>
        <v>#DIV/0!</v>
      </c>
      <c r="BJ72" s="155" t="e">
        <f t="shared" si="36"/>
        <v>#DIV/0!</v>
      </c>
      <c r="BK72" s="155" t="e">
        <f t="shared" si="36"/>
        <v>#DIV/0!</v>
      </c>
      <c r="BL72" s="155" t="e">
        <f t="shared" si="36"/>
        <v>#DIV/0!</v>
      </c>
      <c r="BM72" s="155" t="e">
        <f t="shared" si="36"/>
        <v>#DIV/0!</v>
      </c>
      <c r="BN72" s="155" t="e">
        <f t="shared" si="36"/>
        <v>#DIV/0!</v>
      </c>
      <c r="BO72" s="155" t="e">
        <f t="shared" si="36"/>
        <v>#DIV/0!</v>
      </c>
      <c r="BP72" s="155" t="e">
        <f t="shared" si="36"/>
        <v>#DIV/0!</v>
      </c>
      <c r="BQ72" s="155" t="e">
        <f t="shared" si="36"/>
        <v>#DIV/0!</v>
      </c>
      <c r="BR72" s="155" t="e">
        <f t="shared" ref="BR72:CJ72" si="37">BR67/(BR71+BV71)*2</f>
        <v>#DIV/0!</v>
      </c>
      <c r="BS72" s="155" t="e">
        <f t="shared" si="37"/>
        <v>#DIV/0!</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481</v>
      </c>
      <c r="E73" s="83">
        <f>E62/E72</f>
        <v>49.078543461339109</v>
      </c>
      <c r="F73" s="83">
        <f t="shared" ref="F73:BQ73" si="38">F62/F72</f>
        <v>62.647596245654213</v>
      </c>
      <c r="G73" s="83">
        <f t="shared" si="38"/>
        <v>77.303001108715677</v>
      </c>
      <c r="H73" s="83">
        <f t="shared" si="38"/>
        <v>140.29643818074177</v>
      </c>
      <c r="I73" s="83">
        <f t="shared" si="38"/>
        <v>56.166148363777687</v>
      </c>
      <c r="J73" s="83">
        <f t="shared" si="38"/>
        <v>78.340511065610855</v>
      </c>
      <c r="K73" s="83">
        <f t="shared" si="38"/>
        <v>95.031507722678271</v>
      </c>
      <c r="L73" s="83">
        <f t="shared" si="38"/>
        <v>136.83069523895705</v>
      </c>
      <c r="M73" s="83">
        <f t="shared" si="38"/>
        <v>56.340901322304205</v>
      </c>
      <c r="N73" s="83">
        <f t="shared" si="38"/>
        <v>99.304771819100736</v>
      </c>
      <c r="O73" s="83">
        <f t="shared" si="38"/>
        <v>141.97236488706179</v>
      </c>
      <c r="P73" s="83">
        <f t="shared" si="38"/>
        <v>188.55649474033066</v>
      </c>
      <c r="Q73" s="83">
        <f t="shared" si="38"/>
        <v>64.593227283047881</v>
      </c>
      <c r="R73" s="83">
        <f t="shared" si="38"/>
        <v>91.775295828208314</v>
      </c>
      <c r="S73" s="83">
        <f t="shared" si="38"/>
        <v>114.5232628504823</v>
      </c>
      <c r="T73" s="83">
        <f t="shared" si="38"/>
        <v>193.63846082666871</v>
      </c>
      <c r="U73" s="83">
        <f t="shared" si="38"/>
        <v>66.488441861608067</v>
      </c>
      <c r="V73" s="83">
        <f t="shared" si="38"/>
        <v>71.612071083459966</v>
      </c>
      <c r="W73" s="83">
        <f t="shared" si="38"/>
        <v>106.94397391224648</v>
      </c>
      <c r="X73" s="83">
        <f t="shared" si="38"/>
        <v>207.36575923173683</v>
      </c>
      <c r="Y73" s="83">
        <f t="shared" si="38"/>
        <v>59.87257757788295</v>
      </c>
      <c r="Z73" s="83">
        <f t="shared" si="38"/>
        <v>68.229487874714877</v>
      </c>
      <c r="AA73" s="83">
        <f t="shared" si="38"/>
        <v>136.61801921290677</v>
      </c>
      <c r="AB73" s="83">
        <f t="shared" si="38"/>
        <v>242.64152225949042</v>
      </c>
      <c r="AC73" s="83">
        <f t="shared" si="38"/>
        <v>74.127955421194201</v>
      </c>
      <c r="AD73" s="83">
        <f t="shared" si="38"/>
        <v>57.973823042777205</v>
      </c>
      <c r="AE73" s="83">
        <f t="shared" si="38"/>
        <v>94.021823686673471</v>
      </c>
      <c r="AF73" s="83">
        <f t="shared" si="38"/>
        <v>134.94720215057882</v>
      </c>
      <c r="AG73" s="83">
        <f t="shared" si="38"/>
        <v>56.325713175786234</v>
      </c>
      <c r="AH73" s="83">
        <f t="shared" si="38"/>
        <v>47.869555549644851</v>
      </c>
      <c r="AI73" s="83">
        <f t="shared" si="38"/>
        <v>82.382639809507978</v>
      </c>
      <c r="AJ73" s="83">
        <f t="shared" si="38"/>
        <v>119.89949083296318</v>
      </c>
      <c r="AK73" s="83">
        <f t="shared" si="38"/>
        <v>31.453083501951763</v>
      </c>
      <c r="AL73" s="83">
        <f t="shared" si="38"/>
        <v>40.57515977190522</v>
      </c>
      <c r="AM73" s="83">
        <f t="shared" si="38"/>
        <v>56.059451316315283</v>
      </c>
      <c r="AN73" s="83">
        <f t="shared" si="38"/>
        <v>80.685700323438425</v>
      </c>
      <c r="AO73" s="83">
        <f t="shared" si="38"/>
        <v>12.164583714232993</v>
      </c>
      <c r="AP73" s="83">
        <f t="shared" si="38"/>
        <v>14.597667315639015</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482</v>
      </c>
      <c r="E74" s="256">
        <f>E66+E70</f>
        <v>138.06682546528697</v>
      </c>
      <c r="F74" s="256">
        <f t="shared" ref="F74:BQ74" si="40">F66+F70</f>
        <v>220.29070693607204</v>
      </c>
      <c r="G74" s="256">
        <f t="shared" si="40"/>
        <v>324.70663660683027</v>
      </c>
      <c r="H74" s="256">
        <f t="shared" si="40"/>
        <v>560.99733772380023</v>
      </c>
      <c r="I74" s="256">
        <f t="shared" si="40"/>
        <v>169.75651504818995</v>
      </c>
      <c r="J74" s="256">
        <f t="shared" si="40"/>
        <v>239.42710253674196</v>
      </c>
      <c r="K74" s="256">
        <f t="shared" si="40"/>
        <v>368.66194279624926</v>
      </c>
      <c r="L74" s="256">
        <f t="shared" si="40"/>
        <v>613.30922278011928</v>
      </c>
      <c r="M74" s="256">
        <f t="shared" si="40"/>
        <v>174.83869346995988</v>
      </c>
      <c r="N74" s="256">
        <f t="shared" si="40"/>
        <v>240.80194788815072</v>
      </c>
      <c r="O74" s="256">
        <f t="shared" si="40"/>
        <v>404.27594926986899</v>
      </c>
      <c r="P74" s="256">
        <f t="shared" si="40"/>
        <v>614.1430096377203</v>
      </c>
      <c r="Q74" s="256">
        <f t="shared" si="40"/>
        <v>166.67887946077056</v>
      </c>
      <c r="R74" s="256">
        <f t="shared" si="40"/>
        <v>249.72761784274135</v>
      </c>
      <c r="S74" s="256">
        <f t="shared" si="40"/>
        <v>439.22069735112888</v>
      </c>
      <c r="T74" s="256">
        <f t="shared" si="40"/>
        <v>660.77325459198346</v>
      </c>
      <c r="U74" s="256">
        <f t="shared" si="40"/>
        <v>180.00065375326687</v>
      </c>
      <c r="V74" s="256">
        <f t="shared" si="40"/>
        <v>269.38064413117422</v>
      </c>
      <c r="W74" s="256">
        <f t="shared" si="40"/>
        <v>457.47225191240261</v>
      </c>
      <c r="X74" s="256">
        <f t="shared" si="40"/>
        <v>686.23023312786529</v>
      </c>
      <c r="Y74" s="256">
        <f t="shared" si="40"/>
        <v>143.23624821991424</v>
      </c>
      <c r="Z74" s="256">
        <f t="shared" si="40"/>
        <v>217.91562422139742</v>
      </c>
      <c r="AA74" s="256">
        <f t="shared" si="40"/>
        <v>417.64157473731814</v>
      </c>
      <c r="AB74" s="256">
        <f t="shared" si="40"/>
        <v>604.59872823879618</v>
      </c>
      <c r="AC74" s="256">
        <f t="shared" si="40"/>
        <v>139.77106603702657</v>
      </c>
      <c r="AD74" s="256">
        <f t="shared" si="40"/>
        <v>187.80374597387788</v>
      </c>
      <c r="AE74" s="256">
        <f t="shared" si="40"/>
        <v>288.91397644304971</v>
      </c>
      <c r="AF74" s="256">
        <f t="shared" si="40"/>
        <v>378.34544923175662</v>
      </c>
      <c r="AG74" s="256">
        <f t="shared" si="40"/>
        <v>126.14048259459608</v>
      </c>
      <c r="AH74" s="256">
        <f t="shared" si="40"/>
        <v>187.29095402590275</v>
      </c>
      <c r="AI74" s="256">
        <f t="shared" si="40"/>
        <v>300.07574196245508</v>
      </c>
      <c r="AJ74" s="256">
        <f t="shared" si="40"/>
        <v>429.58877680088375</v>
      </c>
      <c r="AK74" s="256">
        <f t="shared" si="40"/>
        <v>122.86150060402153</v>
      </c>
      <c r="AL74" s="256">
        <f t="shared" si="40"/>
        <v>159.12853130194537</v>
      </c>
      <c r="AM74" s="256">
        <f t="shared" si="40"/>
        <v>187.36509801533347</v>
      </c>
      <c r="AN74" s="256">
        <f t="shared" si="40"/>
        <v>254.21406621692901</v>
      </c>
      <c r="AO74" s="256">
        <f t="shared" si="40"/>
        <v>60.505840838577612</v>
      </c>
      <c r="AP74" s="256">
        <f t="shared" si="40"/>
        <v>61.8907005049426</v>
      </c>
      <c r="AQ74" s="256" t="e">
        <f t="shared" si="40"/>
        <v>#DIV/0!</v>
      </c>
      <c r="AR74" s="256" t="e">
        <f t="shared" si="40"/>
        <v>#DIV/0!</v>
      </c>
      <c r="AS74" s="256" t="e">
        <f t="shared" si="40"/>
        <v>#DIV/0!</v>
      </c>
      <c r="AT74" s="256" t="e">
        <f t="shared" si="40"/>
        <v>#DIV/0!</v>
      </c>
      <c r="AU74" s="256" t="e">
        <f t="shared" si="40"/>
        <v>#DIV/0!</v>
      </c>
      <c r="AV74" s="256" t="e">
        <f t="shared" si="40"/>
        <v>#DIV/0!</v>
      </c>
      <c r="AW74" s="256" t="e">
        <f t="shared" si="40"/>
        <v>#DIV/0!</v>
      </c>
      <c r="AX74" s="256" t="e">
        <f t="shared" si="40"/>
        <v>#DIV/0!</v>
      </c>
      <c r="AY74" s="256" t="e">
        <f t="shared" si="40"/>
        <v>#DIV/0!</v>
      </c>
      <c r="AZ74" s="256" t="e">
        <f t="shared" si="40"/>
        <v>#DIV/0!</v>
      </c>
      <c r="BA74" s="256" t="e">
        <f t="shared" si="40"/>
        <v>#DIV/0!</v>
      </c>
      <c r="BB74" s="256" t="e">
        <f t="shared" si="40"/>
        <v>#DIV/0!</v>
      </c>
      <c r="BC74" s="256" t="e">
        <f t="shared" si="40"/>
        <v>#DIV/0!</v>
      </c>
      <c r="BD74" s="256" t="e">
        <f t="shared" si="40"/>
        <v>#DIV/0!</v>
      </c>
      <c r="BE74" s="256" t="e">
        <f t="shared" si="40"/>
        <v>#DIV/0!</v>
      </c>
      <c r="BF74" s="256" t="e">
        <f t="shared" si="40"/>
        <v>#DIV/0!</v>
      </c>
      <c r="BG74" s="256" t="e">
        <f t="shared" si="40"/>
        <v>#DIV/0!</v>
      </c>
      <c r="BH74" s="256" t="e">
        <f t="shared" si="40"/>
        <v>#DIV/0!</v>
      </c>
      <c r="BI74" s="256" t="e">
        <f t="shared" si="40"/>
        <v>#DIV/0!</v>
      </c>
      <c r="BJ74" s="256" t="e">
        <f t="shared" si="40"/>
        <v>#DIV/0!</v>
      </c>
      <c r="BK74" s="256" t="e">
        <f t="shared" si="40"/>
        <v>#DIV/0!</v>
      </c>
      <c r="BL74" s="256" t="e">
        <f t="shared" si="40"/>
        <v>#DIV/0!</v>
      </c>
      <c r="BM74" s="256" t="e">
        <f t="shared" si="40"/>
        <v>#DIV/0!</v>
      </c>
      <c r="BN74" s="256" t="e">
        <f t="shared" si="40"/>
        <v>#DIV/0!</v>
      </c>
      <c r="BO74" s="256" t="e">
        <f t="shared" si="40"/>
        <v>#DIV/0!</v>
      </c>
      <c r="BP74" s="256" t="e">
        <f t="shared" si="40"/>
        <v>#DIV/0!</v>
      </c>
      <c r="BQ74" s="256" t="e">
        <f t="shared" si="40"/>
        <v>#DIV/0!</v>
      </c>
      <c r="BR74" s="256" t="e">
        <f t="shared" ref="BR74:CK74" si="41">BR66+BR70</f>
        <v>#DIV/0!</v>
      </c>
      <c r="BS74" s="256" t="e">
        <f t="shared" si="41"/>
        <v>#DIV/0!</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483</v>
      </c>
      <c r="E75" s="256">
        <f>E74-E73</f>
        <v>88.988282003947859</v>
      </c>
      <c r="F75" s="256">
        <f t="shared" ref="F75:BQ75" si="42">F74-F73</f>
        <v>157.64311069041781</v>
      </c>
      <c r="G75" s="256">
        <f t="shared" si="42"/>
        <v>247.4036354981146</v>
      </c>
      <c r="H75" s="256">
        <f t="shared" si="42"/>
        <v>420.70089954305843</v>
      </c>
      <c r="I75" s="256">
        <f t="shared" si="42"/>
        <v>113.59036668441226</v>
      </c>
      <c r="J75" s="256">
        <f t="shared" si="42"/>
        <v>161.0865914711311</v>
      </c>
      <c r="K75" s="256">
        <f t="shared" si="42"/>
        <v>273.63043507357099</v>
      </c>
      <c r="L75" s="256">
        <f t="shared" si="42"/>
        <v>476.47852754116224</v>
      </c>
      <c r="M75" s="256">
        <f t="shared" si="42"/>
        <v>118.49779214765567</v>
      </c>
      <c r="N75" s="256">
        <f t="shared" si="42"/>
        <v>141.49717606905</v>
      </c>
      <c r="O75" s="256">
        <f t="shared" si="42"/>
        <v>262.30358438280723</v>
      </c>
      <c r="P75" s="256">
        <f t="shared" si="42"/>
        <v>425.58651489738963</v>
      </c>
      <c r="Q75" s="256">
        <f t="shared" si="42"/>
        <v>102.08565217772268</v>
      </c>
      <c r="R75" s="256">
        <f t="shared" si="42"/>
        <v>157.95232201453302</v>
      </c>
      <c r="S75" s="256">
        <f t="shared" si="42"/>
        <v>324.69743450064658</v>
      </c>
      <c r="T75" s="256">
        <f t="shared" si="42"/>
        <v>467.13479376531473</v>
      </c>
      <c r="U75" s="256">
        <f t="shared" si="42"/>
        <v>113.51221189165881</v>
      </c>
      <c r="V75" s="256">
        <f t="shared" si="42"/>
        <v>197.76857304771426</v>
      </c>
      <c r="W75" s="256">
        <f t="shared" si="42"/>
        <v>350.52827800015615</v>
      </c>
      <c r="X75" s="256">
        <f t="shared" si="42"/>
        <v>478.86447389612846</v>
      </c>
      <c r="Y75" s="256">
        <f t="shared" si="42"/>
        <v>83.363670642031295</v>
      </c>
      <c r="Z75" s="256">
        <f t="shared" si="42"/>
        <v>149.68613634668253</v>
      </c>
      <c r="AA75" s="256">
        <f t="shared" si="42"/>
        <v>281.02355552441134</v>
      </c>
      <c r="AB75" s="256">
        <f t="shared" si="42"/>
        <v>361.95720597930574</v>
      </c>
      <c r="AC75" s="256">
        <f t="shared" si="42"/>
        <v>65.64311061583237</v>
      </c>
      <c r="AD75" s="256">
        <f t="shared" si="42"/>
        <v>129.82992293110067</v>
      </c>
      <c r="AE75" s="256">
        <f t="shared" si="42"/>
        <v>194.89215275637622</v>
      </c>
      <c r="AF75" s="256">
        <f t="shared" si="42"/>
        <v>243.3982470811778</v>
      </c>
      <c r="AG75" s="256">
        <f t="shared" si="42"/>
        <v>69.814769418809846</v>
      </c>
      <c r="AH75" s="256">
        <f t="shared" si="42"/>
        <v>139.42139847625791</v>
      </c>
      <c r="AI75" s="256">
        <f t="shared" si="42"/>
        <v>217.69310215294712</v>
      </c>
      <c r="AJ75" s="256">
        <f t="shared" si="42"/>
        <v>309.68928596792057</v>
      </c>
      <c r="AK75" s="256">
        <f t="shared" si="42"/>
        <v>91.408417102069762</v>
      </c>
      <c r="AL75" s="256">
        <f t="shared" si="42"/>
        <v>118.55337153004015</v>
      </c>
      <c r="AM75" s="256">
        <f t="shared" si="42"/>
        <v>131.30564669901818</v>
      </c>
      <c r="AN75" s="256">
        <f t="shared" si="42"/>
        <v>173.52836589349059</v>
      </c>
      <c r="AO75" s="256">
        <f t="shared" si="42"/>
        <v>48.341257124344622</v>
      </c>
      <c r="AP75" s="256">
        <f t="shared" si="42"/>
        <v>47.293033189303586</v>
      </c>
      <c r="AQ75" s="256" t="e">
        <f t="shared" si="42"/>
        <v>#DIV/0!</v>
      </c>
      <c r="AR75" s="256" t="e">
        <f t="shared" si="42"/>
        <v>#DIV/0!</v>
      </c>
      <c r="AS75" s="256" t="e">
        <f t="shared" si="42"/>
        <v>#DIV/0!</v>
      </c>
      <c r="AT75" s="256" t="e">
        <f t="shared" si="42"/>
        <v>#DIV/0!</v>
      </c>
      <c r="AU75" s="256" t="e">
        <f t="shared" si="42"/>
        <v>#DIV/0!</v>
      </c>
      <c r="AV75" s="256" t="e">
        <f t="shared" si="42"/>
        <v>#DIV/0!</v>
      </c>
      <c r="AW75" s="256" t="e">
        <f t="shared" si="42"/>
        <v>#DIV/0!</v>
      </c>
      <c r="AX75" s="256" t="e">
        <f t="shared" si="42"/>
        <v>#DIV/0!</v>
      </c>
      <c r="AY75" s="256" t="e">
        <f t="shared" si="42"/>
        <v>#DIV/0!</v>
      </c>
      <c r="AZ75" s="256" t="e">
        <f t="shared" si="42"/>
        <v>#DIV/0!</v>
      </c>
      <c r="BA75" s="256" t="e">
        <f t="shared" si="42"/>
        <v>#DIV/0!</v>
      </c>
      <c r="BB75" s="256" t="e">
        <f t="shared" si="42"/>
        <v>#DIV/0!</v>
      </c>
      <c r="BC75" s="256" t="e">
        <f t="shared" si="42"/>
        <v>#DIV/0!</v>
      </c>
      <c r="BD75" s="256" t="e">
        <f t="shared" si="42"/>
        <v>#DIV/0!</v>
      </c>
      <c r="BE75" s="256" t="e">
        <f t="shared" si="42"/>
        <v>#DIV/0!</v>
      </c>
      <c r="BF75" s="256" t="e">
        <f t="shared" si="42"/>
        <v>#DIV/0!</v>
      </c>
      <c r="BG75" s="256" t="e">
        <f t="shared" si="42"/>
        <v>#DIV/0!</v>
      </c>
      <c r="BH75" s="256" t="e">
        <f t="shared" si="42"/>
        <v>#DIV/0!</v>
      </c>
      <c r="BI75" s="256" t="e">
        <f t="shared" si="42"/>
        <v>#DIV/0!</v>
      </c>
      <c r="BJ75" s="256" t="e">
        <f t="shared" si="42"/>
        <v>#DIV/0!</v>
      </c>
      <c r="BK75" s="256" t="e">
        <f t="shared" si="42"/>
        <v>#DIV/0!</v>
      </c>
      <c r="BL75" s="256" t="e">
        <f t="shared" si="42"/>
        <v>#DIV/0!</v>
      </c>
      <c r="BM75" s="256" t="e">
        <f t="shared" si="42"/>
        <v>#DIV/0!</v>
      </c>
      <c r="BN75" s="256" t="e">
        <f t="shared" si="42"/>
        <v>#DIV/0!</v>
      </c>
      <c r="BO75" s="256" t="e">
        <f t="shared" si="42"/>
        <v>#DIV/0!</v>
      </c>
      <c r="BP75" s="256" t="e">
        <f t="shared" si="42"/>
        <v>#DIV/0!</v>
      </c>
      <c r="BQ75" s="256" t="e">
        <f t="shared" si="42"/>
        <v>#DIV/0!</v>
      </c>
      <c r="BR75" s="256" t="e">
        <f t="shared" ref="BR75:CJ75" si="43">BR74-BR73</f>
        <v>#DIV/0!</v>
      </c>
      <c r="BS75" s="256" t="e">
        <f t="shared" si="43"/>
        <v>#DIV/0!</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484</v>
      </c>
      <c r="E76" s="120">
        <f>E71-E64-E68</f>
        <v>-981658640.92999995</v>
      </c>
      <c r="F76" s="120">
        <f t="shared" ref="F76:BQ76" si="44">F71-F64-F68</f>
        <v>-1168658212.8199999</v>
      </c>
      <c r="G76" s="120">
        <f t="shared" si="44"/>
        <v>-1041260721.6000001</v>
      </c>
      <c r="H76" s="120">
        <f t="shared" si="44"/>
        <v>-914347597.26999998</v>
      </c>
      <c r="I76" s="120">
        <f t="shared" si="44"/>
        <v>-555708476.53999996</v>
      </c>
      <c r="J76" s="120">
        <f t="shared" si="44"/>
        <v>-631485836.11000001</v>
      </c>
      <c r="K76" s="120">
        <f t="shared" si="44"/>
        <v>-662727092.26999998</v>
      </c>
      <c r="L76" s="120">
        <f t="shared" si="44"/>
        <v>-667240600.55000007</v>
      </c>
      <c r="M76" s="120">
        <f t="shared" si="44"/>
        <v>-636401639.55999994</v>
      </c>
      <c r="N76" s="120">
        <f t="shared" si="44"/>
        <v>-539639606.74000001</v>
      </c>
      <c r="O76" s="120">
        <f t="shared" si="44"/>
        <v>-522864949.98999995</v>
      </c>
      <c r="P76" s="120">
        <f t="shared" si="44"/>
        <v>-492614785.42999995</v>
      </c>
      <c r="Q76" s="120">
        <f t="shared" si="44"/>
        <v>-457030235.75999999</v>
      </c>
      <c r="R76" s="120">
        <f t="shared" si="44"/>
        <v>-426336349.32999998</v>
      </c>
      <c r="S76" s="120">
        <f t="shared" si="44"/>
        <v>-520715396.86999989</v>
      </c>
      <c r="T76" s="120">
        <f t="shared" si="44"/>
        <v>-432976559.51999998</v>
      </c>
      <c r="U76" s="120">
        <f t="shared" si="44"/>
        <v>-453425718.02000004</v>
      </c>
      <c r="V76" s="120">
        <f t="shared" si="44"/>
        <v>-563351777.45000005</v>
      </c>
      <c r="W76" s="120">
        <f t="shared" si="44"/>
        <v>-654183205.34000003</v>
      </c>
      <c r="X76" s="120">
        <f t="shared" si="44"/>
        <v>-570164217.57999992</v>
      </c>
      <c r="Y76" s="120">
        <f t="shared" si="44"/>
        <v>-498059225.28000003</v>
      </c>
      <c r="Z76" s="120">
        <f t="shared" si="44"/>
        <v>-586480214.96000004</v>
      </c>
      <c r="AA76" s="120">
        <f t="shared" si="44"/>
        <v>-594076324.82999992</v>
      </c>
      <c r="AB76" s="120">
        <f t="shared" si="44"/>
        <v>-428002680.33999997</v>
      </c>
      <c r="AC76" s="120">
        <f t="shared" si="44"/>
        <v>-294891037.13999993</v>
      </c>
      <c r="AD76" s="120">
        <f t="shared" si="44"/>
        <v>-368245248.87</v>
      </c>
      <c r="AE76" s="120">
        <f t="shared" si="44"/>
        <v>-341081633.97000003</v>
      </c>
      <c r="AF76" s="120">
        <f t="shared" si="44"/>
        <v>-251787303.24999997</v>
      </c>
      <c r="AG76" s="120">
        <f t="shared" si="44"/>
        <v>-258396248.75999999</v>
      </c>
      <c r="AH76" s="120">
        <f t="shared" si="44"/>
        <v>-369630624.40000004</v>
      </c>
      <c r="AI76" s="120">
        <f t="shared" si="44"/>
        <v>-312410107.05000001</v>
      </c>
      <c r="AJ76" s="120">
        <f t="shared" si="44"/>
        <v>-215696184.39999998</v>
      </c>
      <c r="AK76" s="120">
        <f t="shared" si="44"/>
        <v>-212614311.89000002</v>
      </c>
      <c r="AL76" s="120">
        <f t="shared" si="44"/>
        <v>-199041605.94999999</v>
      </c>
      <c r="AM76" s="120">
        <f t="shared" si="44"/>
        <v>-185529535.32999998</v>
      </c>
      <c r="AN76" s="120">
        <f t="shared" si="44"/>
        <v>-158914245.35000002</v>
      </c>
      <c r="AO76" s="120">
        <f t="shared" si="44"/>
        <v>-155671463.72</v>
      </c>
      <c r="AP76" s="120">
        <f t="shared" si="44"/>
        <v>-90414201.800000012</v>
      </c>
      <c r="AQ76" s="120">
        <f t="shared" si="44"/>
        <v>0</v>
      </c>
      <c r="AR76" s="120">
        <f t="shared" si="44"/>
        <v>0</v>
      </c>
      <c r="AS76" s="120">
        <f t="shared" si="44"/>
        <v>0</v>
      </c>
      <c r="AT76" s="120">
        <f t="shared" si="44"/>
        <v>0</v>
      </c>
      <c r="AU76" s="120">
        <f t="shared" si="44"/>
        <v>0</v>
      </c>
      <c r="AV76" s="120">
        <f t="shared" si="44"/>
        <v>0</v>
      </c>
      <c r="AW76" s="120">
        <f t="shared" si="44"/>
        <v>0</v>
      </c>
      <c r="AX76" s="120">
        <f t="shared" si="44"/>
        <v>0</v>
      </c>
      <c r="AY76" s="120">
        <f t="shared" si="44"/>
        <v>0</v>
      </c>
      <c r="AZ76" s="120">
        <f t="shared" si="44"/>
        <v>0</v>
      </c>
      <c r="BA76" s="120">
        <f t="shared" si="44"/>
        <v>0</v>
      </c>
      <c r="BB76" s="120">
        <f t="shared" si="44"/>
        <v>0</v>
      </c>
      <c r="BC76" s="120">
        <f t="shared" si="44"/>
        <v>0</v>
      </c>
      <c r="BD76" s="120">
        <f t="shared" si="44"/>
        <v>0</v>
      </c>
      <c r="BE76" s="120">
        <f t="shared" si="44"/>
        <v>0</v>
      </c>
      <c r="BF76" s="120">
        <f t="shared" si="44"/>
        <v>0</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690</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578</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39447</v>
      </c>
      <c r="AR80" s="1">
        <v>39082</v>
      </c>
      <c r="AS80" s="1">
        <v>25569</v>
      </c>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579</v>
      </c>
      <c r="E81" s="76">
        <f>股权价值增加表!E4</f>
        <v>4661850865.5100002</v>
      </c>
      <c r="F81" s="76">
        <f>股权价值增加表!F4</f>
        <v>3182670009.3200002</v>
      </c>
      <c r="G81" s="76">
        <f>股权价值增加表!G4</f>
        <v>1981435890.6199999</v>
      </c>
      <c r="H81" s="76">
        <f>股权价值增加表!H4</f>
        <v>1057767260.42</v>
      </c>
      <c r="I81" s="76">
        <f>股权价值增加表!I4</f>
        <v>3152216442.1500001</v>
      </c>
      <c r="J81" s="76">
        <f>股权价值增加表!J4</f>
        <v>2155264290.48</v>
      </c>
      <c r="K81" s="76">
        <f>股权价值增加表!K4</f>
        <v>1343083310.6500001</v>
      </c>
      <c r="L81" s="76">
        <f>股权价值增加表!L4</f>
        <v>762846279.96000004</v>
      </c>
      <c r="M81" s="76">
        <f>股权价值增加表!M4</f>
        <v>2915633891.98</v>
      </c>
      <c r="N81" s="76">
        <f>股权价值增加表!N4</f>
        <v>2046094586.02</v>
      </c>
      <c r="O81" s="76">
        <f>股权价值增加表!O4</f>
        <v>1249976092.8499999</v>
      </c>
      <c r="P81" s="76">
        <f>股权价值增加表!P4</f>
        <v>705394935.15999997</v>
      </c>
      <c r="Q81" s="76">
        <f>股权价值增加表!Q4</f>
        <v>2761400573.5100002</v>
      </c>
      <c r="R81" s="76">
        <f>股权价值增加表!R4</f>
        <v>1879993912.9100001</v>
      </c>
      <c r="S81" s="76">
        <f>股权价值增加表!S4</f>
        <v>1112279848.48</v>
      </c>
      <c r="T81" s="76">
        <f>股权价值增加表!T4</f>
        <v>657308577.96000004</v>
      </c>
      <c r="U81" s="76">
        <f>股权价值增加表!U4</f>
        <v>2524209416.4000001</v>
      </c>
      <c r="V81" s="76">
        <f>股权价值增加表!V4</f>
        <v>1722646961.76</v>
      </c>
      <c r="W81" s="76">
        <f>股权价值增加表!W4</f>
        <v>1078073329.79</v>
      </c>
      <c r="X81" s="76">
        <f>股权价值增加表!X4</f>
        <v>615351177.55999994</v>
      </c>
      <c r="Y81" s="76">
        <f>股权价值增加表!Y4</f>
        <v>2724953861.21</v>
      </c>
      <c r="Z81" s="76">
        <f>股权价值增加表!Z4</f>
        <v>1847721787.6600001</v>
      </c>
      <c r="AA81" s="76">
        <f>股权价值增加表!AA4</f>
        <v>1036490112.66</v>
      </c>
      <c r="AB81" s="76">
        <f>股权价值增加表!AB4</f>
        <v>614320304.89999998</v>
      </c>
      <c r="AC81" s="76">
        <f>股权价值增加表!AC4</f>
        <v>2382434788.48</v>
      </c>
      <c r="AD81" s="76">
        <f>股权价值增加表!AD4</f>
        <v>1633896787.0999999</v>
      </c>
      <c r="AE81" s="76">
        <f>股权价值增加表!AE4</f>
        <v>1003246147.98</v>
      </c>
      <c r="AF81" s="76">
        <f>股权价值增加表!AF4</f>
        <v>583149853.35000002</v>
      </c>
      <c r="AG81" s="76">
        <f>股权价值增加表!AG4</f>
        <v>1818814620.1400001</v>
      </c>
      <c r="AH81" s="76">
        <f>股权价值增加表!AH4</f>
        <v>1145669244.4200001</v>
      </c>
      <c r="AI81" s="76">
        <f>股权价值增加表!AI4</f>
        <v>661829336.29999995</v>
      </c>
      <c r="AJ81" s="76">
        <f>股权价值增加表!AJ4</f>
        <v>359335837.14999998</v>
      </c>
      <c r="AK81" s="76">
        <f>股权价值增加表!AK4</f>
        <v>1145306750.3299999</v>
      </c>
      <c r="AL81" s="76">
        <f>股权价值增加表!AL4</f>
        <v>723914564.5</v>
      </c>
      <c r="AM81" s="76">
        <f>股权价值增加表!AM4</f>
        <v>407570538.00999999</v>
      </c>
      <c r="AN81" s="76">
        <f>股权价值增加表!AN4</f>
        <v>255192022.33000001</v>
      </c>
      <c r="AO81" s="76">
        <f>股权价值增加表!AO4</f>
        <v>902684684.88</v>
      </c>
      <c r="AP81" s="76">
        <f>股权价值增加表!AP4</f>
        <v>632875455.57000005</v>
      </c>
      <c r="AQ81" s="76">
        <f>股权价值增加表!AQ4</f>
        <v>755362629.51999998</v>
      </c>
      <c r="AR81" s="76">
        <f>股权价值增加表!AR4</f>
        <v>552487592.55999994</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580</v>
      </c>
      <c r="E82" s="76">
        <f>投资和筹资活动现金流表!E34</f>
        <v>896821141.30999994</v>
      </c>
      <c r="F82" s="76">
        <f>投资和筹资活动现金流表!F34</f>
        <v>937298818.53999996</v>
      </c>
      <c r="G82" s="76">
        <f>投资和筹资活动现金流表!G34</f>
        <v>959317700.02999997</v>
      </c>
      <c r="H82" s="76">
        <f>投资和筹资活动现金流表!H34</f>
        <v>975828712.37000012</v>
      </c>
      <c r="I82" s="76">
        <f>投资和筹资活动现金流表!I34</f>
        <v>712655645.71999979</v>
      </c>
      <c r="J82" s="76">
        <f>投资和筹资活动现金流表!J34</f>
        <v>712011638.26999998</v>
      </c>
      <c r="K82" s="76">
        <f>投资和筹资活动现金流表!K34</f>
        <v>706507482.50999999</v>
      </c>
      <c r="L82" s="76">
        <f>投资和筹资活动现金流表!L34</f>
        <v>719703422.57000005</v>
      </c>
      <c r="M82" s="76">
        <f>投资和筹资活动现金流表!M34</f>
        <v>724088791.25999999</v>
      </c>
      <c r="N82" s="76">
        <f>投资和筹资活动现金流表!N34</f>
        <v>660102135.26999998</v>
      </c>
      <c r="O82" s="76">
        <f>投资和筹资活动现金流表!O34</f>
        <v>654397807.84000003</v>
      </c>
      <c r="P82" s="76">
        <f>投资和筹资活动现金流表!P34</f>
        <v>657598710.34000003</v>
      </c>
      <c r="Q82" s="76">
        <f>投资和筹资活动现金流表!Q34</f>
        <v>657770407.97000003</v>
      </c>
      <c r="R82" s="76">
        <f>投资和筹资活动现金流表!R34</f>
        <v>658741725.48000002</v>
      </c>
      <c r="S82" s="76">
        <f>投资和筹资活动现金流表!S34</f>
        <v>642750663.66999996</v>
      </c>
      <c r="T82" s="76">
        <f>投资和筹资活动现金流表!T34</f>
        <v>638106996.24000001</v>
      </c>
      <c r="U82" s="76">
        <f>投资和筹资活动现金流表!U34</f>
        <v>646286156.85000002</v>
      </c>
      <c r="V82" s="76">
        <f>投资和筹资活动现金流表!V34</f>
        <v>687749387.55999994</v>
      </c>
      <c r="W82" s="76">
        <f>投资和筹资活动现金流表!W34</f>
        <v>656425843.01999998</v>
      </c>
      <c r="X82" s="76">
        <f>投资和筹资活动现金流表!X34</f>
        <v>675710284.61000001</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64196426.759999998</v>
      </c>
      <c r="AQ82" s="76">
        <f>投资和筹资活动现金流表!BR34</f>
        <v>0</v>
      </c>
      <c r="AR82" s="76">
        <f>投资和筹资活动现金流表!BS34</f>
        <v>0</v>
      </c>
      <c r="AS82" s="76">
        <f>投资和筹资活动现金流表!AS34</f>
        <v>0</v>
      </c>
      <c r="AT82" s="76">
        <f>投资和筹资活动现金流表!AT34</f>
        <v>5119825755.0799999</v>
      </c>
      <c r="AU82" s="76">
        <f>投资和筹资活动现金流表!AU34</f>
        <v>5166324238.8199997</v>
      </c>
      <c r="AV82" s="76">
        <f>投资和筹资活动现金流表!AV34</f>
        <v>5229742144.5900002</v>
      </c>
      <c r="AW82" s="76">
        <f>投资和筹资活动现金流表!AW34</f>
        <v>5303368604.3599997</v>
      </c>
      <c r="AX82" s="76">
        <f>投资和筹资活动现金流表!AX34</f>
        <v>5412891640.3100004</v>
      </c>
      <c r="AY82" s="76">
        <f>投资和筹资活动现金流表!AY34</f>
        <v>5477269087.8599997</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581</v>
      </c>
      <c r="E83" s="155">
        <f>E81/E82</f>
        <v>5.198194657521527</v>
      </c>
      <c r="F83" s="155">
        <f t="shared" ref="F83:BQ83" si="46">F81/F82</f>
        <v>3.3955766788200399</v>
      </c>
      <c r="G83" s="155">
        <f t="shared" si="46"/>
        <v>2.0654637046288586</v>
      </c>
      <c r="H83" s="155">
        <f t="shared" si="46"/>
        <v>1.0839681667605325</v>
      </c>
      <c r="I83" s="155">
        <f t="shared" si="46"/>
        <v>4.4231971795653129</v>
      </c>
      <c r="J83" s="155">
        <f t="shared" si="46"/>
        <v>3.0270071086432271</v>
      </c>
      <c r="K83" s="155">
        <f t="shared" si="46"/>
        <v>1.9010178149542669</v>
      </c>
      <c r="L83" s="155">
        <f t="shared" si="46"/>
        <v>1.0599453275294155</v>
      </c>
      <c r="M83" s="155">
        <f t="shared" si="46"/>
        <v>4.0266248106208806</v>
      </c>
      <c r="N83" s="155">
        <f t="shared" si="46"/>
        <v>3.0996636379355005</v>
      </c>
      <c r="O83" s="155">
        <f t="shared" si="46"/>
        <v>1.9101165649925564</v>
      </c>
      <c r="P83" s="155">
        <f t="shared" si="46"/>
        <v>1.0726829661744435</v>
      </c>
      <c r="Q83" s="155">
        <f t="shared" si="46"/>
        <v>4.1981222323944127</v>
      </c>
      <c r="R83" s="155">
        <f t="shared" si="46"/>
        <v>2.8539165505875919</v>
      </c>
      <c r="S83" s="155">
        <f t="shared" si="46"/>
        <v>1.7304997277312264</v>
      </c>
      <c r="T83" s="155">
        <f t="shared" si="46"/>
        <v>1.0300914765597995</v>
      </c>
      <c r="U83" s="155">
        <f t="shared" si="46"/>
        <v>3.9057148132384603</v>
      </c>
      <c r="V83" s="155">
        <f t="shared" si="46"/>
        <v>2.5047597175936627</v>
      </c>
      <c r="W83" s="155">
        <f t="shared" si="46"/>
        <v>1.6423383406572449</v>
      </c>
      <c r="X83" s="155">
        <f t="shared" si="46"/>
        <v>0.91067309699920052</v>
      </c>
      <c r="Y83" s="155">
        <f t="shared" si="46"/>
        <v>0.50512785240247826</v>
      </c>
      <c r="Z83" s="155">
        <f t="shared" si="46"/>
        <v>0.33586863287689067</v>
      </c>
      <c r="AA83" s="155">
        <f t="shared" si="46"/>
        <v>0.18582193251692278</v>
      </c>
      <c r="AB83" s="155">
        <f t="shared" si="46"/>
        <v>0.1078458019000057</v>
      </c>
      <c r="AC83" s="155">
        <f t="shared" si="46"/>
        <v>0.41221424446965765</v>
      </c>
      <c r="AD83" s="155">
        <f t="shared" si="46"/>
        <v>0.27972929086158121</v>
      </c>
      <c r="AE83" s="155">
        <f t="shared" si="46"/>
        <v>0.18461311747915016</v>
      </c>
      <c r="AF83" s="155">
        <f t="shared" si="46"/>
        <v>0.10564974865129531</v>
      </c>
      <c r="AG83" s="155">
        <f t="shared" si="46"/>
        <v>0.32549680095625289</v>
      </c>
      <c r="AH83" s="155">
        <f t="shared" si="46"/>
        <v>0.2050393893124097</v>
      </c>
      <c r="AI83" s="155">
        <f t="shared" si="46"/>
        <v>0.12788390451173107</v>
      </c>
      <c r="AJ83" s="155">
        <f t="shared" si="46"/>
        <v>7.9087277655703017E-2</v>
      </c>
      <c r="AK83" s="155">
        <f t="shared" si="46"/>
        <v>0.25572647457369407</v>
      </c>
      <c r="AL83" s="155">
        <f t="shared" si="46"/>
        <v>0.16013057927834137</v>
      </c>
      <c r="AM83" s="155">
        <f t="shared" si="46"/>
        <v>0.11256132660772306</v>
      </c>
      <c r="AN83" s="155">
        <f t="shared" si="46"/>
        <v>6.9251697612859361E-2</v>
      </c>
      <c r="AO83" s="155">
        <f t="shared" si="46"/>
        <v>0.25617974975449709</v>
      </c>
      <c r="AP83" s="155">
        <f t="shared" si="46"/>
        <v>9.8584218392095462</v>
      </c>
      <c r="AQ83" s="155" t="e">
        <f t="shared" si="46"/>
        <v>#DIV/0!</v>
      </c>
      <c r="AR83" s="155" t="e">
        <f t="shared" si="46"/>
        <v>#DIV/0!</v>
      </c>
      <c r="AS83" s="155" t="e">
        <f t="shared" si="46"/>
        <v>#DIV/0!</v>
      </c>
      <c r="AT83" s="155">
        <f t="shared" si="46"/>
        <v>0</v>
      </c>
      <c r="AU83" s="155">
        <f t="shared" si="46"/>
        <v>0</v>
      </c>
      <c r="AV83" s="155">
        <f t="shared" si="46"/>
        <v>0</v>
      </c>
      <c r="AW83" s="155">
        <f t="shared" si="46"/>
        <v>0</v>
      </c>
      <c r="AX83" s="155">
        <f t="shared" si="46"/>
        <v>0</v>
      </c>
      <c r="AY83" s="155">
        <f t="shared" si="46"/>
        <v>0</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582</v>
      </c>
      <c r="E84" s="76">
        <f>资产资本表!E52</f>
        <v>381088077.97000003</v>
      </c>
      <c r="F84" s="76">
        <f>资产资本表!F52</f>
        <v>381539162.49000001</v>
      </c>
      <c r="G84" s="76">
        <f>资产资本表!G52</f>
        <v>390950110.38999999</v>
      </c>
      <c r="H84" s="76">
        <f>资产资本表!H52</f>
        <v>397152171</v>
      </c>
      <c r="I84" s="76">
        <f>资产资本表!I52</f>
        <v>386784475.27999997</v>
      </c>
      <c r="J84" s="76">
        <f>资产资本表!J52</f>
        <v>392012152.26999998</v>
      </c>
      <c r="K84" s="76">
        <f>资产资本表!K52</f>
        <v>381374642.98000002</v>
      </c>
      <c r="L84" s="76">
        <f>资产资本表!L52</f>
        <v>388749418.19999999</v>
      </c>
      <c r="M84" s="76">
        <f>资产资本表!M52</f>
        <v>393127990.83999997</v>
      </c>
      <c r="N84" s="76">
        <f>资产资本表!N52</f>
        <v>390402293.52999997</v>
      </c>
      <c r="O84" s="76">
        <f>资产资本表!O52</f>
        <v>395693007.80000001</v>
      </c>
      <c r="P84" s="76">
        <f>资产资本表!P52</f>
        <v>390946237.61000001</v>
      </c>
      <c r="Q84" s="76">
        <f>资产资本表!Q52</f>
        <v>397503360.81999999</v>
      </c>
      <c r="R84" s="76">
        <f>资产资本表!R52</f>
        <v>392443251.63</v>
      </c>
      <c r="S84" s="76">
        <f>资产资本表!S52</f>
        <v>397521952.61000001</v>
      </c>
      <c r="T84" s="76">
        <f>资产资本表!T52</f>
        <v>403387978.83999997</v>
      </c>
      <c r="U84" s="76">
        <f>资产资本表!U52</f>
        <v>407928568.80000001</v>
      </c>
      <c r="V84" s="76">
        <f>资产资本表!V52</f>
        <v>325765584.14999998</v>
      </c>
      <c r="W84" s="76">
        <f>资产资本表!W52</f>
        <v>328137977.91000003</v>
      </c>
      <c r="X84" s="76">
        <f>资产资本表!X52</f>
        <v>328664938.44999999</v>
      </c>
      <c r="Y84" s="76">
        <f>资产资本表!Y52</f>
        <v>334824871.51999998</v>
      </c>
      <c r="Z84" s="76">
        <f>资产资本表!Z52</f>
        <v>332916373.94</v>
      </c>
      <c r="AA84" s="76">
        <f>资产资本表!AA52</f>
        <v>248829080.34</v>
      </c>
      <c r="AB84" s="76">
        <f>资产资本表!AB52</f>
        <v>248914102.15000001</v>
      </c>
      <c r="AC84" s="76">
        <f>资产资本表!AC52</f>
        <v>249966842.94</v>
      </c>
      <c r="AD84" s="76">
        <f>资产资本表!AD52</f>
        <v>125511902.36</v>
      </c>
      <c r="AE84" s="76">
        <f>资产资本表!AE52</f>
        <v>86220540.829999998</v>
      </c>
      <c r="AF84" s="76">
        <f>资产资本表!AF52</f>
        <v>84605227.299999997</v>
      </c>
      <c r="AG84" s="76">
        <f>资产资本表!AG52</f>
        <v>84235402.629999995</v>
      </c>
      <c r="AH84" s="76">
        <f>资产资本表!AH52</f>
        <v>77945026.120000005</v>
      </c>
      <c r="AI84" s="76">
        <f>资产资本表!AI52</f>
        <v>77504194.579999998</v>
      </c>
      <c r="AJ84" s="76">
        <f>资产资本表!AJ52</f>
        <v>77668880.290000007</v>
      </c>
      <c r="AK84" s="76">
        <f>资产资本表!AK52</f>
        <v>78949390.819999993</v>
      </c>
      <c r="AL84" s="76">
        <f>资产资本表!AL52</f>
        <v>79720945.200000003</v>
      </c>
      <c r="AM84" s="76">
        <f>资产资本表!AM52</f>
        <v>80968896.030000001</v>
      </c>
      <c r="AN84" s="76">
        <f>资产资本表!AN52</f>
        <v>82222263.489999995</v>
      </c>
      <c r="AO84" s="76">
        <f>资产资本表!AO52</f>
        <v>60766014.450000003</v>
      </c>
      <c r="AP84" s="76">
        <f>资产资本表!AP52</f>
        <v>47596871.630000003</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583</v>
      </c>
      <c r="E85" s="155">
        <f>E81/E84</f>
        <v>12.233001069839267</v>
      </c>
      <c r="F85" s="155">
        <f t="shared" ref="F85:BQ85" si="48">F81/F84</f>
        <v>8.3416601025940995</v>
      </c>
      <c r="G85" s="155">
        <f t="shared" si="48"/>
        <v>5.0682576573347928</v>
      </c>
      <c r="H85" s="155">
        <f t="shared" si="48"/>
        <v>2.6633802800488784</v>
      </c>
      <c r="I85" s="155">
        <f t="shared" si="48"/>
        <v>8.1498008415876981</v>
      </c>
      <c r="J85" s="155">
        <f t="shared" si="48"/>
        <v>5.4979527496779053</v>
      </c>
      <c r="K85" s="155">
        <f t="shared" si="48"/>
        <v>3.5216901159326262</v>
      </c>
      <c r="L85" s="155">
        <f t="shared" si="48"/>
        <v>1.9623084800799326</v>
      </c>
      <c r="M85" s="155">
        <f t="shared" si="48"/>
        <v>7.4165003762518662</v>
      </c>
      <c r="N85" s="155">
        <f t="shared" si="48"/>
        <v>5.2409901784113631</v>
      </c>
      <c r="O85" s="155">
        <f t="shared" si="48"/>
        <v>3.158954209981367</v>
      </c>
      <c r="P85" s="155">
        <f t="shared" si="48"/>
        <v>1.8043272125403789</v>
      </c>
      <c r="Q85" s="155">
        <f t="shared" si="48"/>
        <v>6.946860946819605</v>
      </c>
      <c r="R85" s="155">
        <f t="shared" si="48"/>
        <v>4.7904860259451727</v>
      </c>
      <c r="S85" s="155">
        <f t="shared" si="48"/>
        <v>2.7980337719140587</v>
      </c>
      <c r="T85" s="155">
        <f t="shared" si="48"/>
        <v>1.629469920869197</v>
      </c>
      <c r="U85" s="155">
        <f t="shared" si="48"/>
        <v>6.1878711359330518</v>
      </c>
      <c r="V85" s="155">
        <f t="shared" si="48"/>
        <v>5.2879955574644155</v>
      </c>
      <c r="W85" s="155">
        <f t="shared" si="48"/>
        <v>3.2854268702956664</v>
      </c>
      <c r="X85" s="155">
        <f t="shared" si="48"/>
        <v>1.8722750910456905</v>
      </c>
      <c r="Y85" s="155">
        <f t="shared" si="48"/>
        <v>8.1384451783392429</v>
      </c>
      <c r="Z85" s="155">
        <f t="shared" si="48"/>
        <v>5.5501078718134984</v>
      </c>
      <c r="AA85" s="155">
        <f t="shared" si="48"/>
        <v>4.1654701743210243</v>
      </c>
      <c r="AB85" s="155">
        <f t="shared" si="48"/>
        <v>2.4680012084241003</v>
      </c>
      <c r="AC85" s="155">
        <f t="shared" si="48"/>
        <v>9.5310032341043733</v>
      </c>
      <c r="AD85" s="155">
        <f t="shared" si="48"/>
        <v>13.017863297247851</v>
      </c>
      <c r="AE85" s="155">
        <f t="shared" si="48"/>
        <v>11.635813674123066</v>
      </c>
      <c r="AF85" s="155">
        <f t="shared" si="48"/>
        <v>6.8925983885395228</v>
      </c>
      <c r="AG85" s="155">
        <f t="shared" si="48"/>
        <v>21.592045189468102</v>
      </c>
      <c r="AH85" s="155">
        <f t="shared" si="48"/>
        <v>14.698426589224422</v>
      </c>
      <c r="AI85" s="155">
        <f t="shared" si="48"/>
        <v>8.5392711954042468</v>
      </c>
      <c r="AJ85" s="155">
        <f t="shared" si="48"/>
        <v>4.6265098171663102</v>
      </c>
      <c r="AK85" s="155">
        <f t="shared" si="48"/>
        <v>14.506847214834533</v>
      </c>
      <c r="AL85" s="155">
        <f t="shared" si="48"/>
        <v>9.0806068930050774</v>
      </c>
      <c r="AM85" s="155">
        <f t="shared" si="48"/>
        <v>5.0336679637942687</v>
      </c>
      <c r="AN85" s="155">
        <f t="shared" si="48"/>
        <v>3.103685200311189</v>
      </c>
      <c r="AO85" s="155">
        <f t="shared" si="48"/>
        <v>14.855091173089104</v>
      </c>
      <c r="AP85" s="155">
        <f t="shared" si="48"/>
        <v>13.296576726507014</v>
      </c>
      <c r="AQ85" s="155" t="e">
        <f t="shared" si="48"/>
        <v>#DIV/0!</v>
      </c>
      <c r="AR85" s="155" t="e">
        <f t="shared" si="48"/>
        <v>#DIV/0!</v>
      </c>
      <c r="AS85" s="155" t="e">
        <f t="shared" si="48"/>
        <v>#DIV/0!</v>
      </c>
      <c r="AT85" s="155" t="e">
        <f t="shared" si="48"/>
        <v>#DIV/0!</v>
      </c>
      <c r="AU85" s="155" t="e">
        <f t="shared" si="48"/>
        <v>#DIV/0!</v>
      </c>
      <c r="AV85" s="155" t="e">
        <f t="shared" si="48"/>
        <v>#DIV/0!</v>
      </c>
      <c r="AW85" s="155" t="e">
        <f t="shared" si="48"/>
        <v>#DIV/0!</v>
      </c>
      <c r="AX85" s="155" t="e">
        <f t="shared" si="48"/>
        <v>#DIV/0!</v>
      </c>
      <c r="AY85" s="155" t="e">
        <f t="shared" si="48"/>
        <v>#DIV/0!</v>
      </c>
      <c r="AZ85" s="155" t="e">
        <f t="shared" si="48"/>
        <v>#DIV/0!</v>
      </c>
      <c r="BA85" s="155" t="e">
        <f t="shared" si="48"/>
        <v>#DIV/0!</v>
      </c>
      <c r="BB85" s="155" t="e">
        <f t="shared" si="48"/>
        <v>#DIV/0!</v>
      </c>
      <c r="BC85" s="155" t="e">
        <f t="shared" si="48"/>
        <v>#DIV/0!</v>
      </c>
      <c r="BD85" s="155" t="e">
        <f t="shared" si="48"/>
        <v>#DIV/0!</v>
      </c>
      <c r="BE85" s="155" t="e">
        <f t="shared" si="48"/>
        <v>#DIV/0!</v>
      </c>
      <c r="BF85" s="155" t="e">
        <f t="shared" si="48"/>
        <v>#DIV/0!</v>
      </c>
      <c r="BG85" s="155" t="e">
        <f t="shared" si="48"/>
        <v>#DIV/0!</v>
      </c>
      <c r="BH85" s="155" t="e">
        <f t="shared" si="48"/>
        <v>#DIV/0!</v>
      </c>
      <c r="BI85" s="155" t="e">
        <f t="shared" si="48"/>
        <v>#DIV/0!</v>
      </c>
      <c r="BJ85" s="155" t="e">
        <f t="shared" si="48"/>
        <v>#DIV/0!</v>
      </c>
      <c r="BK85" s="155" t="e">
        <f t="shared" si="48"/>
        <v>#DIV/0!</v>
      </c>
      <c r="BL85" s="155" t="e">
        <f t="shared" si="48"/>
        <v>#DIV/0!</v>
      </c>
      <c r="BM85" s="155" t="e">
        <f t="shared" si="48"/>
        <v>#DIV/0!</v>
      </c>
      <c r="BN85" s="155" t="e">
        <f t="shared" si="48"/>
        <v>#DIV/0!</v>
      </c>
      <c r="BO85" s="155" t="e">
        <f t="shared" si="48"/>
        <v>#DIV/0!</v>
      </c>
      <c r="BP85" s="155" t="e">
        <f t="shared" si="48"/>
        <v>#DIV/0!</v>
      </c>
      <c r="BQ85" s="155" t="e">
        <f t="shared" si="48"/>
        <v>#DIV/0!</v>
      </c>
      <c r="BR85" s="155" t="e">
        <f t="shared" ref="BR85:CK85" si="49">BR81/BR84</f>
        <v>#DIV/0!</v>
      </c>
      <c r="BS85" s="155" t="e">
        <f t="shared" si="49"/>
        <v>#DIV/0!</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584</v>
      </c>
      <c r="E86" s="76">
        <f>资产资本表!E53</f>
        <v>8989773.8000000007</v>
      </c>
      <c r="F86" s="76">
        <f>资产资本表!F53</f>
        <v>25669698.649999999</v>
      </c>
      <c r="G86" s="76">
        <f>资产资本表!G53</f>
        <v>21599109.84</v>
      </c>
      <c r="H86" s="76">
        <f>资产资本表!H53</f>
        <v>20240701.100000001</v>
      </c>
      <c r="I86" s="76">
        <f>资产资本表!I53</f>
        <v>7884796.1200000001</v>
      </c>
      <c r="J86" s="76">
        <f>资产资本表!J53</f>
        <v>15397381.529999999</v>
      </c>
      <c r="K86" s="76">
        <f>资产资本表!K53</f>
        <v>13701536.6</v>
      </c>
      <c r="L86" s="76">
        <f>资产资本表!L53</f>
        <v>12874743.26</v>
      </c>
      <c r="M86" s="76">
        <f>资产资本表!M53</f>
        <v>11604165.609999999</v>
      </c>
      <c r="N86" s="76">
        <f>资产资本表!N53</f>
        <v>20430685.149999999</v>
      </c>
      <c r="O86" s="76">
        <f>资产资本表!O53</f>
        <v>12776418.76</v>
      </c>
      <c r="P86" s="76">
        <f>资产资本表!P53</f>
        <v>21241440.440000001</v>
      </c>
      <c r="Q86" s="76">
        <f>资产资本表!Q53</f>
        <v>9578658.2200000007</v>
      </c>
      <c r="R86" s="76">
        <f>资产资本表!R53</f>
        <v>15817383.17</v>
      </c>
      <c r="S86" s="76">
        <f>资产资本表!S53</f>
        <v>6650276.6200000001</v>
      </c>
      <c r="T86" s="76">
        <f>资产资本表!T53</f>
        <v>2547847.0499999998</v>
      </c>
      <c r="U86" s="76">
        <f>资产资本表!U53</f>
        <v>2050000</v>
      </c>
      <c r="V86" s="76">
        <f>资产资本表!V53</f>
        <v>82286664.459999993</v>
      </c>
      <c r="W86" s="76">
        <f>资产资本表!W53</f>
        <v>49111965.100000001</v>
      </c>
      <c r="X86" s="76">
        <f>资产资本表!X53</f>
        <v>38208937.420000002</v>
      </c>
      <c r="Y86" s="76">
        <f>资产资本表!Y53</f>
        <v>29105269.140000001</v>
      </c>
      <c r="Z86" s="76">
        <f>资产资本表!Z53</f>
        <v>17622460.850000001</v>
      </c>
      <c r="AA86" s="76">
        <f>资产资本表!AA53</f>
        <v>49511361.219999999</v>
      </c>
      <c r="AB86" s="76">
        <f>资产资本表!AB53</f>
        <v>42077971.189999998</v>
      </c>
      <c r="AC86" s="76">
        <f>资产资本表!AC53</f>
        <v>23413300.07</v>
      </c>
      <c r="AD86" s="76">
        <f>资产资本表!AD53</f>
        <v>70618503.939999998</v>
      </c>
      <c r="AE86" s="76">
        <f>资产资本表!AE53</f>
        <v>64998837.409999996</v>
      </c>
      <c r="AF86" s="76">
        <f>资产资本表!AF53</f>
        <v>59754084.57</v>
      </c>
      <c r="AG86" s="76">
        <f>资产资本表!AG53</f>
        <v>46221172.68</v>
      </c>
      <c r="AH86" s="76">
        <f>资产资本表!AH53</f>
        <v>10074928</v>
      </c>
      <c r="AI86" s="76">
        <f>资产资本表!AI53</f>
        <v>3126577.64</v>
      </c>
      <c r="AJ86" s="76">
        <f>资产资本表!AJ53</f>
        <v>1725129.21</v>
      </c>
      <c r="AK86" s="76">
        <f>资产资本表!AK53</f>
        <v>24062856.719999999</v>
      </c>
      <c r="AL86" s="76">
        <f>资产资本表!AL53</f>
        <v>0</v>
      </c>
      <c r="AM86" s="76">
        <f>资产资本表!AM53</f>
        <v>0</v>
      </c>
      <c r="AN86" s="76">
        <f>资产资本表!AN53</f>
        <v>799996.06</v>
      </c>
      <c r="AO86" s="76">
        <f>资产资本表!AO53</f>
        <v>0</v>
      </c>
      <c r="AP86" s="76">
        <f>资产资本表!AP53</f>
        <v>442457.92</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585</v>
      </c>
      <c r="E87" s="54">
        <f>E81/E86</f>
        <v>518.57265479916748</v>
      </c>
      <c r="F87" s="54">
        <f t="shared" ref="F87:BQ87" si="50">F81/F86</f>
        <v>123.98548392464282</v>
      </c>
      <c r="G87" s="54">
        <f t="shared" si="50"/>
        <v>91.736923664813403</v>
      </c>
      <c r="H87" s="54">
        <f t="shared" si="50"/>
        <v>52.259418050494304</v>
      </c>
      <c r="I87" s="54">
        <f t="shared" si="50"/>
        <v>399.78414079145523</v>
      </c>
      <c r="J87" s="54">
        <f t="shared" si="50"/>
        <v>139.97602685110579</v>
      </c>
      <c r="K87" s="54">
        <f t="shared" si="50"/>
        <v>98.024283688736062</v>
      </c>
      <c r="L87" s="54">
        <f t="shared" si="50"/>
        <v>59.251378031751138</v>
      </c>
      <c r="M87" s="54">
        <f t="shared" si="50"/>
        <v>251.25752164958979</v>
      </c>
      <c r="N87" s="54">
        <f t="shared" si="50"/>
        <v>100.14811402543688</v>
      </c>
      <c r="O87" s="54">
        <f t="shared" si="50"/>
        <v>97.834621448334545</v>
      </c>
      <c r="P87" s="54">
        <f t="shared" si="50"/>
        <v>33.208432222499496</v>
      </c>
      <c r="Q87" s="54">
        <f t="shared" si="50"/>
        <v>288.28678402411981</v>
      </c>
      <c r="R87" s="54">
        <f t="shared" si="50"/>
        <v>118.85619085688496</v>
      </c>
      <c r="S87" s="54">
        <f t="shared" si="50"/>
        <v>167.25317036210743</v>
      </c>
      <c r="T87" s="54">
        <f t="shared" si="50"/>
        <v>257.9858857540134</v>
      </c>
      <c r="U87" s="54">
        <f t="shared" si="50"/>
        <v>1231.3216665365853</v>
      </c>
      <c r="V87" s="54">
        <f t="shared" si="50"/>
        <v>20.93470397742745</v>
      </c>
      <c r="W87" s="54">
        <f t="shared" si="50"/>
        <v>21.951337674940643</v>
      </c>
      <c r="X87" s="54">
        <f t="shared" si="50"/>
        <v>16.104901604458174</v>
      </c>
      <c r="Y87" s="54">
        <f t="shared" si="50"/>
        <v>93.624073637753682</v>
      </c>
      <c r="Z87" s="54">
        <f t="shared" si="50"/>
        <v>104.85038402908411</v>
      </c>
      <c r="AA87" s="54">
        <f t="shared" si="50"/>
        <v>20.934389342567947</v>
      </c>
      <c r="AB87" s="54">
        <f t="shared" si="50"/>
        <v>14.599570452816787</v>
      </c>
      <c r="AC87" s="54">
        <f t="shared" si="50"/>
        <v>101.75561673737178</v>
      </c>
      <c r="AD87" s="54">
        <f t="shared" si="50"/>
        <v>23.136949891889767</v>
      </c>
      <c r="AE87" s="54">
        <f t="shared" si="50"/>
        <v>15.434832190177785</v>
      </c>
      <c r="AF87" s="54">
        <f t="shared" si="50"/>
        <v>9.7591630354048622</v>
      </c>
      <c r="AG87" s="54">
        <f t="shared" si="50"/>
        <v>39.350248266786295</v>
      </c>
      <c r="AH87" s="54">
        <f t="shared" si="50"/>
        <v>113.71488157731748</v>
      </c>
      <c r="AI87" s="54">
        <f t="shared" si="50"/>
        <v>211.6785228144854</v>
      </c>
      <c r="AJ87" s="54">
        <f t="shared" si="50"/>
        <v>208.29502802865414</v>
      </c>
      <c r="AK87" s="54">
        <f t="shared" si="50"/>
        <v>47.596458045568248</v>
      </c>
      <c r="AL87" s="54" t="e">
        <f t="shared" si="50"/>
        <v>#DIV/0!</v>
      </c>
      <c r="AM87" s="54" t="e">
        <f t="shared" si="50"/>
        <v>#DIV/0!</v>
      </c>
      <c r="AN87" s="54">
        <f t="shared" si="50"/>
        <v>318.99159894612478</v>
      </c>
      <c r="AO87" s="54" t="e">
        <f t="shared" si="50"/>
        <v>#DIV/0!</v>
      </c>
      <c r="AP87" s="54">
        <f t="shared" si="50"/>
        <v>1430.3630401055993</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586</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587</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588</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589</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590</v>
      </c>
      <c r="E92" s="76">
        <f>资产资本表!E58</f>
        <v>306530006.25</v>
      </c>
      <c r="F92" s="76">
        <f>资产资本表!F58</f>
        <v>323481827.06</v>
      </c>
      <c r="G92" s="76">
        <f>资产资本表!G58</f>
        <v>332029194.92000002</v>
      </c>
      <c r="H92" s="76">
        <f>资产资本表!H58</f>
        <v>331416349.85000002</v>
      </c>
      <c r="I92" s="76">
        <f>资产资本表!I58</f>
        <v>118170720.79000001</v>
      </c>
      <c r="J92" s="76">
        <f>资产资本表!J58</f>
        <v>111435999.70999999</v>
      </c>
      <c r="K92" s="76">
        <f>资产资本表!K58</f>
        <v>113087078.09</v>
      </c>
      <c r="L92" s="76">
        <f>资产资本表!L58</f>
        <v>114290815.06999999</v>
      </c>
      <c r="M92" s="76">
        <f>资产资本表!M58</f>
        <v>115277269.56999999</v>
      </c>
      <c r="N92" s="76">
        <f>资产资本表!N58</f>
        <v>101655338.19</v>
      </c>
      <c r="O92" s="76">
        <f>资产资本表!O58</f>
        <v>102732342.14</v>
      </c>
      <c r="P92" s="76">
        <f>资产资本表!P58</f>
        <v>103485214.91</v>
      </c>
      <c r="Q92" s="76">
        <f>资产资本表!Q58</f>
        <v>104149223.65000001</v>
      </c>
      <c r="R92" s="76">
        <f>资产资本表!R58</f>
        <v>104006611.81999999</v>
      </c>
      <c r="S92" s="76">
        <f>资产资本表!S58</f>
        <v>104953963.73999999</v>
      </c>
      <c r="T92" s="76">
        <f>资产资本表!T58</f>
        <v>105966556.81999999</v>
      </c>
      <c r="U92" s="76">
        <f>资产资本表!U58</f>
        <v>107131650.09</v>
      </c>
      <c r="V92" s="76">
        <f>资产资本表!V58</f>
        <v>105477980.48999999</v>
      </c>
      <c r="W92" s="76">
        <f>资产资本表!W58</f>
        <v>76697891.120000005</v>
      </c>
      <c r="X92" s="76">
        <f>资产资本表!X58</f>
        <v>77512018.849999994</v>
      </c>
      <c r="Y92" s="76">
        <f>资产资本表!Y58</f>
        <v>78511748.140000001</v>
      </c>
      <c r="Z92" s="76">
        <f>资产资本表!Z58</f>
        <v>75008661.75</v>
      </c>
      <c r="AA92" s="76">
        <f>资产资本表!AA58</f>
        <v>75533792.769999996</v>
      </c>
      <c r="AB92" s="76">
        <f>资产资本表!AB58</f>
        <v>76417045.849999994</v>
      </c>
      <c r="AC92" s="76">
        <f>资产资本表!AC58</f>
        <v>77223131.420000002</v>
      </c>
      <c r="AD92" s="76">
        <f>资产资本表!AD58</f>
        <v>49561700.560000002</v>
      </c>
      <c r="AE92" s="76">
        <f>资产资本表!AE58</f>
        <v>48784322.049999997</v>
      </c>
      <c r="AF92" s="76">
        <f>资产资本表!AF58</f>
        <v>37756780.240000002</v>
      </c>
      <c r="AG92" s="76">
        <f>资产资本表!AG58</f>
        <v>37874398.460000001</v>
      </c>
      <c r="AH92" s="76">
        <f>资产资本表!AH58</f>
        <v>35041483.909999996</v>
      </c>
      <c r="AI92" s="76">
        <f>资产资本表!AI58</f>
        <v>35254621.369999997</v>
      </c>
      <c r="AJ92" s="76">
        <f>资产资本表!AJ58</f>
        <v>35448231.049999997</v>
      </c>
      <c r="AK92" s="76">
        <f>资产资本表!AK58</f>
        <v>12441501.48</v>
      </c>
      <c r="AL92" s="76">
        <f>资产资本表!AL58</f>
        <v>12567010.58</v>
      </c>
      <c r="AM92" s="76">
        <f>资产资本表!AM58</f>
        <v>12702441.859999999</v>
      </c>
      <c r="AN92" s="76">
        <f>资产资本表!AN58</f>
        <v>12773722.76</v>
      </c>
      <c r="AO92" s="76">
        <f>资产资本表!AO58</f>
        <v>13253983.52</v>
      </c>
      <c r="AP92" s="76">
        <f>资产资本表!AP58</f>
        <v>13373966.359999999</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689</v>
      </c>
      <c r="E93" s="155">
        <f>E81/E92</f>
        <v>15.208464980449202</v>
      </c>
      <c r="F93" s="155">
        <f t="shared" ref="F93:BQ93" si="52">F81/F92</f>
        <v>9.8387907544793016</v>
      </c>
      <c r="G93" s="155">
        <f t="shared" si="52"/>
        <v>5.9676556186494754</v>
      </c>
      <c r="H93" s="155">
        <f t="shared" si="52"/>
        <v>3.1916568416094995</v>
      </c>
      <c r="I93" s="155">
        <f t="shared" si="52"/>
        <v>26.675105483631366</v>
      </c>
      <c r="J93" s="155">
        <f t="shared" si="52"/>
        <v>19.340826089314401</v>
      </c>
      <c r="K93" s="155">
        <f t="shared" si="52"/>
        <v>11.8765409216879</v>
      </c>
      <c r="L93" s="155">
        <f t="shared" si="52"/>
        <v>6.6746070495059255</v>
      </c>
      <c r="M93" s="155">
        <f t="shared" si="52"/>
        <v>25.292357312553584</v>
      </c>
      <c r="N93" s="155">
        <f t="shared" si="52"/>
        <v>20.127763307380128</v>
      </c>
      <c r="O93" s="155">
        <f t="shared" si="52"/>
        <v>12.167308432884521</v>
      </c>
      <c r="P93" s="155">
        <f t="shared" si="52"/>
        <v>6.816383729535417</v>
      </c>
      <c r="Q93" s="155">
        <f t="shared" si="52"/>
        <v>26.513885334276324</v>
      </c>
      <c r="R93" s="155">
        <f t="shared" si="52"/>
        <v>18.075715380130148</v>
      </c>
      <c r="S93" s="155">
        <f t="shared" si="52"/>
        <v>10.597787914284256</v>
      </c>
      <c r="T93" s="155">
        <f t="shared" si="52"/>
        <v>6.2029813715334425</v>
      </c>
      <c r="U93" s="155">
        <f t="shared" si="52"/>
        <v>23.561752425911877</v>
      </c>
      <c r="V93" s="155">
        <f t="shared" si="52"/>
        <v>16.331815927432533</v>
      </c>
      <c r="W93" s="155">
        <f t="shared" si="52"/>
        <v>14.056101335345293</v>
      </c>
      <c r="X93" s="155">
        <f t="shared" si="52"/>
        <v>7.9387840323294583</v>
      </c>
      <c r="Y93" s="155">
        <f t="shared" si="52"/>
        <v>34.707593777569912</v>
      </c>
      <c r="Z93" s="155">
        <f t="shared" si="52"/>
        <v>24.633445585502663</v>
      </c>
      <c r="AA93" s="155">
        <f t="shared" si="52"/>
        <v>13.722203991743232</v>
      </c>
      <c r="AB93" s="155">
        <f t="shared" si="52"/>
        <v>8.0390480692731465</v>
      </c>
      <c r="AC93" s="155">
        <f t="shared" si="52"/>
        <v>30.851310283216172</v>
      </c>
      <c r="AD93" s="155">
        <f t="shared" si="52"/>
        <v>32.966923423500866</v>
      </c>
      <c r="AE93" s="155">
        <f t="shared" si="52"/>
        <v>20.564929588480364</v>
      </c>
      <c r="AF93" s="155">
        <f t="shared" si="52"/>
        <v>15.444904190538043</v>
      </c>
      <c r="AG93" s="155">
        <f t="shared" si="52"/>
        <v>48.022270823941689</v>
      </c>
      <c r="AH93" s="155">
        <f t="shared" si="52"/>
        <v>32.694655493543571</v>
      </c>
      <c r="AI93" s="155">
        <f t="shared" si="52"/>
        <v>18.772839150761243</v>
      </c>
      <c r="AJ93" s="155">
        <f t="shared" si="52"/>
        <v>10.136918726442346</v>
      </c>
      <c r="AK93" s="155">
        <f t="shared" si="52"/>
        <v>92.055348156418802</v>
      </c>
      <c r="AL93" s="155">
        <f t="shared" si="52"/>
        <v>57.604357049884811</v>
      </c>
      <c r="AM93" s="155">
        <f t="shared" si="52"/>
        <v>32.085999093878158</v>
      </c>
      <c r="AN93" s="155">
        <f t="shared" si="52"/>
        <v>19.977889541263224</v>
      </c>
      <c r="AO93" s="155">
        <f t="shared" si="52"/>
        <v>68.10667023373513</v>
      </c>
      <c r="AP93" s="155">
        <f t="shared" si="52"/>
        <v>47.321448142927743</v>
      </c>
      <c r="AQ93" s="155" t="e">
        <f t="shared" si="52"/>
        <v>#DIV/0!</v>
      </c>
      <c r="AR93" s="155" t="e">
        <f t="shared" si="52"/>
        <v>#DIV/0!</v>
      </c>
      <c r="AS93" s="155" t="e">
        <f t="shared" si="52"/>
        <v>#DIV/0!</v>
      </c>
      <c r="AT93" s="155" t="e">
        <f t="shared" si="52"/>
        <v>#DIV/0!</v>
      </c>
      <c r="AU93" s="155" t="e">
        <f t="shared" si="52"/>
        <v>#DIV/0!</v>
      </c>
      <c r="AV93" s="155" t="e">
        <f t="shared" si="52"/>
        <v>#DIV/0!</v>
      </c>
      <c r="AW93" s="155" t="e">
        <f t="shared" si="52"/>
        <v>#DIV/0!</v>
      </c>
      <c r="AX93" s="155" t="e">
        <f t="shared" si="52"/>
        <v>#DIV/0!</v>
      </c>
      <c r="AY93" s="155" t="e">
        <f t="shared" si="52"/>
        <v>#DIV/0!</v>
      </c>
      <c r="AZ93" s="155" t="e">
        <f t="shared" si="52"/>
        <v>#DIV/0!</v>
      </c>
      <c r="BA93" s="155" t="e">
        <f t="shared" si="52"/>
        <v>#DIV/0!</v>
      </c>
      <c r="BB93" s="155" t="e">
        <f t="shared" si="52"/>
        <v>#DIV/0!</v>
      </c>
      <c r="BC93" s="155" t="e">
        <f t="shared" si="52"/>
        <v>#DIV/0!</v>
      </c>
      <c r="BD93" s="155" t="e">
        <f t="shared" si="52"/>
        <v>#DIV/0!</v>
      </c>
      <c r="BE93" s="155" t="e">
        <f t="shared" si="52"/>
        <v>#DIV/0!</v>
      </c>
      <c r="BF93" s="155" t="e">
        <f t="shared" si="52"/>
        <v>#DIV/0!</v>
      </c>
      <c r="BG93" s="155" t="e">
        <f t="shared" si="52"/>
        <v>#DIV/0!</v>
      </c>
      <c r="BH93" s="155" t="e">
        <f t="shared" si="52"/>
        <v>#DIV/0!</v>
      </c>
      <c r="BI93" s="155" t="e">
        <f t="shared" si="52"/>
        <v>#DIV/0!</v>
      </c>
      <c r="BJ93" s="155" t="e">
        <f t="shared" si="52"/>
        <v>#DIV/0!</v>
      </c>
      <c r="BK93" s="155" t="e">
        <f t="shared" si="52"/>
        <v>#DIV/0!</v>
      </c>
      <c r="BL93" s="155" t="e">
        <f t="shared" si="52"/>
        <v>#DIV/0!</v>
      </c>
      <c r="BM93" s="155" t="e">
        <f t="shared" si="52"/>
        <v>#DIV/0!</v>
      </c>
      <c r="BN93" s="155" t="e">
        <f t="shared" si="52"/>
        <v>#DIV/0!</v>
      </c>
      <c r="BO93" s="155" t="e">
        <f t="shared" si="52"/>
        <v>#DIV/0!</v>
      </c>
      <c r="BP93" s="155" t="e">
        <f t="shared" si="52"/>
        <v>#DIV/0!</v>
      </c>
      <c r="BQ93" s="155" t="e">
        <f t="shared" si="52"/>
        <v>#DIV/0!</v>
      </c>
      <c r="BR93" s="155" t="e">
        <f t="shared" ref="BR93:CK93" si="53">BR81/BR92</f>
        <v>#DIV/0!</v>
      </c>
      <c r="BS93" s="155" t="e">
        <f t="shared" si="53"/>
        <v>#DIV/0!</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591</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592</v>
      </c>
      <c r="E95" s="76">
        <f>资产资本表!E60</f>
        <v>242110082.27000001</v>
      </c>
      <c r="F95" s="76">
        <f>资产资本表!F60</f>
        <v>316329792.22000003</v>
      </c>
      <c r="G95" s="76">
        <f>资产资本表!G60</f>
        <v>319336551.69</v>
      </c>
      <c r="H95" s="76">
        <f>资产资本表!H60</f>
        <v>321700134.58999997</v>
      </c>
      <c r="I95" s="76">
        <f>资产资本表!I60</f>
        <v>171198432.88999999</v>
      </c>
      <c r="J95" s="76">
        <f>资产资本表!J60</f>
        <v>196618493.28999999</v>
      </c>
      <c r="K95" s="76">
        <f>资产资本表!K60</f>
        <v>196618493.28999999</v>
      </c>
      <c r="L95" s="76">
        <f>资产资本表!L60</f>
        <v>196618493.28999999</v>
      </c>
      <c r="M95" s="76">
        <f>资产资本表!M60</f>
        <v>196618493.28999999</v>
      </c>
      <c r="N95" s="76">
        <f>资产资本表!N60</f>
        <v>169278079.88999999</v>
      </c>
      <c r="O95" s="76">
        <f>资产资本表!O60</f>
        <v>167731606.88999999</v>
      </c>
      <c r="P95" s="76">
        <f>资产资本表!P60</f>
        <v>167731606.88999999</v>
      </c>
      <c r="Q95" s="76">
        <f>资产资本表!Q60</f>
        <v>167731606.88999999</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21180.67</v>
      </c>
      <c r="AI95" s="76">
        <f>资产资本表!AI60</f>
        <v>21180.67</v>
      </c>
      <c r="AJ95" s="76">
        <f>资产资本表!AJ60</f>
        <v>21180.67</v>
      </c>
      <c r="AK95" s="76">
        <f>资产资本表!AK60</f>
        <v>21180.67</v>
      </c>
      <c r="AL95" s="76">
        <f>资产资本表!AL60</f>
        <v>21180.67</v>
      </c>
      <c r="AM95" s="76">
        <f>资产资本表!AM60</f>
        <v>21180.67</v>
      </c>
      <c r="AN95" s="76">
        <f>资产资本表!AN60</f>
        <v>21180.67</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593</v>
      </c>
      <c r="E96" s="76">
        <f>资产资本表!E61</f>
        <v>45947172.509999998</v>
      </c>
      <c r="F96" s="76">
        <f>资产资本表!F61</f>
        <v>29544182.129999999</v>
      </c>
      <c r="G96" s="76">
        <f>资产资本表!G61</f>
        <v>33023768.449999999</v>
      </c>
      <c r="H96" s="76">
        <f>资产资本表!H61</f>
        <v>41923633.200000003</v>
      </c>
      <c r="I96" s="76">
        <f>资产资本表!I61</f>
        <v>43253422.079999998</v>
      </c>
      <c r="J96" s="76">
        <f>资产资本表!J61</f>
        <v>48680532.130000003</v>
      </c>
      <c r="K96" s="76">
        <f>资产资本表!K61</f>
        <v>51199288.490000002</v>
      </c>
      <c r="L96" s="76">
        <f>资产资本表!L61</f>
        <v>50568500.950000003</v>
      </c>
      <c r="M96" s="76">
        <f>资产资本表!M61</f>
        <v>50655055.060000002</v>
      </c>
      <c r="N96" s="76">
        <f>资产资本表!N61</f>
        <v>53577405.07</v>
      </c>
      <c r="O96" s="76">
        <f>资产资本表!O61</f>
        <v>55914826.670000002</v>
      </c>
      <c r="P96" s="76">
        <f>资产资本表!P61</f>
        <v>59083791.030000001</v>
      </c>
      <c r="Q96" s="76">
        <f>资产资本表!Q61</f>
        <v>60762776.060000002</v>
      </c>
      <c r="R96" s="76">
        <f>资产资本表!R61</f>
        <v>63982086.710000001</v>
      </c>
      <c r="S96" s="76">
        <f>资产资本表!S61</f>
        <v>67359719.879999995</v>
      </c>
      <c r="T96" s="76">
        <f>资产资本表!T61</f>
        <v>69801468.840000004</v>
      </c>
      <c r="U96" s="76">
        <f>资产资本表!U61</f>
        <v>70760454.409999996</v>
      </c>
      <c r="V96" s="76">
        <f>资产资本表!V61</f>
        <v>56419955.990000002</v>
      </c>
      <c r="W96" s="76">
        <f>资产资本表!W61</f>
        <v>39435138.039999999</v>
      </c>
      <c r="X96" s="76">
        <f>资产资本表!X61</f>
        <v>29161215.899999999</v>
      </c>
      <c r="Y96" s="76">
        <f>资产资本表!Y61</f>
        <v>17715115.059999999</v>
      </c>
      <c r="Z96" s="76">
        <f>资产资本表!Z61</f>
        <v>17778744.809999999</v>
      </c>
      <c r="AA96" s="76">
        <f>资产资本表!AA61</f>
        <v>15884098.449999999</v>
      </c>
      <c r="AB96" s="76">
        <f>资产资本表!AB61</f>
        <v>14905670.91</v>
      </c>
      <c r="AC96" s="76">
        <f>资产资本表!AC61</f>
        <v>12321576.76</v>
      </c>
      <c r="AD96" s="76">
        <f>资产资本表!AD61</f>
        <v>10256905.619999999</v>
      </c>
      <c r="AE96" s="76">
        <f>资产资本表!AE61</f>
        <v>7566624.9100000001</v>
      </c>
      <c r="AF96" s="76">
        <f>资产资本表!AF61</f>
        <v>7658282.04</v>
      </c>
      <c r="AG96" s="76">
        <f>资产资本表!AG61</f>
        <v>6663584</v>
      </c>
      <c r="AH96" s="76">
        <f>资产资本表!AH61</f>
        <v>5604783.4100000001</v>
      </c>
      <c r="AI96" s="76">
        <f>资产资本表!AI61</f>
        <v>5014467.38</v>
      </c>
      <c r="AJ96" s="76">
        <f>资产资本表!AJ61</f>
        <v>5238906.71</v>
      </c>
      <c r="AK96" s="76">
        <f>资产资本表!AK61</f>
        <v>4722656.8099999996</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594</v>
      </c>
      <c r="E97" s="76">
        <f>资产资本表!E62</f>
        <v>131652044.88</v>
      </c>
      <c r="F97" s="76">
        <f>资产资本表!F62</f>
        <v>128957242.54000001</v>
      </c>
      <c r="G97" s="76">
        <f>资产资本表!G62</f>
        <v>132821350.84</v>
      </c>
      <c r="H97" s="76">
        <f>资产资本表!H62</f>
        <v>124728664.06999999</v>
      </c>
      <c r="I97" s="76">
        <f>资产资本表!I62</f>
        <v>96568754.730000004</v>
      </c>
      <c r="J97" s="76">
        <f>资产资本表!J62</f>
        <v>97988507.489999995</v>
      </c>
      <c r="K97" s="76">
        <f>资产资本表!K62</f>
        <v>98726880.129999995</v>
      </c>
      <c r="L97" s="76">
        <f>资产资本表!L62</f>
        <v>106206337.41</v>
      </c>
      <c r="M97" s="76">
        <f>资产资本表!M62</f>
        <v>105045408.40000001</v>
      </c>
      <c r="N97" s="76">
        <f>资产资本表!N62</f>
        <v>94036413.329999998</v>
      </c>
      <c r="O97" s="76">
        <f>资产资本表!O62</f>
        <v>87281212.469999999</v>
      </c>
      <c r="P97" s="76">
        <f>资产资本表!P62</f>
        <v>82842026.349999994</v>
      </c>
      <c r="Q97" s="76">
        <f>资产资本表!Q62</f>
        <v>85776389.219999999</v>
      </c>
      <c r="R97" s="76">
        <f>资产资本表!R62</f>
        <v>82492392.150000006</v>
      </c>
      <c r="S97" s="76">
        <f>资产资本表!S62</f>
        <v>66264750.82</v>
      </c>
      <c r="T97" s="76">
        <f>资产资本表!T62</f>
        <v>56403144.689999998</v>
      </c>
      <c r="U97" s="76">
        <f>资产资本表!U62</f>
        <v>58415483.549999997</v>
      </c>
      <c r="V97" s="76">
        <f>资产资本表!V62</f>
        <v>67799202.469999999</v>
      </c>
      <c r="W97" s="76">
        <f>资产资本表!W62</f>
        <v>62611670.850000001</v>
      </c>
      <c r="X97" s="76">
        <f>资产资本表!X62</f>
        <v>51492596.219999999</v>
      </c>
      <c r="Y97" s="76">
        <f>资产资本表!Y62</f>
        <v>54394134.75</v>
      </c>
      <c r="Z97" s="76">
        <f>资产资本表!Z62</f>
        <v>53462105.979999997</v>
      </c>
      <c r="AA97" s="76">
        <f>资产资本表!AA62</f>
        <v>48277776.359999999</v>
      </c>
      <c r="AB97" s="76">
        <f>资产资本表!AB62</f>
        <v>42246032.509999998</v>
      </c>
      <c r="AC97" s="76">
        <f>资产资本表!AC62</f>
        <v>43324488.460000001</v>
      </c>
      <c r="AD97" s="76">
        <f>资产资本表!AD62</f>
        <v>57206608.259999998</v>
      </c>
      <c r="AE97" s="76">
        <f>资产资本表!AE62</f>
        <v>48133149.729999997</v>
      </c>
      <c r="AF97" s="76">
        <f>资产资本表!AF62</f>
        <v>44207607.390000001</v>
      </c>
      <c r="AG97" s="76">
        <f>资产资本表!AG62</f>
        <v>39821139.329999998</v>
      </c>
      <c r="AH97" s="76">
        <f>资产资本表!AH62</f>
        <v>6938403.5800000001</v>
      </c>
      <c r="AI97" s="76">
        <f>资产资本表!AI62</f>
        <v>6785539.7000000002</v>
      </c>
      <c r="AJ97" s="76">
        <f>资产资本表!AJ62</f>
        <v>8018973.6100000003</v>
      </c>
      <c r="AK97" s="76">
        <f>资产资本表!AK62</f>
        <v>7742787.0199999996</v>
      </c>
      <c r="AL97" s="76">
        <f>资产资本表!AL62</f>
        <v>4851029.58</v>
      </c>
      <c r="AM97" s="76">
        <f>资产资本表!AM62</f>
        <v>4560809.71</v>
      </c>
      <c r="AN97" s="76">
        <f>资产资本表!AN62</f>
        <v>6155362.0300000003</v>
      </c>
      <c r="AO97" s="76">
        <f>资产资本表!AO62</f>
        <v>3866563.8</v>
      </c>
      <c r="AP97" s="76">
        <f>资产资本表!AP62</f>
        <v>2783130.85</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595</v>
      </c>
      <c r="E98" s="76">
        <f>资产资本表!E63</f>
        <v>53232849.850000001</v>
      </c>
      <c r="F98" s="76">
        <f>资产资本表!F63</f>
        <v>81163867.950000003</v>
      </c>
      <c r="G98" s="76">
        <f>资产资本表!G63</f>
        <v>86052130.519999996</v>
      </c>
      <c r="H98" s="76">
        <f>资产资本表!H63</f>
        <v>88037017.060000002</v>
      </c>
      <c r="I98" s="76">
        <f>资产资本表!I63</f>
        <v>1125000</v>
      </c>
      <c r="J98" s="76">
        <f>资产资本表!J63</f>
        <v>1250000</v>
      </c>
      <c r="K98" s="76">
        <f>资产资本表!K63</f>
        <v>1250000</v>
      </c>
      <c r="L98" s="76">
        <f>资产资本表!L63</f>
        <v>1250000</v>
      </c>
      <c r="M98" s="76">
        <f>资产资本表!M63</f>
        <v>1250000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596</v>
      </c>
      <c r="E99" s="93">
        <f>资产资本表!E64</f>
        <v>19932301.280000001</v>
      </c>
      <c r="F99" s="93">
        <f>资产资本表!F64</f>
        <v>11551859.84</v>
      </c>
      <c r="G99" s="93">
        <f>资产资本表!G64</f>
        <v>11592919.029999999</v>
      </c>
      <c r="H99" s="93">
        <f>资产资本表!H64</f>
        <v>15785000</v>
      </c>
      <c r="I99" s="93">
        <f>资产资本表!I64</f>
        <v>15785000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686</v>
      </c>
      <c r="E100" s="197">
        <f>(E84+I84)/2</f>
        <v>383936276.625</v>
      </c>
      <c r="F100" s="197">
        <f t="shared" ref="F100:BQ100" si="54">(F84+J84)/2</f>
        <v>386775657.38</v>
      </c>
      <c r="G100" s="197">
        <f t="shared" si="54"/>
        <v>386162376.685</v>
      </c>
      <c r="H100" s="197">
        <f t="shared" si="54"/>
        <v>392950794.60000002</v>
      </c>
      <c r="I100" s="197">
        <f t="shared" si="54"/>
        <v>389956233.05999994</v>
      </c>
      <c r="J100" s="197">
        <f t="shared" si="54"/>
        <v>391207222.89999998</v>
      </c>
      <c r="K100" s="197">
        <f t="shared" si="54"/>
        <v>388533825.38999999</v>
      </c>
      <c r="L100" s="197">
        <f t="shared" si="54"/>
        <v>389847827.90499997</v>
      </c>
      <c r="M100" s="197">
        <f t="shared" si="54"/>
        <v>395315675.82999998</v>
      </c>
      <c r="N100" s="197">
        <f t="shared" si="54"/>
        <v>391422772.57999998</v>
      </c>
      <c r="O100" s="197">
        <f t="shared" si="54"/>
        <v>396607480.20500004</v>
      </c>
      <c r="P100" s="197">
        <f t="shared" si="54"/>
        <v>397167108.22500002</v>
      </c>
      <c r="Q100" s="197">
        <f t="shared" si="54"/>
        <v>402715964.81</v>
      </c>
      <c r="R100" s="197">
        <f t="shared" si="54"/>
        <v>359104417.88999999</v>
      </c>
      <c r="S100" s="197">
        <f t="shared" si="54"/>
        <v>362829965.25999999</v>
      </c>
      <c r="T100" s="197">
        <f t="shared" si="54"/>
        <v>366026458.64499998</v>
      </c>
      <c r="U100" s="197">
        <f t="shared" si="54"/>
        <v>371376720.15999997</v>
      </c>
      <c r="V100" s="197">
        <f t="shared" si="54"/>
        <v>329340979.04499996</v>
      </c>
      <c r="W100" s="197">
        <f t="shared" si="54"/>
        <v>288483529.125</v>
      </c>
      <c r="X100" s="197">
        <f t="shared" si="54"/>
        <v>288789520.30000001</v>
      </c>
      <c r="Y100" s="197">
        <f t="shared" si="54"/>
        <v>292395857.23000002</v>
      </c>
      <c r="Z100" s="197">
        <f t="shared" si="54"/>
        <v>229214138.15000001</v>
      </c>
      <c r="AA100" s="197">
        <f t="shared" si="54"/>
        <v>167524810.58500001</v>
      </c>
      <c r="AB100" s="197">
        <f t="shared" si="54"/>
        <v>166759664.72499999</v>
      </c>
      <c r="AC100" s="197">
        <f t="shared" si="54"/>
        <v>167101122.785</v>
      </c>
      <c r="AD100" s="197">
        <f t="shared" si="54"/>
        <v>101728464.24000001</v>
      </c>
      <c r="AE100" s="197">
        <f t="shared" si="54"/>
        <v>81862367.704999998</v>
      </c>
      <c r="AF100" s="197">
        <f t="shared" si="54"/>
        <v>81137053.795000002</v>
      </c>
      <c r="AG100" s="197">
        <f t="shared" si="54"/>
        <v>81592396.724999994</v>
      </c>
      <c r="AH100" s="197">
        <f t="shared" si="54"/>
        <v>78832985.659999996</v>
      </c>
      <c r="AI100" s="197">
        <f t="shared" si="54"/>
        <v>79236545.305000007</v>
      </c>
      <c r="AJ100" s="197">
        <f t="shared" si="54"/>
        <v>79945571.890000001</v>
      </c>
      <c r="AK100" s="197">
        <f t="shared" si="54"/>
        <v>69857702.63499999</v>
      </c>
      <c r="AL100" s="197">
        <f t="shared" si="54"/>
        <v>63658908.415000007</v>
      </c>
      <c r="AM100" s="197">
        <f t="shared" si="54"/>
        <v>40484448.015000001</v>
      </c>
      <c r="AN100" s="197">
        <f t="shared" si="54"/>
        <v>41111131.744999997</v>
      </c>
      <c r="AO100" s="197">
        <f t="shared" si="54"/>
        <v>30383007.225000001</v>
      </c>
      <c r="AP100" s="197">
        <f t="shared" si="54"/>
        <v>23798435.815000001</v>
      </c>
      <c r="AQ100" s="197">
        <f t="shared" si="54"/>
        <v>0</v>
      </c>
      <c r="AR100" s="197">
        <f t="shared" si="54"/>
        <v>0</v>
      </c>
      <c r="AS100" s="197">
        <f t="shared" si="54"/>
        <v>0</v>
      </c>
      <c r="AT100" s="197">
        <f t="shared" si="54"/>
        <v>0</v>
      </c>
      <c r="AU100" s="197">
        <f t="shared" si="54"/>
        <v>0</v>
      </c>
      <c r="AV100" s="197">
        <f t="shared" si="54"/>
        <v>0</v>
      </c>
      <c r="AW100" s="197">
        <f t="shared" si="54"/>
        <v>0</v>
      </c>
      <c r="AX100" s="197">
        <f t="shared" si="54"/>
        <v>0</v>
      </c>
      <c r="AY100" s="197">
        <f t="shared" si="54"/>
        <v>0</v>
      </c>
      <c r="AZ100" s="197">
        <f t="shared" si="54"/>
        <v>0</v>
      </c>
      <c r="BA100" s="197">
        <f t="shared" si="54"/>
        <v>0</v>
      </c>
      <c r="BB100" s="197">
        <f t="shared" si="54"/>
        <v>0</v>
      </c>
      <c r="BC100" s="197">
        <f t="shared" si="54"/>
        <v>0</v>
      </c>
      <c r="BD100" s="197">
        <f t="shared" si="54"/>
        <v>0</v>
      </c>
      <c r="BE100" s="197">
        <f t="shared" si="54"/>
        <v>0</v>
      </c>
      <c r="BF100" s="197">
        <f t="shared" si="54"/>
        <v>0</v>
      </c>
      <c r="BG100" s="197">
        <f t="shared" si="54"/>
        <v>0</v>
      </c>
      <c r="BH100" s="197">
        <f t="shared" si="54"/>
        <v>0</v>
      </c>
      <c r="BI100" s="197">
        <f t="shared" si="54"/>
        <v>0</v>
      </c>
      <c r="BJ100" s="197">
        <f t="shared" si="54"/>
        <v>0</v>
      </c>
      <c r="BK100" s="197">
        <f t="shared" si="54"/>
        <v>0</v>
      </c>
      <c r="BL100" s="197">
        <f t="shared" si="54"/>
        <v>0</v>
      </c>
      <c r="BM100" s="197">
        <f t="shared" si="54"/>
        <v>0</v>
      </c>
      <c r="BN100" s="197">
        <f t="shared" si="54"/>
        <v>0</v>
      </c>
      <c r="BO100" s="197">
        <f t="shared" si="54"/>
        <v>0</v>
      </c>
      <c r="BP100" s="197">
        <f t="shared" si="54"/>
        <v>0</v>
      </c>
      <c r="BQ100" s="197">
        <f t="shared" si="54"/>
        <v>0</v>
      </c>
      <c r="BR100" s="197">
        <f t="shared" ref="BR100:CK100" si="55">(BR84+BV84)/2</f>
        <v>0</v>
      </c>
      <c r="BS100" s="197">
        <f t="shared" si="55"/>
        <v>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687</v>
      </c>
      <c r="E101" s="252">
        <f>E100/E84</f>
        <v>1.0074738592457992</v>
      </c>
      <c r="F101" s="252">
        <f t="shared" ref="F101:BQ101" si="56">F100/F84</f>
        <v>1.0137246589729494</v>
      </c>
      <c r="G101" s="252">
        <f t="shared" si="56"/>
        <v>0.98775359418565223</v>
      </c>
      <c r="H101" s="252">
        <f t="shared" si="56"/>
        <v>0.9894212427709479</v>
      </c>
      <c r="I101" s="252">
        <f t="shared" si="56"/>
        <v>1.0082003233912216</v>
      </c>
      <c r="J101" s="252">
        <f t="shared" si="56"/>
        <v>0.99794667240456969</v>
      </c>
      <c r="K101" s="252">
        <f t="shared" si="56"/>
        <v>1.0187720461802581</v>
      </c>
      <c r="L101" s="252">
        <f t="shared" si="56"/>
        <v>1.002825495431185</v>
      </c>
      <c r="M101" s="252">
        <f t="shared" si="56"/>
        <v>1.0055648161437845</v>
      </c>
      <c r="N101" s="252">
        <f t="shared" si="56"/>
        <v>1.0026139166365364</v>
      </c>
      <c r="O101" s="252">
        <f t="shared" si="56"/>
        <v>1.0023110653637384</v>
      </c>
      <c r="P101" s="252">
        <f t="shared" si="56"/>
        <v>1.0159123429682571</v>
      </c>
      <c r="Q101" s="252">
        <f t="shared" si="56"/>
        <v>1.0131133582851906</v>
      </c>
      <c r="R101" s="252">
        <f t="shared" si="56"/>
        <v>0.91504801368980537</v>
      </c>
      <c r="S101" s="252">
        <f t="shared" si="56"/>
        <v>0.91272937979343349</v>
      </c>
      <c r="T101" s="252">
        <f t="shared" si="56"/>
        <v>0.90738068025121021</v>
      </c>
      <c r="U101" s="252">
        <f t="shared" si="56"/>
        <v>0.91039644821267529</v>
      </c>
      <c r="V101" s="252">
        <f t="shared" si="56"/>
        <v>1.0109753610232617</v>
      </c>
      <c r="W101" s="252">
        <f t="shared" si="56"/>
        <v>0.87915312626240338</v>
      </c>
      <c r="X101" s="252">
        <f t="shared" si="56"/>
        <v>0.87867456036517189</v>
      </c>
      <c r="Y101" s="252">
        <f t="shared" si="56"/>
        <v>0.87327998037485821</v>
      </c>
      <c r="Z101" s="252">
        <f t="shared" si="56"/>
        <v>0.68850364864093538</v>
      </c>
      <c r="AA101" s="252">
        <f t="shared" si="56"/>
        <v>0.67325254088506914</v>
      </c>
      <c r="AB101" s="252">
        <f t="shared" si="56"/>
        <v>0.66994864206009386</v>
      </c>
      <c r="AC101" s="252">
        <f t="shared" si="56"/>
        <v>0.66849315221022965</v>
      </c>
      <c r="AD101" s="252">
        <f t="shared" si="56"/>
        <v>0.81050850419123555</v>
      </c>
      <c r="AE101" s="252">
        <f t="shared" si="56"/>
        <v>0.94945319197668965</v>
      </c>
      <c r="AF101" s="252">
        <f t="shared" si="56"/>
        <v>0.95900757416911997</v>
      </c>
      <c r="AG101" s="252">
        <f t="shared" si="56"/>
        <v>0.9686235736699772</v>
      </c>
      <c r="AH101" s="252">
        <f t="shared" si="56"/>
        <v>1.0113921257609553</v>
      </c>
      <c r="AI101" s="252">
        <f t="shared" si="56"/>
        <v>1.0223517028257338</v>
      </c>
      <c r="AJ101" s="252">
        <f t="shared" si="56"/>
        <v>1.0293127902900014</v>
      </c>
      <c r="AK101" s="252">
        <f t="shared" si="56"/>
        <v>0.8848415663430701</v>
      </c>
      <c r="AL101" s="252">
        <f t="shared" si="56"/>
        <v>0.79852174676674559</v>
      </c>
      <c r="AM101" s="252">
        <f t="shared" si="56"/>
        <v>0.5</v>
      </c>
      <c r="AN101" s="252">
        <f t="shared" si="56"/>
        <v>0.5</v>
      </c>
      <c r="AO101" s="252">
        <f t="shared" si="56"/>
        <v>0.5</v>
      </c>
      <c r="AP101" s="252">
        <f t="shared" si="56"/>
        <v>0.5</v>
      </c>
      <c r="AQ101" s="252" t="e">
        <f t="shared" si="56"/>
        <v>#DIV/0!</v>
      </c>
      <c r="AR101" s="252" t="e">
        <f t="shared" si="56"/>
        <v>#DIV/0!</v>
      </c>
      <c r="AS101" s="252" t="e">
        <f t="shared" si="56"/>
        <v>#DIV/0!</v>
      </c>
      <c r="AT101" s="252" t="e">
        <f t="shared" si="56"/>
        <v>#DIV/0!</v>
      </c>
      <c r="AU101" s="252" t="e">
        <f t="shared" si="56"/>
        <v>#DIV/0!</v>
      </c>
      <c r="AV101" s="252" t="e">
        <f t="shared" si="56"/>
        <v>#DIV/0!</v>
      </c>
      <c r="AW101" s="252" t="e">
        <f t="shared" si="56"/>
        <v>#DIV/0!</v>
      </c>
      <c r="AX101" s="252" t="e">
        <f t="shared" si="56"/>
        <v>#DIV/0!</v>
      </c>
      <c r="AY101" s="252" t="e">
        <f t="shared" si="56"/>
        <v>#DIV/0!</v>
      </c>
      <c r="AZ101" s="252" t="e">
        <f t="shared" si="56"/>
        <v>#DIV/0!</v>
      </c>
      <c r="BA101" s="252" t="e">
        <f t="shared" si="56"/>
        <v>#DIV/0!</v>
      </c>
      <c r="BB101" s="252" t="e">
        <f t="shared" si="56"/>
        <v>#DIV/0!</v>
      </c>
      <c r="BC101" s="252" t="e">
        <f t="shared" si="56"/>
        <v>#DIV/0!</v>
      </c>
      <c r="BD101" s="252" t="e">
        <f t="shared" si="56"/>
        <v>#DIV/0!</v>
      </c>
      <c r="BE101" s="252" t="e">
        <f t="shared" si="56"/>
        <v>#DIV/0!</v>
      </c>
      <c r="BF101" s="252" t="e">
        <f t="shared" si="56"/>
        <v>#DIV/0!</v>
      </c>
      <c r="BG101" s="252" t="e">
        <f t="shared" si="56"/>
        <v>#DIV/0!</v>
      </c>
      <c r="BH101" s="252" t="e">
        <f t="shared" si="56"/>
        <v>#DIV/0!</v>
      </c>
      <c r="BI101" s="252" t="e">
        <f t="shared" si="56"/>
        <v>#DIV/0!</v>
      </c>
      <c r="BJ101" s="252" t="e">
        <f t="shared" si="56"/>
        <v>#DIV/0!</v>
      </c>
      <c r="BK101" s="252" t="e">
        <f t="shared" si="56"/>
        <v>#DIV/0!</v>
      </c>
      <c r="BL101" s="252" t="e">
        <f t="shared" si="56"/>
        <v>#DIV/0!</v>
      </c>
      <c r="BM101" s="252" t="e">
        <f t="shared" si="56"/>
        <v>#DIV/0!</v>
      </c>
      <c r="BN101" s="252" t="e">
        <f t="shared" si="56"/>
        <v>#DIV/0!</v>
      </c>
      <c r="BO101" s="252" t="e">
        <f t="shared" si="56"/>
        <v>#DIV/0!</v>
      </c>
      <c r="BP101" s="252" t="e">
        <f t="shared" si="56"/>
        <v>#DIV/0!</v>
      </c>
      <c r="BQ101" s="252" t="e">
        <f t="shared" si="56"/>
        <v>#DIV/0!</v>
      </c>
      <c r="BR101" s="252" t="e">
        <f t="shared" ref="BR101:CK101" si="57">BR100/BR84</f>
        <v>#DIV/0!</v>
      </c>
      <c r="BS101" s="252" t="e">
        <f t="shared" si="57"/>
        <v>#DIV/0!</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688</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abSelected="1" topLeftCell="A7" workbookViewId="0">
      <selection activeCell="E27" sqref="E27:CL27"/>
    </sheetView>
  </sheetViews>
  <sheetFormatPr defaultRowHeight="14.4" x14ac:dyDescent="0.25"/>
  <cols>
    <col min="1" max="1" width="63.21875" style="17" bestFit="1" customWidth="1"/>
    <col min="2" max="4" width="9.5546875" hidden="1" customWidth="1"/>
    <col min="5" max="5" width="19.33203125" bestFit="1" customWidth="1"/>
    <col min="6" max="6" width="19.33203125" hidden="1" customWidth="1"/>
    <col min="7" max="7" width="20.21875" hidden="1" customWidth="1"/>
    <col min="8" max="8" width="19.33203125" hidden="1" customWidth="1"/>
    <col min="9" max="9" width="19.33203125" bestFit="1" customWidth="1"/>
    <col min="10" max="11" width="19.33203125" hidden="1" customWidth="1"/>
    <col min="12" max="12" width="17.77734375" hidden="1" customWidth="1"/>
    <col min="13" max="13" width="19.33203125" bestFit="1" customWidth="1"/>
    <col min="14" max="15" width="19.33203125" hidden="1" customWidth="1"/>
    <col min="16" max="16" width="19" hidden="1" customWidth="1"/>
    <col min="17" max="17" width="19.33203125" bestFit="1" customWidth="1"/>
    <col min="18" max="19" width="19.33203125" hidden="1" customWidth="1"/>
    <col min="20" max="20" width="19" hidden="1" customWidth="1"/>
    <col min="21" max="21" width="19.33203125" bestFit="1" customWidth="1"/>
    <col min="22" max="23" width="19.33203125" hidden="1" customWidth="1"/>
    <col min="24" max="24" width="17.77734375" hidden="1" customWidth="1"/>
    <col min="25" max="25" width="19.33203125" bestFit="1" customWidth="1"/>
    <col min="26" max="26" width="19.33203125" hidden="1" customWidth="1"/>
    <col min="27" max="27" width="20.21875" hidden="1" customWidth="1"/>
    <col min="28" max="28" width="17.77734375" hidden="1" customWidth="1"/>
    <col min="29" max="29" width="19.33203125" bestFit="1" customWidth="1"/>
    <col min="30" max="31" width="19.33203125" hidden="1" customWidth="1"/>
    <col min="32" max="32" width="19" hidden="1" customWidth="1"/>
    <col min="33" max="33" width="19.33203125" bestFit="1" customWidth="1"/>
    <col min="34" max="34" width="19.33203125" hidden="1" customWidth="1"/>
    <col min="35" max="35" width="19" hidden="1" customWidth="1"/>
    <col min="36" max="36" width="17.77734375" hidden="1" customWidth="1"/>
    <col min="37" max="37" width="19.33203125" bestFit="1" customWidth="1"/>
    <col min="38" max="40" width="17.77734375" hidden="1" customWidth="1"/>
    <col min="41" max="41" width="19.33203125" bestFit="1" customWidth="1"/>
    <col min="42" max="42" width="17.77734375" hidden="1" customWidth="1"/>
    <col min="43" max="44" width="17.77734375" bestFit="1" customWidth="1"/>
    <col min="45" max="45" width="9.5546875" hidden="1" customWidth="1"/>
    <col min="46" max="48" width="18.33203125" hidden="1" customWidth="1"/>
    <col min="49" max="49" width="18.33203125" bestFit="1" customWidth="1"/>
    <col min="50" max="52" width="18.33203125" hidden="1" customWidth="1"/>
    <col min="53" max="53" width="18.33203125" bestFit="1" customWidth="1"/>
    <col min="54" max="56" width="18.33203125" hidden="1" customWidth="1"/>
    <col min="57" max="57" width="18.33203125" bestFit="1" customWidth="1"/>
    <col min="58" max="60" width="18.33203125" hidden="1" customWidth="1"/>
    <col min="61" max="61" width="18.33203125" bestFit="1" customWidth="1"/>
    <col min="62" max="64" width="18.33203125" hidden="1" customWidth="1"/>
    <col min="65" max="65" width="18.33203125" bestFit="1" customWidth="1"/>
    <col min="66" max="66" width="18.33203125" hidden="1" customWidth="1"/>
    <col min="67" max="67" width="18.33203125" bestFit="1" customWidth="1"/>
    <col min="68" max="68" width="18.33203125" hidden="1" customWidth="1"/>
    <col min="69" max="69" width="17.2187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2293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5703097066.9099998</v>
      </c>
      <c r="F2" s="26">
        <f>现金流量表!F4</f>
        <v>3517644500</v>
      </c>
      <c r="G2" s="26">
        <f>现金流量表!G4</f>
        <v>2192498921.1100001</v>
      </c>
      <c r="H2" s="26">
        <f>现金流量表!H4</f>
        <v>1220146194.1099999</v>
      </c>
      <c r="I2" s="26">
        <f>现金流量表!I4</f>
        <v>3686460242.5900002</v>
      </c>
      <c r="J2" s="26">
        <f>现金流量表!J4</f>
        <v>2564846453.2399998</v>
      </c>
      <c r="K2" s="26">
        <f>现金流量表!K4</f>
        <v>1590874669.1199999</v>
      </c>
      <c r="L2" s="26">
        <f>现金流量表!L4</f>
        <v>869902587.33000004</v>
      </c>
      <c r="M2" s="26">
        <f>现金流量表!M4</f>
        <v>3286935630.9499998</v>
      </c>
      <c r="N2" s="26">
        <f>现金流量表!N4</f>
        <v>2293032683.1900001</v>
      </c>
      <c r="O2" s="26">
        <f>现金流量表!O4</f>
        <v>1385251550.4400001</v>
      </c>
      <c r="P2" s="26">
        <f>现金流量表!P4</f>
        <v>814632103.25999999</v>
      </c>
      <c r="Q2" s="26">
        <f>现金流量表!Q4</f>
        <v>3314035032.6199999</v>
      </c>
      <c r="R2" s="26">
        <f>现金流量表!R4</f>
        <v>2243208554.8099999</v>
      </c>
      <c r="S2" s="26">
        <f>现金流量表!S4</f>
        <v>1323849741.5799999</v>
      </c>
      <c r="T2" s="26">
        <f>现金流量表!T4</f>
        <v>805221687.07000005</v>
      </c>
      <c r="U2" s="26">
        <f>现金流量表!U4</f>
        <v>2995795304.5700002</v>
      </c>
      <c r="V2" s="26">
        <f>现金流量表!V4</f>
        <v>2119069929.0899999</v>
      </c>
      <c r="W2" s="26">
        <f>现金流量表!W4</f>
        <v>1315577679.99</v>
      </c>
      <c r="X2" s="26">
        <f>现金流量表!X4</f>
        <v>702968081.51999998</v>
      </c>
      <c r="Y2" s="26">
        <f>现金流量表!Y4</f>
        <v>3148863796.1500001</v>
      </c>
      <c r="Z2" s="26">
        <f>现金流量表!Z4</f>
        <v>2120726664.9400001</v>
      </c>
      <c r="AA2" s="26">
        <f>现金流量表!AA4</f>
        <v>1218831206.3199999</v>
      </c>
      <c r="AB2" s="26">
        <f>现金流量表!AB4</f>
        <v>730659610.20000005</v>
      </c>
      <c r="AC2" s="26">
        <f>现金流量表!AC4</f>
        <v>2777690159.8099999</v>
      </c>
      <c r="AD2" s="26">
        <f>现金流量表!AD4</f>
        <v>1916727969.5599999</v>
      </c>
      <c r="AE2" s="26">
        <f>现金流量表!AE4</f>
        <v>1217349548.29</v>
      </c>
      <c r="AF2" s="26">
        <f>现金流量表!AF4</f>
        <v>741075333.60000002</v>
      </c>
      <c r="AG2" s="26">
        <f>现金流量表!AG4</f>
        <v>2088659586.1199999</v>
      </c>
      <c r="AH2" s="26">
        <f>现金流量表!AH4</f>
        <v>1343955053.95</v>
      </c>
      <c r="AI2" s="26">
        <f>现金流量表!AI4</f>
        <v>780113829.26999998</v>
      </c>
      <c r="AJ2" s="26">
        <f>现金流量表!AJ4</f>
        <v>453646157.58999997</v>
      </c>
      <c r="AK2" s="26">
        <f>现金流量表!AK4</f>
        <v>1317538187.6700001</v>
      </c>
      <c r="AL2" s="26">
        <f>现金流量表!AL4</f>
        <v>829205973.38999999</v>
      </c>
      <c r="AM2" s="26">
        <f>现金流量表!AM4</f>
        <v>470456644.57999998</v>
      </c>
      <c r="AN2" s="26">
        <f>现金流量表!AN4</f>
        <v>298846126.06</v>
      </c>
      <c r="AO2" s="26">
        <f>现金流量表!AO4</f>
        <v>1049900173.75</v>
      </c>
      <c r="AP2" s="26">
        <f>现金流量表!AP4</f>
        <v>729885010.66999996</v>
      </c>
      <c r="AQ2" s="26">
        <f>现金流量表!AQ4</f>
        <v>744580968.05999994</v>
      </c>
      <c r="AR2" s="26">
        <f>现金流量表!AR4</f>
        <v>745665504.97000003</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4661850865.5100002</v>
      </c>
      <c r="F3" s="26">
        <f>利润表!F3</f>
        <v>3182670009.3200002</v>
      </c>
      <c r="G3" s="26">
        <f>利润表!G3</f>
        <v>1981435890.6199999</v>
      </c>
      <c r="H3" s="26">
        <f>利润表!H3</f>
        <v>1057767260.42</v>
      </c>
      <c r="I3" s="26">
        <f>利润表!I3</f>
        <v>3152216442.1500001</v>
      </c>
      <c r="J3" s="26">
        <f>利润表!J3</f>
        <v>2155264290.48</v>
      </c>
      <c r="K3" s="26">
        <f>利润表!K3</f>
        <v>1343083310.6500001</v>
      </c>
      <c r="L3" s="26">
        <f>利润表!L3</f>
        <v>762846279.96000004</v>
      </c>
      <c r="M3" s="26">
        <f>利润表!M3</f>
        <v>2915633891.98</v>
      </c>
      <c r="N3" s="26">
        <f>利润表!N3</f>
        <v>2046094586.02</v>
      </c>
      <c r="O3" s="26">
        <f>利润表!O3</f>
        <v>1249976092.8499999</v>
      </c>
      <c r="P3" s="26">
        <f>利润表!P3</f>
        <v>705394935.15999997</v>
      </c>
      <c r="Q3" s="26">
        <f>利润表!Q3</f>
        <v>2761400573.5100002</v>
      </c>
      <c r="R3" s="26">
        <f>利润表!R3</f>
        <v>1879993912.9100001</v>
      </c>
      <c r="S3" s="26">
        <f>利润表!S3</f>
        <v>1112279848.48</v>
      </c>
      <c r="T3" s="26">
        <f>利润表!T3</f>
        <v>657308577.96000004</v>
      </c>
      <c r="U3" s="26">
        <f>利润表!U3</f>
        <v>2524209416.4000001</v>
      </c>
      <c r="V3" s="26">
        <f>利润表!V3</f>
        <v>1722646961.76</v>
      </c>
      <c r="W3" s="26">
        <f>利润表!W3</f>
        <v>1078073329.79</v>
      </c>
      <c r="X3" s="26">
        <f>利润表!X3</f>
        <v>615351177.55999994</v>
      </c>
      <c r="Y3" s="26">
        <f>利润表!Y3</f>
        <v>2724953861.21</v>
      </c>
      <c r="Z3" s="26">
        <f>利润表!Z3</f>
        <v>1847721787.6600001</v>
      </c>
      <c r="AA3" s="26">
        <f>利润表!AA3</f>
        <v>1036490112.66</v>
      </c>
      <c r="AB3" s="26">
        <f>利润表!AB3</f>
        <v>614320304.89999998</v>
      </c>
      <c r="AC3" s="26">
        <f>利润表!AC3</f>
        <v>2382434788.48</v>
      </c>
      <c r="AD3" s="26">
        <f>利润表!AD3</f>
        <v>1633896787.0999999</v>
      </c>
      <c r="AE3" s="26">
        <f>利润表!AE3</f>
        <v>1003246147.98</v>
      </c>
      <c r="AF3" s="26">
        <f>利润表!AF3</f>
        <v>583149853.35000002</v>
      </c>
      <c r="AG3" s="26">
        <f>利润表!AG3</f>
        <v>1818814620.1400001</v>
      </c>
      <c r="AH3" s="26">
        <f>利润表!AH3</f>
        <v>1145669244.4200001</v>
      </c>
      <c r="AI3" s="26">
        <f>利润表!AI3</f>
        <v>661829336.29999995</v>
      </c>
      <c r="AJ3" s="26">
        <f>利润表!AJ3</f>
        <v>359335837.14999998</v>
      </c>
      <c r="AK3" s="26">
        <f>利润表!AK3</f>
        <v>1145306750.3299999</v>
      </c>
      <c r="AL3" s="26">
        <f>利润表!AL3</f>
        <v>723914564.5</v>
      </c>
      <c r="AM3" s="26">
        <f>利润表!AM3</f>
        <v>407570538.00999999</v>
      </c>
      <c r="AN3" s="26">
        <f>利润表!AN3</f>
        <v>255192022.33000001</v>
      </c>
      <c r="AO3" s="26">
        <f>利润表!AO3</f>
        <v>902684684.88</v>
      </c>
      <c r="AP3" s="26">
        <f>利润表!AP3</f>
        <v>632875455.57000005</v>
      </c>
      <c r="AQ3" s="26">
        <f>利润表!AQ3</f>
        <v>755362629.51999998</v>
      </c>
      <c r="AR3" s="26">
        <f>利润表!AR3</f>
        <v>552487592.55999994</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510</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1.045602289338069</v>
      </c>
      <c r="F5" s="28">
        <f t="shared" ref="F5:BQ5" si="2">(F2/(1+F4))/F3</f>
        <v>0.94465770936966464</v>
      </c>
      <c r="G5" s="28">
        <f t="shared" si="2"/>
        <v>0.9457437965439589</v>
      </c>
      <c r="H5" s="28">
        <f t="shared" si="2"/>
        <v>0.98590685681813517</v>
      </c>
      <c r="I5" s="28">
        <f t="shared" si="2"/>
        <v>0.99955722520543211</v>
      </c>
      <c r="J5" s="28">
        <f t="shared" si="2"/>
        <v>1.0171265145735155</v>
      </c>
      <c r="K5" s="28">
        <f t="shared" si="2"/>
        <v>1.0123883817458434</v>
      </c>
      <c r="L5" s="28">
        <f t="shared" si="2"/>
        <v>0.97464784771110358</v>
      </c>
      <c r="M5" s="28">
        <f t="shared" si="2"/>
        <v>0.96354576644457834</v>
      </c>
      <c r="N5" s="28">
        <f t="shared" si="2"/>
        <v>0.95785258783746674</v>
      </c>
      <c r="O5" s="28">
        <f t="shared" si="2"/>
        <v>0.94719866316581802</v>
      </c>
      <c r="P5" s="28">
        <f t="shared" si="2"/>
        <v>0.98705947578876152</v>
      </c>
      <c r="Q5" s="28">
        <f t="shared" si="2"/>
        <v>1.0257507013147693</v>
      </c>
      <c r="R5" s="28">
        <f t="shared" si="2"/>
        <v>1.0198289770527362</v>
      </c>
      <c r="S5" s="28">
        <f t="shared" si="2"/>
        <v>1.017275919518088</v>
      </c>
      <c r="T5" s="28">
        <f t="shared" si="2"/>
        <v>1.0470328354733178</v>
      </c>
      <c r="U5" s="28">
        <f t="shared" si="2"/>
        <v>1.0143804989748262</v>
      </c>
      <c r="V5" s="28">
        <f t="shared" si="2"/>
        <v>1.0513883109941802</v>
      </c>
      <c r="W5" s="28">
        <f t="shared" si="2"/>
        <v>1.0429952549998149</v>
      </c>
      <c r="X5" s="28">
        <f t="shared" si="2"/>
        <v>0.97639761166131889</v>
      </c>
      <c r="Y5" s="28">
        <f t="shared" si="2"/>
        <v>0.98766317339072685</v>
      </c>
      <c r="Z5" s="28">
        <f t="shared" si="2"/>
        <v>0.98098474847050188</v>
      </c>
      <c r="AA5" s="28">
        <f t="shared" si="2"/>
        <v>1.0050612746361032</v>
      </c>
      <c r="AB5" s="28">
        <f t="shared" si="2"/>
        <v>1.0165631647727966</v>
      </c>
      <c r="AC5" s="28">
        <f t="shared" si="2"/>
        <v>0.99649911307685335</v>
      </c>
      <c r="AD5" s="28">
        <f t="shared" si="2"/>
        <v>1.0026514812601202</v>
      </c>
      <c r="AE5" s="28">
        <f t="shared" si="2"/>
        <v>1.0371031092300833</v>
      </c>
      <c r="AF5" s="28">
        <f t="shared" si="2"/>
        <v>1.0861663042303518</v>
      </c>
      <c r="AG5" s="28">
        <f t="shared" si="2"/>
        <v>0.98150691866468842</v>
      </c>
      <c r="AH5" s="28">
        <f t="shared" si="2"/>
        <v>1.0026275374723201</v>
      </c>
      <c r="AI5" s="28">
        <f t="shared" si="2"/>
        <v>1.0074560314425061</v>
      </c>
      <c r="AJ5" s="28">
        <f t="shared" si="2"/>
        <v>1.0790233495750055</v>
      </c>
      <c r="AK5" s="28">
        <f t="shared" si="2"/>
        <v>0.98323092462180828</v>
      </c>
      <c r="AL5" s="28">
        <f t="shared" si="2"/>
        <v>0.97901477458047081</v>
      </c>
      <c r="AM5" s="28">
        <f t="shared" si="2"/>
        <v>0.98657694490261816</v>
      </c>
      <c r="AN5" s="28">
        <f t="shared" si="2"/>
        <v>1.000909186092116</v>
      </c>
      <c r="AO5" s="28">
        <f t="shared" si="2"/>
        <v>0.99409083912173812</v>
      </c>
      <c r="AP5" s="28">
        <f t="shared" si="2"/>
        <v>0.98571265003654662</v>
      </c>
      <c r="AQ5" s="28">
        <f t="shared" si="2"/>
        <v>0.84250129000857832</v>
      </c>
      <c r="AR5" s="28">
        <f t="shared" si="2"/>
        <v>1.153547976463545</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3609821600.6999998</v>
      </c>
      <c r="F6" s="26">
        <f>现金流量表!F8</f>
        <v>2323071420.4400001</v>
      </c>
      <c r="G6" s="26">
        <f>现金流量表!G8</f>
        <v>1492025561.8399999</v>
      </c>
      <c r="H6" s="26">
        <f>现金流量表!H8</f>
        <v>688643736.25999999</v>
      </c>
      <c r="I6" s="26">
        <f>现金流量表!I8</f>
        <v>1803863738.21</v>
      </c>
      <c r="J6" s="26">
        <f>现金流量表!J8</f>
        <v>1264408788.6700001</v>
      </c>
      <c r="K6" s="26">
        <f>现金流量表!K8</f>
        <v>801825879.37</v>
      </c>
      <c r="L6" s="26">
        <f>现金流量表!L8</f>
        <v>379886905.56999999</v>
      </c>
      <c r="M6" s="26">
        <f>现金流量表!M8</f>
        <v>1741353288.3399999</v>
      </c>
      <c r="N6" s="26">
        <f>现金流量表!N8</f>
        <v>1103671201.21</v>
      </c>
      <c r="O6" s="26">
        <f>现金流量表!O8</f>
        <v>688480396.50999999</v>
      </c>
      <c r="P6" s="26">
        <f>现金流量表!P8</f>
        <v>392445189.70999998</v>
      </c>
      <c r="Q6" s="26">
        <f>现金流量表!Q8</f>
        <v>1720148709.0899999</v>
      </c>
      <c r="R6" s="26">
        <f>现金流量表!R8</f>
        <v>1158120394.3699999</v>
      </c>
      <c r="S6" s="26">
        <f>现金流量表!S8</f>
        <v>747790322.51999998</v>
      </c>
      <c r="T6" s="26">
        <f>现金流量表!T8</f>
        <v>427284503.94</v>
      </c>
      <c r="U6" s="26">
        <f>现金流量表!U8</f>
        <v>1614570293.9300001</v>
      </c>
      <c r="V6" s="26">
        <f>现金流量表!V8</f>
        <v>1282604995.45</v>
      </c>
      <c r="W6" s="26">
        <f>现金流量表!W8</f>
        <v>888757097.39999998</v>
      </c>
      <c r="X6" s="26">
        <f>现金流量表!X8</f>
        <v>443559084.66000003</v>
      </c>
      <c r="Y6" s="26">
        <f>现金流量表!Y8</f>
        <v>1951625661.6300001</v>
      </c>
      <c r="Z6" s="26">
        <f>现金流量表!Z8</f>
        <v>1482693822.45</v>
      </c>
      <c r="AA6" s="26">
        <f>现金流量表!AA8</f>
        <v>972415037.48000002</v>
      </c>
      <c r="AB6" s="26">
        <f>现金流量表!AB8</f>
        <v>499030388.23000002</v>
      </c>
      <c r="AC6" s="26">
        <f>现金流量表!AC8</f>
        <v>1661510580.8</v>
      </c>
      <c r="AD6" s="26">
        <f>现金流量表!AD8</f>
        <v>1230350167.1400001</v>
      </c>
      <c r="AE6" s="26">
        <f>现金流量表!AE8</f>
        <v>817875308.41999996</v>
      </c>
      <c r="AF6" s="26">
        <f>现金流量表!AF8</f>
        <v>459565632.83999997</v>
      </c>
      <c r="AG6" s="26">
        <f>现金流量表!AG8</f>
        <v>1375766897.97</v>
      </c>
      <c r="AH6" s="26">
        <f>现金流量表!AH8</f>
        <v>1015684690.5</v>
      </c>
      <c r="AI6" s="26">
        <f>现金流量表!AI8</f>
        <v>597309569.08000004</v>
      </c>
      <c r="AJ6" s="26">
        <f>现金流量表!AJ8</f>
        <v>292742398.63</v>
      </c>
      <c r="AK6" s="26">
        <f>现金流量表!AK8</f>
        <v>825941878.73000002</v>
      </c>
      <c r="AL6" s="26">
        <f>现金流量表!AL8</f>
        <v>497940815.36000001</v>
      </c>
      <c r="AM6" s="26">
        <f>现金流量表!AM8</f>
        <v>292176160.31999999</v>
      </c>
      <c r="AN6" s="26">
        <f>现金流量表!AN8</f>
        <v>170804972.46000001</v>
      </c>
      <c r="AO6" s="26">
        <f>现金流量表!AO8</f>
        <v>652826308.24000001</v>
      </c>
      <c r="AP6" s="26">
        <f>现金流量表!AP8</f>
        <v>484156990.38999999</v>
      </c>
      <c r="AQ6" s="26">
        <f>现金流量表!AQ8</f>
        <v>515703590.80000001</v>
      </c>
      <c r="AR6" s="26">
        <f>现金流量表!AR8</f>
        <v>611151271.71000004</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682014023.92999995</v>
      </c>
      <c r="F7" s="26">
        <f>现金流量表!F9</f>
        <v>528866846.76999998</v>
      </c>
      <c r="G7" s="26">
        <f>现金流量表!G9</f>
        <v>308145724.32999998</v>
      </c>
      <c r="H7" s="26">
        <f>现金流量表!H9</f>
        <v>192581262.03</v>
      </c>
      <c r="I7" s="26">
        <f>现金流量表!I9</f>
        <v>562633225.27999997</v>
      </c>
      <c r="J7" s="26">
        <f>现金流量表!J9</f>
        <v>409832250.43000001</v>
      </c>
      <c r="K7" s="26">
        <f>现金流量表!K9</f>
        <v>279583692.58999997</v>
      </c>
      <c r="L7" s="26">
        <f>现金流量表!L9</f>
        <v>122890858.8</v>
      </c>
      <c r="M7" s="26">
        <f>现金流量表!M9</f>
        <v>522729966.67000002</v>
      </c>
      <c r="N7" s="26">
        <f>现金流量表!N9</f>
        <v>363246433.61000001</v>
      </c>
      <c r="O7" s="26">
        <f>现金流量表!O9</f>
        <v>248495080.11000001</v>
      </c>
      <c r="P7" s="26">
        <f>现金流量表!P9</f>
        <v>127429186.08</v>
      </c>
      <c r="Q7" s="26">
        <f>现金流量表!Q9</f>
        <v>436243663.13999999</v>
      </c>
      <c r="R7" s="26">
        <f>现金流量表!R9</f>
        <v>307775670.87</v>
      </c>
      <c r="S7" s="26">
        <f>现金流量表!S9</f>
        <v>205648688.61000001</v>
      </c>
      <c r="T7" s="26">
        <f>现金流量表!T9</f>
        <v>109160160.56</v>
      </c>
      <c r="U7" s="26">
        <f>现金流量表!U9</f>
        <v>427048661.64999998</v>
      </c>
      <c r="V7" s="26">
        <f>现金流量表!V9</f>
        <v>295690120.94999999</v>
      </c>
      <c r="W7" s="26">
        <f>现金流量表!W9</f>
        <v>204246507.28999999</v>
      </c>
      <c r="X7" s="26">
        <f>现金流量表!X9</f>
        <v>109028812.94</v>
      </c>
      <c r="Y7" s="26">
        <f>现金流量表!Y9</f>
        <v>399667655.35000002</v>
      </c>
      <c r="Z7" s="26">
        <f>现金流量表!Z9</f>
        <v>277085536.07999998</v>
      </c>
      <c r="AA7" s="26">
        <f>现金流量表!AA9</f>
        <v>180220595.50999999</v>
      </c>
      <c r="AB7" s="26">
        <f>现金流量表!AB9</f>
        <v>80729054.810000002</v>
      </c>
      <c r="AC7" s="26">
        <f>现金流量表!AC9</f>
        <v>283502960.60000002</v>
      </c>
      <c r="AD7" s="26">
        <f>现金流量表!AD9</f>
        <v>175212650.94999999</v>
      </c>
      <c r="AE7" s="26">
        <f>现金流量表!AE9</f>
        <v>113024221.92</v>
      </c>
      <c r="AF7" s="26">
        <f>现金流量表!AF9</f>
        <v>54108054.009999998</v>
      </c>
      <c r="AG7" s="26">
        <f>现金流量表!AG9</f>
        <v>186294058.69999999</v>
      </c>
      <c r="AH7" s="26">
        <f>现金流量表!AH9</f>
        <v>125007384.48</v>
      </c>
      <c r="AI7" s="26">
        <f>现金流量表!AI9</f>
        <v>80022531</v>
      </c>
      <c r="AJ7" s="26">
        <f>现金流量表!AJ9</f>
        <v>38345491.600000001</v>
      </c>
      <c r="AK7" s="26">
        <f>现金流量表!AK9</f>
        <v>125658221.75</v>
      </c>
      <c r="AL7" s="26">
        <f>现金流量表!AL9</f>
        <v>82522858.150000006</v>
      </c>
      <c r="AM7" s="26">
        <f>现金流量表!AM9</f>
        <v>54585919.770000003</v>
      </c>
      <c r="AN7" s="26">
        <f>现金流量表!AN9</f>
        <v>27680341.079999998</v>
      </c>
      <c r="AO7" s="26">
        <f>现金流量表!AO9</f>
        <v>83679669.129999995</v>
      </c>
      <c r="AP7" s="26">
        <f>现金流量表!AP9</f>
        <v>60320684.439999998</v>
      </c>
      <c r="AQ7" s="26">
        <f>现金流量表!AQ9</f>
        <v>50772602.25</v>
      </c>
      <c r="AR7" s="26">
        <f>现金流量表!AR9</f>
        <v>31357816.780000001</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490</v>
      </c>
      <c r="E8" s="58">
        <f>利润表!E6</f>
        <v>2635590846.21</v>
      </c>
      <c r="F8" s="58">
        <f>利润表!F6</f>
        <v>1773993047.99</v>
      </c>
      <c r="G8" s="58">
        <f>利润表!G6</f>
        <v>1090223199.48</v>
      </c>
      <c r="H8" s="58">
        <f>利润表!H6</f>
        <v>586351416.38999999</v>
      </c>
      <c r="I8" s="58">
        <f>利润表!I6</f>
        <v>1624554797.76</v>
      </c>
      <c r="J8" s="58">
        <f>利润表!J6</f>
        <v>1105706598.52</v>
      </c>
      <c r="K8" s="58">
        <f>利润表!K6</f>
        <v>676890906.00999999</v>
      </c>
      <c r="L8" s="58">
        <f>利润表!L6</f>
        <v>382181848.41000003</v>
      </c>
      <c r="M8" s="58">
        <f>利润表!M6</f>
        <v>1488077938.76</v>
      </c>
      <c r="N8" s="58">
        <f>利润表!N6</f>
        <v>1070685858.4</v>
      </c>
      <c r="O8" s="58">
        <f>利润表!O6</f>
        <v>646044667.88</v>
      </c>
      <c r="P8" s="58">
        <f>利润表!P6</f>
        <v>368353515.80000001</v>
      </c>
      <c r="Q8" s="58">
        <f>利润表!Q6</f>
        <v>1522590313.74</v>
      </c>
      <c r="R8" s="58">
        <f>利润表!R6</f>
        <v>1049502064.09</v>
      </c>
      <c r="S8" s="58">
        <f>利润表!S6</f>
        <v>614113615.22000003</v>
      </c>
      <c r="T8" s="58">
        <f>利润表!T6</f>
        <v>364584481.94</v>
      </c>
      <c r="U8" s="58">
        <f>利润表!U6</f>
        <v>1414058164.54</v>
      </c>
      <c r="V8" s="58">
        <f>利润表!V6</f>
        <v>987390552.35000002</v>
      </c>
      <c r="W8" s="58">
        <f>利润表!W6</f>
        <v>613641321.99000001</v>
      </c>
      <c r="X8" s="58">
        <f>利润表!X6</f>
        <v>354907772.18000001</v>
      </c>
      <c r="Y8" s="58">
        <f>利润表!Y6</f>
        <v>1574584274.8199999</v>
      </c>
      <c r="Z8" s="58">
        <f>利润表!Z6</f>
        <v>1075633938.99</v>
      </c>
      <c r="AA8" s="58">
        <f>利润表!AA6</f>
        <v>583133528.04999995</v>
      </c>
      <c r="AB8" s="58">
        <f>利润表!AB6</f>
        <v>327439565.81</v>
      </c>
      <c r="AC8" s="58">
        <f>利润表!AC6</f>
        <v>1377436916.3499999</v>
      </c>
      <c r="AD8" s="58">
        <f>利润表!AD6</f>
        <v>987289834.52999997</v>
      </c>
      <c r="AE8" s="58">
        <f>利润表!AE6</f>
        <v>593673817.29999995</v>
      </c>
      <c r="AF8" s="58">
        <f>利润表!AF6</f>
        <v>349417553.02999997</v>
      </c>
      <c r="AG8" s="58">
        <f>利润表!AG6</f>
        <v>1131280282.5999999</v>
      </c>
      <c r="AH8" s="58">
        <f>利润表!AH6</f>
        <v>712739208.15999997</v>
      </c>
      <c r="AI8" s="58">
        <f>利润表!AI6</f>
        <v>401643789.75</v>
      </c>
      <c r="AJ8" s="58">
        <f>利润表!AJ6</f>
        <v>217129319.08000001</v>
      </c>
      <c r="AK8" s="58">
        <f>利润表!AK6</f>
        <v>697436260.83000004</v>
      </c>
      <c r="AL8" s="58">
        <f>利润表!AL6</f>
        <v>441509914.73000002</v>
      </c>
      <c r="AM8" s="58">
        <f>利润表!AM6</f>
        <v>245422172.28</v>
      </c>
      <c r="AN8" s="58">
        <f>利润表!AN6</f>
        <v>160507029.72999999</v>
      </c>
      <c r="AO8" s="58">
        <f>利润表!AO6</f>
        <v>568121133.83000004</v>
      </c>
      <c r="AP8" s="58">
        <f>利润表!AP6</f>
        <v>392963008.33999997</v>
      </c>
      <c r="AQ8" s="58">
        <f>利润表!AQ6</f>
        <v>492404923.29000002</v>
      </c>
      <c r="AR8" s="58">
        <f>利润表!AR6</f>
        <v>410889235.10000002</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491</v>
      </c>
      <c r="E9" s="58">
        <f>利润表!E7</f>
        <v>32932432.359999999</v>
      </c>
      <c r="F9" s="58">
        <f>利润表!F7</f>
        <v>24728521.48</v>
      </c>
      <c r="G9" s="58">
        <f>利润表!G7</f>
        <v>14894526.470000001</v>
      </c>
      <c r="H9" s="58">
        <f>利润表!H7</f>
        <v>9865506.8200000003</v>
      </c>
      <c r="I9" s="58">
        <f>利润表!I7</f>
        <v>32879503.960000001</v>
      </c>
      <c r="J9" s="58">
        <f>利润表!J7</f>
        <v>20342783.280000001</v>
      </c>
      <c r="K9" s="58">
        <f>利润表!K7</f>
        <v>13315984.83</v>
      </c>
      <c r="L9" s="58">
        <f>利润表!L7</f>
        <v>7704992.5800000001</v>
      </c>
      <c r="M9" s="58">
        <f>利润表!M7</f>
        <v>30934802.02</v>
      </c>
      <c r="N9" s="58">
        <f>利润表!N7</f>
        <v>20220350.57</v>
      </c>
      <c r="O9" s="58">
        <f>利润表!O7</f>
        <v>12017562.199999999</v>
      </c>
      <c r="P9" s="58">
        <f>利润表!P7</f>
        <v>7554547.1799999997</v>
      </c>
      <c r="Q9" s="58">
        <f>利润表!Q7</f>
        <v>27435568.34</v>
      </c>
      <c r="R9" s="58">
        <f>利润表!R7</f>
        <v>17807929.550000001</v>
      </c>
      <c r="S9" s="58">
        <f>利润表!S7</f>
        <v>11308254.77</v>
      </c>
      <c r="T9" s="58">
        <f>利润表!T7</f>
        <v>5527106.5300000003</v>
      </c>
      <c r="U9" s="58">
        <f>利润表!U7</f>
        <v>23672166.359999999</v>
      </c>
      <c r="V9" s="58">
        <f>利润表!V7</f>
        <v>12926448.15</v>
      </c>
      <c r="W9" s="58">
        <f>利润表!W7</f>
        <v>9723886.5899999999</v>
      </c>
      <c r="X9" s="58">
        <f>利润表!X7</f>
        <v>5275688.63</v>
      </c>
      <c r="Y9" s="58">
        <f>利润表!Y7</f>
        <v>22326739.899999999</v>
      </c>
      <c r="Z9" s="58">
        <f>利润表!Z7</f>
        <v>13533150.76</v>
      </c>
      <c r="AA9" s="58">
        <f>利润表!AA7</f>
        <v>7258365.5199999996</v>
      </c>
      <c r="AB9" s="58">
        <f>利润表!AB7</f>
        <v>5066982.6900000004</v>
      </c>
      <c r="AC9" s="58">
        <f>利润表!AC7</f>
        <v>19437504.949999999</v>
      </c>
      <c r="AD9" s="58">
        <f>利润表!AD7</f>
        <v>12671718.359999999</v>
      </c>
      <c r="AE9" s="58">
        <f>利润表!AE7</f>
        <v>7795564.7300000004</v>
      </c>
      <c r="AF9" s="58">
        <f>利润表!AF7</f>
        <v>5459671.6500000004</v>
      </c>
      <c r="AG9" s="58">
        <f>利润表!AG7</f>
        <v>3629038.82</v>
      </c>
      <c r="AH9" s="58">
        <f>利润表!AH7</f>
        <v>1551522</v>
      </c>
      <c r="AI9" s="58">
        <f>利润表!AI7</f>
        <v>1301715.54</v>
      </c>
      <c r="AJ9" s="58">
        <f>利润表!AJ7</f>
        <v>769782.76</v>
      </c>
      <c r="AK9" s="58">
        <f>利润表!AK7</f>
        <v>4176943.63</v>
      </c>
      <c r="AL9" s="58">
        <f>利润表!AL7</f>
        <v>2354174.79</v>
      </c>
      <c r="AM9" s="58">
        <f>利润表!AM7</f>
        <v>1255018.1100000001</v>
      </c>
      <c r="AN9" s="58">
        <f>利润表!AN7</f>
        <v>1133909.1599999999</v>
      </c>
      <c r="AO9" s="58">
        <f>利润表!AO7</f>
        <v>2255947.33</v>
      </c>
      <c r="AP9" s="58">
        <f>利润表!AP7</f>
        <v>1536038.19</v>
      </c>
      <c r="AQ9" s="58">
        <f>利润表!AQ7</f>
        <v>1488397.64</v>
      </c>
      <c r="AR9" s="58">
        <f>利润表!AR7</f>
        <v>355681.75</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492</v>
      </c>
      <c r="E10" s="58">
        <f>利润表!E8</f>
        <v>1007425379.27</v>
      </c>
      <c r="F10" s="58">
        <f>利润表!F8</f>
        <v>642493739.66999996</v>
      </c>
      <c r="G10" s="58">
        <f>利润表!G8</f>
        <v>417544038.85000002</v>
      </c>
      <c r="H10" s="58">
        <f>利润表!H8</f>
        <v>189585387.75999999</v>
      </c>
      <c r="I10" s="58">
        <f>利润表!I8</f>
        <v>786045478.57000005</v>
      </c>
      <c r="J10" s="58">
        <f>利润表!J8</f>
        <v>518638726.98000002</v>
      </c>
      <c r="K10" s="58">
        <f>利润表!K8</f>
        <v>333015243.95999998</v>
      </c>
      <c r="L10" s="58">
        <f>利润表!L8</f>
        <v>166825730.5</v>
      </c>
      <c r="M10" s="58">
        <f>利润表!M8</f>
        <v>702088845.51999998</v>
      </c>
      <c r="N10" s="58">
        <f>利润表!N8</f>
        <v>462448442.44999999</v>
      </c>
      <c r="O10" s="58">
        <f>利润表!O8</f>
        <v>299124416.25999999</v>
      </c>
      <c r="P10" s="58">
        <f>利润表!P8</f>
        <v>151757162.58000001</v>
      </c>
      <c r="Q10" s="58">
        <f>利润表!Q8</f>
        <v>602729979.85000002</v>
      </c>
      <c r="R10" s="58">
        <f>利润表!R8</f>
        <v>405825925.36000001</v>
      </c>
      <c r="S10" s="58">
        <f>利润表!S8</f>
        <v>244311835.50999999</v>
      </c>
      <c r="T10" s="58">
        <f>利润表!T8</f>
        <v>144974860.56999999</v>
      </c>
      <c r="U10" s="58">
        <f>利润表!U8</f>
        <v>555013206.99000001</v>
      </c>
      <c r="V10" s="58">
        <f>利润表!V8</f>
        <v>365059735.88999999</v>
      </c>
      <c r="W10" s="58">
        <f>利润表!W8</f>
        <v>236966282.15000001</v>
      </c>
      <c r="X10" s="58">
        <f>利润表!X8</f>
        <v>117960513.40000001</v>
      </c>
      <c r="Y10" s="58">
        <f>利润表!Y8</f>
        <v>566653559.66999996</v>
      </c>
      <c r="Z10" s="58">
        <f>利润表!Z8</f>
        <v>392084110.52999997</v>
      </c>
      <c r="AA10" s="58">
        <f>利润表!AA8</f>
        <v>240286794.72</v>
      </c>
      <c r="AB10" s="58">
        <f>利润表!AB8</f>
        <v>122620158.45999999</v>
      </c>
      <c r="AC10" s="58">
        <f>利润表!AC8</f>
        <v>441418204.77999997</v>
      </c>
      <c r="AD10" s="58">
        <f>利润表!AD8</f>
        <v>252776641.69999999</v>
      </c>
      <c r="AE10" s="58">
        <f>利润表!AE8</f>
        <v>190131843.62</v>
      </c>
      <c r="AF10" s="58">
        <f>利润表!AF8</f>
        <v>100718712.59</v>
      </c>
      <c r="AG10" s="58">
        <f>利润表!AG8</f>
        <v>342283901.14999998</v>
      </c>
      <c r="AH10" s="58">
        <f>利润表!AH8</f>
        <v>186370356</v>
      </c>
      <c r="AI10" s="58">
        <f>利润表!AI8</f>
        <v>123963819.84999999</v>
      </c>
      <c r="AJ10" s="58">
        <f>利润表!AJ8</f>
        <v>59543448.259999998</v>
      </c>
      <c r="AK10" s="58">
        <f>利润表!AK8</f>
        <v>201046926.90000001</v>
      </c>
      <c r="AL10" s="58">
        <f>利润表!AL8</f>
        <v>114316617.67</v>
      </c>
      <c r="AM10" s="58">
        <f>利润表!AM8</f>
        <v>73363262.760000005</v>
      </c>
      <c r="AN10" s="58">
        <f>利润表!AN8</f>
        <v>37534225.119999997</v>
      </c>
      <c r="AO10" s="58">
        <f>利润表!AO8</f>
        <v>136129878.31</v>
      </c>
      <c r="AP10" s="58">
        <f>利润表!AP8</f>
        <v>92577271.849999994</v>
      </c>
      <c r="AQ10" s="58">
        <f>利润表!AQ8</f>
        <v>105794634.05</v>
      </c>
      <c r="AR10" s="58">
        <f>利润表!AR8</f>
        <v>63423441.579999998</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493</v>
      </c>
      <c r="E11" s="58">
        <f>利润表!E9</f>
        <v>412185796.76999998</v>
      </c>
      <c r="F11" s="58">
        <f>利润表!F9</f>
        <v>305179569.81</v>
      </c>
      <c r="G11" s="58">
        <f>利润表!G9</f>
        <v>217049153.30000001</v>
      </c>
      <c r="H11" s="58">
        <f>利润表!H9</f>
        <v>126733545.47</v>
      </c>
      <c r="I11" s="58">
        <f>利润表!I9</f>
        <v>306957023.29000002</v>
      </c>
      <c r="J11" s="58">
        <f>利润表!J9</f>
        <v>200845799.02000001</v>
      </c>
      <c r="K11" s="58">
        <f>利润表!K9</f>
        <v>135839900.40000001</v>
      </c>
      <c r="L11" s="58">
        <f>利润表!L9</f>
        <v>80503404.650000006</v>
      </c>
      <c r="M11" s="58">
        <f>利润表!M9</f>
        <v>250439497.83000001</v>
      </c>
      <c r="N11" s="58">
        <f>利润表!N9</f>
        <v>167560243.09</v>
      </c>
      <c r="O11" s="58">
        <f>利润表!O9</f>
        <v>109574535.88</v>
      </c>
      <c r="P11" s="58">
        <f>利润表!P9</f>
        <v>44760306.32</v>
      </c>
      <c r="Q11" s="58">
        <f>利润表!Q9</f>
        <v>199260636.24000001</v>
      </c>
      <c r="R11" s="58">
        <f>利润表!R9</f>
        <v>126303234.48999999</v>
      </c>
      <c r="S11" s="58">
        <f>利润表!S9</f>
        <v>83119643.409999996</v>
      </c>
      <c r="T11" s="58">
        <f>利润表!T9</f>
        <v>43236491.380000003</v>
      </c>
      <c r="U11" s="58">
        <f>利润表!U9</f>
        <v>172813849.13999999</v>
      </c>
      <c r="V11" s="58">
        <f>利润表!V9</f>
        <v>114401332.89</v>
      </c>
      <c r="W11" s="58">
        <f>利润表!W9</f>
        <v>78974700.060000002</v>
      </c>
      <c r="X11" s="58">
        <f>利润表!X9</f>
        <v>42789633.460000001</v>
      </c>
      <c r="Y11" s="58">
        <f>利润表!Y9</f>
        <v>155585073.68000001</v>
      </c>
      <c r="Z11" s="58">
        <f>利润表!Z9</f>
        <v>107818106.62</v>
      </c>
      <c r="AA11" s="58">
        <f>利润表!AA9</f>
        <v>70303997.909999996</v>
      </c>
      <c r="AB11" s="58">
        <f>利润表!AB9</f>
        <v>36267100.840000004</v>
      </c>
      <c r="AC11" s="58">
        <f>利润表!AC9</f>
        <v>145851485.24000001</v>
      </c>
      <c r="AD11" s="58">
        <f>利润表!AD9</f>
        <v>95195047.700000003</v>
      </c>
      <c r="AE11" s="58">
        <f>利润表!AE9</f>
        <v>52930645.890000001</v>
      </c>
      <c r="AF11" s="58">
        <f>利润表!AF9</f>
        <v>22465149.68</v>
      </c>
      <c r="AG11" s="58">
        <f>利润表!AG9</f>
        <v>76624889.430000007</v>
      </c>
      <c r="AH11" s="58">
        <f>利润表!AH9</f>
        <v>49568897</v>
      </c>
      <c r="AI11" s="58">
        <f>利润表!AI9</f>
        <v>31523521.989999998</v>
      </c>
      <c r="AJ11" s="58">
        <f>利润表!AJ9</f>
        <v>14004284.33</v>
      </c>
      <c r="AK11" s="58">
        <f>利润表!AK9</f>
        <v>54529063.93</v>
      </c>
      <c r="AL11" s="58">
        <f>利润表!AL9</f>
        <v>36218004.359999999</v>
      </c>
      <c r="AM11" s="58">
        <f>利润表!AM9</f>
        <v>24891093.989999998</v>
      </c>
      <c r="AN11" s="58">
        <f>利润表!AN9</f>
        <v>13710230.73</v>
      </c>
      <c r="AO11" s="58">
        <f>利润表!AO9</f>
        <v>50602456.740000002</v>
      </c>
      <c r="AP11" s="58">
        <f>利润表!AP9</f>
        <v>36383370.460000001</v>
      </c>
      <c r="AQ11" s="58">
        <f>利润表!AQ9</f>
        <v>39988361.549999997</v>
      </c>
      <c r="AR11" s="58">
        <f>利润表!AR9</f>
        <v>26062197.600000001</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494</v>
      </c>
      <c r="E12" s="58">
        <f>SUM(E8:E11)</f>
        <v>4088134454.6100001</v>
      </c>
      <c r="F12" s="58">
        <f t="shared" ref="F12:BQ12" si="4">SUM(F8:F11)</f>
        <v>2746394878.9499998</v>
      </c>
      <c r="G12" s="58">
        <f t="shared" si="4"/>
        <v>1739710918.1000001</v>
      </c>
      <c r="H12" s="58">
        <f t="shared" si="4"/>
        <v>912535856.44000006</v>
      </c>
      <c r="I12" s="58">
        <f t="shared" si="4"/>
        <v>2750436803.5799999</v>
      </c>
      <c r="J12" s="58">
        <f t="shared" si="4"/>
        <v>1845533907.8</v>
      </c>
      <c r="K12" s="58">
        <f t="shared" si="4"/>
        <v>1159062035.2</v>
      </c>
      <c r="L12" s="58">
        <f t="shared" si="4"/>
        <v>637215976.13999999</v>
      </c>
      <c r="M12" s="58">
        <f t="shared" si="4"/>
        <v>2471541084.1300001</v>
      </c>
      <c r="N12" s="58">
        <f t="shared" si="4"/>
        <v>1720914894.51</v>
      </c>
      <c r="O12" s="58">
        <f t="shared" si="4"/>
        <v>1066761182.22</v>
      </c>
      <c r="P12" s="58">
        <f t="shared" si="4"/>
        <v>572425531.88000011</v>
      </c>
      <c r="Q12" s="58">
        <f t="shared" si="4"/>
        <v>2352016498.1700001</v>
      </c>
      <c r="R12" s="58">
        <f t="shared" si="4"/>
        <v>1599439153.49</v>
      </c>
      <c r="S12" s="58">
        <f t="shared" si="4"/>
        <v>952853348.90999997</v>
      </c>
      <c r="T12" s="58">
        <f t="shared" si="4"/>
        <v>558322940.41999996</v>
      </c>
      <c r="U12" s="58">
        <f t="shared" si="4"/>
        <v>2165557387.0299997</v>
      </c>
      <c r="V12" s="58">
        <f t="shared" si="4"/>
        <v>1479778069.28</v>
      </c>
      <c r="W12" s="58">
        <f t="shared" si="4"/>
        <v>939306190.78999996</v>
      </c>
      <c r="X12" s="58">
        <f t="shared" si="4"/>
        <v>520933607.67000002</v>
      </c>
      <c r="Y12" s="58">
        <f t="shared" si="4"/>
        <v>2319149648.0699997</v>
      </c>
      <c r="Z12" s="58">
        <f t="shared" si="4"/>
        <v>1589069306.9000001</v>
      </c>
      <c r="AA12" s="58">
        <f t="shared" si="4"/>
        <v>900982686.19999993</v>
      </c>
      <c r="AB12" s="58">
        <f t="shared" si="4"/>
        <v>491393807.79999995</v>
      </c>
      <c r="AC12" s="58">
        <f t="shared" si="4"/>
        <v>1984144111.3199999</v>
      </c>
      <c r="AD12" s="58">
        <f t="shared" si="4"/>
        <v>1347933242.29</v>
      </c>
      <c r="AE12" s="58">
        <f t="shared" si="4"/>
        <v>844531871.53999996</v>
      </c>
      <c r="AF12" s="58">
        <f t="shared" si="4"/>
        <v>478061086.94999999</v>
      </c>
      <c r="AG12" s="58">
        <f t="shared" si="4"/>
        <v>1553818111.9999998</v>
      </c>
      <c r="AH12" s="58">
        <f t="shared" si="4"/>
        <v>950229983.15999997</v>
      </c>
      <c r="AI12" s="58">
        <f t="shared" si="4"/>
        <v>558432847.13</v>
      </c>
      <c r="AJ12" s="58">
        <f t="shared" si="4"/>
        <v>291446834.43000001</v>
      </c>
      <c r="AK12" s="58">
        <f t="shared" si="4"/>
        <v>957189195.28999996</v>
      </c>
      <c r="AL12" s="58">
        <f t="shared" si="4"/>
        <v>594398711.55000007</v>
      </c>
      <c r="AM12" s="58">
        <f t="shared" si="4"/>
        <v>344931547.14000005</v>
      </c>
      <c r="AN12" s="58">
        <f t="shared" si="4"/>
        <v>212885394.73999998</v>
      </c>
      <c r="AO12" s="58">
        <f t="shared" si="4"/>
        <v>757109416.21000004</v>
      </c>
      <c r="AP12" s="58">
        <f t="shared" si="4"/>
        <v>523459688.83999997</v>
      </c>
      <c r="AQ12" s="58">
        <f t="shared" si="4"/>
        <v>639676316.52999997</v>
      </c>
      <c r="AR12" s="58">
        <f t="shared" si="4"/>
        <v>500730556.03000003</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0.92152830910873085</v>
      </c>
      <c r="F13" s="28">
        <f t="shared" ref="F13:BQ13" si="6">(F6/(1+F4)+F7)/F12</f>
        <v>0.91552674912957166</v>
      </c>
      <c r="G13" s="28">
        <f t="shared" si="6"/>
        <v>0.91014043241128684</v>
      </c>
      <c r="H13" s="28">
        <f t="shared" si="6"/>
        <v>0.85603830959948057</v>
      </c>
      <c r="I13" s="28">
        <f t="shared" si="6"/>
        <v>0.76511378169200561</v>
      </c>
      <c r="J13" s="28">
        <f t="shared" si="6"/>
        <v>0.80763811301322852</v>
      </c>
      <c r="K13" s="28">
        <f t="shared" si="6"/>
        <v>0.83248775967569832</v>
      </c>
      <c r="L13" s="28">
        <f t="shared" si="6"/>
        <v>0.70240003144868723</v>
      </c>
      <c r="M13" s="28">
        <f t="shared" si="6"/>
        <v>0.81368912839992358</v>
      </c>
      <c r="N13" s="28">
        <f t="shared" si="6"/>
        <v>0.759221247233684</v>
      </c>
      <c r="O13" s="28">
        <f t="shared" si="6"/>
        <v>0.78456160329170732</v>
      </c>
      <c r="P13" s="28">
        <f t="shared" si="6"/>
        <v>0.80858102822255962</v>
      </c>
      <c r="Q13" s="28">
        <f t="shared" si="6"/>
        <v>0.81056244141787448</v>
      </c>
      <c r="R13" s="28">
        <f t="shared" si="6"/>
        <v>0.8112982347300296</v>
      </c>
      <c r="S13" s="28">
        <f t="shared" si="6"/>
        <v>0.88658524144481388</v>
      </c>
      <c r="T13" s="28">
        <f t="shared" si="6"/>
        <v>0.84961687392087037</v>
      </c>
      <c r="U13" s="28">
        <f t="shared" si="6"/>
        <v>0.83443795240395935</v>
      </c>
      <c r="V13" s="28">
        <f t="shared" si="6"/>
        <v>0.9406367993289424</v>
      </c>
      <c r="W13" s="28">
        <f t="shared" si="6"/>
        <v>1.0261488399736547</v>
      </c>
      <c r="X13" s="28">
        <f t="shared" si="6"/>
        <v>0.93704674553932077</v>
      </c>
      <c r="Y13" s="28">
        <f t="shared" si="6"/>
        <v>0.89158704274303535</v>
      </c>
      <c r="Z13" s="28">
        <f t="shared" si="6"/>
        <v>0.97185516495843938</v>
      </c>
      <c r="AA13" s="28">
        <f t="shared" si="6"/>
        <v>1.1224905590956291</v>
      </c>
      <c r="AB13" s="28">
        <f t="shared" si="6"/>
        <v>1.0322693247252606</v>
      </c>
      <c r="AC13" s="28">
        <f t="shared" si="6"/>
        <v>0.85860571537362496</v>
      </c>
      <c r="AD13" s="28">
        <f t="shared" si="6"/>
        <v>0.91012963542741987</v>
      </c>
      <c r="AE13" s="28">
        <f t="shared" si="6"/>
        <v>0.96155393825990976</v>
      </c>
      <c r="AF13" s="28">
        <f t="shared" si="6"/>
        <v>0.9348160839458326</v>
      </c>
      <c r="AG13" s="28">
        <f t="shared" si="6"/>
        <v>0.87665550539296511</v>
      </c>
      <c r="AH13" s="28">
        <f t="shared" si="6"/>
        <v>1.0451301002461657</v>
      </c>
      <c r="AI13" s="28">
        <f t="shared" si="6"/>
        <v>1.0575014225053279</v>
      </c>
      <c r="AJ13" s="28">
        <f t="shared" si="6"/>
        <v>0.99006966564100451</v>
      </c>
      <c r="AK13" s="28">
        <f t="shared" si="6"/>
        <v>0.86878482908680676</v>
      </c>
      <c r="AL13" s="28">
        <f t="shared" si="6"/>
        <v>0.8548358008778939</v>
      </c>
      <c r="AM13" s="28">
        <f t="shared" si="6"/>
        <v>0.88223050701478933</v>
      </c>
      <c r="AN13" s="28">
        <f t="shared" si="6"/>
        <v>0.81577929402259164</v>
      </c>
      <c r="AO13" s="28">
        <f t="shared" si="6"/>
        <v>0.84750084864346265</v>
      </c>
      <c r="AP13" s="28">
        <f t="shared" si="6"/>
        <v>0.90576235007973749</v>
      </c>
      <c r="AQ13" s="28">
        <f t="shared" si="6"/>
        <v>0.76842754589618611</v>
      </c>
      <c r="AR13" s="28">
        <f t="shared" si="6"/>
        <v>1.1058029600831414</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398329906.70999998</v>
      </c>
      <c r="F14" s="26">
        <f>现金流量表!F13</f>
        <v>22057931.399999999</v>
      </c>
      <c r="G14" s="26">
        <f>现金流量表!G13</f>
        <v>-108047538.38</v>
      </c>
      <c r="H14" s="26">
        <f>现金流量表!H13</f>
        <v>91197203.870000005</v>
      </c>
      <c r="I14" s="26">
        <f>现金流量表!I13</f>
        <v>505346104.88999999</v>
      </c>
      <c r="J14" s="26">
        <f>现金流量表!J13</f>
        <v>222610853.25999999</v>
      </c>
      <c r="K14" s="26">
        <f>现金流量表!K13</f>
        <v>52297990.909999996</v>
      </c>
      <c r="L14" s="26">
        <f>现金流量表!L13</f>
        <v>80416090.650000006</v>
      </c>
      <c r="M14" s="26">
        <f>现金流量表!M13</f>
        <v>339503977.39999998</v>
      </c>
      <c r="N14" s="26">
        <f>现金流量表!N13</f>
        <v>190646009.99000001</v>
      </c>
      <c r="O14" s="26">
        <f>现金流量表!O13</f>
        <v>70588324.090000004</v>
      </c>
      <c r="P14" s="26">
        <f>现金流量表!P13</f>
        <v>142675186.96000001</v>
      </c>
      <c r="Q14" s="26">
        <f>现金流量表!Q13</f>
        <v>508017310.10000002</v>
      </c>
      <c r="R14" s="26">
        <f>现金流量表!R13</f>
        <v>321017919.66000003</v>
      </c>
      <c r="S14" s="26">
        <f>现金流量表!S13</f>
        <v>84241772.310000002</v>
      </c>
      <c r="T14" s="26">
        <f>现金流量表!T13</f>
        <v>165971258.36000001</v>
      </c>
      <c r="U14" s="26">
        <f>现金流量表!U13</f>
        <v>413669738.88</v>
      </c>
      <c r="V14" s="26">
        <f>现金流量表!V13</f>
        <v>176625941.65000001</v>
      </c>
      <c r="W14" s="26">
        <f>现金流量表!W13</f>
        <v>-63675890.590000004</v>
      </c>
      <c r="X14" s="26">
        <f>现金流量表!X13</f>
        <v>37386371.759999998</v>
      </c>
      <c r="Y14" s="26">
        <f>现金流量表!Y13</f>
        <v>246398895.37</v>
      </c>
      <c r="Z14" s="26">
        <f>现金流量表!Z13</f>
        <v>20417199.34</v>
      </c>
      <c r="AA14" s="26">
        <f>现金流量表!AA13</f>
        <v>-157738332.30000001</v>
      </c>
      <c r="AB14" s="26">
        <f>现金流量表!AB13</f>
        <v>42416729.969999999</v>
      </c>
      <c r="AC14" s="26">
        <f>现金流量表!AC13</f>
        <v>306295910.07999998</v>
      </c>
      <c r="AD14" s="26">
        <f>现金流量表!AD13</f>
        <v>209983030.33000001</v>
      </c>
      <c r="AE14" s="26">
        <f>现金流量表!AE13</f>
        <v>52398903.630000003</v>
      </c>
      <c r="AF14" s="26">
        <f>现金流量表!AF13</f>
        <v>124686672.64</v>
      </c>
      <c r="AG14" s="26">
        <f>现金流量表!AG13</f>
        <v>132187072.02</v>
      </c>
      <c r="AH14" s="26">
        <f>现金流量表!AH13</f>
        <v>679972.5</v>
      </c>
      <c r="AI14" s="26">
        <f>现金流量表!AI13</f>
        <v>-34746417.619999997</v>
      </c>
      <c r="AJ14" s="26">
        <f>现金流量表!AJ13</f>
        <v>61533081.909999996</v>
      </c>
      <c r="AK14" s="26">
        <f>现金流量表!AK13</f>
        <v>134205495.3</v>
      </c>
      <c r="AL14" s="26">
        <f>现金流量表!AL13</f>
        <v>89952114.109999999</v>
      </c>
      <c r="AM14" s="26">
        <f>现金流量表!AM13</f>
        <v>23159448.66</v>
      </c>
      <c r="AN14" s="26">
        <f>现金流量表!AN13</f>
        <v>52529154.340000004</v>
      </c>
      <c r="AO14" s="26">
        <f>现金流量表!AO13</f>
        <v>108319136.56999999</v>
      </c>
      <c r="AP14" s="26">
        <f>现金流量表!AP13</f>
        <v>34728334.869999997</v>
      </c>
      <c r="AQ14" s="26">
        <f>现金流量表!AQ13</f>
        <v>44102238.759999998</v>
      </c>
      <c r="AR14" s="26">
        <f>现金流量表!AR13</f>
        <v>17055404.859999999</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428144030.063025</v>
      </c>
      <c r="F15" s="26">
        <f>股权价值增加表!F17</f>
        <v>324591800.59195822</v>
      </c>
      <c r="G15" s="26">
        <f>股权价值增加表!G17</f>
        <v>169231697.49786973</v>
      </c>
      <c r="H15" s="26">
        <f>股权价值增加表!H17</f>
        <v>123606189.79480192</v>
      </c>
      <c r="I15" s="26">
        <f>股权价值增加表!I17</f>
        <v>308520479.7763046</v>
      </c>
      <c r="J15" s="26">
        <f>股权价值增加表!J17</f>
        <v>252146262.21428594</v>
      </c>
      <c r="K15" s="26">
        <f>股权价值增加表!K17</f>
        <v>145532799.57464889</v>
      </c>
      <c r="L15" s="26">
        <f>股权价值增加表!L17</f>
        <v>104622458.65169166</v>
      </c>
      <c r="M15" s="26">
        <f>股权价值增加表!M17</f>
        <v>365311550.00787956</v>
      </c>
      <c r="N15" s="26">
        <f>股权价值增加表!N17</f>
        <v>293409183.21914089</v>
      </c>
      <c r="O15" s="26">
        <f>股权价值增加表!O17</f>
        <v>164979107.10671088</v>
      </c>
      <c r="P15" s="26">
        <f>股权价值增加表!P17</f>
        <v>113834650.5501582</v>
      </c>
      <c r="Q15" s="26">
        <f>股权价值增加表!Q17</f>
        <v>362984361.74733239</v>
      </c>
      <c r="R15" s="26">
        <f>股权价值增加表!R17</f>
        <v>250115802.33708391</v>
      </c>
      <c r="S15" s="26">
        <f>股权价值增加表!S17</f>
        <v>139150733.29980132</v>
      </c>
      <c r="T15" s="26">
        <f>股权价值增加表!T17</f>
        <v>90529610.928688839</v>
      </c>
      <c r="U15" s="26">
        <f>股权价值增加表!U17</f>
        <v>309180519.11409795</v>
      </c>
      <c r="V15" s="26">
        <f>股权价值增加表!V17</f>
        <v>219176919.57929215</v>
      </c>
      <c r="W15" s="26">
        <f>股权价值增加表!W17</f>
        <v>124376194.05783701</v>
      </c>
      <c r="X15" s="26">
        <f>股权价值增加表!X17</f>
        <v>79521329.740607604</v>
      </c>
      <c r="Y15" s="26">
        <f>股权价值增加表!Y17</f>
        <v>362461551.15202373</v>
      </c>
      <c r="Z15" s="26">
        <f>股权价值增加表!Z17</f>
        <v>239216405.10780725</v>
      </c>
      <c r="AA15" s="26">
        <f>股权价值增加表!AA17</f>
        <v>123232480.25873438</v>
      </c>
      <c r="AB15" s="26">
        <f>股权价值增加表!AB17</f>
        <v>102703921.19152451</v>
      </c>
      <c r="AC15" s="26">
        <f>股权价值增加表!AC17</f>
        <v>351540275.08176368</v>
      </c>
      <c r="AD15" s="26">
        <f>股权价值增加表!AD17</f>
        <v>265208318.95739347</v>
      </c>
      <c r="AE15" s="26">
        <f>股权价值增加表!AE17</f>
        <v>156047768.02113977</v>
      </c>
      <c r="AF15" s="26">
        <f>股权价值增加表!AF17</f>
        <v>84547194.378944635</v>
      </c>
      <c r="AG15" s="26">
        <f>股权价值增加表!AG17</f>
        <v>196811587.3324005</v>
      </c>
      <c r="AH15" s="26">
        <f>股权价值增加表!AH17</f>
        <v>135705521.34270978</v>
      </c>
      <c r="AI15" s="26">
        <f>股权价值增加表!AI17</f>
        <v>75088134.739324301</v>
      </c>
      <c r="AJ15" s="26">
        <f>股权价值增加表!AJ17</f>
        <v>48389010.878503993</v>
      </c>
      <c r="AK15" s="26">
        <f>股权价值增加表!AK17</f>
        <v>144699302.76251644</v>
      </c>
      <c r="AL15" s="26">
        <f>股权价值增加表!AL17</f>
        <v>101049269.93433616</v>
      </c>
      <c r="AM15" s="26">
        <f>股权价值增加表!AM17</f>
        <v>50905125.005242623</v>
      </c>
      <c r="AN15" s="26">
        <f>股权价值增加表!AN17</f>
        <v>33775054.624605685</v>
      </c>
      <c r="AO15" s="26">
        <f>股权价值增加表!AO17</f>
        <v>111533133.40988022</v>
      </c>
      <c r="AP15" s="26">
        <f>股权价值增加表!AP17</f>
        <v>84794520.52972129</v>
      </c>
      <c r="AQ15" s="26">
        <f>股权价值增加表!AQ17</f>
        <v>87008309.938071549</v>
      </c>
      <c r="AR15" s="26">
        <f>股权价值增加表!AR17</f>
        <v>50857099.536314316</v>
      </c>
      <c r="AS15" s="26" t="e">
        <f>股权价值增加表!AS17</f>
        <v>#DIV/0!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0.93036426702332808</v>
      </c>
      <c r="F16" s="28">
        <f t="shared" ref="F16:BQ16" si="8">F14/F15</f>
        <v>6.7955910653851814E-2</v>
      </c>
      <c r="G16" s="28">
        <f t="shared" si="8"/>
        <v>-0.63845922470499405</v>
      </c>
      <c r="H16" s="28">
        <f t="shared" si="8"/>
        <v>0.73780450656553742</v>
      </c>
      <c r="I16" s="28">
        <f t="shared" si="8"/>
        <v>1.6379661578913836</v>
      </c>
      <c r="J16" s="28">
        <f t="shared" si="8"/>
        <v>0.8828639826150374</v>
      </c>
      <c r="K16" s="28">
        <f t="shared" si="8"/>
        <v>0.35935535537591662</v>
      </c>
      <c r="L16" s="28">
        <f t="shared" si="8"/>
        <v>0.76863124501519009</v>
      </c>
      <c r="M16" s="28">
        <f t="shared" si="8"/>
        <v>0.92935462180891093</v>
      </c>
      <c r="N16" s="28">
        <f t="shared" si="8"/>
        <v>0.64976156471425328</v>
      </c>
      <c r="O16" s="28">
        <f t="shared" si="8"/>
        <v>0.42786220223838678</v>
      </c>
      <c r="P16" s="28">
        <f t="shared" si="8"/>
        <v>1.2533546356092515</v>
      </c>
      <c r="Q16" s="28">
        <f t="shared" si="8"/>
        <v>1.3995570157747532</v>
      </c>
      <c r="R16" s="28">
        <f t="shared" si="8"/>
        <v>1.283477160021103</v>
      </c>
      <c r="S16" s="28">
        <f t="shared" si="8"/>
        <v>0.60539941337211967</v>
      </c>
      <c r="T16" s="28">
        <f t="shared" si="8"/>
        <v>1.833336702294428</v>
      </c>
      <c r="U16" s="28">
        <f t="shared" si="8"/>
        <v>1.3379553798062613</v>
      </c>
      <c r="V16" s="28">
        <f t="shared" si="8"/>
        <v>0.80586013339831442</v>
      </c>
      <c r="W16" s="28">
        <f t="shared" si="8"/>
        <v>-0.51196204444388815</v>
      </c>
      <c r="X16" s="28">
        <f t="shared" si="8"/>
        <v>0.47014268853339647</v>
      </c>
      <c r="Y16" s="28">
        <f t="shared" si="8"/>
        <v>0.67979319347627942</v>
      </c>
      <c r="Z16" s="28">
        <f t="shared" si="8"/>
        <v>8.5350330930684351E-2</v>
      </c>
      <c r="AA16" s="28">
        <f t="shared" si="8"/>
        <v>-1.2800061474768536</v>
      </c>
      <c r="AB16" s="28">
        <f t="shared" si="8"/>
        <v>0.41300010240992024</v>
      </c>
      <c r="AC16" s="28">
        <f t="shared" si="8"/>
        <v>0.87129678102675301</v>
      </c>
      <c r="AD16" s="28">
        <f t="shared" si="8"/>
        <v>0.79176637880553979</v>
      </c>
      <c r="AE16" s="28">
        <f t="shared" si="8"/>
        <v>0.33578758795769209</v>
      </c>
      <c r="AF16" s="28">
        <f t="shared" si="8"/>
        <v>1.4747582525464804</v>
      </c>
      <c r="AG16" s="28">
        <f t="shared" si="8"/>
        <v>0.67164273105904893</v>
      </c>
      <c r="AH16" s="28">
        <f t="shared" si="8"/>
        <v>5.0106472697068983E-3</v>
      </c>
      <c r="AI16" s="28">
        <f t="shared" si="8"/>
        <v>-0.46274178657687443</v>
      </c>
      <c r="AJ16" s="28">
        <f t="shared" si="8"/>
        <v>1.2716333893349954</v>
      </c>
      <c r="AK16" s="28">
        <f t="shared" si="8"/>
        <v>0.92747852089004812</v>
      </c>
      <c r="AL16" s="28">
        <f t="shared" si="8"/>
        <v>0.89018074221073229</v>
      </c>
      <c r="AM16" s="28">
        <f t="shared" si="8"/>
        <v>0.45495318315424726</v>
      </c>
      <c r="AN16" s="28">
        <f t="shared" si="8"/>
        <v>1.5552648226283443</v>
      </c>
      <c r="AO16" s="28">
        <f t="shared" si="8"/>
        <v>0.97118347936958871</v>
      </c>
      <c r="AP16" s="28">
        <f t="shared" si="8"/>
        <v>0.40955871503309443</v>
      </c>
      <c r="AQ16" s="28">
        <f t="shared" si="8"/>
        <v>0.50687386976473758</v>
      </c>
      <c r="AR16" s="28">
        <f t="shared" si="8"/>
        <v>0.33535936998966392</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409116925.75999999</v>
      </c>
      <c r="F17" s="26">
        <f>股权价值增加表!F42</f>
        <v>310919933.17000008</v>
      </c>
      <c r="G17" s="26">
        <f>股权价值增加表!G42</f>
        <v>165566023.43999976</v>
      </c>
      <c r="H17" s="26">
        <f>股权价值增加表!H42</f>
        <v>125379847.31999998</v>
      </c>
      <c r="I17" s="26">
        <f>股权价值增加表!I42</f>
        <v>347033272.61999971</v>
      </c>
      <c r="J17" s="26">
        <f>股权价值增加表!J42</f>
        <v>271441166.31000006</v>
      </c>
      <c r="K17" s="26">
        <f>股权价值增加表!K42</f>
        <v>159643588.96000019</v>
      </c>
      <c r="L17" s="26">
        <f>股权价值增加表!L42</f>
        <v>113830763.40000001</v>
      </c>
      <c r="M17" s="26">
        <f>股权价值增加表!M42</f>
        <v>424447290.04999995</v>
      </c>
      <c r="N17" s="26">
        <f>股权价值增加表!N42</f>
        <v>332138634.56999999</v>
      </c>
      <c r="O17" s="26">
        <f>股权价值增加表!O42</f>
        <v>187205834.47999993</v>
      </c>
      <c r="P17" s="26">
        <f>股权价值增加表!P42</f>
        <v>118405557.65999994</v>
      </c>
      <c r="Q17" s="26">
        <f>股权价值增加表!Q42</f>
        <v>396850889.44000012</v>
      </c>
      <c r="R17" s="26">
        <f>股权价值增加表!R42</f>
        <v>276893539.67000008</v>
      </c>
      <c r="S17" s="26">
        <f>股权价值增加表!S42</f>
        <v>157607109.34999999</v>
      </c>
      <c r="T17" s="26">
        <f>股权价值增加表!T42</f>
        <v>98967715.520000026</v>
      </c>
      <c r="U17" s="26">
        <f>股权价值增加表!U42</f>
        <v>330567230.81</v>
      </c>
      <c r="V17" s="26">
        <f>股权价值增加表!V42</f>
        <v>236719062.20000002</v>
      </c>
      <c r="W17" s="26">
        <f>股权价值增加表!W42</f>
        <v>136742523.95999995</v>
      </c>
      <c r="X17" s="26">
        <f>股权价值增加表!X42</f>
        <v>85675411.339999914</v>
      </c>
      <c r="Y17" s="26">
        <f>股权价值增加表!Y42</f>
        <v>381078698.31000006</v>
      </c>
      <c r="Z17" s="26">
        <f>股权价值增加表!Z42</f>
        <v>253289668.10000014</v>
      </c>
      <c r="AA17" s="26">
        <f>股权价值增加表!AA42</f>
        <v>133778390.80000001</v>
      </c>
      <c r="AB17" s="26">
        <f>股权价值增加表!AB42</f>
        <v>106341388.36999996</v>
      </c>
      <c r="AC17" s="26">
        <f>股权价值增加表!AC42</f>
        <v>372076760.74000007</v>
      </c>
      <c r="AD17" s="26">
        <f>股权价值增加表!AD42</f>
        <v>279561185.24999988</v>
      </c>
      <c r="AE17" s="26">
        <f>股权价值增加表!AE42</f>
        <v>162127978.39000005</v>
      </c>
      <c r="AF17" s="26">
        <f>股权价值增加表!AF42</f>
        <v>88671221.550000027</v>
      </c>
      <c r="AG17" s="26">
        <f>股权价值增加表!AG42</f>
        <v>210741023.48000026</v>
      </c>
      <c r="AH17" s="26">
        <f>股权价值增加表!AH42</f>
        <v>144248245.18000013</v>
      </c>
      <c r="AI17" s="26">
        <f>股权价值增加表!AI42</f>
        <v>77337776.939999968</v>
      </c>
      <c r="AJ17" s="26">
        <f>股权价值增加表!AJ42</f>
        <v>50165119.959999979</v>
      </c>
      <c r="AK17" s="26">
        <f>股权价值增加表!AK42</f>
        <v>145440527.06999987</v>
      </c>
      <c r="AL17" s="26">
        <f>股权价值增加表!AL42</f>
        <v>101662169.32999998</v>
      </c>
      <c r="AM17" s="26">
        <f>股权价值增加表!AM42</f>
        <v>51051582.179999992</v>
      </c>
      <c r="AN17" s="26">
        <f>股权价值增加表!AN42</f>
        <v>33777696.210000038</v>
      </c>
      <c r="AO17" s="26">
        <f>股权价值增加表!AO42</f>
        <v>110229793.30999994</v>
      </c>
      <c r="AP17" s="26">
        <f>股权价值增加表!AP42</f>
        <v>84100158.340000093</v>
      </c>
      <c r="AQ17" s="26">
        <f>股权价值增加表!AQ42</f>
        <v>85138294.759999961</v>
      </c>
      <c r="AR17" s="26">
        <f>股权价值增加表!AR42</f>
        <v>49517218.419999912</v>
      </c>
      <c r="AS17" s="26">
        <f>股权价值增加表!AS42</f>
        <v>0</v>
      </c>
      <c r="AT17" s="26">
        <f>股权价值增加表!AT42</f>
        <v>-606675948.97000003</v>
      </c>
      <c r="AU17" s="26">
        <f>股权价值增加表!AU42</f>
        <v>-525244177.46999997</v>
      </c>
      <c r="AV17" s="26">
        <f>股权价值增加表!AV42</f>
        <v>-370504198.70999998</v>
      </c>
      <c r="AW17" s="26">
        <f>股权价值增加表!AW42</f>
        <v>-550836582.15999997</v>
      </c>
      <c r="AX17" s="26">
        <f>股权价值增加表!AX42</f>
        <v>-497364124.85000002</v>
      </c>
      <c r="AY17" s="26">
        <f>股权价值增加表!AY42</f>
        <v>-393993423.18000001</v>
      </c>
      <c r="AZ17" s="26">
        <f>股权价值增加表!AZ42</f>
        <v>-277925918.08999997</v>
      </c>
      <c r="BA17" s="26">
        <f>股权价值增加表!BA42</f>
        <v>-375599127.04999995</v>
      </c>
      <c r="BB17" s="26">
        <f>股权价值增加表!BB42</f>
        <v>-376909155.56</v>
      </c>
      <c r="BC17" s="26">
        <f>股权价值增加表!BC42</f>
        <v>-331126120.21999997</v>
      </c>
      <c r="BD17" s="26">
        <f>股权价值增加表!BD42</f>
        <v>-232460368.78999999</v>
      </c>
      <c r="BE17" s="26">
        <f>股权价值增加表!BE42</f>
        <v>-415071515.56999999</v>
      </c>
      <c r="BF17" s="26">
        <f>股权价值增加表!BF42</f>
        <v>-341885591.56999999</v>
      </c>
      <c r="BG17" s="26">
        <f>股权价值增加表!BG42</f>
        <v>-266868592.27000001</v>
      </c>
      <c r="BH17" s="26">
        <f>股权价值增加表!BH42</f>
        <v>-190592880.15000001</v>
      </c>
      <c r="BI17" s="26">
        <f>股权价值增加表!BI42</f>
        <v>-355643656.85000002</v>
      </c>
      <c r="BJ17" s="26">
        <f>股权价值增加表!BJ42</f>
        <v>-291496615.11000001</v>
      </c>
      <c r="BK17" s="26">
        <f>股权价值增加表!BK42</f>
        <v>-237870081.79999998</v>
      </c>
      <c r="BL17" s="26">
        <f>股权价值增加表!BL42</f>
        <v>-204685096.5</v>
      </c>
      <c r="BM17" s="26">
        <f>股权价值增加表!BM42</f>
        <v>-223212941.22</v>
      </c>
      <c r="BN17" s="26">
        <f>股权价值增加表!BN42</f>
        <v>-167173236.28999999</v>
      </c>
      <c r="BO17" s="26">
        <f>股权价值增加表!BO42</f>
        <v>-113551397.55</v>
      </c>
      <c r="BP17" s="26">
        <f>股权价值增加表!BP42</f>
        <v>-114049159.08</v>
      </c>
      <c r="BQ17" s="26">
        <f>股权价值增加表!BQ42</f>
        <v>-79004755.060000002</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0.97363340802886267</v>
      </c>
      <c r="F18" s="28">
        <f t="shared" ref="F18:BQ18" si="10">F14/F17</f>
        <v>7.0944088965629287E-2</v>
      </c>
      <c r="G18" s="28">
        <f t="shared" si="10"/>
        <v>-0.65259487505391378</v>
      </c>
      <c r="H18" s="28">
        <f t="shared" si="10"/>
        <v>0.72736732273443017</v>
      </c>
      <c r="I18" s="28">
        <f t="shared" si="10"/>
        <v>1.456189203631066</v>
      </c>
      <c r="J18" s="28">
        <f t="shared" si="10"/>
        <v>0.82010719407890664</v>
      </c>
      <c r="K18" s="28">
        <f t="shared" si="10"/>
        <v>0.32759217736644358</v>
      </c>
      <c r="L18" s="28">
        <f t="shared" si="10"/>
        <v>0.70645305581777373</v>
      </c>
      <c r="M18" s="28">
        <f t="shared" si="10"/>
        <v>0.79987311819096862</v>
      </c>
      <c r="N18" s="28">
        <f t="shared" si="10"/>
        <v>0.57399528433907721</v>
      </c>
      <c r="O18" s="28">
        <f t="shared" si="10"/>
        <v>0.3770626288762452</v>
      </c>
      <c r="P18" s="28">
        <f t="shared" si="10"/>
        <v>1.2049703559497604</v>
      </c>
      <c r="Q18" s="28">
        <f t="shared" si="10"/>
        <v>1.2801213846764155</v>
      </c>
      <c r="R18" s="28">
        <f t="shared" si="10"/>
        <v>1.1593550360278795</v>
      </c>
      <c r="S18" s="28">
        <f t="shared" si="10"/>
        <v>0.53450490055574396</v>
      </c>
      <c r="T18" s="28">
        <f t="shared" si="10"/>
        <v>1.6770242446028725</v>
      </c>
      <c r="U18" s="28">
        <f t="shared" si="10"/>
        <v>1.2513936661730538</v>
      </c>
      <c r="V18" s="28">
        <f t="shared" si="10"/>
        <v>0.74614160772896132</v>
      </c>
      <c r="W18" s="28">
        <f t="shared" si="10"/>
        <v>-0.46566268301897468</v>
      </c>
      <c r="X18" s="28">
        <f t="shared" si="10"/>
        <v>0.43637224701067934</v>
      </c>
      <c r="Y18" s="28">
        <f t="shared" si="10"/>
        <v>0.64658270447213329</v>
      </c>
      <c r="Z18" s="28">
        <f t="shared" si="10"/>
        <v>8.0608101756204198E-2</v>
      </c>
      <c r="AA18" s="28">
        <f t="shared" si="10"/>
        <v>-1.1791017320265149</v>
      </c>
      <c r="AB18" s="28">
        <f t="shared" si="10"/>
        <v>0.39887320092546591</v>
      </c>
      <c r="AC18" s="28">
        <f t="shared" si="10"/>
        <v>0.82320623698945161</v>
      </c>
      <c r="AD18" s="28">
        <f t="shared" si="10"/>
        <v>0.75111654052482635</v>
      </c>
      <c r="AE18" s="28">
        <f t="shared" si="10"/>
        <v>0.32319470180497811</v>
      </c>
      <c r="AF18" s="28">
        <f t="shared" si="10"/>
        <v>1.4061684327839279</v>
      </c>
      <c r="AG18" s="28">
        <f t="shared" si="10"/>
        <v>0.62724888508736321</v>
      </c>
      <c r="AH18" s="28">
        <f t="shared" si="10"/>
        <v>4.7139048322667396E-3</v>
      </c>
      <c r="AI18" s="28">
        <f t="shared" si="10"/>
        <v>-0.44928130849890979</v>
      </c>
      <c r="AJ18" s="28">
        <f t="shared" si="10"/>
        <v>1.2266108794131152</v>
      </c>
      <c r="AK18" s="28">
        <f t="shared" si="10"/>
        <v>0.92275171166979819</v>
      </c>
      <c r="AL18" s="28">
        <f t="shared" si="10"/>
        <v>0.88481403360586752</v>
      </c>
      <c r="AM18" s="28">
        <f t="shared" si="10"/>
        <v>0.45364800993519383</v>
      </c>
      <c r="AN18" s="28">
        <f t="shared" si="10"/>
        <v>1.555143193112398</v>
      </c>
      <c r="AO18" s="28">
        <f t="shared" si="10"/>
        <v>0.98266660326009503</v>
      </c>
      <c r="AP18" s="28">
        <f t="shared" si="10"/>
        <v>0.41294018412664929</v>
      </c>
      <c r="AQ18" s="28">
        <f t="shared" si="10"/>
        <v>0.51800707172162319</v>
      </c>
      <c r="AR18" s="28">
        <f t="shared" si="10"/>
        <v>0.34443382330844646</v>
      </c>
      <c r="AS18" s="28" t="e">
        <f t="shared" si="10"/>
        <v>#DIV/0!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65575512.200000003</v>
      </c>
      <c r="F19" s="26">
        <f>现金流量表!F48</f>
        <v>0</v>
      </c>
      <c r="G19" s="26">
        <f>现金流量表!G48</f>
        <v>26957049.120000001</v>
      </c>
      <c r="H19" s="26">
        <f>现金流量表!H48</f>
        <v>0</v>
      </c>
      <c r="I19" s="26">
        <f>现金流量表!I48</f>
        <v>48551810.390000001</v>
      </c>
      <c r="J19" s="26">
        <f>现金流量表!J48</f>
        <v>0</v>
      </c>
      <c r="K19" s="26">
        <f>现金流量表!K48</f>
        <v>6649353.46</v>
      </c>
      <c r="L19" s="26">
        <f>现金流量表!L48</f>
        <v>0</v>
      </c>
      <c r="M19" s="26">
        <f>现金流量表!M48</f>
        <v>31301733.23</v>
      </c>
      <c r="N19" s="26">
        <f>现金流量表!N48</f>
        <v>0</v>
      </c>
      <c r="O19" s="26">
        <f>现金流量表!O48</f>
        <v>3336644.17</v>
      </c>
      <c r="P19" s="26">
        <f>现金流量表!P48</f>
        <v>0</v>
      </c>
      <c r="Q19" s="26">
        <f>现金流量表!Q48</f>
        <v>16020971.09</v>
      </c>
      <c r="R19" s="26">
        <f>现金流量表!R48</f>
        <v>0</v>
      </c>
      <c r="S19" s="26">
        <f>现金流量表!S48</f>
        <v>2690680.83</v>
      </c>
      <c r="T19" s="26">
        <f>现金流量表!T48</f>
        <v>0</v>
      </c>
      <c r="U19" s="26">
        <f>现金流量表!U48</f>
        <v>11326349.439999999</v>
      </c>
      <c r="V19" s="26">
        <f>现金流量表!V48</f>
        <v>0</v>
      </c>
      <c r="W19" s="26">
        <f>现金流量表!W48</f>
        <v>2314149.34</v>
      </c>
      <c r="X19" s="26">
        <f>现金流量表!X48</f>
        <v>0</v>
      </c>
      <c r="Y19" s="26">
        <f>现金流量表!Y48</f>
        <v>7773704.8799999999</v>
      </c>
      <c r="Z19" s="26">
        <f>现金流量表!Z48</f>
        <v>0</v>
      </c>
      <c r="AA19" s="26">
        <f>现金流量表!AA48</f>
        <v>1176562.18</v>
      </c>
      <c r="AB19" s="26">
        <f>现金流量表!AB48</f>
        <v>0</v>
      </c>
      <c r="AC19" s="26">
        <f>现金流量表!AC48</f>
        <v>6385375.54</v>
      </c>
      <c r="AD19" s="26">
        <f>现金流量表!AD48</f>
        <v>0</v>
      </c>
      <c r="AE19" s="26">
        <f>现金流量表!AE48</f>
        <v>1288432.1299999999</v>
      </c>
      <c r="AF19" s="26">
        <f>现金流量表!AF48</f>
        <v>0</v>
      </c>
      <c r="AG19" s="26">
        <f>现金流量表!AG48</f>
        <v>10400653.18</v>
      </c>
      <c r="AH19" s="26">
        <f>现金流量表!AH48</f>
        <v>0</v>
      </c>
      <c r="AI19" s="26">
        <f>现金流量表!AI48</f>
        <v>2759387.69</v>
      </c>
      <c r="AJ19" s="26">
        <f>现金流量表!AJ48</f>
        <v>0</v>
      </c>
      <c r="AK19" s="26">
        <f>现金流量表!AK48</f>
        <v>-348833.67</v>
      </c>
      <c r="AL19" s="26">
        <f>现金流量表!AL48</f>
        <v>0</v>
      </c>
      <c r="AM19" s="26">
        <f>现金流量表!AM48</f>
        <v>527836.24</v>
      </c>
      <c r="AN19" s="26">
        <f>现金流量表!AN48</f>
        <v>0</v>
      </c>
      <c r="AO19" s="26">
        <f>现金流量表!AO48</f>
        <v>6621635.0700000003</v>
      </c>
      <c r="AP19" s="26">
        <f>现金流量表!AP48</f>
        <v>0</v>
      </c>
      <c r="AQ19" s="26">
        <f>现金流量表!AQ48</f>
        <v>1747683.12</v>
      </c>
      <c r="AR19" s="26">
        <f>现金流量表!AR48</f>
        <v>-2139051.2400000002</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37807652.420000002</v>
      </c>
      <c r="F20" s="26">
        <f>现金流量表!F49</f>
        <v>0</v>
      </c>
      <c r="G20" s="26">
        <f>现金流量表!G49</f>
        <v>24188662.149999999</v>
      </c>
      <c r="H20" s="26">
        <f>现金流量表!H49</f>
        <v>0</v>
      </c>
      <c r="I20" s="26">
        <f>现金流量表!I49</f>
        <v>35440637.75</v>
      </c>
      <c r="J20" s="26">
        <f>现金流量表!J49</f>
        <v>0</v>
      </c>
      <c r="K20" s="26">
        <f>现金流量表!K49</f>
        <v>24114191.109999999</v>
      </c>
      <c r="L20" s="26">
        <f>现金流量表!L49</f>
        <v>0</v>
      </c>
      <c r="M20" s="26">
        <f>现金流量表!M49</f>
        <v>34959961.5</v>
      </c>
      <c r="N20" s="26">
        <f>现金流量表!N49</f>
        <v>0</v>
      </c>
      <c r="O20" s="26">
        <f>现金流量表!O49</f>
        <v>17224346.050000001</v>
      </c>
      <c r="P20" s="26">
        <f>现金流量表!P49</f>
        <v>0</v>
      </c>
      <c r="Q20" s="26">
        <f>现金流量表!Q49</f>
        <v>32829402.239999998</v>
      </c>
      <c r="R20" s="26">
        <f>现金流量表!R49</f>
        <v>0</v>
      </c>
      <c r="S20" s="26">
        <f>现金流量表!S49</f>
        <v>16304147.16</v>
      </c>
      <c r="T20" s="26">
        <f>现金流量表!T49</f>
        <v>0</v>
      </c>
      <c r="U20" s="26">
        <f>现金流量表!U49</f>
        <v>27484041.66</v>
      </c>
      <c r="V20" s="26">
        <f>现金流量表!V49</f>
        <v>0</v>
      </c>
      <c r="W20" s="26">
        <f>现金流量表!W49</f>
        <v>13633692.060000001</v>
      </c>
      <c r="X20" s="26">
        <f>现金流量表!X49</f>
        <v>0</v>
      </c>
      <c r="Y20" s="26">
        <f>现金流量表!Y49</f>
        <v>22381991.079999998</v>
      </c>
      <c r="Z20" s="26">
        <f>现金流量表!Z49</f>
        <v>0</v>
      </c>
      <c r="AA20" s="26">
        <f>现金流量表!AA49</f>
        <v>10454383.35</v>
      </c>
      <c r="AB20" s="26">
        <f>现金流量表!AB49</f>
        <v>0</v>
      </c>
      <c r="AC20" s="26">
        <f>现金流量表!AC49</f>
        <v>11203316.279999999</v>
      </c>
      <c r="AD20" s="26">
        <f>现金流量表!AD49</f>
        <v>0</v>
      </c>
      <c r="AE20" s="26">
        <f>现金流量表!AE49</f>
        <v>4861813.6900000004</v>
      </c>
      <c r="AF20" s="26">
        <f>现金流量表!AF49</f>
        <v>0</v>
      </c>
      <c r="AG20" s="26">
        <f>现金流量表!AG49</f>
        <v>7957339.1600000001</v>
      </c>
      <c r="AH20" s="26">
        <f>现金流量表!AH49</f>
        <v>0</v>
      </c>
      <c r="AI20" s="26">
        <f>现金流量表!AI49</f>
        <v>3978568.6</v>
      </c>
      <c r="AJ20" s="26">
        <f>现金流量表!AJ49</f>
        <v>0</v>
      </c>
      <c r="AK20" s="26">
        <f>现金流量表!AK49</f>
        <v>7885187.7300000004</v>
      </c>
      <c r="AL20" s="26">
        <f>现金流量表!AL49</f>
        <v>0</v>
      </c>
      <c r="AM20" s="26">
        <f>现金流量表!AM49</f>
        <v>3958009.57</v>
      </c>
      <c r="AN20" s="26">
        <f>现金流量表!AN49</f>
        <v>0</v>
      </c>
      <c r="AO20" s="26">
        <f>现金流量表!AO49</f>
        <v>6177331.71</v>
      </c>
      <c r="AP20" s="26">
        <f>现金流量表!AP49</f>
        <v>0</v>
      </c>
      <c r="AQ20" s="26">
        <f>现金流量表!AQ49</f>
        <v>5055507.91</v>
      </c>
      <c r="AR20" s="26">
        <f>现金流量表!AR49</f>
        <v>5767930.5800000001</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25971884.399999999</v>
      </c>
      <c r="F21" s="26">
        <f>现金流量表!F50</f>
        <v>0</v>
      </c>
      <c r="G21" s="26">
        <f>现金流量表!G50</f>
        <v>8416974.0999999996</v>
      </c>
      <c r="H21" s="26">
        <f>现金流量表!H50</f>
        <v>0</v>
      </c>
      <c r="I21" s="26">
        <f>现金流量表!I50</f>
        <v>7090984.5700000003</v>
      </c>
      <c r="J21" s="26">
        <f>现金流量表!J50</f>
        <v>0</v>
      </c>
      <c r="K21" s="26">
        <f>现金流量表!K50</f>
        <v>3264639.28</v>
      </c>
      <c r="L21" s="26">
        <f>现金流量表!L50</f>
        <v>0</v>
      </c>
      <c r="M21" s="26">
        <f>现金流量表!M50</f>
        <v>5117837.59</v>
      </c>
      <c r="N21" s="26">
        <f>现金流量表!N50</f>
        <v>0</v>
      </c>
      <c r="O21" s="26">
        <f>现金流量表!O50</f>
        <v>2391488.0299999998</v>
      </c>
      <c r="P21" s="26">
        <f>现金流量表!P50</f>
        <v>0</v>
      </c>
      <c r="Q21" s="26">
        <f>现金流量表!Q50</f>
        <v>5055901.84</v>
      </c>
      <c r="R21" s="26">
        <f>现金流量表!R50</f>
        <v>0</v>
      </c>
      <c r="S21" s="26">
        <f>现金流量表!S50</f>
        <v>2494246.64</v>
      </c>
      <c r="T21" s="26">
        <f>现金流量表!T50</f>
        <v>0</v>
      </c>
      <c r="U21" s="26">
        <f>现金流量表!U50</f>
        <v>4350113.88</v>
      </c>
      <c r="V21" s="26">
        <f>现金流量表!V50</f>
        <v>0</v>
      </c>
      <c r="W21" s="26">
        <f>现金流量表!W50</f>
        <v>2003224.18</v>
      </c>
      <c r="X21" s="26">
        <f>现金流量表!X50</f>
        <v>0</v>
      </c>
      <c r="Y21" s="26">
        <f>现金流量表!Y50</f>
        <v>3599842.27</v>
      </c>
      <c r="Z21" s="26">
        <f>现金流量表!Z50</f>
        <v>0</v>
      </c>
      <c r="AA21" s="26">
        <f>现金流量表!AA50</f>
        <v>1780235.23</v>
      </c>
      <c r="AB21" s="26">
        <f>现金流量表!AB50</f>
        <v>0</v>
      </c>
      <c r="AC21" s="26">
        <f>现金流量表!AC50</f>
        <v>2025721.79</v>
      </c>
      <c r="AD21" s="26">
        <f>现金流量表!AD50</f>
        <v>0</v>
      </c>
      <c r="AE21" s="26">
        <f>现金流量表!AE50</f>
        <v>690884.18</v>
      </c>
      <c r="AF21" s="26">
        <f>现金流量表!AF50</f>
        <v>0</v>
      </c>
      <c r="AG21" s="26">
        <f>现金流量表!AG50</f>
        <v>822758.43</v>
      </c>
      <c r="AH21" s="26">
        <f>现金流量表!AH50</f>
        <v>0</v>
      </c>
      <c r="AI21" s="26">
        <f>现金流量表!AI50</f>
        <v>344885.94</v>
      </c>
      <c r="AJ21" s="26">
        <f>现金流量表!AJ50</f>
        <v>0</v>
      </c>
      <c r="AK21" s="26">
        <f>现金流量表!AK50</f>
        <v>516614.44</v>
      </c>
      <c r="AL21" s="26">
        <f>现金流量表!AL50</f>
        <v>0</v>
      </c>
      <c r="AM21" s="26">
        <f>现金流量表!AM50</f>
        <v>255674.06</v>
      </c>
      <c r="AN21" s="26">
        <f>现金流量表!AN50</f>
        <v>0</v>
      </c>
      <c r="AO21" s="26">
        <f>现金流量表!AO50</f>
        <v>480260.76</v>
      </c>
      <c r="AP21" s="26">
        <f>现金流量表!AP50</f>
        <v>0</v>
      </c>
      <c r="AQ21" s="26">
        <f>现金流量表!AQ50</f>
        <v>480260.76</v>
      </c>
      <c r="AR21" s="26">
        <f>现金流量表!AR50</f>
        <v>216882.08</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44118084.619999997</v>
      </c>
      <c r="F22" s="26">
        <f>现金流量表!F51</f>
        <v>0</v>
      </c>
      <c r="G22" s="26">
        <f>现金流量表!G51</f>
        <v>18143207.620000001</v>
      </c>
      <c r="H22" s="26">
        <f>现金流量表!H51</f>
        <v>0</v>
      </c>
      <c r="I22" s="26">
        <f>现金流量表!I51</f>
        <v>31691698.710000001</v>
      </c>
      <c r="J22" s="26">
        <f>现金流量表!J51</f>
        <v>0</v>
      </c>
      <c r="K22" s="26">
        <f>现金流量表!K51</f>
        <v>16703937.890000001</v>
      </c>
      <c r="L22" s="26">
        <f>现金流量表!L51</f>
        <v>0</v>
      </c>
      <c r="M22" s="26">
        <f>现金流量表!M51</f>
        <v>27324656.59</v>
      </c>
      <c r="N22" s="26">
        <f>现金流量表!N51</f>
        <v>0</v>
      </c>
      <c r="O22" s="26">
        <f>现金流量表!O51</f>
        <v>11520338.15</v>
      </c>
      <c r="P22" s="26">
        <f>现金流量表!P51</f>
        <v>0</v>
      </c>
      <c r="Q22" s="26">
        <f>现金流量表!Q51</f>
        <v>23465747.539999999</v>
      </c>
      <c r="R22" s="26">
        <f>现金流量表!R51</f>
        <v>0</v>
      </c>
      <c r="S22" s="26">
        <f>现金流量表!S51</f>
        <v>11528436.73</v>
      </c>
      <c r="T22" s="26">
        <f>现金流量表!T51</f>
        <v>0</v>
      </c>
      <c r="U22" s="26">
        <f>现金流量表!U51</f>
        <v>16426474.23</v>
      </c>
      <c r="V22" s="26">
        <f>现金流量表!V51</f>
        <v>0</v>
      </c>
      <c r="W22" s="26">
        <f>现金流量表!W51</f>
        <v>7062238.1299999999</v>
      </c>
      <c r="X22" s="26">
        <f>现金流量表!X51</f>
        <v>0</v>
      </c>
      <c r="Y22" s="26">
        <f>现金流量表!Y51</f>
        <v>14567104.789999999</v>
      </c>
      <c r="Z22" s="26">
        <f>现金流量表!Z51</f>
        <v>0</v>
      </c>
      <c r="AA22" s="26">
        <f>现金流量表!AA51</f>
        <v>5027600.82</v>
      </c>
      <c r="AB22" s="26">
        <f>现金流量表!AB51</f>
        <v>0</v>
      </c>
      <c r="AC22" s="26">
        <f>现金流量表!AC51</f>
        <v>4795014.71</v>
      </c>
      <c r="AD22" s="26">
        <f>现金流量表!AD51</f>
        <v>0</v>
      </c>
      <c r="AE22" s="26">
        <f>现金流量表!AE51</f>
        <v>391855.77</v>
      </c>
      <c r="AF22" s="26">
        <f>现金流量表!AF51</f>
        <v>0</v>
      </c>
      <c r="AG22" s="26">
        <f>现金流量表!AG51</f>
        <v>3267896.07</v>
      </c>
      <c r="AH22" s="26">
        <f>现金流量表!AH51</f>
        <v>0</v>
      </c>
      <c r="AI22" s="26">
        <f>现金流量表!AI51</f>
        <v>-291810.57</v>
      </c>
      <c r="AJ22" s="26">
        <f>现金流量表!AJ51</f>
        <v>0</v>
      </c>
      <c r="AK22" s="26">
        <f>现金流量表!AK51</f>
        <v>-4663144.5199999996</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400460.26</v>
      </c>
      <c r="F23" s="26">
        <f>现金流量表!F54</f>
        <v>0</v>
      </c>
      <c r="G23" s="26">
        <f>现金流量表!G54</f>
        <v>567133.53</v>
      </c>
      <c r="H23" s="26">
        <f>现金流量表!H54</f>
        <v>0</v>
      </c>
      <c r="I23" s="26">
        <f>现金流量表!I54</f>
        <v>315541.44</v>
      </c>
      <c r="J23" s="26">
        <f>现金流量表!J54</f>
        <v>0</v>
      </c>
      <c r="K23" s="26">
        <f>现金流量表!K54</f>
        <v>271326.99</v>
      </c>
      <c r="L23" s="26">
        <f>现金流量表!L54</f>
        <v>0</v>
      </c>
      <c r="M23" s="26">
        <f>现金流量表!M54</f>
        <v>262905.48</v>
      </c>
      <c r="N23" s="26">
        <f>现金流量表!N54</f>
        <v>0</v>
      </c>
      <c r="O23" s="26">
        <f>现金流量表!O54</f>
        <v>211459.86</v>
      </c>
      <c r="P23" s="26">
        <f>现金流量表!P54</f>
        <v>0</v>
      </c>
      <c r="Q23" s="26">
        <f>现金流量表!Q54</f>
        <v>708521.66</v>
      </c>
      <c r="R23" s="26">
        <f>现金流量表!R54</f>
        <v>0</v>
      </c>
      <c r="S23" s="26">
        <f>现金流量表!S54</f>
        <v>-156539.56</v>
      </c>
      <c r="T23" s="26">
        <f>现金流量表!T54</f>
        <v>0</v>
      </c>
      <c r="U23" s="26">
        <f>现金流量表!U54</f>
        <v>94529.15</v>
      </c>
      <c r="V23" s="26">
        <f>现金流量表!V54</f>
        <v>0</v>
      </c>
      <c r="W23" s="26">
        <f>现金流量表!W54</f>
        <v>-49124.82</v>
      </c>
      <c r="X23" s="26">
        <f>现金流量表!X54</f>
        <v>0</v>
      </c>
      <c r="Y23" s="26">
        <f>现金流量表!Y54</f>
        <v>442631.58</v>
      </c>
      <c r="Z23" s="26">
        <f>现金流量表!Z54</f>
        <v>0</v>
      </c>
      <c r="AA23" s="26">
        <f>现金流量表!AA54</f>
        <v>355433.64</v>
      </c>
      <c r="AB23" s="26">
        <f>现金流量表!AB54</f>
        <v>0</v>
      </c>
      <c r="AC23" s="26">
        <f>现金流量表!AC54</f>
        <v>122008.88</v>
      </c>
      <c r="AD23" s="26">
        <f>现金流量表!AD54</f>
        <v>0</v>
      </c>
      <c r="AE23" s="26">
        <f>现金流量表!AE54</f>
        <v>-166311.64000000001</v>
      </c>
      <c r="AF23" s="26">
        <f>现金流量表!AF54</f>
        <v>0</v>
      </c>
      <c r="AG23" s="26">
        <f>现金流量表!AG54</f>
        <v>92121.38</v>
      </c>
      <c r="AH23" s="26">
        <f>现金流量表!AH54</f>
        <v>0</v>
      </c>
      <c r="AI23" s="26">
        <f>现金流量表!AI54</f>
        <v>10876.46</v>
      </c>
      <c r="AJ23" s="26">
        <f>现金流量表!AJ54</f>
        <v>0</v>
      </c>
      <c r="AK23" s="26">
        <f>现金流量表!AK54</f>
        <v>196954.43</v>
      </c>
      <c r="AL23" s="26">
        <f>现金流量表!AL54</f>
        <v>0</v>
      </c>
      <c r="AM23" s="26">
        <f>现金流量表!AM54</f>
        <v>14468.98</v>
      </c>
      <c r="AN23" s="26">
        <f>现金流量表!AN54</f>
        <v>0</v>
      </c>
      <c r="AO23" s="26">
        <f>现金流量表!AO54</f>
        <v>90111.08</v>
      </c>
      <c r="AP23" s="26">
        <f>现金流量表!AP54</f>
        <v>0</v>
      </c>
      <c r="AQ23" s="26">
        <f>现金流量表!AQ54</f>
        <v>0</v>
      </c>
      <c r="AR23" s="26">
        <f>现金流量表!AR54</f>
        <v>189932.79999999999</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2060.88</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1516529.05</v>
      </c>
      <c r="AR24" s="26">
        <f>现金流量表!AR55</f>
        <v>15552.35</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173873593.90000001</v>
      </c>
      <c r="F25" s="28">
        <f t="shared" ref="F25:BQ25" si="12">SUM(F19:F24)</f>
        <v>0</v>
      </c>
      <c r="G25" s="28">
        <f t="shared" si="12"/>
        <v>78273026.519999996</v>
      </c>
      <c r="H25" s="28">
        <f t="shared" si="12"/>
        <v>0</v>
      </c>
      <c r="I25" s="28">
        <f t="shared" si="12"/>
        <v>123090672.86000001</v>
      </c>
      <c r="J25" s="28">
        <f t="shared" si="12"/>
        <v>0</v>
      </c>
      <c r="K25" s="28">
        <f t="shared" si="12"/>
        <v>51003448.730000004</v>
      </c>
      <c r="L25" s="28">
        <f t="shared" si="12"/>
        <v>0</v>
      </c>
      <c r="M25" s="28">
        <f t="shared" si="12"/>
        <v>98967094.390000015</v>
      </c>
      <c r="N25" s="28">
        <f t="shared" si="12"/>
        <v>0</v>
      </c>
      <c r="O25" s="28">
        <f t="shared" si="12"/>
        <v>34684276.259999998</v>
      </c>
      <c r="P25" s="28">
        <f t="shared" si="12"/>
        <v>0</v>
      </c>
      <c r="Q25" s="28">
        <f t="shared" si="12"/>
        <v>78080544.370000005</v>
      </c>
      <c r="R25" s="28">
        <f t="shared" si="12"/>
        <v>0</v>
      </c>
      <c r="S25" s="28">
        <f t="shared" si="12"/>
        <v>32860971.800000004</v>
      </c>
      <c r="T25" s="28">
        <f t="shared" si="12"/>
        <v>0</v>
      </c>
      <c r="U25" s="28">
        <f t="shared" si="12"/>
        <v>59681508.360000007</v>
      </c>
      <c r="V25" s="28">
        <f t="shared" si="12"/>
        <v>0</v>
      </c>
      <c r="W25" s="28">
        <f t="shared" si="12"/>
        <v>24964178.890000001</v>
      </c>
      <c r="X25" s="28">
        <f t="shared" si="12"/>
        <v>0</v>
      </c>
      <c r="Y25" s="28">
        <f t="shared" si="12"/>
        <v>48765274.599999994</v>
      </c>
      <c r="Z25" s="28">
        <f t="shared" si="12"/>
        <v>0</v>
      </c>
      <c r="AA25" s="28">
        <f t="shared" si="12"/>
        <v>18794215.219999999</v>
      </c>
      <c r="AB25" s="28">
        <f t="shared" si="12"/>
        <v>0</v>
      </c>
      <c r="AC25" s="28">
        <f t="shared" si="12"/>
        <v>24531437.199999999</v>
      </c>
      <c r="AD25" s="28">
        <f t="shared" si="12"/>
        <v>0</v>
      </c>
      <c r="AE25" s="28">
        <f t="shared" si="12"/>
        <v>7068735.0099999998</v>
      </c>
      <c r="AF25" s="28">
        <f t="shared" si="12"/>
        <v>0</v>
      </c>
      <c r="AG25" s="28">
        <f t="shared" si="12"/>
        <v>22540768.219999999</v>
      </c>
      <c r="AH25" s="28">
        <f t="shared" si="12"/>
        <v>0</v>
      </c>
      <c r="AI25" s="28">
        <f t="shared" si="12"/>
        <v>6801908.1200000001</v>
      </c>
      <c r="AJ25" s="28">
        <f t="shared" si="12"/>
        <v>0</v>
      </c>
      <c r="AK25" s="28">
        <f t="shared" si="12"/>
        <v>3586778.4100000015</v>
      </c>
      <c r="AL25" s="28">
        <f t="shared" si="12"/>
        <v>0</v>
      </c>
      <c r="AM25" s="28">
        <f t="shared" si="12"/>
        <v>4755988.8499999996</v>
      </c>
      <c r="AN25" s="28">
        <f t="shared" si="12"/>
        <v>0</v>
      </c>
      <c r="AO25" s="28">
        <f t="shared" si="12"/>
        <v>13369338.620000001</v>
      </c>
      <c r="AP25" s="28">
        <f t="shared" si="12"/>
        <v>0</v>
      </c>
      <c r="AQ25" s="28">
        <f t="shared" si="12"/>
        <v>8799980.8399999999</v>
      </c>
      <c r="AR25" s="28">
        <f t="shared" si="12"/>
        <v>4051246.57</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224456312.80999997</v>
      </c>
      <c r="F26" s="28">
        <f t="shared" ref="F26:BQ26" si="14">F14-F25</f>
        <v>22057931.399999999</v>
      </c>
      <c r="G26" s="28">
        <f t="shared" si="14"/>
        <v>-186320564.89999998</v>
      </c>
      <c r="H26" s="28">
        <f t="shared" si="14"/>
        <v>91197203.870000005</v>
      </c>
      <c r="I26" s="28">
        <f t="shared" si="14"/>
        <v>382255432.02999997</v>
      </c>
      <c r="J26" s="28">
        <f t="shared" si="14"/>
        <v>222610853.25999999</v>
      </c>
      <c r="K26" s="28">
        <f t="shared" si="14"/>
        <v>1294542.1799999923</v>
      </c>
      <c r="L26" s="28">
        <f t="shared" si="14"/>
        <v>80416090.650000006</v>
      </c>
      <c r="M26" s="28">
        <f t="shared" si="14"/>
        <v>240536883.00999996</v>
      </c>
      <c r="N26" s="28">
        <f t="shared" si="14"/>
        <v>190646009.99000001</v>
      </c>
      <c r="O26" s="28">
        <f t="shared" si="14"/>
        <v>35904047.830000006</v>
      </c>
      <c r="P26" s="28">
        <f t="shared" si="14"/>
        <v>142675186.96000001</v>
      </c>
      <c r="Q26" s="28">
        <f t="shared" si="14"/>
        <v>429936765.73000002</v>
      </c>
      <c r="R26" s="28">
        <f t="shared" si="14"/>
        <v>321017919.66000003</v>
      </c>
      <c r="S26" s="28">
        <f t="shared" si="14"/>
        <v>51380800.509999998</v>
      </c>
      <c r="T26" s="28">
        <f t="shared" si="14"/>
        <v>165971258.36000001</v>
      </c>
      <c r="U26" s="28">
        <f t="shared" si="14"/>
        <v>353988230.51999998</v>
      </c>
      <c r="V26" s="28">
        <f t="shared" si="14"/>
        <v>176625941.65000001</v>
      </c>
      <c r="W26" s="28">
        <f t="shared" si="14"/>
        <v>-88640069.480000004</v>
      </c>
      <c r="X26" s="28">
        <f t="shared" si="14"/>
        <v>37386371.759999998</v>
      </c>
      <c r="Y26" s="28">
        <f t="shared" si="14"/>
        <v>197633620.77000001</v>
      </c>
      <c r="Z26" s="28">
        <f t="shared" si="14"/>
        <v>20417199.34</v>
      </c>
      <c r="AA26" s="28">
        <f t="shared" si="14"/>
        <v>-176532547.52000001</v>
      </c>
      <c r="AB26" s="28">
        <f t="shared" si="14"/>
        <v>42416729.969999999</v>
      </c>
      <c r="AC26" s="28">
        <f t="shared" si="14"/>
        <v>281764472.88</v>
      </c>
      <c r="AD26" s="28">
        <f t="shared" si="14"/>
        <v>209983030.33000001</v>
      </c>
      <c r="AE26" s="28">
        <f t="shared" si="14"/>
        <v>45330168.620000005</v>
      </c>
      <c r="AF26" s="28">
        <f t="shared" si="14"/>
        <v>124686672.64</v>
      </c>
      <c r="AG26" s="28">
        <f t="shared" si="14"/>
        <v>109646303.8</v>
      </c>
      <c r="AH26" s="28">
        <f t="shared" si="14"/>
        <v>679972.5</v>
      </c>
      <c r="AI26" s="28">
        <f t="shared" si="14"/>
        <v>-41548325.739999995</v>
      </c>
      <c r="AJ26" s="28">
        <f t="shared" si="14"/>
        <v>61533081.909999996</v>
      </c>
      <c r="AK26" s="28">
        <f t="shared" si="14"/>
        <v>130618716.89</v>
      </c>
      <c r="AL26" s="28">
        <f t="shared" si="14"/>
        <v>89952114.109999999</v>
      </c>
      <c r="AM26" s="28">
        <f t="shared" si="14"/>
        <v>18403459.810000002</v>
      </c>
      <c r="AN26" s="28">
        <f t="shared" si="14"/>
        <v>52529154.340000004</v>
      </c>
      <c r="AO26" s="28">
        <f t="shared" si="14"/>
        <v>94949797.949999988</v>
      </c>
      <c r="AP26" s="28">
        <f t="shared" si="14"/>
        <v>34728334.869999997</v>
      </c>
      <c r="AQ26" s="28">
        <f t="shared" si="14"/>
        <v>35302257.920000002</v>
      </c>
      <c r="AR26" s="28">
        <f t="shared" si="14"/>
        <v>13004158.289999999</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72" x14ac:dyDescent="0.25">
      <c r="A27" s="317" t="s">
        <v>751</v>
      </c>
      <c r="E27" s="26">
        <f>E26</f>
        <v>224456312.80999997</v>
      </c>
      <c r="F27" s="193">
        <f t="shared" ref="F27:BQ27" si="16">F26</f>
        <v>22057931.399999999</v>
      </c>
      <c r="G27" s="193">
        <f t="shared" si="16"/>
        <v>-186320564.89999998</v>
      </c>
      <c r="H27" s="193">
        <f t="shared" si="16"/>
        <v>91197203.870000005</v>
      </c>
      <c r="I27" s="193">
        <f t="shared" si="16"/>
        <v>382255432.02999997</v>
      </c>
      <c r="J27" s="193">
        <f t="shared" si="16"/>
        <v>222610853.25999999</v>
      </c>
      <c r="K27" s="193">
        <f t="shared" si="16"/>
        <v>1294542.1799999923</v>
      </c>
      <c r="L27" s="193">
        <f t="shared" si="16"/>
        <v>80416090.650000006</v>
      </c>
      <c r="M27" s="193">
        <f t="shared" si="16"/>
        <v>240536883.00999996</v>
      </c>
      <c r="N27" s="193">
        <f t="shared" si="16"/>
        <v>190646009.99000001</v>
      </c>
      <c r="O27" s="193">
        <f t="shared" si="16"/>
        <v>35904047.830000006</v>
      </c>
      <c r="P27" s="193">
        <f t="shared" si="16"/>
        <v>142675186.96000001</v>
      </c>
      <c r="Q27" s="193">
        <f t="shared" si="16"/>
        <v>429936765.73000002</v>
      </c>
      <c r="R27" s="193">
        <f t="shared" si="16"/>
        <v>321017919.66000003</v>
      </c>
      <c r="S27" s="193">
        <f t="shared" si="16"/>
        <v>51380800.509999998</v>
      </c>
      <c r="T27" s="193">
        <f t="shared" si="16"/>
        <v>165971258.36000001</v>
      </c>
      <c r="U27" s="193">
        <f t="shared" si="16"/>
        <v>353988230.51999998</v>
      </c>
      <c r="V27" s="193">
        <f t="shared" si="16"/>
        <v>176625941.65000001</v>
      </c>
      <c r="W27" s="193">
        <f t="shared" si="16"/>
        <v>-88640069.480000004</v>
      </c>
      <c r="X27" s="193">
        <f t="shared" si="16"/>
        <v>37386371.759999998</v>
      </c>
      <c r="Y27" s="193">
        <f t="shared" si="16"/>
        <v>197633620.77000001</v>
      </c>
      <c r="Z27" s="193">
        <f t="shared" si="16"/>
        <v>20417199.34</v>
      </c>
      <c r="AA27" s="193">
        <f t="shared" si="16"/>
        <v>-176532547.52000001</v>
      </c>
      <c r="AB27" s="193">
        <f t="shared" si="16"/>
        <v>42416729.969999999</v>
      </c>
      <c r="AC27" s="193">
        <f t="shared" si="16"/>
        <v>281764472.88</v>
      </c>
      <c r="AD27" s="193">
        <f t="shared" si="16"/>
        <v>209983030.33000001</v>
      </c>
      <c r="AE27" s="193">
        <f t="shared" si="16"/>
        <v>45330168.620000005</v>
      </c>
      <c r="AF27" s="193">
        <f t="shared" si="16"/>
        <v>124686672.64</v>
      </c>
      <c r="AG27" s="193">
        <f t="shared" si="16"/>
        <v>109646303.8</v>
      </c>
      <c r="AH27" s="193">
        <f t="shared" si="16"/>
        <v>679972.5</v>
      </c>
      <c r="AI27" s="193">
        <f t="shared" si="16"/>
        <v>-41548325.739999995</v>
      </c>
      <c r="AJ27" s="193">
        <f t="shared" si="16"/>
        <v>61533081.909999996</v>
      </c>
      <c r="AK27" s="193">
        <f t="shared" si="16"/>
        <v>130618716.89</v>
      </c>
      <c r="AL27" s="193">
        <f t="shared" si="16"/>
        <v>89952114.109999999</v>
      </c>
      <c r="AM27" s="193">
        <f t="shared" si="16"/>
        <v>18403459.810000002</v>
      </c>
      <c r="AN27" s="193">
        <f t="shared" si="16"/>
        <v>52529154.340000004</v>
      </c>
      <c r="AO27" s="193">
        <f t="shared" si="16"/>
        <v>94949797.949999988</v>
      </c>
      <c r="AP27" s="193">
        <f t="shared" si="16"/>
        <v>34728334.869999997</v>
      </c>
      <c r="AQ27" s="193">
        <f t="shared" si="16"/>
        <v>35302257.920000002</v>
      </c>
      <c r="AR27" s="193">
        <f t="shared" si="16"/>
        <v>13004158.289999999</v>
      </c>
      <c r="AS27" s="193">
        <f t="shared" si="16"/>
        <v>0</v>
      </c>
      <c r="AT27" s="193">
        <f t="shared" si="16"/>
        <v>0</v>
      </c>
      <c r="AU27" s="193">
        <f t="shared" si="16"/>
        <v>0</v>
      </c>
      <c r="AV27" s="193">
        <f t="shared" si="16"/>
        <v>0</v>
      </c>
      <c r="AW27" s="193">
        <f t="shared" si="16"/>
        <v>0</v>
      </c>
      <c r="AX27" s="193">
        <f t="shared" si="16"/>
        <v>0</v>
      </c>
      <c r="AY27" s="193">
        <f t="shared" si="16"/>
        <v>0</v>
      </c>
      <c r="AZ27" s="193">
        <f t="shared" si="16"/>
        <v>0</v>
      </c>
      <c r="BA27" s="193">
        <f t="shared" si="16"/>
        <v>0</v>
      </c>
      <c r="BB27" s="193">
        <f t="shared" si="16"/>
        <v>0</v>
      </c>
      <c r="BC27" s="193">
        <f t="shared" si="16"/>
        <v>0</v>
      </c>
      <c r="BD27" s="193">
        <f t="shared" si="16"/>
        <v>0</v>
      </c>
      <c r="BE27" s="193">
        <f t="shared" si="16"/>
        <v>0</v>
      </c>
      <c r="BF27" s="193">
        <f t="shared" si="16"/>
        <v>0</v>
      </c>
      <c r="BG27" s="193">
        <f t="shared" si="16"/>
        <v>0</v>
      </c>
      <c r="BH27" s="193">
        <f t="shared" si="16"/>
        <v>0</v>
      </c>
      <c r="BI27" s="193">
        <f t="shared" si="16"/>
        <v>0</v>
      </c>
      <c r="BJ27" s="193">
        <f t="shared" si="16"/>
        <v>0</v>
      </c>
      <c r="BK27" s="193">
        <f t="shared" si="16"/>
        <v>0</v>
      </c>
      <c r="BL27" s="193">
        <f t="shared" si="16"/>
        <v>0</v>
      </c>
      <c r="BM27" s="193">
        <f t="shared" si="16"/>
        <v>0</v>
      </c>
      <c r="BN27" s="193">
        <f t="shared" si="16"/>
        <v>0</v>
      </c>
      <c r="BO27" s="193">
        <f t="shared" si="16"/>
        <v>0</v>
      </c>
      <c r="BP27" s="193">
        <f t="shared" si="16"/>
        <v>0</v>
      </c>
      <c r="BQ27" s="193">
        <f t="shared" si="16"/>
        <v>0</v>
      </c>
      <c r="BR27" s="193">
        <f t="shared" ref="BR27:CL27" si="17">BR26</f>
        <v>0</v>
      </c>
      <c r="BS27" s="193">
        <f t="shared" si="17"/>
        <v>0</v>
      </c>
      <c r="BT27" s="193">
        <f t="shared" si="17"/>
        <v>0</v>
      </c>
      <c r="BU27" s="193">
        <f t="shared" si="17"/>
        <v>0</v>
      </c>
      <c r="BV27" s="193">
        <f t="shared" si="17"/>
        <v>0</v>
      </c>
      <c r="BW27" s="193">
        <f t="shared" si="17"/>
        <v>0</v>
      </c>
      <c r="BX27" s="193">
        <f t="shared" si="17"/>
        <v>0</v>
      </c>
      <c r="BY27" s="193">
        <f t="shared" si="17"/>
        <v>0</v>
      </c>
      <c r="BZ27" s="193">
        <f t="shared" si="17"/>
        <v>0</v>
      </c>
      <c r="CA27" s="193">
        <f t="shared" si="17"/>
        <v>0</v>
      </c>
      <c r="CB27" s="193">
        <f t="shared" si="17"/>
        <v>0</v>
      </c>
      <c r="CC27" s="193">
        <f t="shared" si="17"/>
        <v>0</v>
      </c>
      <c r="CD27" s="193">
        <f t="shared" si="17"/>
        <v>0</v>
      </c>
      <c r="CE27" s="193">
        <f t="shared" si="17"/>
        <v>0</v>
      </c>
      <c r="CF27" s="193">
        <f t="shared" si="17"/>
        <v>0</v>
      </c>
      <c r="CG27" s="193">
        <f t="shared" si="17"/>
        <v>0</v>
      </c>
      <c r="CH27" s="193">
        <f t="shared" si="17"/>
        <v>0</v>
      </c>
      <c r="CI27" s="193">
        <f t="shared" si="17"/>
        <v>0</v>
      </c>
      <c r="CJ27" s="193">
        <f t="shared" si="17"/>
        <v>0</v>
      </c>
      <c r="CK27" s="193">
        <f t="shared" si="17"/>
        <v>0</v>
      </c>
      <c r="CL27" s="193">
        <f t="shared" si="17"/>
        <v>0</v>
      </c>
    </row>
    <row r="28" spans="1:90" s="63" customFormat="1" x14ac:dyDescent="0.25">
      <c r="A28" s="17" t="s">
        <v>509</v>
      </c>
      <c r="E28" s="63">
        <f>(E27-I27)/I27</f>
        <v>-0.41281066532395461</v>
      </c>
      <c r="F28" s="63">
        <f t="shared" ref="F28:BQ28" si="18">(F27-J27)/J27</f>
        <v>-0.9009125966817203</v>
      </c>
      <c r="G28" s="63">
        <f t="shared" si="18"/>
        <v>-144.92776672599507</v>
      </c>
      <c r="H28" s="63">
        <f t="shared" si="18"/>
        <v>0.13406661692774041</v>
      </c>
      <c r="I28" s="63">
        <f t="shared" si="18"/>
        <v>0.58917596023769991</v>
      </c>
      <c r="J28" s="63">
        <f t="shared" si="18"/>
        <v>0.16766594418459971</v>
      </c>
      <c r="K28" s="63">
        <f t="shared" si="18"/>
        <v>-0.96394439462287251</v>
      </c>
      <c r="L28" s="63">
        <f t="shared" si="18"/>
        <v>-0.43636947416410099</v>
      </c>
      <c r="M28" s="63">
        <f t="shared" si="18"/>
        <v>-0.4405296262542549</v>
      </c>
      <c r="N28" s="63">
        <f t="shared" si="18"/>
        <v>-0.40612034931906893</v>
      </c>
      <c r="O28" s="63">
        <f t="shared" si="18"/>
        <v>-0.30121665148030979</v>
      </c>
      <c r="P28" s="63">
        <f t="shared" si="18"/>
        <v>-0.14036208214719717</v>
      </c>
      <c r="Q28" s="63">
        <f t="shared" si="18"/>
        <v>0.21455101797716131</v>
      </c>
      <c r="R28" s="63">
        <f t="shared" si="18"/>
        <v>0.81750153268043468</v>
      </c>
      <c r="S28" s="63">
        <f t="shared" si="18"/>
        <v>-1.5796565911040168</v>
      </c>
      <c r="T28" s="63">
        <f t="shared" si="18"/>
        <v>3.4393518425763396</v>
      </c>
      <c r="U28" s="63">
        <f t="shared" si="18"/>
        <v>0.79113366005655839</v>
      </c>
      <c r="V28" s="63">
        <f t="shared" si="18"/>
        <v>7.6508408282994216</v>
      </c>
      <c r="W28" s="63">
        <f t="shared" si="18"/>
        <v>-0.49788256768935119</v>
      </c>
      <c r="X28" s="63">
        <f t="shared" si="18"/>
        <v>-0.11859372972781761</v>
      </c>
      <c r="Y28" s="63">
        <f t="shared" si="18"/>
        <v>-0.29858573456785759</v>
      </c>
      <c r="Z28" s="63">
        <f t="shared" si="18"/>
        <v>-0.90276738406949719</v>
      </c>
      <c r="AA28" s="63">
        <f t="shared" si="18"/>
        <v>-4.8943721784902552</v>
      </c>
      <c r="AB28" s="63">
        <f t="shared" si="18"/>
        <v>-0.65981344219147497</v>
      </c>
      <c r="AC28" s="63">
        <f t="shared" si="18"/>
        <v>1.5697580594595473</v>
      </c>
      <c r="AD28" s="63">
        <f t="shared" si="18"/>
        <v>307.81106269738854</v>
      </c>
      <c r="AE28" s="63">
        <f t="shared" si="18"/>
        <v>-2.0910227503188921</v>
      </c>
      <c r="AF28" s="63">
        <f t="shared" si="18"/>
        <v>1.0263355705532546</v>
      </c>
      <c r="AG28" s="63">
        <f t="shared" si="18"/>
        <v>-0.16056208167824701</v>
      </c>
      <c r="AH28" s="63">
        <f t="shared" si="18"/>
        <v>-0.9924407279725691</v>
      </c>
      <c r="AI28" s="63">
        <f t="shared" si="18"/>
        <v>-3.2576366709820306</v>
      </c>
      <c r="AJ28" s="63">
        <f t="shared" si="18"/>
        <v>0.17140819575585028</v>
      </c>
      <c r="AK28" s="63">
        <f t="shared" si="18"/>
        <v>0.37566081982378791</v>
      </c>
      <c r="AL28" s="63">
        <f t="shared" si="18"/>
        <v>1.5901649027147844</v>
      </c>
      <c r="AM28" s="63">
        <f t="shared" si="18"/>
        <v>-0.47868887447072389</v>
      </c>
      <c r="AN28" s="63">
        <f t="shared" si="18"/>
        <v>3.0394120994662246</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736</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567</v>
      </c>
      <c r="B30" s="96"/>
      <c r="C30" s="96"/>
      <c r="D30" s="96"/>
      <c r="E30" s="96" t="s">
        <v>566</v>
      </c>
      <c r="F30" s="96"/>
      <c r="G30" s="96"/>
      <c r="H30" s="96"/>
      <c r="I30" s="96" t="s">
        <v>600</v>
      </c>
      <c r="M30" s="96" t="s">
        <v>568</v>
      </c>
      <c r="Q30" s="114" t="s">
        <v>606</v>
      </c>
      <c r="R30" s="114"/>
      <c r="S30" s="114"/>
      <c r="T30" s="114"/>
      <c r="U30" s="114" t="s">
        <v>603</v>
      </c>
      <c r="V30" s="114"/>
      <c r="W30" s="114"/>
      <c r="X30" s="114"/>
      <c r="Y30" s="114" t="s">
        <v>604</v>
      </c>
      <c r="Z30" s="114"/>
      <c r="AA30" s="114"/>
      <c r="AB30" s="114"/>
      <c r="AC30" s="114" t="s">
        <v>605</v>
      </c>
    </row>
    <row r="31" spans="1:90" s="63" customFormat="1" x14ac:dyDescent="0.25">
      <c r="A31" s="111" t="s">
        <v>569</v>
      </c>
      <c r="B31" s="112"/>
      <c r="C31" s="112"/>
      <c r="D31" s="112"/>
      <c r="E31" s="112">
        <f>POWER(E27/U27,1/5)-1</f>
        <v>-8.7088663152070978E-2</v>
      </c>
      <c r="F31" s="112"/>
      <c r="G31" s="112"/>
      <c r="H31" s="112"/>
      <c r="I31" s="112">
        <f>POWER(E27/Y27,1/6)-1</f>
        <v>2.1437581860179966E-2</v>
      </c>
      <c r="M31" s="112">
        <f>POWER(E27/AC27,1/7)-1</f>
        <v>-3.1962397579693103E-2</v>
      </c>
      <c r="Q31" s="115" t="s">
        <v>602</v>
      </c>
      <c r="R31" s="115"/>
      <c r="S31" s="115"/>
      <c r="T31" s="115"/>
      <c r="U31" s="115">
        <f>POWER(E14/U14,1/5)-1</f>
        <v>-7.5289841360781651E-3</v>
      </c>
      <c r="V31" s="115"/>
      <c r="W31" s="115"/>
      <c r="X31" s="115"/>
      <c r="Y31" s="115">
        <f>POWER(E14/Y14,1/6)-1</f>
        <v>8.334643789008811E-2</v>
      </c>
      <c r="Z31" s="115"/>
      <c r="AA31" s="115"/>
      <c r="AB31" s="115"/>
      <c r="AC31" s="115">
        <f>POWER(E14/AC14,1/7)-1</f>
        <v>3.8245948974280353E-2</v>
      </c>
    </row>
    <row r="32" spans="1:90" s="66" customFormat="1" x14ac:dyDescent="0.25">
      <c r="A32" s="46" t="s">
        <v>511</v>
      </c>
      <c r="E32" s="66">
        <v>0.17</v>
      </c>
    </row>
    <row r="39" spans="1:13" ht="43.2" x14ac:dyDescent="0.25">
      <c r="A39" s="67" t="s">
        <v>512</v>
      </c>
    </row>
    <row r="41" spans="1:13" ht="111" customHeight="1" x14ac:dyDescent="0.25">
      <c r="A41" s="279" t="s">
        <v>735</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C2" sqref="C2"/>
    </sheetView>
  </sheetViews>
  <sheetFormatPr defaultRowHeight="14.4" x14ac:dyDescent="0.25"/>
  <cols>
    <col min="1" max="1" width="43.5546875" style="17" bestFit="1" customWidth="1"/>
    <col min="2" max="2" width="21.44140625" style="26" bestFit="1" customWidth="1"/>
    <col min="3" max="3" width="38" bestFit="1" customWidth="1"/>
    <col min="4" max="4" width="21.44140625" bestFit="1" customWidth="1"/>
    <col min="5" max="5" width="18.33203125" bestFit="1" customWidth="1"/>
    <col min="6" max="8" width="17.21875" bestFit="1" customWidth="1"/>
    <col min="9" max="9" width="19.33203125" bestFit="1" customWidth="1"/>
    <col min="10" max="11" width="17.21875" bestFit="1" customWidth="1"/>
    <col min="12" max="12" width="40.21875" bestFit="1" customWidth="1"/>
    <col min="13" max="14" width="17.21875" bestFit="1" customWidth="1"/>
    <col min="15" max="19" width="19.33203125" bestFit="1" customWidth="1"/>
    <col min="20" max="74" width="9.44140625" bestFit="1" customWidth="1"/>
  </cols>
  <sheetData>
    <row r="1" spans="1:10" ht="16.2" customHeight="1" x14ac:dyDescent="0.25">
      <c r="A1" s="68" t="s">
        <v>513</v>
      </c>
      <c r="B1" s="69">
        <f>自由现金流分析表!E1</f>
        <v>43100</v>
      </c>
      <c r="C1" s="191" t="s">
        <v>750</v>
      </c>
      <c r="D1" s="274">
        <v>0.08</v>
      </c>
      <c r="E1" s="262" t="s">
        <v>749</v>
      </c>
      <c r="F1" s="63">
        <f>平均资本成本表!E13</f>
        <v>7.7241970481989927E-2</v>
      </c>
    </row>
    <row r="2" spans="1:10" x14ac:dyDescent="0.25">
      <c r="A2" s="70" t="s">
        <v>514</v>
      </c>
      <c r="B2" s="71">
        <f>(自由现金流分析表!E27+自由现金流分析表!I27+自由现金流分析表!M27)/3</f>
        <v>282416209.2833333</v>
      </c>
      <c r="C2" t="s">
        <v>547</v>
      </c>
      <c r="D2" s="63"/>
      <c r="E2" s="63"/>
      <c r="F2" s="56"/>
    </row>
    <row r="3" spans="1:10" s="63" customFormat="1" x14ac:dyDescent="0.25">
      <c r="A3" s="72" t="s">
        <v>515</v>
      </c>
      <c r="B3" s="98">
        <v>0</v>
      </c>
      <c r="D3" s="190"/>
      <c r="E3" s="190"/>
      <c r="F3" s="260"/>
    </row>
    <row r="4" spans="1:10" s="63" customFormat="1" x14ac:dyDescent="0.25">
      <c r="A4" s="72" t="s">
        <v>516</v>
      </c>
      <c r="B4" s="98">
        <f>F1</f>
        <v>7.7241970481989927E-2</v>
      </c>
      <c r="D4" s="190"/>
      <c r="E4" s="190"/>
      <c r="F4" s="261"/>
    </row>
    <row r="5" spans="1:10" x14ac:dyDescent="0.25">
      <c r="A5" s="70" t="s">
        <v>517</v>
      </c>
      <c r="B5" s="71">
        <f>B2*(1+B3)/(B4-B3)</f>
        <v>3656253297.5409098</v>
      </c>
      <c r="D5" s="63"/>
      <c r="E5" s="63"/>
    </row>
    <row r="6" spans="1:10" x14ac:dyDescent="0.25">
      <c r="A6" s="70" t="s">
        <v>518</v>
      </c>
      <c r="B6" s="71">
        <f>资产资本表!E17</f>
        <v>733176594.04999995</v>
      </c>
      <c r="D6" s="190"/>
      <c r="E6" s="190"/>
      <c r="F6" s="190"/>
      <c r="G6" s="190"/>
    </row>
    <row r="7" spans="1:10" x14ac:dyDescent="0.25">
      <c r="A7" s="70" t="s">
        <v>519</v>
      </c>
      <c r="B7" s="71">
        <f>资产资本表!E19</f>
        <v>2681764.62</v>
      </c>
      <c r="D7" s="190"/>
      <c r="E7" s="190"/>
      <c r="F7" s="190"/>
      <c r="G7" s="190"/>
    </row>
    <row r="8" spans="1:10" x14ac:dyDescent="0.25">
      <c r="A8" s="70" t="s">
        <v>520</v>
      </c>
      <c r="B8" s="197">
        <f>资产资本表!E89</f>
        <v>253403062.44</v>
      </c>
      <c r="C8" s="272" t="s">
        <v>747</v>
      </c>
      <c r="D8" s="273">
        <f>B2/B4</f>
        <v>3656253297.5409098</v>
      </c>
      <c r="E8" s="63"/>
      <c r="F8" s="190"/>
      <c r="G8" s="190"/>
    </row>
    <row r="9" spans="1:10" x14ac:dyDescent="0.25">
      <c r="A9" s="70" t="s">
        <v>521</v>
      </c>
      <c r="B9" s="197">
        <f>B5+B6+B7-B8</f>
        <v>4138708593.7709098</v>
      </c>
      <c r="C9" s="272" t="s">
        <v>748</v>
      </c>
      <c r="D9" s="273">
        <f>(D8+资产资本结构分析表!$E$2+资产资本结构分析表!$E$3)/B55</f>
        <v>5.8975960238748515</v>
      </c>
      <c r="E9" s="190"/>
      <c r="F9" s="190"/>
      <c r="G9" s="190"/>
    </row>
    <row r="10" spans="1:10" x14ac:dyDescent="0.25">
      <c r="A10" s="70" t="s">
        <v>522</v>
      </c>
      <c r="B10" s="73">
        <f>资产资本表!E103/资产资本表!E107</f>
        <v>4.6852833219748313E-2</v>
      </c>
      <c r="D10" s="190"/>
      <c r="E10" s="190"/>
      <c r="F10" s="190"/>
      <c r="G10" s="190"/>
    </row>
    <row r="11" spans="1:10" x14ac:dyDescent="0.25">
      <c r="A11" s="70" t="s">
        <v>548</v>
      </c>
      <c r="B11" s="197">
        <f>B9*(1-B10)</f>
        <v>3944798370.2818222</v>
      </c>
      <c r="C11" s="269" t="s">
        <v>744</v>
      </c>
      <c r="D11" s="270">
        <f>资产资本结构分析表!E2</f>
        <v>733176594.04999995</v>
      </c>
      <c r="E11" s="63"/>
      <c r="F11" s="190"/>
      <c r="G11" s="190"/>
    </row>
    <row r="12" spans="1:10" x14ac:dyDescent="0.25">
      <c r="A12" s="70" t="s">
        <v>523</v>
      </c>
      <c r="B12" s="268">
        <f>B55</f>
        <v>744729147</v>
      </c>
      <c r="C12" s="269" t="s">
        <v>745</v>
      </c>
      <c r="D12" s="271">
        <f>D11/B55</f>
        <v>0.98448757780390717</v>
      </c>
      <c r="E12" s="190"/>
      <c r="F12" s="190"/>
      <c r="G12" s="190"/>
    </row>
    <row r="13" spans="1:10" ht="15" thickBot="1" x14ac:dyDescent="0.3">
      <c r="A13" s="74" t="s">
        <v>524</v>
      </c>
      <c r="B13" s="75">
        <f>B11/B12</f>
        <v>5.2969571369305122</v>
      </c>
      <c r="D13" s="190"/>
      <c r="E13" s="190"/>
    </row>
    <row r="14" spans="1:10" s="16" customFormat="1" ht="53.25" customHeight="1" x14ac:dyDescent="0.25">
      <c r="A14" s="279" t="s">
        <v>737</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540</v>
      </c>
      <c r="D17" s="90">
        <v>0.1</v>
      </c>
      <c r="E17" s="90"/>
      <c r="F17" s="90"/>
      <c r="G17" s="90"/>
      <c r="H17" s="90" t="s">
        <v>541</v>
      </c>
      <c r="I17" s="90">
        <v>0.04</v>
      </c>
      <c r="J17" s="78"/>
    </row>
    <row r="18" spans="1:10" s="2" customFormat="1" x14ac:dyDescent="0.25">
      <c r="A18" s="300" t="s">
        <v>525</v>
      </c>
      <c r="B18" s="300"/>
      <c r="C18" s="65" t="s">
        <v>539</v>
      </c>
      <c r="D18" s="97">
        <v>1</v>
      </c>
      <c r="E18" s="97">
        <v>2</v>
      </c>
      <c r="F18" s="97">
        <v>3</v>
      </c>
      <c r="G18" s="97">
        <v>4</v>
      </c>
      <c r="H18" s="97">
        <v>5</v>
      </c>
      <c r="I18" s="96">
        <v>6</v>
      </c>
      <c r="J18" s="80"/>
    </row>
    <row r="19" spans="1:10" s="26" customFormat="1" x14ac:dyDescent="0.25">
      <c r="A19" s="99" t="s">
        <v>526</v>
      </c>
      <c r="B19" s="94"/>
      <c r="C19" s="89">
        <f>B2</f>
        <v>282416209.2833333</v>
      </c>
      <c r="D19" s="89">
        <f>C19*(1+$D$17)</f>
        <v>310657830.21166664</v>
      </c>
      <c r="E19" s="89">
        <f>D19*(1+$D$17)</f>
        <v>341723613.23283333</v>
      </c>
      <c r="F19" s="89">
        <f>E19*(1+$D$17)</f>
        <v>375895974.5561167</v>
      </c>
      <c r="G19" s="89">
        <f>F19*(1+$D$17)</f>
        <v>413485572.01172841</v>
      </c>
      <c r="H19" s="89">
        <f>G19*(1+$D$17)</f>
        <v>454834129.21290129</v>
      </c>
      <c r="I19" s="89">
        <f>H19*(1+I17)</f>
        <v>473027494.38141733</v>
      </c>
      <c r="J19" s="76"/>
    </row>
    <row r="20" spans="1:10" s="26" customFormat="1" x14ac:dyDescent="0.25">
      <c r="A20" s="99" t="s">
        <v>527</v>
      </c>
      <c r="B20" s="95">
        <f>B4</f>
        <v>7.7241970481989927E-2</v>
      </c>
      <c r="C20" s="89"/>
      <c r="D20" s="89">
        <f t="shared" ref="D20:I20" si="0">(1+$B$20)^D18</f>
        <v>1.07724197048199</v>
      </c>
      <c r="E20" s="89">
        <f t="shared" si="0"/>
        <v>1.1604502629679205</v>
      </c>
      <c r="F20" s="89">
        <f t="shared" si="0"/>
        <v>1.2500857279259061</v>
      </c>
      <c r="G20" s="89">
        <f t="shared" si="0"/>
        <v>1.3466448128223159</v>
      </c>
      <c r="H20" s="89">
        <f t="shared" si="0"/>
        <v>1.450662311704062</v>
      </c>
      <c r="I20" s="89">
        <f t="shared" si="0"/>
        <v>1.5627143271640425</v>
      </c>
      <c r="J20" s="76"/>
    </row>
    <row r="21" spans="1:10" s="26" customFormat="1" x14ac:dyDescent="0.25">
      <c r="A21" s="301" t="s">
        <v>528</v>
      </c>
      <c r="B21" s="301"/>
      <c r="C21" s="89"/>
      <c r="D21" s="89">
        <f>D19/D20</f>
        <v>288382590.65664619</v>
      </c>
      <c r="E21" s="89">
        <f>E19/E20</f>
        <v>294475018.99724239</v>
      </c>
      <c r="F21" s="89">
        <f>F19/F20</f>
        <v>300696157.19858569</v>
      </c>
      <c r="G21" s="89">
        <f>G19/G20</f>
        <v>307048724.41096026</v>
      </c>
      <c r="H21" s="89">
        <f>H19/H20</f>
        <v>313535497.22996342</v>
      </c>
      <c r="I21" s="89">
        <f>I19/((B20-I17)*I20)</f>
        <v>8127821161.2336254</v>
      </c>
      <c r="J21" s="76"/>
    </row>
    <row r="22" spans="1:10" s="26" customFormat="1" x14ac:dyDescent="0.25">
      <c r="A22" s="301" t="s">
        <v>546</v>
      </c>
      <c r="B22" s="301"/>
      <c r="C22" s="89"/>
      <c r="D22" s="297">
        <f>SUM(D21:H21)</f>
        <v>1504137988.4933977</v>
      </c>
      <c r="E22" s="298"/>
      <c r="F22" s="298"/>
      <c r="G22" s="298"/>
      <c r="H22" s="299"/>
      <c r="I22" s="89">
        <f>I21</f>
        <v>8127821161.2336254</v>
      </c>
      <c r="J22" s="76"/>
    </row>
    <row r="23" spans="1:10" x14ac:dyDescent="0.25">
      <c r="A23" s="92" t="s">
        <v>529</v>
      </c>
      <c r="B23" s="76">
        <f>D22+I22</f>
        <v>9631959149.7270241</v>
      </c>
      <c r="C23" s="77"/>
      <c r="D23" s="77"/>
      <c r="E23" s="77"/>
      <c r="F23" s="77"/>
      <c r="G23" s="77"/>
      <c r="H23" s="77"/>
      <c r="I23" s="79"/>
      <c r="J23" s="77"/>
    </row>
    <row r="24" spans="1:10" x14ac:dyDescent="0.25">
      <c r="A24" s="92" t="s">
        <v>530</v>
      </c>
      <c r="B24" s="76">
        <f>B23</f>
        <v>9631959149.7270241</v>
      </c>
      <c r="C24" s="77"/>
      <c r="D24" s="77"/>
      <c r="E24" s="77"/>
      <c r="F24" s="77"/>
      <c r="G24" s="77"/>
      <c r="H24" s="77"/>
      <c r="I24" s="79"/>
      <c r="J24" s="77"/>
    </row>
    <row r="25" spans="1:10" x14ac:dyDescent="0.25">
      <c r="A25" s="70" t="s">
        <v>531</v>
      </c>
      <c r="B25" s="71">
        <f>资产资本表!E17</f>
        <v>733176594.04999995</v>
      </c>
      <c r="C25" s="77"/>
      <c r="D25" s="77"/>
      <c r="E25" s="77"/>
      <c r="F25" s="77"/>
      <c r="G25" s="77"/>
      <c r="H25" s="77"/>
      <c r="I25" s="79"/>
      <c r="J25" s="77"/>
    </row>
    <row r="26" spans="1:10" x14ac:dyDescent="0.25">
      <c r="A26" s="70" t="s">
        <v>532</v>
      </c>
      <c r="B26" s="71">
        <f>资产资本表!E19</f>
        <v>2681764.62</v>
      </c>
      <c r="C26" s="77"/>
      <c r="D26" s="77"/>
      <c r="E26" s="77"/>
      <c r="F26" s="77"/>
      <c r="G26" s="77"/>
      <c r="H26" s="77"/>
      <c r="I26" s="79"/>
      <c r="J26" s="77"/>
    </row>
    <row r="27" spans="1:10" x14ac:dyDescent="0.25">
      <c r="A27" s="70" t="s">
        <v>533</v>
      </c>
      <c r="B27" s="71">
        <f>资产资本表!E89</f>
        <v>253403062.44</v>
      </c>
      <c r="C27" s="77"/>
      <c r="D27" s="77"/>
      <c r="E27" s="77"/>
      <c r="F27" s="77"/>
      <c r="G27" s="77"/>
      <c r="H27" s="77"/>
      <c r="I27" s="79"/>
      <c r="J27" s="77"/>
    </row>
    <row r="28" spans="1:10" s="2" customFormat="1" x14ac:dyDescent="0.25">
      <c r="A28" s="82" t="s">
        <v>534</v>
      </c>
      <c r="B28" s="83">
        <f>B24+B25+B26-B27</f>
        <v>10114414445.957024</v>
      </c>
      <c r="C28" s="80"/>
      <c r="D28" s="80"/>
      <c r="E28" s="80"/>
      <c r="F28" s="80"/>
      <c r="G28" s="80"/>
      <c r="H28" s="80"/>
      <c r="I28" s="81"/>
      <c r="J28" s="80"/>
    </row>
    <row r="29" spans="1:10" x14ac:dyDescent="0.25">
      <c r="A29" s="70" t="s">
        <v>535</v>
      </c>
      <c r="B29" s="78">
        <f>资产资本表!E103/资产资本表!E107</f>
        <v>4.6852833219748313E-2</v>
      </c>
      <c r="C29" s="302" t="s">
        <v>542</v>
      </c>
      <c r="D29" s="302"/>
      <c r="E29" s="302"/>
      <c r="F29" s="77"/>
      <c r="G29" s="77"/>
      <c r="H29" s="77"/>
      <c r="I29" s="79"/>
      <c r="J29" s="77"/>
    </row>
    <row r="30" spans="1:10" s="2" customFormat="1" x14ac:dyDescent="0.25">
      <c r="A30" s="82" t="s">
        <v>536</v>
      </c>
      <c r="B30" s="83">
        <f>B28*(1-B29)</f>
        <v>9640525472.8051853</v>
      </c>
      <c r="C30" s="91">
        <v>0.4</v>
      </c>
      <c r="D30" s="91">
        <v>0.3</v>
      </c>
      <c r="E30" s="91">
        <v>0.2</v>
      </c>
      <c r="F30" s="80"/>
      <c r="G30" s="80"/>
      <c r="H30" s="80"/>
      <c r="I30" s="81"/>
      <c r="J30" s="80"/>
    </row>
    <row r="31" spans="1:10" x14ac:dyDescent="0.25">
      <c r="A31" s="70" t="s">
        <v>746</v>
      </c>
      <c r="B31" s="101">
        <f>B55</f>
        <v>744729147</v>
      </c>
      <c r="C31" s="215">
        <f>$B$32*(1-C30)</f>
        <v>7.7670053696489889</v>
      </c>
      <c r="D31" s="215">
        <f>$B$32*(1-D30)</f>
        <v>9.061506264590486</v>
      </c>
      <c r="E31" s="215">
        <f>$B$32*(1-E30)</f>
        <v>10.356007159531986</v>
      </c>
      <c r="F31" s="77"/>
      <c r="G31" s="77"/>
      <c r="H31" s="77"/>
      <c r="I31" s="79"/>
      <c r="J31" s="77"/>
    </row>
    <row r="32" spans="1:10" s="2" customFormat="1" ht="15" thickBot="1" x14ac:dyDescent="0.3">
      <c r="A32" s="84" t="s">
        <v>537</v>
      </c>
      <c r="B32" s="85">
        <f>B30/B31</f>
        <v>12.945008949414982</v>
      </c>
      <c r="C32" s="86"/>
      <c r="D32" s="86"/>
      <c r="E32" s="86"/>
      <c r="F32" s="86"/>
      <c r="G32" s="86"/>
      <c r="H32" s="86"/>
      <c r="I32" s="87"/>
      <c r="J32" s="80"/>
    </row>
    <row r="33" spans="1:19" ht="63" customHeight="1" x14ac:dyDescent="0.25">
      <c r="A33" s="303" t="s">
        <v>738</v>
      </c>
      <c r="B33" s="304"/>
      <c r="C33" s="304"/>
      <c r="D33" s="304"/>
      <c r="E33" s="304"/>
      <c r="F33" s="304"/>
      <c r="G33" s="304"/>
      <c r="H33" s="304"/>
      <c r="I33" s="304"/>
    </row>
    <row r="37" spans="1:19" s="63" customFormat="1" x14ac:dyDescent="0.25">
      <c r="A37" s="204"/>
      <c r="B37" s="204"/>
      <c r="C37" s="214" t="s">
        <v>540</v>
      </c>
      <c r="D37" s="214">
        <v>0.15</v>
      </c>
      <c r="E37" s="214"/>
      <c r="F37" s="214"/>
      <c r="G37" s="214"/>
      <c r="H37" s="214" t="s">
        <v>635</v>
      </c>
      <c r="I37" s="214">
        <v>0.09</v>
      </c>
      <c r="J37" s="214"/>
      <c r="K37" s="214"/>
      <c r="L37" s="214"/>
      <c r="M37" s="214"/>
      <c r="N37" s="214"/>
      <c r="O37" s="214"/>
      <c r="P37" s="214"/>
      <c r="Q37" s="214"/>
      <c r="R37" s="214" t="s">
        <v>545</v>
      </c>
      <c r="S37" s="214">
        <v>0.02</v>
      </c>
    </row>
    <row r="38" spans="1:19" s="24" customFormat="1" x14ac:dyDescent="0.25">
      <c r="A38" s="311" t="s">
        <v>543</v>
      </c>
      <c r="B38" s="312"/>
      <c r="C38" s="216" t="s">
        <v>539</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526</v>
      </c>
      <c r="B39" s="94"/>
      <c r="C39" s="89">
        <f>B2</f>
        <v>282416209.2833333</v>
      </c>
      <c r="D39" s="89">
        <f>$C$39*(1+$D$37)^D38</f>
        <v>324778640.67583328</v>
      </c>
      <c r="E39" s="89">
        <f>$C$39*(1+$D$37)^E38</f>
        <v>373495436.77720821</v>
      </c>
      <c r="F39" s="89">
        <f>$C$39*(1+$D$37)^F38</f>
        <v>429519752.29378939</v>
      </c>
      <c r="G39" s="89">
        <f>$C$39*(1+$D$37)^G38</f>
        <v>493947715.13785779</v>
      </c>
      <c r="H39" s="89">
        <f>$C$39*(1+$D$37)^H38</f>
        <v>568039872.40853643</v>
      </c>
      <c r="I39" s="89">
        <f>H39*(1+$I$37)</f>
        <v>619163460.92530477</v>
      </c>
      <c r="J39" s="89">
        <f t="shared" ref="J39:N39" si="1">I39*(1+$I$37)</f>
        <v>674888172.40858221</v>
      </c>
      <c r="K39" s="89">
        <f t="shared" si="1"/>
        <v>735628107.92535472</v>
      </c>
      <c r="L39" s="89">
        <f t="shared" si="1"/>
        <v>801834637.63863671</v>
      </c>
      <c r="M39" s="89">
        <f t="shared" si="1"/>
        <v>873999755.02611411</v>
      </c>
      <c r="N39" s="89">
        <f t="shared" si="1"/>
        <v>952659732.97846448</v>
      </c>
      <c r="O39" s="89">
        <f t="shared" ref="O39" si="2">N39*(1+$I$37)</f>
        <v>1038399108.9465264</v>
      </c>
      <c r="P39" s="89">
        <f t="shared" ref="P39" si="3">O39*(1+$I$37)</f>
        <v>1131855028.7517138</v>
      </c>
      <c r="Q39" s="89">
        <f t="shared" ref="Q39" si="4">P39*(1+$I$37)</f>
        <v>1233721981.3393681</v>
      </c>
      <c r="R39" s="89">
        <f t="shared" ref="R39" si="5">Q39*(1+$I$37)</f>
        <v>1344756959.6599114</v>
      </c>
      <c r="S39" s="89">
        <f>R39*(1+S37)</f>
        <v>1371652098.8531096</v>
      </c>
    </row>
    <row r="40" spans="1:19" s="23" customFormat="1" x14ac:dyDescent="0.25">
      <c r="A40" s="210" t="s">
        <v>527</v>
      </c>
      <c r="B40" s="209">
        <f>B4</f>
        <v>7.7241970481989927E-2</v>
      </c>
      <c r="C40" s="215"/>
      <c r="D40" s="215">
        <f>(1+$B$40)^D38</f>
        <v>1.07724197048199</v>
      </c>
      <c r="E40" s="215">
        <f t="shared" ref="E40:R40" si="6">(1+$B$40)^E38</f>
        <v>1.1604502629679205</v>
      </c>
      <c r="F40" s="215">
        <f t="shared" si="6"/>
        <v>1.2500857279259061</v>
      </c>
      <c r="G40" s="215">
        <f t="shared" si="6"/>
        <v>1.3466448128223159</v>
      </c>
      <c r="H40" s="215">
        <f t="shared" si="6"/>
        <v>1.450662311704062</v>
      </c>
      <c r="I40" s="215">
        <f t="shared" si="6"/>
        <v>1.5627143271640425</v>
      </c>
      <c r="J40" s="215">
        <f t="shared" si="6"/>
        <v>1.6834214610946303</v>
      </c>
      <c r="K40" s="215">
        <f t="shared" si="6"/>
        <v>1.8134522519012501</v>
      </c>
      <c r="L40" s="215">
        <f t="shared" si="6"/>
        <v>1.9535268772131047</v>
      </c>
      <c r="M40" s="215">
        <f t="shared" si="6"/>
        <v>2.1044211425985733</v>
      </c>
      <c r="N40" s="215">
        <f t="shared" si="6"/>
        <v>2.266970778376848</v>
      </c>
      <c r="O40" s="215">
        <f t="shared" si="6"/>
        <v>2.4420760683237663</v>
      </c>
      <c r="P40" s="215">
        <f t="shared" si="6"/>
        <v>2.6307068359080046</v>
      </c>
      <c r="Q40" s="215">
        <f t="shared" si="6"/>
        <v>2.8339078156739799</v>
      </c>
      <c r="R40" s="215">
        <f t="shared" si="6"/>
        <v>3.0528044395209499</v>
      </c>
      <c r="S40" s="183">
        <f>(1+$B$40)^S38</f>
        <v>3.2886090699257151</v>
      </c>
    </row>
    <row r="41" spans="1:19" s="193" customFormat="1" x14ac:dyDescent="0.25">
      <c r="A41" s="313" t="s">
        <v>528</v>
      </c>
      <c r="B41" s="314"/>
      <c r="C41" s="89"/>
      <c r="D41" s="89">
        <f t="shared" ref="D41:R41" si="7">D39/D40</f>
        <v>301490890.23194826</v>
      </c>
      <c r="E41" s="89">
        <f t="shared" si="7"/>
        <v>321853894.73045695</v>
      </c>
      <c r="F41" s="89">
        <f t="shared" si="7"/>
        <v>343592237.47513056</v>
      </c>
      <c r="G41" s="89">
        <f t="shared" si="7"/>
        <v>366798810.22423106</v>
      </c>
      <c r="H41" s="89">
        <f t="shared" si="7"/>
        <v>391572778.74081677</v>
      </c>
      <c r="I41" s="89">
        <f t="shared" si="7"/>
        <v>396210267.07353497</v>
      </c>
      <c r="J41" s="89">
        <f t="shared" si="7"/>
        <v>400902678.26913768</v>
      </c>
      <c r="K41" s="89">
        <f t="shared" si="7"/>
        <v>405650662.79198217</v>
      </c>
      <c r="L41" s="89">
        <f t="shared" si="7"/>
        <v>410454878.81002766</v>
      </c>
      <c r="M41" s="89">
        <f t="shared" si="7"/>
        <v>415315992.28607118</v>
      </c>
      <c r="N41" s="89">
        <f t="shared" si="7"/>
        <v>420234677.07006317</v>
      </c>
      <c r="O41" s="89">
        <f t="shared" si="7"/>
        <v>425211614.99251759</v>
      </c>
      <c r="P41" s="89">
        <f t="shared" si="7"/>
        <v>430247495.95902693</v>
      </c>
      <c r="Q41" s="89">
        <f t="shared" si="7"/>
        <v>435343018.04589778</v>
      </c>
      <c r="R41" s="89">
        <f t="shared" si="7"/>
        <v>440498887.59691805</v>
      </c>
      <c r="S41" s="89">
        <f>S39/((B40-S37)*S40)</f>
        <v>7286469422.8681345</v>
      </c>
    </row>
    <row r="42" spans="1:19" s="23" customFormat="1" x14ac:dyDescent="0.25">
      <c r="A42" s="315" t="s">
        <v>546</v>
      </c>
      <c r="B42" s="316"/>
      <c r="C42" s="215"/>
      <c r="D42" s="308">
        <f>SUM(D41:H41)</f>
        <v>1725308611.4025836</v>
      </c>
      <c r="E42" s="309"/>
      <c r="F42" s="309"/>
      <c r="G42" s="309"/>
      <c r="H42" s="310"/>
      <c r="I42" s="308">
        <f>SUM(I41:R41)</f>
        <v>4180070172.8951769</v>
      </c>
      <c r="J42" s="309"/>
      <c r="K42" s="309"/>
      <c r="L42" s="309"/>
      <c r="M42" s="309"/>
      <c r="N42" s="309"/>
      <c r="O42" s="309"/>
      <c r="P42" s="309"/>
      <c r="Q42" s="309"/>
      <c r="R42" s="310"/>
      <c r="S42" s="215">
        <f>S41</f>
        <v>7286469422.8681345</v>
      </c>
    </row>
    <row r="43" spans="1:19" x14ac:dyDescent="0.25">
      <c r="A43" s="206" t="s">
        <v>544</v>
      </c>
      <c r="B43" s="197">
        <f>D42+I42+S42</f>
        <v>13191848207.165894</v>
      </c>
      <c r="C43" s="198"/>
      <c r="D43" s="198"/>
      <c r="E43" s="198"/>
      <c r="F43" s="198"/>
      <c r="G43" s="198"/>
      <c r="H43" s="198"/>
      <c r="I43" s="198"/>
      <c r="J43" s="198"/>
      <c r="K43" s="198"/>
      <c r="L43" s="198"/>
      <c r="M43" s="198"/>
      <c r="N43" s="198"/>
      <c r="O43" s="198"/>
      <c r="P43" s="198"/>
      <c r="Q43" s="198"/>
      <c r="R43" s="198"/>
      <c r="S43" s="200"/>
    </row>
    <row r="44" spans="1:19" x14ac:dyDescent="0.25">
      <c r="A44" s="206" t="s">
        <v>530</v>
      </c>
      <c r="B44" s="197">
        <f>B43</f>
        <v>13191848207.165894</v>
      </c>
      <c r="C44" s="198"/>
      <c r="D44" s="198"/>
      <c r="E44" s="198"/>
      <c r="F44" s="198"/>
      <c r="G44" s="198"/>
      <c r="H44" s="198"/>
      <c r="I44" s="198"/>
      <c r="J44" s="198"/>
      <c r="K44" s="198"/>
      <c r="L44" s="198"/>
      <c r="M44" s="198"/>
      <c r="N44" s="198"/>
      <c r="O44" s="198"/>
      <c r="P44" s="198"/>
      <c r="Q44" s="198"/>
      <c r="R44" s="198"/>
      <c r="S44" s="200"/>
    </row>
    <row r="45" spans="1:19" x14ac:dyDescent="0.25">
      <c r="A45" s="196" t="s">
        <v>531</v>
      </c>
      <c r="B45" s="197">
        <f>资产资本表!E17</f>
        <v>733176594.04999995</v>
      </c>
      <c r="C45" s="198"/>
      <c r="D45" s="198"/>
      <c r="E45" s="198"/>
      <c r="F45" s="198"/>
      <c r="G45" s="198"/>
      <c r="H45" s="198"/>
      <c r="I45" s="198"/>
      <c r="J45" s="198"/>
      <c r="K45" s="198"/>
      <c r="L45" s="198"/>
      <c r="M45" s="198"/>
      <c r="N45" s="198"/>
      <c r="O45" s="198"/>
      <c r="P45" s="198"/>
      <c r="Q45" s="198"/>
      <c r="R45" s="198"/>
      <c r="S45" s="200"/>
    </row>
    <row r="46" spans="1:19" x14ac:dyDescent="0.25">
      <c r="A46" s="196" t="s">
        <v>532</v>
      </c>
      <c r="B46" s="197">
        <f>资产资本表!E19</f>
        <v>2681764.62</v>
      </c>
      <c r="C46" s="198"/>
      <c r="D46" s="198"/>
      <c r="E46" s="198"/>
      <c r="F46" s="198"/>
      <c r="G46" s="198"/>
      <c r="H46" s="198"/>
      <c r="I46" s="198"/>
      <c r="J46" s="198"/>
      <c r="K46" s="198"/>
      <c r="L46" s="198"/>
      <c r="M46" s="198"/>
      <c r="N46" s="198"/>
      <c r="O46" s="198"/>
      <c r="P46" s="198"/>
      <c r="Q46" s="198"/>
      <c r="R46" s="198"/>
      <c r="S46" s="200"/>
    </row>
    <row r="47" spans="1:19" x14ac:dyDescent="0.25">
      <c r="A47" s="196" t="s">
        <v>533</v>
      </c>
      <c r="B47" s="197">
        <f>资产资本表!E89</f>
        <v>253403062.44</v>
      </c>
      <c r="C47" s="198"/>
      <c r="D47" s="198"/>
      <c r="E47" s="198"/>
      <c r="F47" s="198"/>
      <c r="G47" s="198"/>
      <c r="H47" s="198"/>
      <c r="I47" s="198"/>
      <c r="J47" s="198"/>
      <c r="K47" s="198"/>
      <c r="L47" s="198"/>
      <c r="M47" s="198"/>
      <c r="N47" s="198"/>
      <c r="O47" s="198"/>
      <c r="P47" s="198"/>
      <c r="Q47" s="198"/>
      <c r="R47" s="198"/>
      <c r="S47" s="200"/>
    </row>
    <row r="48" spans="1:19" x14ac:dyDescent="0.25">
      <c r="A48" s="201" t="s">
        <v>534</v>
      </c>
      <c r="B48" s="197">
        <f>B44+B45+B46-B47</f>
        <v>13674303503.395893</v>
      </c>
      <c r="C48" s="198"/>
      <c r="D48" s="198"/>
      <c r="E48" s="198"/>
      <c r="F48" s="198"/>
      <c r="G48" s="198"/>
      <c r="H48" s="198"/>
      <c r="I48" s="198"/>
      <c r="J48" s="198"/>
      <c r="K48" s="198"/>
      <c r="L48" s="198"/>
      <c r="M48" s="198"/>
      <c r="N48" s="198"/>
      <c r="O48" s="198"/>
      <c r="P48" s="198"/>
      <c r="Q48" s="198"/>
      <c r="R48" s="198"/>
      <c r="S48" s="200"/>
    </row>
    <row r="49" spans="1:74" x14ac:dyDescent="0.25">
      <c r="A49" s="196" t="s">
        <v>535</v>
      </c>
      <c r="B49" s="199">
        <f>资产资本表!E103/资产资本表!E107</f>
        <v>4.6852833219748313E-2</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536</v>
      </c>
      <c r="B50" s="197">
        <f>B48*(1-B49)</f>
        <v>13033623641.955065</v>
      </c>
      <c r="C50" s="305" t="s">
        <v>542</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538</v>
      </c>
      <c r="B51" s="211">
        <f>B55</f>
        <v>744729147</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537</v>
      </c>
      <c r="B52" s="207">
        <f>B50/B51</f>
        <v>17.501159575207367</v>
      </c>
      <c r="C52" s="208">
        <f>$B$52*(1-C51)</f>
        <v>10.500695745124419</v>
      </c>
      <c r="D52" s="208">
        <f>$B$52*(1-D51)</f>
        <v>12.250811702645157</v>
      </c>
      <c r="E52" s="208">
        <f>$B$52*(1-E51)</f>
        <v>14.000927660165894</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2293</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549</v>
      </c>
      <c r="B55" s="100">
        <v>744729147</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739</v>
      </c>
      <c r="B57" s="296"/>
      <c r="C57" s="296"/>
      <c r="D57" s="296"/>
      <c r="E57" s="296"/>
      <c r="F57" s="296"/>
      <c r="G57" s="296"/>
      <c r="H57" s="296"/>
      <c r="I57" s="296"/>
    </row>
    <row r="60" spans="1:74" s="156" customFormat="1" ht="51" customHeight="1" x14ac:dyDescent="0.25">
      <c r="A60" s="293" t="s">
        <v>607</v>
      </c>
      <c r="B60" s="294"/>
      <c r="C60" s="294"/>
      <c r="D60" s="294"/>
      <c r="E60" s="294"/>
      <c r="F60" s="294"/>
      <c r="G60" s="294"/>
      <c r="H60" s="294"/>
      <c r="I60" s="294"/>
    </row>
    <row r="63" spans="1:74" s="4" customFormat="1" x14ac:dyDescent="0.25">
      <c r="A63" s="178" t="s">
        <v>609</v>
      </c>
      <c r="B63" s="177" t="s">
        <v>610</v>
      </c>
      <c r="C63" s="96" t="s">
        <v>611</v>
      </c>
      <c r="D63" s="96" t="s">
        <v>612</v>
      </c>
      <c r="E63" s="96" t="s">
        <v>627</v>
      </c>
      <c r="F63" s="96" t="s">
        <v>613</v>
      </c>
      <c r="G63" s="96" t="s">
        <v>614</v>
      </c>
      <c r="H63" s="96" t="s">
        <v>623</v>
      </c>
      <c r="I63" s="96" t="s">
        <v>616</v>
      </c>
      <c r="J63" s="96" t="s">
        <v>622</v>
      </c>
      <c r="K63" s="96" t="s">
        <v>618</v>
      </c>
      <c r="L63" s="96" t="s">
        <v>624</v>
      </c>
    </row>
    <row r="64" spans="1:74" s="26" customFormat="1" x14ac:dyDescent="0.25">
      <c r="A64" s="179">
        <f>股权价值增加表!M1</f>
        <v>42369</v>
      </c>
      <c r="B64" s="167">
        <v>42366</v>
      </c>
      <c r="C64" s="166">
        <v>17.39</v>
      </c>
      <c r="D64" s="166">
        <v>3.4</v>
      </c>
      <c r="E64" s="168">
        <f>股权价值增加表!M42/100000000</f>
        <v>4.2444729004999999</v>
      </c>
      <c r="F64" s="168">
        <v>0</v>
      </c>
      <c r="G64" s="166">
        <v>16.47</v>
      </c>
      <c r="H64" s="168">
        <f>G64*D64</f>
        <v>55.997999999999998</v>
      </c>
      <c r="I64" s="168">
        <f>C64*D64</f>
        <v>59.125999999999998</v>
      </c>
      <c r="J64" s="168">
        <f>H64/E64</f>
        <v>13.193157622328892</v>
      </c>
      <c r="K64" s="168">
        <f>I64/E64</f>
        <v>13.930116032319335</v>
      </c>
      <c r="L64" s="263">
        <v>0</v>
      </c>
    </row>
    <row r="65" spans="1:12" s="26" customFormat="1" x14ac:dyDescent="0.25">
      <c r="A65" s="179">
        <f>股权价值增加表!I1</f>
        <v>42735</v>
      </c>
      <c r="B65" s="167">
        <v>42543</v>
      </c>
      <c r="C65" s="166">
        <v>23.13</v>
      </c>
      <c r="D65" s="166">
        <v>3.64</v>
      </c>
      <c r="E65" s="168">
        <f>股权价值增加表!I42/100000000</f>
        <v>3.470332726199997</v>
      </c>
      <c r="F65" s="168">
        <f>(E65-E64)/E64*100</f>
        <v>-18.238782351721671</v>
      </c>
      <c r="G65" s="166">
        <v>23.11</v>
      </c>
      <c r="H65" s="168">
        <f t="shared" ref="H65:H66" si="8">G65*D65</f>
        <v>84.120400000000004</v>
      </c>
      <c r="I65" s="168">
        <f t="shared" ref="I65:I66" si="9">C65*D65</f>
        <v>84.193200000000004</v>
      </c>
      <c r="J65" s="168">
        <f t="shared" ref="J65:J66" si="10">H65/E65</f>
        <v>24.239865925510713</v>
      </c>
      <c r="K65" s="168">
        <f t="shared" ref="K65:K66" si="11">I65/E65</f>
        <v>24.260843741110463</v>
      </c>
      <c r="L65" s="263">
        <f>K65/F65</f>
        <v>-1.3301789161829838</v>
      </c>
    </row>
    <row r="66" spans="1:12" s="26" customFormat="1" x14ac:dyDescent="0.25">
      <c r="A66" s="179">
        <f>股权价值增加表!E1</f>
        <v>43100</v>
      </c>
      <c r="B66" s="167">
        <v>42872</v>
      </c>
      <c r="C66" s="166">
        <v>16.399999999999999</v>
      </c>
      <c r="D66" s="166">
        <v>9.09</v>
      </c>
      <c r="E66" s="168">
        <f>股权价值增加表!E42/100000000</f>
        <v>4.0911692575999998</v>
      </c>
      <c r="F66" s="168">
        <f t="shared" ref="F66" si="12">(E66-E65)/E65*100</f>
        <v>17.889827298485493</v>
      </c>
      <c r="G66" s="166">
        <v>15.76</v>
      </c>
      <c r="H66" s="168">
        <f t="shared" si="8"/>
        <v>143.25839999999999</v>
      </c>
      <c r="I66" s="168">
        <f t="shared" si="9"/>
        <v>149.07599999999999</v>
      </c>
      <c r="J66" s="168">
        <f t="shared" si="10"/>
        <v>35.01649308052329</v>
      </c>
      <c r="K66" s="168">
        <f t="shared" si="11"/>
        <v>36.438482647245046</v>
      </c>
      <c r="L66" s="263">
        <f t="shared" ref="L66" si="13">K66/F66</f>
        <v>2.0368269653631499</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621</v>
      </c>
      <c r="B68" s="44" t="s">
        <v>610</v>
      </c>
      <c r="C68" s="44" t="s">
        <v>611</v>
      </c>
      <c r="D68" s="44" t="s">
        <v>612</v>
      </c>
      <c r="E68" s="44" t="s">
        <v>620</v>
      </c>
      <c r="F68" s="44" t="s">
        <v>613</v>
      </c>
      <c r="G68" s="44" t="s">
        <v>614</v>
      </c>
      <c r="H68" s="44" t="s">
        <v>615</v>
      </c>
      <c r="I68" s="44" t="s">
        <v>616</v>
      </c>
      <c r="J68" s="44" t="s">
        <v>617</v>
      </c>
      <c r="K68" s="44" t="s">
        <v>618</v>
      </c>
      <c r="L68" s="265" t="s">
        <v>619</v>
      </c>
    </row>
    <row r="69" spans="1:12" s="26" customFormat="1" ht="15" thickBot="1" x14ac:dyDescent="0.3">
      <c r="A69" s="169" t="s">
        <v>626</v>
      </c>
      <c r="B69" s="170">
        <v>43305</v>
      </c>
      <c r="C69" s="171">
        <v>11.65</v>
      </c>
      <c r="D69" s="171">
        <v>9.09</v>
      </c>
      <c r="E69" s="171">
        <v>4.33</v>
      </c>
      <c r="F69" s="172">
        <f>(E69-E66)/E66*100</f>
        <v>5.8377135572265564</v>
      </c>
      <c r="G69" s="171">
        <v>10.119999999999999</v>
      </c>
      <c r="H69" s="172">
        <f>G69*D69</f>
        <v>91.990799999999993</v>
      </c>
      <c r="I69" s="172">
        <f>C69*D69</f>
        <v>105.8985</v>
      </c>
      <c r="J69" s="172">
        <f>H69/E69</f>
        <v>21.244988452655885</v>
      </c>
      <c r="K69" s="172">
        <f>I69/E69</f>
        <v>24.456928406466513</v>
      </c>
      <c r="L69" s="266">
        <f>K69/F69</f>
        <v>4.1894704436450239</v>
      </c>
    </row>
    <row r="70" spans="1:12" s="26" customFormat="1" ht="15" thickBot="1" x14ac:dyDescent="0.3">
      <c r="A70" s="173" t="s">
        <v>625</v>
      </c>
      <c r="B70" s="174">
        <v>43305</v>
      </c>
      <c r="C70" s="175">
        <v>11.65</v>
      </c>
      <c r="D70" s="175">
        <v>9.09</v>
      </c>
      <c r="E70" s="175">
        <v>3.86</v>
      </c>
      <c r="F70" s="176">
        <f>(E70-E66)/E66*100</f>
        <v>-5.6504447272761</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-4.8553425232443539</v>
      </c>
    </row>
    <row r="71" spans="1:12" s="88" customFormat="1" ht="138" customHeight="1" x14ac:dyDescent="0.25">
      <c r="A71" s="291" t="s">
        <v>628</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2019-02-14T01:27:38Z</dcterms:modified>
</cp:coreProperties>
</file>