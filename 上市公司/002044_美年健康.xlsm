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E1D1BBCA-B185-4635-A993-3DF804F0DD2F}"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E29" i="7" l="1"/>
  <c r="E31" i="12"/>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50" i="5" l="1"/>
  <c r="C69" i="5"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R13" i="12" s="1"/>
  <c r="Z12" i="12"/>
  <c r="Z13" i="12" s="1"/>
  <c r="AH12" i="12"/>
  <c r="AH13" i="12" s="1"/>
  <c r="AP12" i="12"/>
  <c r="AX12" i="12"/>
  <c r="AX13" i="12" s="1"/>
  <c r="BF12" i="12"/>
  <c r="BF13" i="12" s="1"/>
  <c r="BN12" i="12"/>
  <c r="BV12" i="12"/>
  <c r="CD12" i="12"/>
  <c r="CD13" i="12" s="1"/>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O13" i="12" s="1"/>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53" i="11" s="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CE13" i="12"/>
  <c r="AC26" i="12"/>
  <c r="AC27" i="12" s="1"/>
  <c r="BA26" i="12"/>
  <c r="BA27" i="12" s="1"/>
  <c r="AC13" i="12"/>
  <c r="CK18" i="12"/>
  <c r="CA13" i="12"/>
  <c r="BL13" i="12"/>
  <c r="CJ13" i="12"/>
  <c r="Y26" i="12"/>
  <c r="Y27" i="12" s="1"/>
  <c r="CC26" i="12"/>
  <c r="CC27" i="12" s="1"/>
  <c r="J13" i="12"/>
  <c r="AP13" i="12"/>
  <c r="BN13" i="12"/>
  <c r="BV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AJ74" i="11" l="1"/>
  <c r="BQ32" i="9"/>
  <c r="CD32" i="9"/>
  <c r="BY25" i="9"/>
  <c r="BR74" i="11"/>
  <c r="BR75" i="11" s="1"/>
  <c r="V23" i="7"/>
  <c r="CH28" i="10"/>
  <c r="BS9" i="10"/>
  <c r="BQ9" i="10"/>
  <c r="AY9" i="10"/>
  <c r="BK32" i="9"/>
  <c r="BV32" i="9"/>
  <c r="BR32" i="9"/>
  <c r="BP32" i="9"/>
  <c r="CA32" i="9"/>
  <c r="CG75" i="11"/>
  <c r="BV25" i="9"/>
  <c r="BR25" i="9"/>
  <c r="CK16" i="9"/>
  <c r="AB32" i="9"/>
  <c r="B2" i="13"/>
  <c r="BL74" i="11"/>
  <c r="CC74" i="11"/>
  <c r="CC75" i="11" s="1"/>
  <c r="CE74" i="1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BE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J49" i="10" l="1"/>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<sst xmlns="http://schemas.openxmlformats.org/spreadsheetml/2006/main" count="969" uniqueCount="752">
  <si>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</si>
  <si>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</si>
  <si>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</si>
  <si>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</si>
  <si>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</si>
  <si>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</si>
  <si>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</si>
  <si>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</si>
  <si>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</si>
  <si>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</si>
  <si>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</si>
  <si>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</si>
  <si>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</si>
  <si>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</si>
  <si>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</si>
  <si>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</si>
  <si>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</si>
  <si>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</si>
  <si>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</si>
  <si>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</si>
  <si>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</si>
  <si>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</si>
  <si>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</si>
  <si>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</si>
  <si>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</si>
  <si>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</si>
  <si>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</si>
  <si>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</si>
  <si>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</si>
  <si>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</si>
  <si>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</si>
  <si>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</si>
  <si>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</si>
  <si>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</si>
  <si>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</si>
  <si>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</si>
  <si>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</si>
  <si>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</si>
  <si>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</si>
  <si>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</si>
  <si>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</si>
  <si>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</si>
  <si>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</si>
  <si>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</si>
  <si>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</si>
  <si>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</si>
  <si>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</si>
  <si>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</si>
  <si>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</si>
  <si>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</si>
  <si>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</si>
  <si>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</si>
  <si>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</si>
  <si>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</si>
  <si>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</si>
  <si>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</si>
  <si>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</si>
  <si>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</si>
  <si>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</si>
  <si>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</si>
  <si>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</si>
  <si>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</si>
  <si>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</si>
  <si>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</si>
  <si>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</si>
  <si>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</si>
  <si>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</si>
  <si>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</si>
  <si>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</si>
  <si>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</si>
  <si>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</si>
  <si>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</si>
  <si>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</si>
  <si>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</si>
  <si>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</si>
  <si>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</si>
  <si>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</si>
  <si>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</si>
  <si>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</si>
  <si>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</si>
  <si>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</si>
  <si>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</si>
  <si>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</si>
  <si>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</si>
  <si>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</si>
  <si>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</si>
  <si>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</si>
  <si>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</si>
  <si>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</si>
  <si>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</si>
  <si>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</si>
  <si>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</si>
  <si>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</si>
  <si>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</si>
  <si>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</si>
  <si>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</si>
  <si>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</si>
  <si>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</si>
  <si>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</si>
  <si>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</si>
  <si>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</si>
  <si>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</si>
  <si>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</si>
  <si>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</si>
  <si>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</si>
  <si>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</si>
  <si>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</si>
  <si>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</si>
  <si>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</si>
  <si>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</si>
  <si>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</si>
  <si>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</si>
  <si>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</si>
  <si>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</si>
  <si>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</si>
  <si>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</si>
  <si>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</si>
  <si>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</si>
  <si>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</si>
  <si>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</si>
  <si>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</si>
  <si>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</si>
  <si>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</si>
  <si>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</si>
  <si>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</si>
  <si>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</si>
  <si>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</si>
  <si>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</si>
  <si>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</si>
  <si>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</si>
  <si>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</si>
  <si>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</si>
  <si>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</si>
  <si>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</si>
  <si>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</si>
  <si>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</si>
  <si>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</si>
  <si>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</si>
  <si>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</si>
  <si>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</si>
  <si>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</si>
  <si>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</si>
  <si>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</si>
  <si>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</si>
  <si>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</si>
  <si>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</si>
  <si>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</si>
  <si>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</si>
  <si>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</si>
  <si>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</si>
  <si>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</si>
  <si>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</si>
  <si>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</si>
  <si>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</si>
  <si>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</si>
  <si>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</si>
  <si>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</si>
  <si>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</si>
  <si>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</si>
  <si>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</si>
  <si>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</si>
  <si>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</si>
  <si>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</si>
  <si>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</si>
  <si>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</si>
  <si>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</si>
  <si>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</si>
  <si>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</si>
  <si>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</si>
  <si>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</si>
  <si>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</si>
  <si>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</si>
  <si>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</si>
  <si>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</si>
  <si>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</si>
  <si>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</si>
  <si>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</si>
  <si>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</si>
  <si>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</si>
  <si>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</si>
  <si>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</si>
  <si>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</si>
  <si>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</si>
  <si>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</si>
  <si>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</si>
  <si>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</si>
  <si>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</si>
  <si>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</si>
  <si>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</si>
  <si>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</si>
  <si>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</si>
  <si>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</si>
  <si>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</si>
  <si>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</si>
  <si>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</si>
  <si>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</si>
  <si>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</si>
  <si>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</si>
  <si>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</si>
  <si>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</si>
  <si>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</si>
  <si>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</si>
  <si>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</si>
  <si>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</si>
  <si>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</si>
  <si>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</si>
  <si>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</si>
  <si>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</si>
  <si>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</si>
  <si>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</si>
  <si>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</si>
  <si>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</si>
  <si>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</si>
  <si>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</si>
  <si>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</si>
  <si>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</si>
  <si>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</si>
  <si>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</si>
  <si>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</si>
  <si>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</si>
  <si>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</si>
  <si>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</si>
  <si>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</si>
  <si>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</si>
  <si>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</si>
  <si>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</si>
  <si>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</si>
  <si>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</si>
  <si>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</si>
  <si>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</si>
  <si>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</si>
  <si>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</si>
  <si>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</si>
  <si>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</si>
  <si>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</si>
  <si>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</si>
  <si>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</si>
  <si>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</si>
  <si>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</si>
  <si>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</si>
  <si>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</si>
  <si>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</si>
  <si>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</si>
  <si>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</si>
  <si>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</si>
  <si>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</si>
  <si>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</si>
  <si>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</si>
  <si>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</si>
  <si>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</si>
  <si>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</si>
  <si>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</si>
  <si>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</si>
  <si>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</si>
  <si>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</si>
  <si>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</si>
  <si>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</si>
  <si>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</si>
  <si>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</si>
  <si>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</si>
  <si>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</si>
  <si>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</si>
  <si>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</si>
  <si>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</si>
  <si>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</si>
  <si>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</si>
  <si>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</si>
  <si>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</si>
  <si>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</si>
  <si>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</si>
  <si>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</si>
  <si>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</si>
  <si>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</si>
  <si>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</si>
  <si>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</si>
  <si>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</si>
  <si>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</si>
  <si>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</si>
  <si>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</si>
  <si>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</si>
  <si>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</si>
  <si>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</si>
  <si>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</si>
  <si>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</si>
  <si>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</si>
  <si>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</si>
  <si>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</si>
  <si>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</si>
  <si>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</si>
  <si>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</si>
  <si>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</si>
  <si>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</si>
  <si>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</si>
  <si>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</si>
  <si>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</si>
  <si>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</si>
  <si>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</si>
  <si>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</si>
  <si>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</si>
  <si>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</si>
  <si>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</si>
  <si>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</si>
  <si>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</si>
  <si>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</si>
  <si>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</si>
  <si>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</si>
  <si>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</si>
  <si>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</si>
  <si>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</si>
  <si>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</si>
  <si>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</si>
  <si>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</si>
  <si>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</si>
  <si>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</si>
  <si>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</si>
  <si>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</si>
  <si>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</si>
  <si>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</si>
  <si>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</si>
  <si>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</si>
  <si>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</si>
  <si>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</si>
  <si>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</si>
  <si>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</si>
  <si>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</si>
  <si>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</si>
  <si>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</si>
  <si>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</si>
  <si>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</si>
  <si>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</si>
  <si>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</si>
  <si>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</si>
  <si>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</si>
  <si>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</si>
  <si>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</si>
  <si>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</si>
  <si>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</si>
  <si>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</si>
  <si>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</si>
  <si>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</si>
  <si>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</si>
  <si>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</si>
  <si>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</si>
  <si>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</si>
  <si>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</si>
  <si>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</si>
  <si>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</si>
  <si>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</si>
  <si>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</si>
  <si>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</si>
  <si>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</si>
  <si>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</si>
  <si>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</si>
  <si>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</si>
  <si>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</si>
  <si>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</si>
  <si>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</si>
  <si>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</si>
  <si>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</si>
  <si>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</si>
  <si>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</si>
  <si>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</si>
  <si>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</si>
  <si>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</si>
  <si>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</si>
  <si>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</si>
  <si>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</si>
  <si>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</si>
  <si>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</si>
  <si>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</si>
  <si>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</si>
  <si>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</si>
  <si>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</si>
  <si>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</si>
  <si>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</si>
  <si>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</si>
  <si>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</si>
  <si>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</si>
  <si>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</si>
  <si>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</si>
  <si>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</si>
  <si>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</si>
  <si>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</si>
  <si>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</si>
  <si>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</si>
  <si>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</si>
  <si>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</si>
  <si>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</si>
  <si>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</si>
  <si>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</si>
  <si>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</si>
  <si>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</si>
  <si>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</si>
  <si>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</si>
  <si>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</si>
  <si>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</si>
  <si>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</si>
  <si>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</si>
  <si>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</si>
  <si>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</si>
  <si>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</si>
  <si>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</si>
  <si>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</si>
  <si>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</si>
  <si>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</si>
  <si>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</si>
  <si>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</si>
  <si>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</si>
  <si>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</si>
  <si>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</si>
  <si>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</si>
  <si>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</si>
  <si>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</si>
  <si>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</si>
  <si>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</si>
  <si>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</si>
  <si>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</si>
  <si>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</si>
  <si>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</si>
  <si>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</si>
  <si>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</si>
  <si>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</si>
  <si>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</si>
  <si>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</si>
  <si>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</si>
  <si>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</si>
  <si>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</si>
  <si>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</si>
  <si>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</si>
  <si>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</si>
  <si>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</si>
  <si>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</si>
  <si>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</si>
  <si>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</si>
  <si>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</si>
  <si>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</si>
  <si>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</si>
  <si>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</si>
  <si>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</si>
  <si>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</si>
  <si>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</si>
  <si>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</si>
  <si>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</si>
  <si>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</si>
  <si>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</si>
  <si>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</si>
  <si>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</si>
  <si>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</si>
  <si>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</si>
  <si>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</si>
  <si>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</si>
  <si>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</si>
  <si>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</si>
  <si>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</si>
  <si>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</si>
  <si>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</si>
  <si>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</si>
  <si>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</si>
  <si>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</si>
  <si>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</si>
  <si>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</si>
  <si>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</si>
  <si>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</si>
  <si>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</si>
  <si>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</si>
  <si>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</si>
  <si>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</si>
  <si>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</si>
  <si>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</si>
  <si>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</si>
  <si>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</si>
  <si>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</si>
  <si>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</si>
  <si>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</si>
  <si>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</si>
  <si>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</si>
  <si>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</si>
  <si>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</si>
  <si>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</si>
  <si>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</si>
  <si>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</si>
  <si>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</si>
  <si>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</si>
  <si>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</si>
  <si>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</si>
  <si>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</si>
  <si>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</si>
  <si>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</si>
  <si>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</si>
  <si>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</si>
  <si>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</si>
  <si>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</si>
  <si>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</si>
  <si>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</si>
  <si>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</si>
  <si>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</si>
  <si>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</si>
  <si>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</si>
  <si>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</si>
  <si>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</si>
  <si>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</si>
  <si>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</si>
  <si>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</si>
  <si>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</si>
  <si>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</si>
  <si>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</si>
  <si>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</si>
  <si>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</si>
  <si>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</si>
  <si>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</si>
  <si>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</si>
  <si>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</si>
  <si>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</si>
  <si>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</si>
  <si>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</si>
  <si>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</si>
  <si>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</si>
  <si>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</si>
  <si>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</si>
  <si>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</si>
  <si>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</si>
  <si>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</si>
  <si>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</si>
  <si>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</si>
  <si>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</si>
  <si>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</si>
  <si>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</si>
  <si>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</si>
  <si>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</si>
  <si>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</si>
  <si>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</si>
  <si>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</si>
  <si>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</si>
  <si>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</si>
  <si>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</si>
  <si>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</si>
  <si>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</si>
  <si>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</si>
  <si>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</si>
  <si>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</si>
  <si>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</si>
  <si>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</si>
  <si>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</si>
  <si>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</si>
  <si>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</si>
  <si>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</si>
  <si>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</si>
  <si>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</si>
  <si>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</si>
  <si>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</si>
  <si>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</si>
  <si>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</si>
  <si>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</si>
  <si>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</si>
  <si>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</si>
  <si>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</si>
  <si>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</si>
  <si>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</si>
  <si>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</si>
  <si>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</si>
  <si>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</si>
  <si>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</si>
  <si>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</si>
  <si>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</si>
  <si>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</si>
  <si>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</si>
  <si>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</si>
  <si>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</si>
  <si>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</si>
  <si>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</si>
  <si>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</si>
  <si>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</si>
  <si>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</si>
  <si>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</si>
  <si>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</si>
  <si>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</si>
  <si>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</si>
  <si>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</si>
  <si>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</si>
  <si>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</si>
  <si>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</si>
  <si>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</si>
  <si>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</si>
  <si>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</si>
  <si>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</si>
  <si>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</si>
  <si>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</si>
  <si>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</si>
  <si>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</si>
  <si>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</si>
  <si>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</si>
  <si>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</si>
  <si>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</si>
  <si>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</si>
  <si>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</si>
  <si>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</si>
  <si>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</si>
  <si>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</si>
  <si>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</si>
  <si>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</si>
  <si>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</si>
  <si>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</si>
  <si>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</si>
  <si>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</si>
  <si>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</si>
  <si>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</si>
  <si>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</si>
  <si>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</si>
  <si>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</si>
  <si>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</si>
  <si>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</si>
  <si>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</si>
  <si>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</si>
  <si>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</si>
  <si>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</si>
  <si>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</si>
  <si>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</si>
  <si>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</si>
  <si>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</si>
  <si>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</si>
  <si>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</si>
  <si>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</si>
  <si>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</si>
  <si>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</si>
  <si>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</si>
  <si>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</si>
  <si>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</si>
  <si>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</si>
  <si>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</si>
  <si>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</si>
  <si>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</si>
  <si>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</si>
  <si>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</si>
  <si>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</si>
  <si>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</si>
  <si>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</si>
  <si>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</si>
  <si>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</si>
  <si>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</si>
  <si>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</si>
  <si>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</si>
  <si>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</si>
  <si>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</si>
  <si>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</si>
  <si>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</si>
  <si>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</si>
  <si>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</si>
  <si>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</si>
  <si>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</si>
  <si>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</si>
  <si>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</si>
  <si>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</si>
  <si>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</si>
  <si>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</si>
  <si>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</si>
  <si>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</si>
  <si>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</si>
  <si>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</si>
  <si>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</si>
  <si>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</si>
  <si>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</si>
  <si>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</si>
  <si>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</si>
  <si>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</si>
  <si>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</si>
  <si>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</si>
  <si>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</si>
  <si>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</si>
  <si>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</si>
  <si>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</si>
  <si>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</si>
  <si>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</si>
  <si>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</si>
  <si>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</si>
  <si>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</si>
  <si>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</si>
  <si>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</si>
  <si>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</si>
  <si>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</si>
  <si>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</si>
  <si>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</si>
  <si>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</si>
  <si>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</si>
  <si>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</si>
  <si>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</si>
  <si>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</si>
  <si>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</si>
  <si>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</si>
  <si>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</si>
  <si>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</si>
  <si>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</si>
  <si>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</si>
  <si>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</si>
  <si>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</si>
  <si>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</si>
  <si>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</si>
  <si>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</si>
  <si>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</si>
  <si>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</si>
  <si>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</si>
  <si>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</si>
  <si>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</si>
  <si>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</si>
  <si>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</si>
  <si>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</si>
  <si>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</si>
  <si>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</si>
  <si>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</si>
  <si>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</si>
  <si>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</si>
  <si>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</si>
  <si>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</si>
  <si>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</si>
  <si>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</si>
  <si>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</si>
  <si>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</si>
  <si>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</si>
  <si>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</si>
  <si>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</si>
  <si>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</si>
  <si>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</si>
  <si>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</si>
  <si>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</si>
  <si>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</si>
  <si>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</si>
  <si>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</si>
  <si>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</si>
  <si>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</si>
  <si>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</si>
  <si>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</si>
  <si>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</si>
  <si>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</si>
  <si>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</si>
  <si>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</si>
  <si>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</si>
  <si>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</si>
  <si>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</si>
  <si>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</si>
  <si>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</si>
  <si>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</si>
  <si>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</si>
  <si>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</si>
  <si>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</si>
  <si>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</si>
  <si>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</si>
  <si>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</si>
  <si>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3年</t>
    <phoneticPr fontId="1" type="noConversion"/>
  </si>
  <si>
    <t>投资现金流出净额3年复合增长</t>
    <phoneticPr fontId="1" type="noConversion"/>
  </si>
  <si>
    <t>成熟型公司估值</t>
    <phoneticPr fontId="1" type="noConversion"/>
  </si>
  <si>
    <t>成长型公司估值</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</si>
  <si>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t>
    </r>
    <r>
      <rPr>
        <b/>
        <sz val="11"/>
        <color rgb="FFFF0000"/>
        <rFont val="宋体"/>
        <family val="3"/>
        <charset val="134"/>
        <scheme val="minor"/>
      </rPr>
      <t>成长型公司</t>
    </r>
    <r>
      <rPr>
        <b/>
        <sz val="11"/>
        <color theme="1"/>
        <rFont val="宋体"/>
        <family val="3"/>
        <charset val="134"/>
        <scheme val="minor"/>
      </rPr>
      <t>;营业收入逐年下降的公司，为</t>
    </r>
    <r>
      <rPr>
        <b/>
        <sz val="11"/>
        <color rgb="FFFF0000"/>
        <rFont val="宋体"/>
        <family val="3"/>
        <charset val="134"/>
        <scheme val="minor"/>
      </rPr>
      <t>衰退型公司</t>
    </r>
    <r>
      <rPr>
        <b/>
        <sz val="11"/>
        <color theme="1"/>
        <rFont val="宋体"/>
        <family val="3"/>
        <charset val="134"/>
        <scheme val="minor"/>
      </rPr>
      <t>;营业收入各年间保持稳定的公司，则称为</t>
    </r>
    <r>
      <rPr>
        <b/>
        <sz val="11"/>
        <color rgb="FFFF0000"/>
        <rFont val="宋体"/>
        <family val="3"/>
        <charset val="134"/>
        <scheme val="minor"/>
      </rPr>
      <t>成熟型公司</t>
    </r>
    <r>
      <rPr>
        <b/>
        <sz val="11"/>
        <color theme="1"/>
        <rFont val="宋体"/>
        <family val="3"/>
        <charset val="134"/>
        <scheme val="minor"/>
      </rPr>
      <t xml:space="preserve">。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</si>
  <si>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r>
      <rPr>
        <b/>
        <sz val="11"/>
        <color rgb="FFFF0000"/>
        <rFont val="宋体"/>
        <family val="3"/>
        <charset val="134"/>
        <scheme val="minor"/>
      </rPr>
      <t>零增长模型：</t>
    </r>
    <r>
      <rPr>
        <b/>
        <sz val="11"/>
        <color theme="1"/>
        <rFont val="宋体"/>
        <family val="3"/>
        <charset val="134"/>
        <scheme val="minor"/>
      </rPr>
      <t>对于一家成熟稳定、没有增长的公司而言，每年的自由现金流也保持在一个稳定的金额水平，类似于永久年金。
不变增长模型：缓慢增长率g每年不变</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</si>
</sst>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_ "/>
    <numFmt numFmtId="178" formatCode="0.00_ "/>
    <numFmt numFmtId="179" formatCode="#,##0.00_ "/>
    <numFmt numFmtId="180" formatCode="0.00000000000000_ "/>
    <numFmt numFmtId="181" formatCode="#,##0.00_);[Red]\(#,##0.00\)"/>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81" fontId="0" fillId="0" borderId="0" xfId="0" applyNumberFormat="1">
      <alignment vertical="center"/>
    </xf>
    <xf numFmtId="10" fontId="26" fillId="6" borderId="16" xfId="0" applyNumberFormat="1" applyFon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0.46962695071394212</c:v>
                </c:pt>
                <c:pt idx="1">
                  <c:v>0.48307207522725709</c:v>
                </c:pt>
                <c:pt idx="2">
                  <c:v>0.4795086406520026</c:v>
                </c:pt>
                <c:pt idx="3">
                  <c:v>0.20061922448697977</c:v>
                </c:pt>
                <c:pt idx="4">
                  <c:v>0.1771927126251597</c:v>
                </c:pt>
                <c:pt idx="5">
                  <c:v>0.20078239901556869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0.11430607209385267</c:v>
                </c:pt>
                <c:pt idx="1">
                  <c:v>0.12077443058362233</c:v>
                </c:pt>
                <c:pt idx="2">
                  <c:v>0.12079233170907264</c:v>
                </c:pt>
                <c:pt idx="3">
                  <c:v>4.1614775708660998E-2</c:v>
                </c:pt>
                <c:pt idx="4">
                  <c:v>-4.078564974650304E-2</c:v>
                </c:pt>
                <c:pt idx="5">
                  <c:v>8.6131787947469882E-2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0.16073063937721152</c:v>
                </c:pt>
                <c:pt idx="1">
                  <c:v>0.17361116526350553</c:v>
                </c:pt>
                <c:pt idx="2">
                  <c:v>0.17903729924250569</c:v>
                </c:pt>
                <c:pt idx="3">
                  <c:v>8.4939812886016569E-2</c:v>
                </c:pt>
                <c:pt idx="4">
                  <c:v>-3.4650720072704227E-2</c:v>
                </c:pt>
                <c:pt idx="5">
                  <c:v>0.11863654606055107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0.1226923961219544</c:v>
                </c:pt>
                <c:pt idx="1">
                  <c:v>0.1302112432341658</c:v>
                </c:pt>
                <c:pt idx="2">
                  <c:v>0.14252322159440961</c:v>
                </c:pt>
                <c:pt idx="3">
                  <c:v>4.5496022542049985E-2</c:v>
                </c:pt>
                <c:pt idx="4">
                  <c:v>-5.7323256592555091E-2</c:v>
                </c:pt>
                <c:pt idx="5">
                  <c:v>8.614499777957163E-2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0.14119451745123227</c:v>
                </c:pt>
                <c:pt idx="1">
                  <c:v>0.15833166776072885</c:v>
                </c:pt>
                <c:pt idx="2">
                  <c:v>0.1681214565407213</c:v>
                </c:pt>
                <c:pt idx="3">
                  <c:v>6.9973390996067822E-2</c:v>
                </c:pt>
                <c:pt idx="4">
                  <c:v>-5.2159515846191086E-2</c:v>
                </c:pt>
                <c:pt idx="5">
                  <c:v>0.11730765303735814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0.10794309800880003</c:v>
                </c:pt>
                <c:pt idx="1">
                  <c:v>0.11924542784213656</c:v>
                </c:pt>
                <c:pt idx="2">
                  <c:v>0.13351149367608089</c:v>
                </c:pt>
                <c:pt idx="3">
                  <c:v>3.7460090306375496E-2</c:v>
                </c:pt>
                <c:pt idx="4">
                  <c:v>-8.6316167084487833E-2</c:v>
                </c:pt>
                <c:pt idx="5">
                  <c:v>8.5180054932417135E-2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901583981.39999998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498973832.29000002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358892451.94999999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67723015.870000005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-19254816.800000001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81084769.579999998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120585044.88800001</c:v>
                </c:pt>
                <c:pt idx="1">
                  <c:v>80783878.151999891</c:v>
                </c:pt>
                <c:pt idx="2">
                  <c:v>21249785.162799984</c:v>
                </c:pt>
                <c:pt idx="3">
                  <c:v>-9776496.4220000654</c:v>
                </c:pt>
                <c:pt idx="4">
                  <c:v>-99633455.15519996</c:v>
                </c:pt>
                <c:pt idx="5">
                  <c:v>19818965.228800073</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6902872091.8999996</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3583924066.8499999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3241527925.3400002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448112981.39999998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426816791.44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488234219.13999999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2,670,697,841.06 </c:v>
                </c:pt>
                <c:pt idx="5">
                  <c:v>1,589,606,829.90 </c:v>
                </c:pt>
                <c:pt idx="6">
                  <c:v>1,388,891,502.98 </c:v>
                </c:pt>
                <c:pt idx="7">
                  <c:v>1,203,078,739.19 </c:v>
                </c:pt>
                <c:pt idx="8">
                  <c:v>1,091,720,198.60 </c:v>
                </c:pt>
                <c:pt idx="9">
                  <c:v>1,051,997,208.35 </c:v>
                </c:pt>
                <c:pt idx="10">
                  <c:v>342,234,217.84 </c:v>
                </c:pt>
                <c:pt idx="11">
                  <c:v>317,355,456.70 </c:v>
                </c:pt>
                <c:pt idx="12">
                  <c:v>338,144,759.00 </c:v>
                </c:pt>
                <c:pt idx="13">
                  <c:v>341,824,288.40 </c:v>
                </c:pt>
                <c:pt idx="14">
                  <c:v>337,640,256.63 </c:v>
                </c:pt>
                <c:pt idx="15">
                  <c:v>328,879,453.85 </c:v>
                </c:pt>
                <c:pt idx="16">
                  <c:v>292,636,045.38 </c:v>
                </c:pt>
                <c:pt idx="17">
                  <c:v>277,297,220.53 </c:v>
                </c:pt>
                <c:pt idx="18">
                  <c:v>265,741,132.91 </c:v>
                </c:pt>
                <c:pt idx="19">
                  <c:v>265,724,003.50 </c:v>
                </c:pt>
                <c:pt idx="20">
                  <c:v>263,317,844.07 </c:v>
                </c:pt>
              </c:strCache>
            </c:strRef>
          </c:tx>
          <c:invertIfNegative val="0"/>
          <c:cat>
            <c:numRef>
              <c:f>投资和筹资活动现金流表!$E$12</c:f>
              <c:numCache>
                <c:formatCode>#,##0.00_ </c:formatCode>
                <c:ptCount val="1"/>
                <c:pt idx="0">
                  <c:v>2670697841.0599999</c:v>
                </c:pt>
              </c:numCache>
            </c:numRef>
          </c:cat>
          <c:val>
            <c:numRef>
              <c:f>投资和筹资活动现金流表!$E$12:$U$12</c:f>
              <c:numCache>
                <c:formatCode>#,##0.00_ </c:formatCode>
                <c:ptCount val="5"/>
                <c:pt idx="0">
                  <c:v>2670697841.0599999</c:v>
                </c:pt>
                <c:pt idx="1">
                  <c:v>1091720198.5999997</c:v>
                </c:pt>
                <c:pt idx="2">
                  <c:v>338144759</c:v>
                </c:pt>
                <c:pt idx="3">
                  <c:v>292636045.38</c:v>
                </c:pt>
                <c:pt idx="4">
                  <c:v>263317844.06999999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0.14723961082168929</c:v>
                </c:pt>
                <c:pt idx="1">
                  <c:v>0.21522449641521191</c:v>
                </c:pt>
                <c:pt idx="2">
                  <c:v>0.58141898659443658</c:v>
                </c:pt>
                <c:pt idx="3">
                  <c:v>-5.1007194826656665E-2</c:v>
                </c:pt>
                <c:pt idx="4">
                  <c:v>1.6877266467435419E-2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1.1642961456204675</c:v>
                </c:pt>
                <c:pt idx="1">
                  <c:v>1.0476975479384867</c:v>
                </c:pt>
                <c:pt idx="2">
                  <c:v>0.7008531408510188</c:v>
                </c:pt>
                <c:pt idx="3">
                  <c:v>12.953260765545775</c:v>
                </c:pt>
                <c:pt idx="4">
                  <c:v>0.24827706801336802</c:v>
                </c:pt>
                <c:pt idx="5">
                  <c:v>4.4643009798170734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803464478.4000001</c:v>
                </c:pt>
                <c:pt idx="1">
                  <c:v>453868074.87</c:v>
                </c:pt>
                <c:pt idx="2">
                  <c:v>346896076.03000003</c:v>
                </c:pt>
                <c:pt idx="3">
                  <c:v>3299976.48</c:v>
                </c:pt>
                <c:pt idx="4">
                  <c:v>20569726.93</c:v>
                </c:pt>
                <c:pt idx="5">
                  <c:v>14939328.370000001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437226781.45999998</c:v>
                </c:pt>
                <c:pt idx="1">
                  <c:v>221022851.84</c:v>
                </c:pt>
                <c:pt idx="2">
                  <c:v>123729484.23999999</c:v>
                </c:pt>
                <c:pt idx="3">
                  <c:v>-995850.38</c:v>
                </c:pt>
                <c:pt idx="4">
                  <c:v>84797800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1558857108.1900001</c:v>
                </c:pt>
                <c:pt idx="1">
                  <c:v>450821899.88999999</c:v>
                </c:pt>
                <c:pt idx="2">
                  <c:v>1767169651.1300001</c:v>
                </c:pt>
                <c:pt idx="3">
                  <c:v>-130720432.13</c:v>
                </c:pt>
                <c:pt idx="4">
                  <c:v>69740108.969999999</c:v>
                </c:pt>
                <c:pt idx="5">
                  <c:v>29800288.039999999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450352746.77999997</c:v>
                </c:pt>
                <c:pt idx="1">
                  <c:v>7000000</c:v>
                </c:pt>
                <c:pt idx="2">
                  <c:v>1477424988.9000001</c:v>
                </c:pt>
                <c:pt idx="3">
                  <c:v>-11212500</c:v>
                </c:pt>
                <c:pt idx="4">
                  <c:v>-44850000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1571031866.0500002</c:v>
                </c:pt>
                <c:pt idx="1">
                  <c:v>544724477.67999995</c:v>
                </c:pt>
                <c:pt idx="2">
                  <c:v>372086749.18999994</c:v>
                </c:pt>
                <c:pt idx="3">
                  <c:v>-107306601</c:v>
                </c:pt>
                <c:pt idx="4">
                  <c:v>118744825.16</c:v>
                </c:pt>
                <c:pt idx="5">
                  <c:v>56000000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2125360745.3699999</c:v>
                </c:pt>
                <c:pt idx="1">
                  <c:v>1155078168</c:v>
                </c:pt>
                <c:pt idx="2">
                  <c:v>628000000</c:v>
                </c:pt>
                <c:pt idx="3">
                  <c:v>186000000</c:v>
                </c:pt>
                <c:pt idx="4">
                  <c:v>160000000</c:v>
                </c:pt>
                <c:pt idx="5">
                  <c:v>86000000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794400000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445097527.07999998</c:v>
                </c:pt>
                <c:pt idx="1">
                  <c:v>224848671</c:v>
                </c:pt>
                <c:pt idx="2">
                  <c:v>1098347979.52</c:v>
                </c:pt>
                <c:pt idx="3">
                  <c:v>0</c:v>
                </c:pt>
                <c:pt idx="4">
                  <c:v>0</c:v>
                </c:pt>
                <c:pt idx="5">
                  <c:v>2927050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104905656.48999999</c:v>
                </c:pt>
                <c:pt idx="1">
                  <c:v>42676593.899999999</c:v>
                </c:pt>
                <c:pt idx="2">
                  <c:v>17351234.460000001</c:v>
                </c:pt>
                <c:pt idx="3">
                  <c:v>11301301.67</c:v>
                </c:pt>
                <c:pt idx="4">
                  <c:v>3255174.84</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2679639168.3899999</c:v>
                </c:pt>
                <c:pt idx="1">
                  <c:v>1284098142.1400001</c:v>
                </c:pt>
                <c:pt idx="2">
                  <c:v>664452325.94000006</c:v>
                </c:pt>
                <c:pt idx="3">
                  <c:v>102005299.33</c:v>
                </c:pt>
                <c:pt idx="4">
                  <c:v>215400000</c:v>
                </c:pt>
                <c:pt idx="5">
                  <c:v>93400000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8.1479229719672919E-2</c:v>
                </c:pt>
                <c:pt idx="1">
                  <c:v>8.4178653446597002E-2</c:v>
                </c:pt>
                <c:pt idx="2">
                  <c:v>7.7930913730796886E-2</c:v>
                </c:pt>
                <c:pt idx="3">
                  <c:v>5.4361097195551773E-2</c:v>
                </c:pt>
                <c:pt idx="4">
                  <c:v>-9.0150891931127075E-2</c:v>
                </c:pt>
                <c:pt idx="5">
                  <c:v>0.10122805849878676</c:v>
                </c:pt>
                <c:pt idx="6">
                  <c:v>0.13460497970086527</c:v>
                </c:pt>
                <c:pt idx="7">
                  <c:v>6.9201055132355097E-2</c:v>
                </c:pt>
                <c:pt idx="8">
                  <c:v>4.8413177784566573E-2</c:v>
                </c:pt>
                <c:pt idx="9">
                  <c:v>3.9911347083012326E-2</c:v>
                </c:pt>
                <c:pt idx="10">
                  <c:v>8.1115842340811012E-2</c:v>
                </c:pt>
                <c:pt idx="11">
                  <c:v>8.6863464995421413E-2</c:v>
                </c:pt>
                <c:pt idx="12">
                  <c:v>7.8465772541703921E-2</c:v>
                </c:pt>
                <c:pt idx="13">
                  <c:v>1.3749111978235215E-2</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1.1960466281997757</c:v>
                </c:pt>
                <c:pt idx="1">
                  <c:v>-0.38427868156339529</c:v>
                </c:pt>
                <c:pt idx="2">
                  <c:v>5.113531308607274</c:v>
                </c:pt>
                <c:pt idx="3">
                  <c:v>-0.1818572145394334</c:v>
                </c:pt>
                <c:pt idx="4">
                  <c:v>0.55881828609659434</c:v>
                </c:pt>
                <c:pt idx="5">
                  <c:v>0.42053554318621417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-0.97048382826385715</c:v>
                </c:pt>
                <c:pt idx="1">
                  <c:v>25.559903244786533</c:v>
                </c:pt>
                <c:pt idx="2">
                  <c:v>13.469467022137563</c:v>
                </c:pt>
                <c:pt idx="3">
                  <c:v>1.3020339497682616E-2</c:v>
                </c:pt>
                <c:pt idx="4">
                  <c:v>-7.7946308250500329E-3</c:v>
                </c:pt>
                <c:pt idx="5">
                  <c:v>4.5983266975281219E-3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-1.9888637284095605</c:v>
                </c:pt>
                <c:pt idx="1">
                  <c:v>0.40165032107054455</c:v>
                </c:pt>
                <c:pt idx="2">
                  <c:v>4.6808435730109768</c:v>
                </c:pt>
                <c:pt idx="3">
                  <c:v>0.26324705695369466</c:v>
                </c:pt>
                <c:pt idx="4">
                  <c:v>-0.30612624115867337</c:v>
                </c:pt>
                <c:pt idx="5">
                  <c:v>0.53186226838770667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0.79616834833409056</c:v>
                </c:pt>
                <c:pt idx="1">
                  <c:v>0.78588679566414588</c:v>
                </c:pt>
                <c:pt idx="2">
                  <c:v>3.6372785060540171</c:v>
                </c:pt>
                <c:pt idx="3">
                  <c:v>0.16094581690935644</c:v>
                </c:pt>
                <c:pt idx="4">
                  <c:v>-0.15516374578656922</c:v>
                </c:pt>
                <c:pt idx="5">
                  <c:v>7.8709876828217271E-2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1.5887877523392313</c:v>
                </c:pt>
                <c:pt idx="1">
                  <c:v>0.93700777922275524</c:v>
                </c:pt>
                <c:pt idx="2">
                  <c:v>3.3248142500482336</c:v>
                </c:pt>
                <c:pt idx="3">
                  <c:v>0.13346179412649264</c:v>
                </c:pt>
                <c:pt idx="4">
                  <c:v>-0.10271714138138185</c:v>
                </c:pt>
                <c:pt idx="5">
                  <c:v>-2.181926434532697E-2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2.2188178584342011</c:v>
                </c:pt>
                <c:pt idx="1">
                  <c:v>0.46881647723827041</c:v>
                </c:pt>
                <c:pt idx="2">
                  <c:v>8.5937298686953465</c:v>
                </c:pt>
                <c:pt idx="3">
                  <c:v>-0.12128340803993769</c:v>
                </c:pt>
                <c:pt idx="4">
                  <c:v>-0.31711455723198068</c:v>
                </c:pt>
                <c:pt idx="5">
                  <c:v>0.24431162374828563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0.60596040433415932</c:v>
                </c:pt>
                <c:pt idx="1">
                  <c:v>0.81691638169394465</c:v>
                </c:pt>
                <c:pt idx="2">
                  <c:v>5.801417150075677</c:v>
                </c:pt>
                <c:pt idx="3">
                  <c:v>-0.54542443562499998</c:v>
                </c:pt>
                <c:pt idx="4">
                  <c:v>6.333333333333333</c:v>
                </c:pt>
                <c:pt idx="5">
                  <c:v>0.19887363364428171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2.6959330225962992</c:v>
                </c:pt>
                <c:pt idx="1">
                  <c:v>1.4556692236575506</c:v>
                </c:pt>
                <c:pt idx="2">
                  <c:v>4.4683141354545448</c:v>
                </c:pt>
                <c:pt idx="3">
                  <c:v>-0.44162436548223349</c:v>
                </c:pt>
                <c:pt idx="4">
                  <c:v>-0.43227665706051871</c:v>
                </c:pt>
                <c:pt idx="5">
                  <c:v>2.9885057471264367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0.30694516970536773</c:v>
                </c:pt>
                <c:pt idx="1">
                  <c:v>0.27525144677051583</c:v>
                </c:pt>
                <c:pt idx="2">
                  <c:v>0.55712750684664192</c:v>
                </c:pt>
                <c:pt idx="3">
                  <c:v>0.64597486764978795</c:v>
                </c:pt>
                <c:pt idx="4">
                  <c:v>0.67670850913973535</c:v>
                </c:pt>
                <c:pt idx="5">
                  <c:v>0.47996821583635962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3.2666753510378365E-3</c:v>
                </c:pt>
                <c:pt idx="1">
                  <c:v>0.2179497178260458</c:v>
                </c:pt>
                <c:pt idx="2">
                  <c:v>1.0226782132469848E-2</c:v>
                </c:pt>
                <c:pt idx="3">
                  <c:v>5.0100219742507807E-3</c:v>
                </c:pt>
                <c:pt idx="4">
                  <c:v>4.2387381275731878E-3</c:v>
                </c:pt>
                <c:pt idx="5">
                  <c:v>4.7232544950020286E-3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0.72235559963309348</c:v>
                </c:pt>
                <c:pt idx="1">
                  <c:v>0.44194172416406036</c:v>
                </c:pt>
                <c:pt idx="2">
                  <c:v>0.37497874514206553</c:v>
                </c:pt>
                <c:pt idx="3">
                  <c:v>0.27705904096079687</c:v>
                </c:pt>
                <c:pt idx="4">
                  <c:v>0.27023314811043037</c:v>
                </c:pt>
                <c:pt idx="5">
                  <c:v>0.43751918239313109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0.59253174578500289</c:v>
                </c:pt>
                <c:pt idx="1">
                  <c:v>0.7699364664466658</c:v>
                </c:pt>
                <c:pt idx="2">
                  <c:v>0.81894425486462463</c:v>
                </c:pt>
                <c:pt idx="3">
                  <c:v>0.78432493071926368</c:v>
                </c:pt>
                <c:pt idx="4">
                  <c:v>0.81708449396471683</c:v>
                </c:pt>
                <c:pt idx="5">
                  <c:v>0.2569593147751606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0.40746825421499711</c:v>
                </c:pt>
                <c:pt idx="1">
                  <c:v>0.23006353355333417</c:v>
                </c:pt>
                <c:pt idx="2">
                  <c:v>0.18105574513537534</c:v>
                </c:pt>
                <c:pt idx="3">
                  <c:v>0.21567506928073638</c:v>
                </c:pt>
                <c:pt idx="4">
                  <c:v>0.1829155060352832</c:v>
                </c:pt>
                <c:pt idx="5">
                  <c:v>0.74304068522483935</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-3.3402687319072855</c:v>
                </c:pt>
                <c:pt idx="1">
                  <c:v>2.1131207165430643</c:v>
                </c:pt>
                <c:pt idx="2">
                  <c:v>8.2458459868957483</c:v>
                </c:pt>
                <c:pt idx="3">
                  <c:v>7.9600068600174394</c:v>
                </c:pt>
                <c:pt idx="4">
                  <c:v>9.2552924291488132</c:v>
                </c:pt>
                <c:pt idx="5">
                  <c:v>6.6396561278620947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2943099285.9800005</c:v>
                </c:pt>
                <c:pt idx="1">
                  <c:v>1340180690.2400002</c:v>
                </c:pt>
                <c:pt idx="2">
                  <c:v>2176602709.8800001</c:v>
                </c:pt>
                <c:pt idx="3">
                  <c:v>356030353.00000006</c:v>
                </c:pt>
                <c:pt idx="4">
                  <c:v>435168969.68000001</c:v>
                </c:pt>
                <c:pt idx="5">
                  <c:v>279165938.43000001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6926202003.9099989</c:v>
                </c:pt>
                <c:pt idx="1">
                  <c:v>2151784384.3699999</c:v>
                </c:pt>
                <c:pt idx="2">
                  <c:v>1464978380.7</c:v>
                </c:pt>
                <c:pt idx="3">
                  <c:v>152701650.00999999</c:v>
                </c:pt>
                <c:pt idx="4">
                  <c:v>173778043.35000002</c:v>
                </c:pt>
                <c:pt idx="5">
                  <c:v>254476128.01000002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1587771274.52</c:v>
                </c:pt>
                <c:pt idx="1">
                  <c:v>988673986.13000011</c:v>
                </c:pt>
                <c:pt idx="2">
                  <c:v>544149414.96000004</c:v>
                </c:pt>
                <c:pt idx="3">
                  <c:v>80005299.329999998</c:v>
                </c:pt>
                <c:pt idx="4">
                  <c:v>176000000</c:v>
                </c:pt>
                <c:pt idx="5">
                  <c:v>24000000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1091867893.8699999</c:v>
                </c:pt>
                <c:pt idx="1">
                  <c:v>295424156.00999999</c:v>
                </c:pt>
                <c:pt idx="2">
                  <c:v>120302910.97999999</c:v>
                </c:pt>
                <c:pt idx="3">
                  <c:v>22000000</c:v>
                </c:pt>
                <c:pt idx="4">
                  <c:v>39400000</c:v>
                </c:pt>
                <c:pt idx="5">
                  <c:v>69400000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1355328011.460001</c:v>
                </c:pt>
                <c:pt idx="1">
                  <c:v>351506704.10999966</c:v>
                </c:pt>
                <c:pt idx="2">
                  <c:v>1632453294.9199998</c:v>
                </c:pt>
                <c:pt idx="3">
                  <c:v>276025053.67000002</c:v>
                </c:pt>
                <c:pt idx="4">
                  <c:v>259168969.68000001</c:v>
                </c:pt>
                <c:pt idx="5">
                  <c:v>255165938.42999992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-1355328011.4600005</c:v>
                </c:pt>
                <c:pt idx="1">
                  <c:v>-351506704.11000013</c:v>
                </c:pt>
                <c:pt idx="2">
                  <c:v>-1632453294.9200001</c:v>
                </c:pt>
                <c:pt idx="3">
                  <c:v>-276025053.67000008</c:v>
                </c:pt>
                <c:pt idx="4">
                  <c:v>-259168969.68000001</c:v>
                </c:pt>
                <c:pt idx="5">
                  <c:v>-255165938.43000001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0.10794309800880003</c:v>
                </c:pt>
                <c:pt idx="1">
                  <c:v>0.11924542784213656</c:v>
                </c:pt>
                <c:pt idx="2">
                  <c:v>0.13351149367608089</c:v>
                </c:pt>
                <c:pt idx="3">
                  <c:v>3.7460090306375496E-2</c:v>
                </c:pt>
                <c:pt idx="4">
                  <c:v>-8.6316167084487833E-2</c:v>
                </c:pt>
                <c:pt idx="5">
                  <c:v>8.5180054932417135E-2</c:v>
                </c:pt>
                <c:pt idx="6">
                  <c:v>7.5126107004906795E-2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0.12154572396200591</c:v>
                </c:pt>
                <c:pt idx="1">
                  <c:v>8.8009878164146738E-2</c:v>
                </c:pt>
                <c:pt idx="2">
                  <c:v>6.0969656870208389E-2</c:v>
                </c:pt>
                <c:pt idx="3">
                  <c:v>0.17620031621723342</c:v>
                </c:pt>
                <c:pt idx="4">
                  <c:v>-0.50529385065446997</c:v>
                </c:pt>
                <c:pt idx="5">
                  <c:v>1.1201379906278341E-2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3305842153.46</c:v>
                </c:pt>
                <c:pt idx="1">
                  <c:v>1593099881.1400001</c:v>
                </c:pt>
                <c:pt idx="2">
                  <c:v>1093803294.7</c:v>
                </c:pt>
                <c:pt idx="3">
                  <c:v>556375832.12</c:v>
                </c:pt>
                <c:pt idx="4">
                  <c:v>624264230.88999999</c:v>
                </c:pt>
                <c:pt idx="5">
                  <c:v>552430922.80999994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2927208635.8100004</c:v>
                </c:pt>
                <c:pt idx="1">
                  <c:v>1488760867.3199999</c:v>
                </c:pt>
                <c:pt idx="2">
                  <c:v>1007678843.3899999</c:v>
                </c:pt>
                <c:pt idx="3">
                  <c:v>139632689.92999995</c:v>
                </c:pt>
                <c:pt idx="4">
                  <c:v>134436184.71000004</c:v>
                </c:pt>
                <c:pt idx="5">
                  <c:v>138783737.79000008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-0.15327715199004183</c:v>
                </c:pt>
                <c:pt idx="1">
                  <c:v>-6.5628371189272736E-3</c:v>
                </c:pt>
                <c:pt idx="2">
                  <c:v>8.7648357768772223E-2</c:v>
                </c:pt>
                <c:pt idx="3">
                  <c:v>1.2852989214549132E-2</c:v>
                </c:pt>
                <c:pt idx="4">
                  <c:v>-7.8558643877643265E-3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1.939225681726504E-2</c:v>
                </c:pt>
                <c:pt idx="1">
                  <c:v>2.6897350708601355E-2</c:v>
                </c:pt>
                <c:pt idx="2">
                  <c:v>1.9372279864848217E-2</c:v>
                </c:pt>
                <c:pt idx="3">
                  <c:v>1.506548196337037E-2</c:v>
                </c:pt>
                <c:pt idx="4">
                  <c:v>-3.8561021228453618E-2</c:v>
                </c:pt>
                <c:pt idx="5">
                  <c:v>3.2707534680412857E-5</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-19.960566900639915</c:v>
                </c:pt>
                <c:pt idx="1">
                  <c:v>9.7593673306959481</c:v>
                </c:pt>
                <c:pt idx="2">
                  <c:v>9.3276885557444018</c:v>
                </c:pt>
                <c:pt idx="3">
                  <c:v>17.549943469588381</c:v>
                </c:pt>
                <c:pt idx="4">
                  <c:v>24.166835268234948</c:v>
                </c:pt>
                <c:pt idx="5">
                  <c:v>15.277168341143266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0.89992333254954171</c:v>
                </c:pt>
                <c:pt idx="1">
                  <c:v>1.4322349259739182</c:v>
                </c:pt>
                <c:pt idx="2">
                  <c:v>1.4344799662407741</c:v>
                </c:pt>
                <c:pt idx="3">
                  <c:v>4.5579633357230938</c:v>
                </c:pt>
                <c:pt idx="4">
                  <c:v>4.3659164355529612</c:v>
                </c:pt>
                <c:pt idx="5">
                  <c:v>2.7162259423125055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2.1178527068258601</c:v>
                </c:pt>
                <c:pt idx="1">
                  <c:v>2.2995859968017438</c:v>
                </c:pt>
                <c:pt idx="2">
                  <c:v>0.96548723777241752</c:v>
                </c:pt>
                <c:pt idx="3">
                  <c:v>1.9549134397819161</c:v>
                </c:pt>
                <c:pt idx="4">
                  <c:v>1.7434616630820616</c:v>
                </c:pt>
                <c:pt idx="5">
                  <c:v>2.475999273003429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198.99885622276722</c:v>
                </c:pt>
                <c:pt idx="1">
                  <c:v>2.904176150840867</c:v>
                </c:pt>
                <c:pt idx="2">
                  <c:v>52.597140596608277</c:v>
                </c:pt>
                <c:pt idx="3">
                  <c:v>252.05976281546407</c:v>
                </c:pt>
                <c:pt idx="4">
                  <c:v>278.34117307030414</c:v>
                </c:pt>
                <c:pt idx="5">
                  <c:v>251.60637749524204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1.9075113819317753</c:v>
                </c:pt>
                <c:pt idx="1">
                  <c:v>1.1539533604583323</c:v>
                </c:pt>
                <c:pt idx="2">
                  <c:v>1.9249274134388088</c:v>
                </c:pt>
                <c:pt idx="3">
                  <c:v>2.0583152733412615</c:v>
                </c:pt>
                <c:pt idx="4">
                  <c:v>2.5926417048685719</c:v>
                </c:pt>
                <c:pt idx="5">
                  <c:v>5.1941540587537114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3.4460986159148965</c:v>
                </c:pt>
                <c:pt idx="1">
                  <c:v>3.2884119382822745</c:v>
                </c:pt>
                <c:pt idx="2">
                  <c:v>3.3662999133561291</c:v>
                </c:pt>
                <c:pt idx="3">
                  <c:v>6.3647401814156037</c:v>
                </c:pt>
                <c:pt idx="4">
                  <c:v>5.6396935035814124</c:v>
                </c:pt>
                <c:pt idx="5">
                  <c:v>10.06945750039522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71.991076432520771</c:v>
                </c:pt>
                <c:pt idx="1">
                  <c:v>61.259964919158229</c:v>
                </c:pt>
                <c:pt idx="2">
                  <c:v>32.786565940067277</c:v>
                </c:pt>
                <c:pt idx="3">
                  <c:v>0</c:v>
                </c:pt>
                <c:pt idx="4">
                  <c:v>0</c:v>
                </c:pt>
                <c:pt idx="5">
                  <c:v>4.8538941242836069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45.204418916531807</c:v>
                </c:pt>
                <c:pt idx="1">
                  <c:v>119.16532998917367</c:v>
                </c:pt>
                <c:pt idx="2">
                  <c:v>165.93285725572019</c:v>
                </c:pt>
                <c:pt idx="3">
                  <c:v>19.688718502913044</c:v>
                </c:pt>
                <c:pt idx="4">
                  <c:v>20.683707530227181</c:v>
                </c:pt>
                <c:pt idx="5">
                  <c:v>18.680320385735936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17.169945742303845</c:v>
                </c:pt>
                <c:pt idx="1">
                  <c:v>8.2777410817027359</c:v>
                </c:pt>
                <c:pt idx="2">
                  <c:v>10.874942624293091</c:v>
                </c:pt>
                <c:pt idx="3">
                  <c:v>12.216305557686837</c:v>
                </c:pt>
                <c:pt idx="4">
                  <c:v>10.272385847909931</c:v>
                </c:pt>
                <c:pt idx="5">
                  <c:v>8.7924755839232098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51.533244329539329</c:v>
                </c:pt>
                <c:pt idx="1">
                  <c:v>45.624186747486014</c:v>
                </c:pt>
                <c:pt idx="2">
                  <c:v>24.695046709171407</c:v>
                </c:pt>
                <c:pt idx="3">
                  <c:v>8.8009652239147034</c:v>
                </c:pt>
                <c:pt idx="4">
                  <c:v>9.2270356017065218</c:v>
                </c:pt>
                <c:pt idx="5">
                  <c:v>7.6540868615259408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9.7602025675355542</c:v>
                </c:pt>
                <c:pt idx="1">
                  <c:v>11.225559783253505</c:v>
                </c:pt>
                <c:pt idx="2">
                  <c:v>15.85663814854561</c:v>
                </c:pt>
                <c:pt idx="3">
                  <c:v>8.9800681090279983</c:v>
                </c:pt>
                <c:pt idx="4">
                  <c:v>8.3026052507679537</c:v>
                </c:pt>
                <c:pt idx="5">
                  <c:v>7.4338257035542519</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0.14090716588724009</c:v>
                </c:pt>
                <c:pt idx="1">
                  <c:v>0.20028328516608859</c:v>
                </c:pt>
                <c:pt idx="2">
                  <c:v>0.18910917062414237</c:v>
                </c:pt>
                <c:pt idx="3">
                  <c:v>0.28126169082331226</c:v>
                </c:pt>
                <c:pt idx="4">
                  <c:v>-9.1138176192229844E-2</c:v>
                </c:pt>
                <c:pt idx="5">
                  <c:v>0.27355682408951909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0.1495175790648656</c:v>
                </c:pt>
                <c:pt idx="1">
                  <c:v>0.16036184668205958</c:v>
                </c:pt>
                <c:pt idx="2">
                  <c:v>0.15210512733195095</c:v>
                </c:pt>
                <c:pt idx="3">
                  <c:v>7.7734115109172802E-2</c:v>
                </c:pt>
                <c:pt idx="4">
                  <c:v>-2.4646133118580514E-2</c:v>
                </c:pt>
                <c:pt idx="5">
                  <c:v>0.11861835383935442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931950664.20000017</c:v>
                </c:pt>
                <c:pt idx="1">
                  <c:v>494212880.83999991</c:v>
                </c:pt>
                <c:pt idx="2">
                  <c:v>319646208.19999993</c:v>
                </c:pt>
                <c:pt idx="3">
                  <c:v>54103606.569999933</c:v>
                </c:pt>
                <c:pt idx="4">
                  <c:v>-18699031.43999996</c:v>
                </c:pt>
                <c:pt idx="5">
                  <c:v>81990745.190000072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-4800953.59</c:v>
                </c:pt>
                <c:pt idx="1">
                  <c:v>-6964367.54</c:v>
                </c:pt>
                <c:pt idx="2">
                  <c:v>3501929.12</c:v>
                </c:pt>
                <c:pt idx="3">
                  <c:v>35490.75</c:v>
                </c:pt>
                <c:pt idx="4">
                  <c:v>-21413.46</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0.87286330955369151</c:v>
                </c:pt>
                <c:pt idx="1">
                  <c:v>0.83106835060782247</c:v>
                </c:pt>
                <c:pt idx="2">
                  <c:v>0.81634095611728885</c:v>
                </c:pt>
                <c:pt idx="3">
                  <c:v>0.87095241528135459</c:v>
                </c:pt>
                <c:pt idx="4">
                  <c:v>0.90993565523650022</c:v>
                </c:pt>
                <c:pt idx="5">
                  <c:v>0.85954993495049081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0.6971663069816143</c:v>
                </c:pt>
                <c:pt idx="1">
                  <c:v>0.65102120686393383</c:v>
                </c:pt>
                <c:pt idx="2">
                  <c:v>0.69131741548563075</c:v>
                </c:pt>
                <c:pt idx="3">
                  <c:v>0.85653021867881995</c:v>
                </c:pt>
                <c:pt idx="4">
                  <c:v>0.94703638796651957</c:v>
                </c:pt>
                <c:pt idx="5">
                  <c:v>0.8773889835128299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2.0274829724541203</c:v>
                </c:pt>
                <c:pt idx="1">
                  <c:v>1.8996846206967539</c:v>
                </c:pt>
                <c:pt idx="2">
                  <c:v>1.2993838564743427</c:v>
                </c:pt>
                <c:pt idx="3">
                  <c:v>1.0304412516304797</c:v>
                </c:pt>
                <c:pt idx="4">
                  <c:v>-0.84540670435275</c:v>
                </c:pt>
                <c:pt idx="5">
                  <c:v>1.120232418398718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2.146997993327056</c:v>
                </c:pt>
                <c:pt idx="1">
                  <c:v>1.9240429801371595</c:v>
                </c:pt>
                <c:pt idx="2">
                  <c:v>1.1755962088886587</c:v>
                </c:pt>
                <c:pt idx="3">
                  <c:v>1.144727127373105</c:v>
                </c:pt>
                <c:pt idx="4">
                  <c:v>-0.39946701645505883</c:v>
                </c:pt>
                <c:pt idx="5">
                  <c:v>1.1327489890673839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1.1044124154492103</c:v>
                </c:pt>
                <c:pt idx="1">
                  <c:v>1.7141527059388724</c:v>
                </c:pt>
                <c:pt idx="2">
                  <c:v>-29.347293218271364</c:v>
                </c:pt>
                <c:pt idx="3">
                  <c:v>-0.92396817447414081</c:v>
                </c:pt>
                <c:pt idx="4">
                  <c:v>-2.6529698666341339</c:v>
                </c:pt>
                <c:pt idx="5">
                  <c:v>5.8496239786402671E-2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712475552.88294196</c:v>
                </c:pt>
                <c:pt idx="1">
                  <c:v>372209977.03327262</c:v>
                </c:pt>
                <c:pt idx="2">
                  <c:v>253842927.50485846</c:v>
                </c:pt>
                <c:pt idx="3">
                  <c:v>28964238.536427379</c:v>
                </c:pt>
                <c:pt idx="4">
                  <c:v>-30944089.413187891</c:v>
                </c:pt>
                <c:pt idx="5">
                  <c:v>59535554.572981566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213360</xdr:colOff>
      <xdr:row>14</xdr:row>
      <xdr:rowOff>141921</xdr:rowOff>
    </xdr:from>
    <xdr:to>
      <xdr:col>44</xdr:col>
      <xdr:colOff>487680</xdr:colOff>
      <xdr:row>24</xdr:row>
      <xdr:rowOff>49531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152400</xdr:colOff>
      <xdr:row>0</xdr:row>
      <xdr:rowOff>113347</xdr:rowOff>
    </xdr:from>
    <xdr:to>
      <xdr:col>44</xdr:col>
      <xdr:colOff>640080</xdr:colOff>
      <xdr:row>14</xdr:row>
      <xdr:rowOff>40005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G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7" width="13.88671875" style="190" hidden="1" customWidth="1"/>
    <col min="28"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5" width="12.77734375" style="190" hidden="1" customWidth="1"/>
    <col min="56" max="58" width="12.77734375" style="190" bestFit="1" customWidth="1"/>
    <col min="59" max="59" width="9.5546875" style="190" hidden="1" customWidth="1"/>
    <col min="60" max="16384" width="8.88671875" style="190"/>
  </cols>
  <sheetData>
    <row r="1" spans="1:59" x14ac:dyDescent="0.25">
      <c r="A1" s="190">
        <v>2044</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20031231</v>
      </c>
      <c r="BF1" s="190">
        <v>20021231</v>
      </c>
      <c r="BG1" s="190">
        <v>19700101</v>
      </c>
    </row>
    <row r="2" spans="1:59"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row>
    <row r="3" spans="1:59" x14ac:dyDescent="0.25">
      <c r="A3" s="190" t="s">
        <v>107</v>
      </c>
    </row>
    <row r="4" spans="1:59" x14ac:dyDescent="0.25">
      <c r="A4" s="190" t="s">
        <v>108</v>
      </c>
      <c r="B4" s="190">
        <v>1191801693.99</v>
      </c>
      <c r="C4" s="190">
        <v>1514778105.8199999</v>
      </c>
      <c r="D4" s="190">
        <v>2567970547.1100001</v>
      </c>
      <c r="E4" s="190">
        <v>2366473079.2800002</v>
      </c>
      <c r="F4" s="190">
        <v>1031932639.79</v>
      </c>
      <c r="G4" s="190">
        <v>1348418953.22</v>
      </c>
      <c r="H4" s="190">
        <v>1063643654.17</v>
      </c>
      <c r="I4" s="190">
        <v>1101435360.3800001</v>
      </c>
      <c r="J4" s="190">
        <v>626747403.54999995</v>
      </c>
      <c r="K4" s="190">
        <v>492398576.25999999</v>
      </c>
      <c r="L4" s="190">
        <v>867557989.66999996</v>
      </c>
      <c r="M4" s="190">
        <v>1105736784.1800001</v>
      </c>
      <c r="N4" s="190">
        <v>651501404.25999999</v>
      </c>
      <c r="O4" s="190">
        <v>51928006.409999996</v>
      </c>
      <c r="P4" s="190">
        <v>96937965.609999999</v>
      </c>
      <c r="Q4" s="190">
        <v>172298023.02000001</v>
      </c>
      <c r="R4" s="190">
        <v>177418574.88</v>
      </c>
      <c r="S4" s="190">
        <v>136787202.58000001</v>
      </c>
      <c r="T4" s="190">
        <v>264717697.62</v>
      </c>
      <c r="U4" s="190">
        <v>318456123.81</v>
      </c>
      <c r="V4" s="190">
        <v>187527203.61000001</v>
      </c>
      <c r="W4" s="190">
        <v>161587106.22999999</v>
      </c>
      <c r="X4" s="190">
        <v>258828221.09999999</v>
      </c>
      <c r="Y4" s="190">
        <v>273071428.81</v>
      </c>
      <c r="Z4" s="190">
        <v>219568805.50999999</v>
      </c>
      <c r="AA4" s="190">
        <v>144102594.61000001</v>
      </c>
      <c r="AB4" s="190">
        <v>198415230.31999999</v>
      </c>
      <c r="AC4" s="190">
        <v>190073127.58000001</v>
      </c>
      <c r="AD4" s="190">
        <v>175802943.49000001</v>
      </c>
      <c r="AE4" s="190">
        <v>131719328.04000001</v>
      </c>
      <c r="AF4" s="190">
        <v>160544538.83000001</v>
      </c>
      <c r="AG4" s="190">
        <v>190309329.34</v>
      </c>
      <c r="AH4" s="190">
        <v>203775756.40000001</v>
      </c>
      <c r="AI4" s="190">
        <v>226965347.59999999</v>
      </c>
      <c r="AJ4" s="190">
        <v>272319141.45999998</v>
      </c>
      <c r="AK4" s="190">
        <v>256396044.5</v>
      </c>
      <c r="AL4" s="190">
        <v>238798061.83000001</v>
      </c>
      <c r="AM4" s="190">
        <v>232329945.12</v>
      </c>
      <c r="AN4" s="190">
        <v>225344859.27000001</v>
      </c>
      <c r="AO4" s="190">
        <v>213100105.34999999</v>
      </c>
      <c r="AP4" s="190">
        <v>199696425.72999999</v>
      </c>
      <c r="AQ4" s="190">
        <v>197194136.16</v>
      </c>
      <c r="AR4" s="190">
        <v>213530237.34</v>
      </c>
      <c r="AS4" s="190">
        <v>193271908.84</v>
      </c>
      <c r="AT4" s="190">
        <v>215218834.06999999</v>
      </c>
      <c r="AU4" s="190">
        <v>207338394.83000001</v>
      </c>
      <c r="AV4" s="190">
        <v>211450304.50999999</v>
      </c>
      <c r="AW4" s="190">
        <v>191685368.28</v>
      </c>
      <c r="AX4" s="190">
        <v>182400449.47</v>
      </c>
      <c r="AY4" s="190">
        <v>192997723.66999999</v>
      </c>
      <c r="AZ4" s="190">
        <v>192714432.78999999</v>
      </c>
      <c r="BA4" s="190">
        <v>193568074.75999999</v>
      </c>
      <c r="BB4" s="190">
        <v>208930897.93000001</v>
      </c>
      <c r="BC4" s="190">
        <v>205913291.03999999</v>
      </c>
      <c r="BD4" s="190">
        <v>58053432.25</v>
      </c>
      <c r="BE4" s="190">
        <v>63735657.420000002</v>
      </c>
      <c r="BF4" s="190">
        <v>50449967.939999998</v>
      </c>
      <c r="BG4" s="190">
        <v>0</v>
      </c>
    </row>
    <row r="5" spans="1:59"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197777.8</v>
      </c>
      <c r="T5" s="190">
        <v>197777.8</v>
      </c>
      <c r="U5" s="190">
        <v>197777.8</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row>
    <row r="6" spans="1:59"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row>
    <row r="7" spans="1:59" x14ac:dyDescent="0.25">
      <c r="A7" s="190" t="s">
        <v>111</v>
      </c>
      <c r="B7" s="190">
        <v>435636</v>
      </c>
      <c r="C7" s="190">
        <v>419136</v>
      </c>
      <c r="D7" s="190">
        <v>750572</v>
      </c>
      <c r="E7" s="190">
        <v>1161270</v>
      </c>
      <c r="F7" s="190">
        <v>30000</v>
      </c>
      <c r="G7" s="190">
        <v>260000</v>
      </c>
      <c r="H7" s="190">
        <v>110000</v>
      </c>
      <c r="I7" s="190">
        <v>185000</v>
      </c>
      <c r="J7" s="190">
        <v>100000</v>
      </c>
      <c r="K7" s="190">
        <v>120000</v>
      </c>
      <c r="L7" s="190">
        <v>1610486.95</v>
      </c>
      <c r="M7" s="190">
        <v>160000</v>
      </c>
      <c r="N7" s="190">
        <v>50000</v>
      </c>
      <c r="O7" s="190">
        <v>0</v>
      </c>
      <c r="P7" s="190">
        <v>0</v>
      </c>
      <c r="Q7" s="190">
        <v>400000</v>
      </c>
      <c r="R7" s="190">
        <v>553000</v>
      </c>
      <c r="S7" s="190">
        <v>1045000</v>
      </c>
      <c r="T7" s="190">
        <v>475000</v>
      </c>
      <c r="U7" s="190">
        <v>3395000</v>
      </c>
      <c r="V7" s="190">
        <v>784177.3</v>
      </c>
      <c r="W7" s="190">
        <v>300000</v>
      </c>
      <c r="X7" s="190">
        <v>300000</v>
      </c>
      <c r="Y7" s="190">
        <v>300000</v>
      </c>
      <c r="Z7" s="190">
        <v>170000</v>
      </c>
      <c r="AA7" s="190">
        <v>1000000</v>
      </c>
      <c r="AB7" s="190">
        <v>350000</v>
      </c>
      <c r="AC7" s="190">
        <v>800000</v>
      </c>
      <c r="AD7" s="190">
        <v>400000</v>
      </c>
      <c r="AE7" s="190">
        <v>0</v>
      </c>
      <c r="AF7" s="190">
        <v>0</v>
      </c>
      <c r="AG7" s="190">
        <v>0</v>
      </c>
      <c r="AH7" s="190">
        <v>0</v>
      </c>
      <c r="AI7" s="190">
        <v>0</v>
      </c>
      <c r="AJ7" s="190">
        <v>10000</v>
      </c>
      <c r="AK7" s="190">
        <v>0</v>
      </c>
      <c r="AL7" s="190">
        <v>0</v>
      </c>
      <c r="AM7" s="190">
        <v>0</v>
      </c>
      <c r="AN7" s="190">
        <v>0</v>
      </c>
      <c r="AO7" s="190">
        <v>0</v>
      </c>
      <c r="AP7" s="190">
        <v>0</v>
      </c>
      <c r="AQ7" s="190">
        <v>0</v>
      </c>
      <c r="AR7" s="190">
        <v>100000</v>
      </c>
      <c r="AS7" s="190">
        <v>0</v>
      </c>
      <c r="AT7" s="190">
        <v>0</v>
      </c>
      <c r="AU7" s="190">
        <v>0</v>
      </c>
      <c r="AV7" s="190">
        <v>0</v>
      </c>
      <c r="AW7" s="190">
        <v>0</v>
      </c>
      <c r="AX7" s="190">
        <v>0</v>
      </c>
      <c r="AY7" s="190">
        <v>0</v>
      </c>
      <c r="AZ7" s="190">
        <v>0</v>
      </c>
      <c r="BA7" s="190">
        <v>0</v>
      </c>
      <c r="BB7" s="190">
        <v>0</v>
      </c>
      <c r="BC7" s="190">
        <v>0</v>
      </c>
      <c r="BD7" s="190">
        <v>75115.929999999993</v>
      </c>
      <c r="BE7" s="190">
        <v>0</v>
      </c>
      <c r="BF7" s="190">
        <v>0</v>
      </c>
      <c r="BG7" s="190">
        <v>0</v>
      </c>
    </row>
    <row r="8" spans="1:59" x14ac:dyDescent="0.25">
      <c r="A8" s="190" t="s">
        <v>112</v>
      </c>
      <c r="B8" s="190">
        <v>2452781796.79</v>
      </c>
      <c r="C8" s="190">
        <v>1998650718.96</v>
      </c>
      <c r="D8" s="190">
        <v>1238611108.0999999</v>
      </c>
      <c r="E8" s="190">
        <v>1406439385.79</v>
      </c>
      <c r="F8" s="190">
        <v>1382560703.76</v>
      </c>
      <c r="G8" s="190">
        <v>1091461123.6300001</v>
      </c>
      <c r="H8" s="190">
        <v>732981659.46000004</v>
      </c>
      <c r="I8" s="190">
        <v>866765725.25999999</v>
      </c>
      <c r="J8" s="190">
        <v>892112084.55999994</v>
      </c>
      <c r="K8" s="190">
        <v>733291575.13</v>
      </c>
      <c r="L8" s="190">
        <v>463132653.05000001</v>
      </c>
      <c r="M8" s="190">
        <v>537576765.78999996</v>
      </c>
      <c r="N8" s="190">
        <v>572491878.53999996</v>
      </c>
      <c r="O8" s="190">
        <v>77766402.230000004</v>
      </c>
      <c r="P8" s="190">
        <v>24986177.09</v>
      </c>
      <c r="Q8" s="190">
        <v>55991607.020000003</v>
      </c>
      <c r="R8" s="190">
        <v>103699950.59999999</v>
      </c>
      <c r="S8" s="190">
        <v>56030354.979999997</v>
      </c>
      <c r="T8" s="190">
        <v>27083271.309999999</v>
      </c>
      <c r="U8" s="190">
        <v>63551740.390000001</v>
      </c>
      <c r="V8" s="190">
        <v>70073099.400000006</v>
      </c>
      <c r="W8" s="190">
        <v>49518009.359999999</v>
      </c>
      <c r="X8" s="190">
        <v>62904796.369999997</v>
      </c>
      <c r="Y8" s="190">
        <v>91124816.849999994</v>
      </c>
      <c r="Z8" s="190">
        <v>70663625.920000002</v>
      </c>
      <c r="AA8" s="190">
        <v>81308313.819999993</v>
      </c>
      <c r="AB8" s="190">
        <v>68675601.519999996</v>
      </c>
      <c r="AC8" s="190">
        <v>72822885.599999994</v>
      </c>
      <c r="AD8" s="190">
        <v>92637389.120000005</v>
      </c>
      <c r="AE8" s="190">
        <v>77575964.700000003</v>
      </c>
      <c r="AF8" s="190">
        <v>38892517.630000003</v>
      </c>
      <c r="AG8" s="190">
        <v>23478158.84</v>
      </c>
      <c r="AH8" s="190">
        <v>49605822.189999998</v>
      </c>
      <c r="AI8" s="190">
        <v>34541188.020000003</v>
      </c>
      <c r="AJ8" s="190">
        <v>12443503.119999999</v>
      </c>
      <c r="AK8" s="190">
        <v>30874543.440000001</v>
      </c>
      <c r="AL8" s="190">
        <v>13796683.93</v>
      </c>
      <c r="AM8" s="190">
        <v>19761903.260000002</v>
      </c>
      <c r="AN8" s="190">
        <v>26849917.760000002</v>
      </c>
      <c r="AO8" s="190">
        <v>33668704.340000004</v>
      </c>
      <c r="AP8" s="190">
        <v>44720648.079999998</v>
      </c>
      <c r="AQ8" s="190">
        <v>29965607.030000001</v>
      </c>
      <c r="AR8" s="190">
        <v>25460336.43</v>
      </c>
      <c r="AS8" s="190">
        <v>46846699.950000003</v>
      </c>
      <c r="AT8" s="190">
        <v>31478740.129999999</v>
      </c>
      <c r="AU8" s="190">
        <v>26692156.530000001</v>
      </c>
      <c r="AV8" s="190">
        <v>40603230.25</v>
      </c>
      <c r="AW8" s="190">
        <v>25808404.370000001</v>
      </c>
      <c r="AX8" s="190">
        <v>42492325.399999999</v>
      </c>
      <c r="AY8" s="190">
        <v>37862551.159999996</v>
      </c>
      <c r="AZ8" s="190">
        <v>36063716.170000002</v>
      </c>
      <c r="BA8" s="190">
        <v>14825433.17</v>
      </c>
      <c r="BB8" s="190">
        <v>46427850.770000003</v>
      </c>
      <c r="BC8" s="190">
        <v>22673672.18</v>
      </c>
      <c r="BD8" s="190">
        <v>48590263.229999997</v>
      </c>
      <c r="BE8" s="190">
        <v>27189833.82</v>
      </c>
      <c r="BF8" s="190">
        <v>27302377.09</v>
      </c>
      <c r="BG8" s="190">
        <v>0</v>
      </c>
    </row>
    <row r="9" spans="1:59" x14ac:dyDescent="0.25">
      <c r="A9" s="190" t="s">
        <v>113</v>
      </c>
      <c r="B9" s="190">
        <v>205655247.97999999</v>
      </c>
      <c r="C9" s="190">
        <v>187484056.63999999</v>
      </c>
      <c r="D9" s="190">
        <v>115941458.8</v>
      </c>
      <c r="E9" s="190">
        <v>117838408.17</v>
      </c>
      <c r="F9" s="190">
        <v>78094173.340000004</v>
      </c>
      <c r="G9" s="190">
        <v>120195775.48999999</v>
      </c>
      <c r="H9" s="190">
        <v>54354945.850000001</v>
      </c>
      <c r="I9" s="190">
        <v>70362498.569999993</v>
      </c>
      <c r="J9" s="190">
        <v>94380336.340000004</v>
      </c>
      <c r="K9" s="190">
        <v>96105228.230000004</v>
      </c>
      <c r="L9" s="190">
        <v>115737628.06999999</v>
      </c>
      <c r="M9" s="190">
        <v>75279601.239999995</v>
      </c>
      <c r="N9" s="190">
        <v>69298225.420000002</v>
      </c>
      <c r="O9" s="190">
        <v>32181895.16</v>
      </c>
      <c r="P9" s="190">
        <v>30579448.030000001</v>
      </c>
      <c r="Q9" s="190">
        <v>5385868.1299999999</v>
      </c>
      <c r="R9" s="190">
        <v>10694065.5</v>
      </c>
      <c r="S9" s="190">
        <v>25283051</v>
      </c>
      <c r="T9" s="190">
        <v>27427923.969999999</v>
      </c>
      <c r="U9" s="190">
        <v>14533902.949999999</v>
      </c>
      <c r="V9" s="190">
        <v>4958586.1100000003</v>
      </c>
      <c r="W9" s="190">
        <v>15986296.76</v>
      </c>
      <c r="X9" s="190">
        <v>18765011.489999998</v>
      </c>
      <c r="Y9" s="190">
        <v>10442351.4</v>
      </c>
      <c r="Z9" s="190">
        <v>14779805.960000001</v>
      </c>
      <c r="AA9" s="190">
        <v>15845440.619999999</v>
      </c>
      <c r="AB9" s="190">
        <v>18436070.670000002</v>
      </c>
      <c r="AC9" s="190">
        <v>12031640.27</v>
      </c>
      <c r="AD9" s="190">
        <v>50521600.829999998</v>
      </c>
      <c r="AE9" s="190">
        <v>31744337.25</v>
      </c>
      <c r="AF9" s="190">
        <v>11313147</v>
      </c>
      <c r="AG9" s="190">
        <v>30534767.600000001</v>
      </c>
      <c r="AH9" s="190">
        <v>7272820.2400000002</v>
      </c>
      <c r="AI9" s="190">
        <v>5223446.6500000004</v>
      </c>
      <c r="AJ9" s="190">
        <v>20296283.77</v>
      </c>
      <c r="AK9" s="190">
        <v>6193033.1799999997</v>
      </c>
      <c r="AL9" s="190">
        <v>32523561.539999999</v>
      </c>
      <c r="AM9" s="190">
        <v>13349773.77</v>
      </c>
      <c r="AN9" s="190">
        <v>10947807.02</v>
      </c>
      <c r="AO9" s="190">
        <v>11829216.119999999</v>
      </c>
      <c r="AP9" s="190">
        <v>12025790.84</v>
      </c>
      <c r="AQ9" s="190">
        <v>12452544.220000001</v>
      </c>
      <c r="AR9" s="190">
        <v>4860058.7</v>
      </c>
      <c r="AS9" s="190">
        <v>4011937.46</v>
      </c>
      <c r="AT9" s="190">
        <v>3668720.08</v>
      </c>
      <c r="AU9" s="190">
        <v>3111615.51</v>
      </c>
      <c r="AV9" s="190">
        <v>1915814.12</v>
      </c>
      <c r="AW9" s="190">
        <v>1380900.74</v>
      </c>
      <c r="AX9" s="190">
        <v>2537195.88</v>
      </c>
      <c r="AY9" s="190">
        <v>3708518.52</v>
      </c>
      <c r="AZ9" s="190">
        <v>3667686.22</v>
      </c>
      <c r="BA9" s="190">
        <v>4300562.71</v>
      </c>
      <c r="BB9" s="190">
        <v>9147183.1999999993</v>
      </c>
      <c r="BC9" s="190">
        <v>10781506.140000001</v>
      </c>
      <c r="BD9" s="190">
        <v>9556187.5700000003</v>
      </c>
      <c r="BE9" s="190">
        <v>2453244.7799999998</v>
      </c>
      <c r="BF9" s="190">
        <v>9718293.4800000004</v>
      </c>
      <c r="BG9" s="190">
        <v>0</v>
      </c>
    </row>
    <row r="10" spans="1:59"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609249.98</v>
      </c>
      <c r="P10" s="190">
        <v>560858.18999999994</v>
      </c>
      <c r="Q10" s="190">
        <v>1050504.72</v>
      </c>
      <c r="R10" s="190">
        <v>343246.87</v>
      </c>
      <c r="S10" s="190">
        <v>98590.63</v>
      </c>
      <c r="T10" s="190">
        <v>911049.45</v>
      </c>
      <c r="U10" s="190">
        <v>432952.09</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row>
    <row r="11" spans="1:59"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29321.06</v>
      </c>
      <c r="AG11" s="190">
        <v>29321.06</v>
      </c>
      <c r="AH11" s="190">
        <v>0</v>
      </c>
      <c r="AI11" s="190">
        <v>0</v>
      </c>
      <c r="AJ11" s="190">
        <v>0</v>
      </c>
      <c r="AK11" s="190">
        <v>0</v>
      </c>
      <c r="AL11" s="190">
        <v>0</v>
      </c>
      <c r="AM11" s="190">
        <v>51068.67</v>
      </c>
      <c r="AN11" s="190">
        <v>0</v>
      </c>
      <c r="AO11" s="190">
        <v>0</v>
      </c>
      <c r="AP11" s="190">
        <v>0</v>
      </c>
      <c r="AQ11" s="190">
        <v>0</v>
      </c>
      <c r="AR11" s="190">
        <v>0</v>
      </c>
      <c r="AS11" s="190">
        <v>0</v>
      </c>
      <c r="AT11" s="190">
        <v>0</v>
      </c>
      <c r="AU11" s="190">
        <v>0</v>
      </c>
      <c r="AV11" s="190">
        <v>0</v>
      </c>
      <c r="AW11" s="190">
        <v>0</v>
      </c>
      <c r="AX11" s="190">
        <v>178154.93</v>
      </c>
      <c r="AY11" s="190">
        <v>178154.93</v>
      </c>
      <c r="AZ11" s="190">
        <v>225368.23</v>
      </c>
      <c r="BA11" s="190">
        <v>0</v>
      </c>
      <c r="BB11" s="190">
        <v>0</v>
      </c>
      <c r="BC11" s="190">
        <v>0</v>
      </c>
      <c r="BD11" s="190">
        <v>0</v>
      </c>
      <c r="BE11" s="190">
        <v>0</v>
      </c>
      <c r="BF11" s="190">
        <v>0</v>
      </c>
      <c r="BG11" s="190">
        <v>0</v>
      </c>
    </row>
    <row r="12" spans="1:59" x14ac:dyDescent="0.25">
      <c r="A12" s="190" t="s">
        <v>116</v>
      </c>
      <c r="B12" s="190">
        <v>380547166.99000001</v>
      </c>
      <c r="C12" s="190">
        <v>298699417.5</v>
      </c>
      <c r="D12" s="190">
        <v>286841177.01999998</v>
      </c>
      <c r="E12" s="190">
        <v>268717228.06999999</v>
      </c>
      <c r="F12" s="190">
        <v>282132483.94999999</v>
      </c>
      <c r="G12" s="190">
        <v>239892019.43000001</v>
      </c>
      <c r="H12" s="190">
        <v>280040506.20999998</v>
      </c>
      <c r="I12" s="190">
        <v>158413442.18000001</v>
      </c>
      <c r="J12" s="190">
        <v>278188701.02999997</v>
      </c>
      <c r="K12" s="190">
        <v>264173861.44</v>
      </c>
      <c r="L12" s="190">
        <v>193514894.83000001</v>
      </c>
      <c r="M12" s="190">
        <v>154219296.59</v>
      </c>
      <c r="N12" s="190">
        <v>149193565.66</v>
      </c>
      <c r="O12" s="190">
        <v>5550373.6600000001</v>
      </c>
      <c r="P12" s="190">
        <v>5610776.3700000001</v>
      </c>
      <c r="Q12" s="190">
        <v>2430717.69</v>
      </c>
      <c r="R12" s="190">
        <v>1899033.92</v>
      </c>
      <c r="S12" s="190">
        <v>640488.49</v>
      </c>
      <c r="T12" s="190">
        <v>5252874.5599999996</v>
      </c>
      <c r="U12" s="190">
        <v>4260132.79</v>
      </c>
      <c r="V12" s="190">
        <v>909956.3</v>
      </c>
      <c r="W12" s="190">
        <v>994844.27</v>
      </c>
      <c r="X12" s="190">
        <v>1010305.23</v>
      </c>
      <c r="Y12" s="190">
        <v>808551.71</v>
      </c>
      <c r="Z12" s="190">
        <v>859468.13</v>
      </c>
      <c r="AA12" s="190">
        <v>2899553.25</v>
      </c>
      <c r="AB12" s="190">
        <v>941897.47</v>
      </c>
      <c r="AC12" s="190">
        <v>5472751.8499999996</v>
      </c>
      <c r="AD12" s="190">
        <v>476459.85</v>
      </c>
      <c r="AE12" s="190">
        <v>5698168.2699999996</v>
      </c>
      <c r="AF12" s="190">
        <v>2789855.98</v>
      </c>
      <c r="AG12" s="190">
        <v>2466009.8199999998</v>
      </c>
      <c r="AH12" s="190">
        <v>1088833.78</v>
      </c>
      <c r="AI12" s="190">
        <v>2073043.38</v>
      </c>
      <c r="AJ12" s="190">
        <v>2255933.7200000002</v>
      </c>
      <c r="AK12" s="190">
        <v>972513.44</v>
      </c>
      <c r="AL12" s="190">
        <v>5409097.2699999996</v>
      </c>
      <c r="AM12" s="190">
        <v>3875047.42</v>
      </c>
      <c r="AN12" s="190">
        <v>1285804.93</v>
      </c>
      <c r="AO12" s="190">
        <v>442786.93</v>
      </c>
      <c r="AP12" s="190">
        <v>1338209.3</v>
      </c>
      <c r="AQ12" s="190">
        <v>1737839.2</v>
      </c>
      <c r="AR12" s="190">
        <v>4543279.79</v>
      </c>
      <c r="AS12" s="190">
        <v>2690717.88</v>
      </c>
      <c r="AT12" s="190">
        <v>178870.85</v>
      </c>
      <c r="AU12" s="190">
        <v>2589542.2400000002</v>
      </c>
      <c r="AV12" s="190">
        <v>1569513.24</v>
      </c>
      <c r="AW12" s="190">
        <v>1165548.25</v>
      </c>
      <c r="AX12" s="190">
        <v>443943.82</v>
      </c>
      <c r="AY12" s="190">
        <v>412936.85</v>
      </c>
      <c r="AZ12" s="190">
        <v>825320.46</v>
      </c>
      <c r="BA12" s="190">
        <v>626381</v>
      </c>
      <c r="BB12" s="190">
        <v>1633748.72</v>
      </c>
      <c r="BC12" s="190">
        <v>1533208.71</v>
      </c>
      <c r="BD12" s="190">
        <v>2683270.0099999998</v>
      </c>
      <c r="BE12" s="190">
        <v>2559793.0299999998</v>
      </c>
      <c r="BF12" s="190">
        <v>1498218.93</v>
      </c>
      <c r="BG12" s="190">
        <v>0</v>
      </c>
    </row>
    <row r="13" spans="1:59"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row>
    <row r="14" spans="1:59" x14ac:dyDescent="0.25">
      <c r="A14" s="190" t="s">
        <v>118</v>
      </c>
      <c r="B14" s="190">
        <v>116358485.63</v>
      </c>
      <c r="C14" s="190">
        <v>99433276.140000001</v>
      </c>
      <c r="D14" s="190">
        <v>79443853.439999998</v>
      </c>
      <c r="E14" s="190">
        <v>83122825.379999995</v>
      </c>
      <c r="F14" s="190">
        <v>57044480.520000003</v>
      </c>
      <c r="G14" s="190">
        <v>47677538.25</v>
      </c>
      <c r="H14" s="190">
        <v>42037934.75</v>
      </c>
      <c r="I14" s="190">
        <v>45176574.219999999</v>
      </c>
      <c r="J14" s="190">
        <v>35656710.659999996</v>
      </c>
      <c r="K14" s="190">
        <v>33530235.5</v>
      </c>
      <c r="L14" s="190">
        <v>27238144.920000002</v>
      </c>
      <c r="M14" s="190">
        <v>24659185.920000002</v>
      </c>
      <c r="N14" s="190">
        <v>22346972.960000001</v>
      </c>
      <c r="O14" s="190">
        <v>109159582.8</v>
      </c>
      <c r="P14" s="190">
        <v>61386202.329999998</v>
      </c>
      <c r="Q14" s="190">
        <v>63925647.109999999</v>
      </c>
      <c r="R14" s="190">
        <v>92353987.709999993</v>
      </c>
      <c r="S14" s="190">
        <v>133361516.81</v>
      </c>
      <c r="T14" s="190">
        <v>104384431.04000001</v>
      </c>
      <c r="U14" s="190">
        <v>62509537.659999996</v>
      </c>
      <c r="V14" s="190">
        <v>158966574.78</v>
      </c>
      <c r="W14" s="190">
        <v>167468495.16999999</v>
      </c>
      <c r="X14" s="190">
        <v>87593585.530000001</v>
      </c>
      <c r="Y14" s="190">
        <v>72802442.879999995</v>
      </c>
      <c r="Z14" s="190">
        <v>92138960</v>
      </c>
      <c r="AA14" s="190">
        <v>115508017.56999999</v>
      </c>
      <c r="AB14" s="190">
        <v>60115616.479999997</v>
      </c>
      <c r="AC14" s="190">
        <v>71546826.420000002</v>
      </c>
      <c r="AD14" s="190">
        <v>62131807.420000002</v>
      </c>
      <c r="AE14" s="190">
        <v>96753622.599999994</v>
      </c>
      <c r="AF14" s="190">
        <v>69318999.340000004</v>
      </c>
      <c r="AG14" s="190">
        <v>76456562.099999994</v>
      </c>
      <c r="AH14" s="190">
        <v>94632916.969999999</v>
      </c>
      <c r="AI14" s="190">
        <v>72866244.739999995</v>
      </c>
      <c r="AJ14" s="190">
        <v>27259415.440000001</v>
      </c>
      <c r="AK14" s="190">
        <v>47683647.850000001</v>
      </c>
      <c r="AL14" s="190">
        <v>52860796.130000003</v>
      </c>
      <c r="AM14" s="190">
        <v>61402419.630000003</v>
      </c>
      <c r="AN14" s="190">
        <v>30557835.559999999</v>
      </c>
      <c r="AO14" s="190">
        <v>30776280.800000001</v>
      </c>
      <c r="AP14" s="190">
        <v>28090756.77</v>
      </c>
      <c r="AQ14" s="190">
        <v>34583447.020000003</v>
      </c>
      <c r="AR14" s="190">
        <v>17230602.039999999</v>
      </c>
      <c r="AS14" s="190">
        <v>28740382.899999999</v>
      </c>
      <c r="AT14" s="190">
        <v>33475989.190000001</v>
      </c>
      <c r="AU14" s="190">
        <v>30898126.359999999</v>
      </c>
      <c r="AV14" s="190">
        <v>21656172.489999998</v>
      </c>
      <c r="AW14" s="190">
        <v>33090922.789999999</v>
      </c>
      <c r="AX14" s="190">
        <v>30714967.23</v>
      </c>
      <c r="AY14" s="190">
        <v>18836904.050000001</v>
      </c>
      <c r="AZ14" s="190">
        <v>35092418.810000002</v>
      </c>
      <c r="BA14" s="190">
        <v>30391921.16</v>
      </c>
      <c r="BB14" s="190">
        <v>28510636.18</v>
      </c>
      <c r="BC14" s="190">
        <v>47757007.450000003</v>
      </c>
      <c r="BD14" s="190">
        <v>33694407.719999999</v>
      </c>
      <c r="BE14" s="190">
        <v>35593268.740000002</v>
      </c>
      <c r="BF14" s="190">
        <v>7556921.7800000003</v>
      </c>
      <c r="BG14" s="190">
        <v>0</v>
      </c>
    </row>
    <row r="15" spans="1:59"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row>
    <row r="16" spans="1:59" x14ac:dyDescent="0.25">
      <c r="A16" s="190" t="s">
        <v>120</v>
      </c>
      <c r="B16" s="190">
        <v>260331956.47</v>
      </c>
      <c r="C16" s="190">
        <v>205997970.28</v>
      </c>
      <c r="D16" s="190">
        <v>177373542.25999999</v>
      </c>
      <c r="E16" s="190">
        <v>173774268.93000001</v>
      </c>
      <c r="F16" s="190">
        <v>157325070.16999999</v>
      </c>
      <c r="G16" s="190">
        <v>103466956.17</v>
      </c>
      <c r="H16" s="190">
        <v>103146956.17</v>
      </c>
      <c r="I16" s="190">
        <v>66653965.689999998</v>
      </c>
      <c r="J16" s="190">
        <v>60099427.630000003</v>
      </c>
      <c r="K16" s="190">
        <v>20796472.699999999</v>
      </c>
      <c r="L16" s="190">
        <v>2555443.58</v>
      </c>
      <c r="M16" s="190">
        <v>1463066.67</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row>
    <row r="17" spans="1:59"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93022.54</v>
      </c>
      <c r="AY17" s="190">
        <v>188150.26</v>
      </c>
      <c r="AZ17" s="190">
        <v>215262.94</v>
      </c>
      <c r="BA17" s="190">
        <v>150415.59</v>
      </c>
      <c r="BB17" s="190">
        <v>210737.1</v>
      </c>
      <c r="BC17" s="190">
        <v>130334.47</v>
      </c>
      <c r="BD17" s="190">
        <v>308475.65999999997</v>
      </c>
      <c r="BE17" s="190">
        <v>307852.63</v>
      </c>
      <c r="BF17" s="190">
        <v>99422.9</v>
      </c>
      <c r="BG17" s="190">
        <v>0</v>
      </c>
    </row>
    <row r="18" spans="1:59"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row>
    <row r="19" spans="1:59" x14ac:dyDescent="0.25">
      <c r="A19" s="190" t="s">
        <v>123</v>
      </c>
      <c r="B19" s="190">
        <v>632025445.87</v>
      </c>
      <c r="C19" s="190">
        <v>588533729.27999997</v>
      </c>
      <c r="D19" s="190">
        <v>164370731.55000001</v>
      </c>
      <c r="E19" s="190">
        <v>172134942.22</v>
      </c>
      <c r="F19" s="190">
        <v>134430714.78</v>
      </c>
      <c r="G19" s="190">
        <v>95984539.25</v>
      </c>
      <c r="H19" s="190">
        <v>70321616.799999997</v>
      </c>
      <c r="I19" s="190">
        <v>61606309.829999998</v>
      </c>
      <c r="J19" s="190">
        <v>45548751.369999997</v>
      </c>
      <c r="K19" s="190">
        <v>25133826.18</v>
      </c>
      <c r="L19" s="190">
        <v>6732397.1100000003</v>
      </c>
      <c r="M19" s="190">
        <v>2016495.85</v>
      </c>
      <c r="N19" s="190">
        <v>0</v>
      </c>
      <c r="O19" s="190">
        <v>44187697.100000001</v>
      </c>
      <c r="P19" s="190">
        <v>47510633.359999999</v>
      </c>
      <c r="Q19" s="190">
        <v>43976741.700000003</v>
      </c>
      <c r="R19" s="190">
        <v>50000000</v>
      </c>
      <c r="S19" s="190">
        <v>50000000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row>
    <row r="20" spans="1:59" x14ac:dyDescent="0.25">
      <c r="A20" s="190" t="s">
        <v>124</v>
      </c>
      <c r="B20" s="190">
        <v>5239937429.7200003</v>
      </c>
      <c r="C20" s="190">
        <v>4893996410.6199999</v>
      </c>
      <c r="D20" s="190">
        <v>4631302990.2799997</v>
      </c>
      <c r="E20" s="190">
        <v>4589661407.8400002</v>
      </c>
      <c r="F20" s="190">
        <v>3123550266.3099999</v>
      </c>
      <c r="G20" s="190">
        <v>3047356905.4400001</v>
      </c>
      <c r="H20" s="190">
        <v>2346637273.4099998</v>
      </c>
      <c r="I20" s="190">
        <v>2370598876.1300001</v>
      </c>
      <c r="J20" s="190">
        <v>2032833415.1400001</v>
      </c>
      <c r="K20" s="190">
        <v>1665549775.4400001</v>
      </c>
      <c r="L20" s="190">
        <v>1678079638.1800001</v>
      </c>
      <c r="M20" s="190">
        <v>1901111196.24</v>
      </c>
      <c r="N20" s="190">
        <v>1464882046.8399999</v>
      </c>
      <c r="O20" s="190">
        <v>321383207.33999997</v>
      </c>
      <c r="P20" s="190">
        <v>267572060.97999999</v>
      </c>
      <c r="Q20" s="190">
        <v>345459109.38999999</v>
      </c>
      <c r="R20" s="190">
        <v>436961859.48000002</v>
      </c>
      <c r="S20" s="190">
        <v>403443982.29000002</v>
      </c>
      <c r="T20" s="190">
        <v>430450025.75</v>
      </c>
      <c r="U20" s="190">
        <v>467337167.49000001</v>
      </c>
      <c r="V20" s="190">
        <v>423219597.5</v>
      </c>
      <c r="W20" s="190">
        <v>395854751.79000002</v>
      </c>
      <c r="X20" s="190">
        <v>429401919.72000003</v>
      </c>
      <c r="Y20" s="190">
        <v>448549591.64999998</v>
      </c>
      <c r="Z20" s="190">
        <v>398180665.51999998</v>
      </c>
      <c r="AA20" s="190">
        <v>360663919.87</v>
      </c>
      <c r="AB20" s="190">
        <v>346934416.45999998</v>
      </c>
      <c r="AC20" s="190">
        <v>352747231.72000003</v>
      </c>
      <c r="AD20" s="190">
        <v>381970200.70999998</v>
      </c>
      <c r="AE20" s="190">
        <v>343491420.86000001</v>
      </c>
      <c r="AF20" s="190">
        <v>282888379.83999997</v>
      </c>
      <c r="AG20" s="190">
        <v>323274148.75999999</v>
      </c>
      <c r="AH20" s="190">
        <v>356376149.57999998</v>
      </c>
      <c r="AI20" s="190">
        <v>341669270.38999999</v>
      </c>
      <c r="AJ20" s="190">
        <v>334584277.50999999</v>
      </c>
      <c r="AK20" s="190">
        <v>342119782.41000003</v>
      </c>
      <c r="AL20" s="190">
        <v>343388200.69999999</v>
      </c>
      <c r="AM20" s="190">
        <v>330770157.87</v>
      </c>
      <c r="AN20" s="190">
        <v>294986224.54000002</v>
      </c>
      <c r="AO20" s="190">
        <v>289817093.54000002</v>
      </c>
      <c r="AP20" s="190">
        <v>285871830.72000003</v>
      </c>
      <c r="AQ20" s="190">
        <v>275933573.63</v>
      </c>
      <c r="AR20" s="190">
        <v>265724514.30000001</v>
      </c>
      <c r="AS20" s="190">
        <v>275561647.02999997</v>
      </c>
      <c r="AT20" s="190">
        <v>284021154.31999999</v>
      </c>
      <c r="AU20" s="190">
        <v>270629835.47000003</v>
      </c>
      <c r="AV20" s="190">
        <v>277195034.61000001</v>
      </c>
      <c r="AW20" s="190">
        <v>253131144.43000001</v>
      </c>
      <c r="AX20" s="190">
        <v>261493105.93000001</v>
      </c>
      <c r="AY20" s="190">
        <v>256189065.21000001</v>
      </c>
      <c r="AZ20" s="190">
        <v>269042059.48000002</v>
      </c>
      <c r="BA20" s="190">
        <v>244611734.19</v>
      </c>
      <c r="BB20" s="190">
        <v>295185713.23000002</v>
      </c>
      <c r="BC20" s="190">
        <v>290995896.57999998</v>
      </c>
      <c r="BD20" s="190">
        <v>153799895.97</v>
      </c>
      <c r="BE20" s="190">
        <v>143602340.65000001</v>
      </c>
      <c r="BF20" s="190">
        <v>107140889.01000001</v>
      </c>
      <c r="BG20" s="190">
        <v>0</v>
      </c>
    </row>
    <row r="21" spans="1:59" x14ac:dyDescent="0.25">
      <c r="A21" s="190" t="s">
        <v>125</v>
      </c>
    </row>
    <row r="22" spans="1:59"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184756346.63</v>
      </c>
      <c r="P22" s="190">
        <v>160201780.5</v>
      </c>
      <c r="Q22" s="190">
        <v>178879051.33000001</v>
      </c>
      <c r="R22" s="190">
        <v>165172901.06</v>
      </c>
      <c r="S22" s="190">
        <v>157309737.75</v>
      </c>
      <c r="T22" s="190">
        <v>149582032.47999999</v>
      </c>
      <c r="U22" s="190">
        <v>110341583.68000001</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row>
    <row r="23" spans="1:59" x14ac:dyDescent="0.25">
      <c r="A23" s="190" t="s">
        <v>127</v>
      </c>
      <c r="B23" s="190">
        <v>866867910.70000005</v>
      </c>
      <c r="C23" s="190">
        <v>788261910.70000005</v>
      </c>
      <c r="D23" s="190">
        <v>691041801.70000005</v>
      </c>
      <c r="E23" s="190">
        <v>576626206.70000005</v>
      </c>
      <c r="F23" s="190">
        <v>454910725.69999999</v>
      </c>
      <c r="G23" s="190">
        <v>348692119.31999999</v>
      </c>
      <c r="H23" s="190">
        <v>269078649.86000001</v>
      </c>
      <c r="I23" s="190">
        <v>238745329.86000001</v>
      </c>
      <c r="J23" s="190">
        <v>1191853465.1600001</v>
      </c>
      <c r="K23" s="190">
        <v>1155114465.1600001</v>
      </c>
      <c r="L23" s="190">
        <v>1082805925.7</v>
      </c>
      <c r="M23" s="190">
        <v>1070865925.7</v>
      </c>
      <c r="N23" s="190">
        <v>1046235000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row>
    <row r="24" spans="1:59"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row>
    <row r="25" spans="1:59" x14ac:dyDescent="0.25">
      <c r="A25" s="190" t="s">
        <v>129</v>
      </c>
      <c r="B25" s="190">
        <v>548955185.17999995</v>
      </c>
      <c r="C25" s="190">
        <v>402084073.25</v>
      </c>
      <c r="D25" s="190">
        <v>347796663.51999998</v>
      </c>
      <c r="E25" s="190">
        <v>336998843.51999998</v>
      </c>
      <c r="F25" s="190">
        <v>327011727.57999998</v>
      </c>
      <c r="G25" s="190">
        <v>236583543.13999999</v>
      </c>
      <c r="H25" s="190">
        <v>253095551.25</v>
      </c>
      <c r="I25" s="190">
        <v>156196848.97</v>
      </c>
      <c r="J25" s="190">
        <v>145432950.69</v>
      </c>
      <c r="K25" s="190">
        <v>106851481.65000001</v>
      </c>
      <c r="L25" s="190">
        <v>56295049.780000001</v>
      </c>
      <c r="M25" s="190">
        <v>2750288.89</v>
      </c>
      <c r="N25" s="190">
        <v>115000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row>
    <row r="26" spans="1:59" x14ac:dyDescent="0.25">
      <c r="A26" s="190" t="s">
        <v>130</v>
      </c>
      <c r="B26" s="190">
        <v>65772093.530000001</v>
      </c>
      <c r="C26" s="190">
        <v>39624314.729999997</v>
      </c>
      <c r="D26" s="190">
        <v>30750776.850000001</v>
      </c>
      <c r="E26" s="190">
        <v>31322043.289999999</v>
      </c>
      <c r="F26" s="190">
        <v>1068683008.58</v>
      </c>
      <c r="G26" s="190">
        <v>1050837392.97</v>
      </c>
      <c r="H26" s="190">
        <v>1044092745.36</v>
      </c>
      <c r="I26" s="190">
        <v>1061182445</v>
      </c>
      <c r="J26" s="190">
        <v>123759708.87</v>
      </c>
      <c r="K26" s="190">
        <v>28246919.280000001</v>
      </c>
      <c r="L26" s="190">
        <v>43253333.289999999</v>
      </c>
      <c r="M26" s="190">
        <v>39954303.869999997</v>
      </c>
      <c r="N26" s="190">
        <v>77905231.219999999</v>
      </c>
      <c r="O26" s="190">
        <v>2916125.61</v>
      </c>
      <c r="P26" s="190">
        <v>2785149</v>
      </c>
      <c r="Q26" s="190">
        <v>2761283.73</v>
      </c>
      <c r="R26" s="190">
        <v>2827707.96</v>
      </c>
      <c r="S26" s="190">
        <v>2805769.23</v>
      </c>
      <c r="T26" s="190">
        <v>2750616.9</v>
      </c>
      <c r="U26" s="190">
        <v>2725792.98</v>
      </c>
      <c r="V26" s="190">
        <v>2735605.26</v>
      </c>
      <c r="W26" s="190">
        <v>2733230.21</v>
      </c>
      <c r="X26" s="190">
        <v>2730474.45</v>
      </c>
      <c r="Y26" s="190">
        <v>2747206.44</v>
      </c>
      <c r="Z26" s="190">
        <v>2754439.95</v>
      </c>
      <c r="AA26" s="190">
        <v>2756731.44</v>
      </c>
      <c r="AB26" s="190">
        <v>2692966.02</v>
      </c>
      <c r="AC26" s="190">
        <v>2734631.71</v>
      </c>
      <c r="AD26" s="190">
        <v>2713514.46</v>
      </c>
      <c r="AE26" s="190">
        <v>2725867.85</v>
      </c>
      <c r="AF26" s="190">
        <v>2716832.36</v>
      </c>
      <c r="AG26" s="190">
        <v>2705794.89</v>
      </c>
      <c r="AH26" s="190">
        <v>2811608.99</v>
      </c>
      <c r="AI26" s="190">
        <v>2810299.45</v>
      </c>
      <c r="AJ26" s="190">
        <v>2279723.42</v>
      </c>
      <c r="AK26" s="190">
        <v>2729933.08</v>
      </c>
      <c r="AL26" s="190">
        <v>2799194.23</v>
      </c>
      <c r="AM26" s="190">
        <v>2773354.54</v>
      </c>
      <c r="AN26" s="190">
        <v>2791132.97</v>
      </c>
      <c r="AO26" s="190">
        <v>2796491.88</v>
      </c>
      <c r="AP26" s="190">
        <v>6837123.4500000002</v>
      </c>
      <c r="AQ26" s="190">
        <v>6915037.2999999998</v>
      </c>
      <c r="AR26" s="190">
        <v>3288006.45</v>
      </c>
      <c r="AS26" s="190">
        <v>3187552.81</v>
      </c>
      <c r="AT26" s="190">
        <v>3130487.03</v>
      </c>
      <c r="AU26" s="190">
        <v>3044051.32</v>
      </c>
      <c r="AV26" s="190">
        <v>3971947.84</v>
      </c>
      <c r="AW26" s="190">
        <v>4152812.54</v>
      </c>
      <c r="AX26" s="190">
        <v>3793242.87</v>
      </c>
      <c r="AY26" s="190">
        <v>4564992.99</v>
      </c>
      <c r="AZ26" s="190">
        <v>5104126.8600000003</v>
      </c>
      <c r="BA26" s="190">
        <v>5298474.76</v>
      </c>
      <c r="BB26" s="190">
        <v>3732981.37</v>
      </c>
      <c r="BC26" s="190">
        <v>3704850.2</v>
      </c>
      <c r="BD26" s="190">
        <v>215328.24</v>
      </c>
      <c r="BE26" s="190">
        <v>-118094.19</v>
      </c>
      <c r="BF26" s="190">
        <v>4294054.37</v>
      </c>
      <c r="BG26" s="190">
        <v>0</v>
      </c>
    </row>
    <row r="27" spans="1:59"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3625785.27</v>
      </c>
      <c r="P27" s="190">
        <v>3714279.6</v>
      </c>
      <c r="Q27" s="190">
        <v>3802773.93</v>
      </c>
      <c r="R27" s="190">
        <v>5475049.3099999996</v>
      </c>
      <c r="S27" s="190">
        <v>5563543.6399999997</v>
      </c>
      <c r="T27" s="190">
        <v>5652037.9699999997</v>
      </c>
      <c r="U27" s="190">
        <v>5740532.2999999998</v>
      </c>
      <c r="V27" s="190">
        <v>5829026.6299999999</v>
      </c>
      <c r="W27" s="190">
        <v>5917520.96</v>
      </c>
      <c r="X27" s="190">
        <v>6006015.29</v>
      </c>
      <c r="Y27" s="190">
        <v>6094509.6200000001</v>
      </c>
      <c r="Z27" s="190">
        <v>6183003.9500000002</v>
      </c>
      <c r="AA27" s="190">
        <v>6271498.2800000003</v>
      </c>
      <c r="AB27" s="190">
        <v>6359992.6100000003</v>
      </c>
      <c r="AC27" s="190">
        <v>6448486.9400000004</v>
      </c>
      <c r="AD27" s="190">
        <v>6536981.2699999996</v>
      </c>
      <c r="AE27" s="190">
        <v>6625475.5999999996</v>
      </c>
      <c r="AF27" s="190">
        <v>6713969.9299999997</v>
      </c>
      <c r="AG27" s="190">
        <v>6802464.2599999998</v>
      </c>
      <c r="AH27" s="190">
        <v>6890958.5899999999</v>
      </c>
      <c r="AI27" s="190">
        <v>7014281.0999999996</v>
      </c>
      <c r="AJ27" s="190">
        <v>7081379.0199999996</v>
      </c>
      <c r="AK27" s="190">
        <v>7185863.5599999996</v>
      </c>
      <c r="AL27" s="190">
        <v>7290348.0999999996</v>
      </c>
      <c r="AM27" s="190">
        <v>7422914.6500000004</v>
      </c>
      <c r="AN27" s="190">
        <v>7772818.8700000001</v>
      </c>
      <c r="AO27" s="190">
        <v>7772818.8700000001</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row>
    <row r="28" spans="1:59" x14ac:dyDescent="0.25">
      <c r="A28" s="190" t="s">
        <v>132</v>
      </c>
      <c r="B28" s="190">
        <v>2410246278.0100002</v>
      </c>
      <c r="C28" s="190">
        <v>2315312072.6500001</v>
      </c>
      <c r="D28" s="190">
        <v>1843565316.6300001</v>
      </c>
      <c r="E28" s="190">
        <v>1808726761.47</v>
      </c>
      <c r="F28" s="190">
        <v>1321298357.1400001</v>
      </c>
      <c r="G28" s="190">
        <v>1119790051.77</v>
      </c>
      <c r="H28" s="190">
        <v>973643001.10000002</v>
      </c>
      <c r="I28" s="190">
        <v>937188164.47000003</v>
      </c>
      <c r="J28" s="190">
        <v>834578078.26999998</v>
      </c>
      <c r="K28" s="190">
        <v>772629534.74000001</v>
      </c>
      <c r="L28" s="190">
        <v>639717992.72000003</v>
      </c>
      <c r="M28" s="190">
        <v>624270621.21000004</v>
      </c>
      <c r="N28" s="190">
        <v>548512113.38</v>
      </c>
      <c r="O28" s="190">
        <v>105739088.01000001</v>
      </c>
      <c r="P28" s="190">
        <v>107021970.59999999</v>
      </c>
      <c r="Q28" s="190">
        <v>109353799.56</v>
      </c>
      <c r="R28" s="190">
        <v>124914582.86</v>
      </c>
      <c r="S28" s="190">
        <v>128618179.91</v>
      </c>
      <c r="T28" s="190">
        <v>131836608.39</v>
      </c>
      <c r="U28" s="190">
        <v>134528661.02000001</v>
      </c>
      <c r="V28" s="190">
        <v>225485732.38999999</v>
      </c>
      <c r="W28" s="190">
        <v>71837700.840000004</v>
      </c>
      <c r="X28" s="190">
        <v>73954009.260000005</v>
      </c>
      <c r="Y28" s="190">
        <v>68644677.290000007</v>
      </c>
      <c r="Z28" s="190">
        <v>70505573.069999993</v>
      </c>
      <c r="AA28" s="190">
        <v>72929809.629999995</v>
      </c>
      <c r="AB28" s="190">
        <v>76249289.349999994</v>
      </c>
      <c r="AC28" s="190">
        <v>78863507.109999999</v>
      </c>
      <c r="AD28" s="190">
        <v>91220429.010000005</v>
      </c>
      <c r="AE28" s="190">
        <v>81654078.569999993</v>
      </c>
      <c r="AF28" s="190">
        <v>83582103.200000003</v>
      </c>
      <c r="AG28" s="190">
        <v>71142828.819999993</v>
      </c>
      <c r="AH28" s="190">
        <v>70651228.430000007</v>
      </c>
      <c r="AI28" s="190">
        <v>72615053.879999995</v>
      </c>
      <c r="AJ28" s="190">
        <v>74034135.370000005</v>
      </c>
      <c r="AK28" s="190">
        <v>76691788.629999995</v>
      </c>
      <c r="AL28" s="190">
        <v>80171220.379999995</v>
      </c>
      <c r="AM28" s="190">
        <v>82844383.959999993</v>
      </c>
      <c r="AN28" s="190">
        <v>85219311.060000002</v>
      </c>
      <c r="AO28" s="190">
        <v>87798678.769999996</v>
      </c>
      <c r="AP28" s="190">
        <v>97221758.420000002</v>
      </c>
      <c r="AQ28" s="190">
        <v>100107448.90000001</v>
      </c>
      <c r="AR28" s="190">
        <v>105545297.15000001</v>
      </c>
      <c r="AS28" s="190">
        <v>108959292.11</v>
      </c>
      <c r="AT28" s="190">
        <v>107562404.90000001</v>
      </c>
      <c r="AU28" s="190">
        <v>111350961.84999999</v>
      </c>
      <c r="AV28" s="190">
        <v>112430179.5</v>
      </c>
      <c r="AW28" s="190">
        <v>115471019.20999999</v>
      </c>
      <c r="AX28" s="190">
        <v>102018433.22</v>
      </c>
      <c r="AY28" s="190">
        <v>101147452.47</v>
      </c>
      <c r="AZ28" s="190">
        <v>103004116.77</v>
      </c>
      <c r="BA28" s="190">
        <v>104720818.37</v>
      </c>
      <c r="BB28" s="190">
        <v>92125532.340000004</v>
      </c>
      <c r="BC28" s="190">
        <v>90055706.709999993</v>
      </c>
      <c r="BD28" s="190">
        <v>96738278.030000001</v>
      </c>
      <c r="BE28" s="190">
        <v>84203748.209999993</v>
      </c>
      <c r="BF28" s="190">
        <v>71196967.909999996</v>
      </c>
      <c r="BG28" s="190">
        <v>0</v>
      </c>
    </row>
    <row r="29" spans="1:59" x14ac:dyDescent="0.25">
      <c r="A29" s="190" t="s">
        <v>133</v>
      </c>
      <c r="B29" s="190">
        <v>84059606.129999995</v>
      </c>
      <c r="C29" s="190">
        <v>64174476.32</v>
      </c>
      <c r="D29" s="190">
        <v>109874040.51000001</v>
      </c>
      <c r="E29" s="190">
        <v>86580880.549999997</v>
      </c>
      <c r="F29" s="190">
        <v>118534163.42</v>
      </c>
      <c r="G29" s="190">
        <v>113990648.06999999</v>
      </c>
      <c r="H29" s="190">
        <v>67715996.980000004</v>
      </c>
      <c r="I29" s="190">
        <v>50307909.130000003</v>
      </c>
      <c r="J29" s="190">
        <v>66836269.710000001</v>
      </c>
      <c r="K29" s="190">
        <v>57719469.490000002</v>
      </c>
      <c r="L29" s="190">
        <v>63765929.75</v>
      </c>
      <c r="M29" s="190">
        <v>64095829.43</v>
      </c>
      <c r="N29" s="190">
        <v>51975949.509999998</v>
      </c>
      <c r="O29" s="190">
        <v>0</v>
      </c>
      <c r="P29" s="190">
        <v>1013325</v>
      </c>
      <c r="Q29" s="190">
        <v>0</v>
      </c>
      <c r="R29" s="190">
        <v>4358025.1500000004</v>
      </c>
      <c r="S29" s="190">
        <v>4358025.1500000004</v>
      </c>
      <c r="T29" s="190">
        <v>830690.47</v>
      </c>
      <c r="U29" s="190">
        <v>0</v>
      </c>
      <c r="V29" s="190">
        <v>25979.3</v>
      </c>
      <c r="W29" s="190">
        <v>143002291.38</v>
      </c>
      <c r="X29" s="190">
        <v>139899562.30000001</v>
      </c>
      <c r="Y29" s="190">
        <v>142404148.69</v>
      </c>
      <c r="Z29" s="190">
        <v>88183905.590000004</v>
      </c>
      <c r="AA29" s="190">
        <v>87620430.579999998</v>
      </c>
      <c r="AB29" s="190">
        <v>87388092.239999995</v>
      </c>
      <c r="AC29" s="190">
        <v>85646742.239999995</v>
      </c>
      <c r="AD29" s="190">
        <v>1222110.3700000001</v>
      </c>
      <c r="AE29" s="190">
        <v>25531029</v>
      </c>
      <c r="AF29" s="190">
        <v>9851529</v>
      </c>
      <c r="AG29" s="190">
        <v>8090529</v>
      </c>
      <c r="AH29" s="190">
        <v>0</v>
      </c>
      <c r="AI29" s="190">
        <v>0</v>
      </c>
      <c r="AJ29" s="190">
        <v>0</v>
      </c>
      <c r="AK29" s="190">
        <v>0</v>
      </c>
      <c r="AL29" s="190">
        <v>0</v>
      </c>
      <c r="AM29" s="190">
        <v>0</v>
      </c>
      <c r="AN29" s="190">
        <v>0</v>
      </c>
      <c r="AO29" s="190">
        <v>0</v>
      </c>
      <c r="AP29" s="190">
        <v>1469160</v>
      </c>
      <c r="AQ29" s="190">
        <v>1469160</v>
      </c>
      <c r="AR29" s="190">
        <v>1469160</v>
      </c>
      <c r="AS29" s="190">
        <v>0</v>
      </c>
      <c r="AT29" s="190">
        <v>0</v>
      </c>
      <c r="AU29" s="190">
        <v>190880</v>
      </c>
      <c r="AV29" s="190">
        <v>190880</v>
      </c>
      <c r="AW29" s="190">
        <v>190880</v>
      </c>
      <c r="AX29" s="190">
        <v>13669307.609999999</v>
      </c>
      <c r="AY29" s="190">
        <v>11031680</v>
      </c>
      <c r="AZ29" s="190">
        <v>779101.05</v>
      </c>
      <c r="BA29" s="190">
        <v>84601.05</v>
      </c>
      <c r="BB29" s="190">
        <v>4443193.09</v>
      </c>
      <c r="BC29" s="190">
        <v>4876000</v>
      </c>
      <c r="BD29" s="190">
        <v>0</v>
      </c>
      <c r="BE29" s="190">
        <v>1355266.33</v>
      </c>
      <c r="BF29" s="190">
        <v>1547935.78</v>
      </c>
      <c r="BG29" s="190">
        <v>0</v>
      </c>
    </row>
    <row r="30" spans="1:59"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row>
    <row r="31" spans="1:59"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32000</v>
      </c>
      <c r="BC31" s="190">
        <v>0</v>
      </c>
      <c r="BD31" s="190">
        <v>0</v>
      </c>
      <c r="BE31" s="190">
        <v>0</v>
      </c>
      <c r="BF31" s="190">
        <v>0</v>
      </c>
      <c r="BG31" s="190">
        <v>0</v>
      </c>
    </row>
    <row r="32" spans="1:59"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row>
    <row r="33" spans="1:59"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row>
    <row r="34" spans="1:59"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row>
    <row r="35" spans="1:59" x14ac:dyDescent="0.25">
      <c r="A35" s="190" t="s">
        <v>139</v>
      </c>
      <c r="B35" s="190">
        <v>157938798.09999999</v>
      </c>
      <c r="C35" s="190">
        <v>151244799.06</v>
      </c>
      <c r="D35" s="190">
        <v>135004802.55000001</v>
      </c>
      <c r="E35" s="190">
        <v>137885873.52000001</v>
      </c>
      <c r="F35" s="190">
        <v>28582869.510000002</v>
      </c>
      <c r="G35" s="190">
        <v>26958709.91</v>
      </c>
      <c r="H35" s="190">
        <v>25480965.449999999</v>
      </c>
      <c r="I35" s="190">
        <v>25862058.609999999</v>
      </c>
      <c r="J35" s="190">
        <v>13448709.52</v>
      </c>
      <c r="K35" s="190">
        <v>13163920.67</v>
      </c>
      <c r="L35" s="190">
        <v>13021499.880000001</v>
      </c>
      <c r="M35" s="190">
        <v>12664653.48</v>
      </c>
      <c r="N35" s="190">
        <v>12790114</v>
      </c>
      <c r="O35" s="190">
        <v>34987024.579999998</v>
      </c>
      <c r="P35" s="190">
        <v>35197449.829999998</v>
      </c>
      <c r="Q35" s="190">
        <v>35350625.890000001</v>
      </c>
      <c r="R35" s="190">
        <v>35558235.609999999</v>
      </c>
      <c r="S35" s="190">
        <v>36265845.329999998</v>
      </c>
      <c r="T35" s="190">
        <v>36473455.049999997</v>
      </c>
      <c r="U35" s="190">
        <v>36681064.770000003</v>
      </c>
      <c r="V35" s="190">
        <v>36379462.460000001</v>
      </c>
      <c r="W35" s="190">
        <v>36587072.18</v>
      </c>
      <c r="X35" s="190">
        <v>36794681.899999999</v>
      </c>
      <c r="Y35" s="190">
        <v>37002291.520000003</v>
      </c>
      <c r="Z35" s="190">
        <v>37231591.240000002</v>
      </c>
      <c r="AA35" s="190">
        <v>37504390.960000001</v>
      </c>
      <c r="AB35" s="190">
        <v>37777190.68</v>
      </c>
      <c r="AC35" s="190">
        <v>38050050.399999999</v>
      </c>
      <c r="AD35" s="190">
        <v>38322910.109999999</v>
      </c>
      <c r="AE35" s="190">
        <v>38595769.840000004</v>
      </c>
      <c r="AF35" s="190">
        <v>38868629.549999997</v>
      </c>
      <c r="AG35" s="190">
        <v>17940984.140000001</v>
      </c>
      <c r="AH35" s="190">
        <v>18108368.719999999</v>
      </c>
      <c r="AI35" s="190">
        <v>18260253.300000001</v>
      </c>
      <c r="AJ35" s="190">
        <v>18443137.879999999</v>
      </c>
      <c r="AK35" s="190">
        <v>18609849.18</v>
      </c>
      <c r="AL35" s="190">
        <v>19492112.039999999</v>
      </c>
      <c r="AM35" s="190">
        <v>19687100.309999999</v>
      </c>
      <c r="AN35" s="190">
        <v>19900512.84</v>
      </c>
      <c r="AO35" s="190">
        <v>20123137.510000002</v>
      </c>
      <c r="AP35" s="190">
        <v>20342854.210000001</v>
      </c>
      <c r="AQ35" s="190">
        <v>20569518.91</v>
      </c>
      <c r="AR35" s="190">
        <v>21588124.98</v>
      </c>
      <c r="AS35" s="190">
        <v>21820913.059999999</v>
      </c>
      <c r="AT35" s="190">
        <v>22616860.48</v>
      </c>
      <c r="AU35" s="190">
        <v>22859281.780000001</v>
      </c>
      <c r="AV35" s="190">
        <v>23089790.66</v>
      </c>
      <c r="AW35" s="190">
        <v>23322660.460000001</v>
      </c>
      <c r="AX35" s="190">
        <v>23995784.789999999</v>
      </c>
      <c r="AY35" s="190">
        <v>24246548.25</v>
      </c>
      <c r="AZ35" s="190">
        <v>24041200.879999999</v>
      </c>
      <c r="BA35" s="190">
        <v>24280714.34</v>
      </c>
      <c r="BB35" s="190">
        <v>24530851.579999998</v>
      </c>
      <c r="BC35" s="190">
        <v>24764462.960000001</v>
      </c>
      <c r="BD35" s="190">
        <v>25238768.219999999</v>
      </c>
      <c r="BE35" s="190">
        <v>10484416.890000001</v>
      </c>
      <c r="BF35" s="190">
        <v>5798533.1100000003</v>
      </c>
      <c r="BG35" s="190">
        <v>0</v>
      </c>
    </row>
    <row r="36" spans="1:59"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24056.6</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row>
    <row r="37" spans="1:59" x14ac:dyDescent="0.25">
      <c r="A37" s="190" t="s">
        <v>141</v>
      </c>
      <c r="B37" s="190">
        <v>4596697421.5699997</v>
      </c>
      <c r="C37" s="190">
        <v>4540466235.4700003</v>
      </c>
      <c r="D37" s="190">
        <v>4058541621.6100001</v>
      </c>
      <c r="E37" s="190">
        <v>4045550972.4299998</v>
      </c>
      <c r="F37" s="190">
        <v>1045852003.49</v>
      </c>
      <c r="G37" s="190">
        <v>870699739.72000003</v>
      </c>
      <c r="H37" s="190">
        <v>722121477.36000001</v>
      </c>
      <c r="I37" s="190">
        <v>709575043.62</v>
      </c>
      <c r="J37" s="190">
        <v>499748454.42000002</v>
      </c>
      <c r="K37" s="190">
        <v>474260065.75999999</v>
      </c>
      <c r="L37" s="190">
        <v>417249139.39999998</v>
      </c>
      <c r="M37" s="190">
        <v>417249139.39999998</v>
      </c>
      <c r="N37" s="190">
        <v>367254530.99000001</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242985.79</v>
      </c>
      <c r="AM37" s="190">
        <v>242985.79</v>
      </c>
      <c r="AN37" s="190">
        <v>242985.79</v>
      </c>
      <c r="AO37" s="190">
        <v>242985.79</v>
      </c>
      <c r="AP37" s="190">
        <v>242985.79</v>
      </c>
      <c r="AQ37" s="190">
        <v>242985.79</v>
      </c>
      <c r="AR37" s="190">
        <v>242985.79</v>
      </c>
      <c r="AS37" s="190">
        <v>242985.79</v>
      </c>
      <c r="AT37" s="190">
        <v>242985.79</v>
      </c>
      <c r="AU37" s="190">
        <v>242985.79</v>
      </c>
      <c r="AV37" s="190">
        <v>0</v>
      </c>
      <c r="AW37" s="190">
        <v>242985.79</v>
      </c>
      <c r="AX37" s="190">
        <v>0</v>
      </c>
      <c r="AY37" s="190">
        <v>0</v>
      </c>
      <c r="AZ37" s="190">
        <v>0</v>
      </c>
      <c r="BA37" s="190">
        <v>0</v>
      </c>
      <c r="BB37" s="190">
        <v>0</v>
      </c>
      <c r="BC37" s="190">
        <v>0</v>
      </c>
      <c r="BD37" s="190">
        <v>0</v>
      </c>
      <c r="BE37" s="190">
        <v>0</v>
      </c>
      <c r="BF37" s="190">
        <v>0</v>
      </c>
      <c r="BG37" s="190">
        <v>0</v>
      </c>
    </row>
    <row r="38" spans="1:59" x14ac:dyDescent="0.25">
      <c r="A38" s="190" t="s">
        <v>142</v>
      </c>
      <c r="B38" s="190">
        <v>773122769.79999995</v>
      </c>
      <c r="C38" s="190">
        <v>783943909.92999995</v>
      </c>
      <c r="D38" s="190">
        <v>643415759.03999996</v>
      </c>
      <c r="E38" s="190">
        <v>656199140.10000002</v>
      </c>
      <c r="F38" s="190">
        <v>416772358.72000003</v>
      </c>
      <c r="G38" s="190">
        <v>374762614.91000003</v>
      </c>
      <c r="H38" s="190">
        <v>346995799.00999999</v>
      </c>
      <c r="I38" s="190">
        <v>360789263.17000002</v>
      </c>
      <c r="J38" s="190">
        <v>340639328.95999998</v>
      </c>
      <c r="K38" s="190">
        <v>314458256.73000002</v>
      </c>
      <c r="L38" s="190">
        <v>285274465.14999998</v>
      </c>
      <c r="M38" s="190">
        <v>284440506.01999998</v>
      </c>
      <c r="N38" s="190">
        <v>269124811.12</v>
      </c>
      <c r="O38" s="190">
        <v>7944906.6699999999</v>
      </c>
      <c r="P38" s="190">
        <v>5906005.7800000003</v>
      </c>
      <c r="Q38" s="190">
        <v>6009930.3399999999</v>
      </c>
      <c r="R38" s="190">
        <v>661867.43000000005</v>
      </c>
      <c r="S38" s="190">
        <v>1291962.3700000001</v>
      </c>
      <c r="T38" s="190">
        <v>1489720.45</v>
      </c>
      <c r="U38" s="190">
        <v>1650426.46</v>
      </c>
      <c r="V38" s="190">
        <v>1584408.29</v>
      </c>
      <c r="W38" s="190">
        <v>861626</v>
      </c>
      <c r="X38" s="190">
        <v>932663</v>
      </c>
      <c r="Y38" s="190">
        <v>1003700</v>
      </c>
      <c r="Z38" s="190">
        <v>1098704.93</v>
      </c>
      <c r="AA38" s="190">
        <v>1193709.8600000001</v>
      </c>
      <c r="AB38" s="190">
        <v>1216806</v>
      </c>
      <c r="AC38" s="190">
        <v>1287842.98</v>
      </c>
      <c r="AD38" s="190">
        <v>1098676.71</v>
      </c>
      <c r="AE38" s="190">
        <v>1159951.8600000001</v>
      </c>
      <c r="AF38" s="190">
        <v>351992.07</v>
      </c>
      <c r="AG38" s="190">
        <v>0</v>
      </c>
      <c r="AH38" s="190">
        <v>0</v>
      </c>
      <c r="AI38" s="190">
        <v>0</v>
      </c>
      <c r="AJ38" s="190">
        <v>0</v>
      </c>
      <c r="AK38" s="190">
        <v>0</v>
      </c>
      <c r="AL38" s="190">
        <v>0</v>
      </c>
      <c r="AM38" s="190">
        <v>0</v>
      </c>
      <c r="AN38" s="190">
        <v>0</v>
      </c>
      <c r="AO38" s="190">
        <v>0</v>
      </c>
      <c r="AP38" s="190">
        <v>0</v>
      </c>
      <c r="AQ38" s="190">
        <v>0</v>
      </c>
      <c r="AR38" s="190">
        <v>1069269.7</v>
      </c>
      <c r="AS38" s="190">
        <v>0</v>
      </c>
      <c r="AT38" s="190">
        <v>269643.62</v>
      </c>
      <c r="AU38" s="190">
        <v>0</v>
      </c>
      <c r="AV38" s="190">
        <v>0</v>
      </c>
      <c r="AW38" s="190">
        <v>12290.36</v>
      </c>
      <c r="AX38" s="190">
        <v>30728.81</v>
      </c>
      <c r="AY38" s="190">
        <v>68659.75</v>
      </c>
      <c r="AZ38" s="190">
        <v>146956.78</v>
      </c>
      <c r="BA38" s="190">
        <v>203204.71</v>
      </c>
      <c r="BB38" s="190">
        <v>335043.27</v>
      </c>
      <c r="BC38" s="190">
        <v>373091.23</v>
      </c>
      <c r="BD38" s="190">
        <v>543964</v>
      </c>
      <c r="BE38" s="190">
        <v>991561.02</v>
      </c>
      <c r="BF38" s="190">
        <v>1406163.94</v>
      </c>
      <c r="BG38" s="190">
        <v>0</v>
      </c>
    </row>
    <row r="39" spans="1:59" x14ac:dyDescent="0.25">
      <c r="A39" s="190" t="s">
        <v>143</v>
      </c>
      <c r="B39" s="190">
        <v>99434329.469999999</v>
      </c>
      <c r="C39" s="190">
        <v>97240476.909999996</v>
      </c>
      <c r="D39" s="190">
        <v>114911918.39</v>
      </c>
      <c r="E39" s="190">
        <v>77347441.689999998</v>
      </c>
      <c r="F39" s="190">
        <v>59028774.950000003</v>
      </c>
      <c r="G39" s="190">
        <v>55604453.380000003</v>
      </c>
      <c r="H39" s="190">
        <v>66807974.159999996</v>
      </c>
      <c r="I39" s="190">
        <v>38388437.299999997</v>
      </c>
      <c r="J39" s="190">
        <v>42939676.799999997</v>
      </c>
      <c r="K39" s="190">
        <v>51989400.469999999</v>
      </c>
      <c r="L39" s="190">
        <v>73433521.069999993</v>
      </c>
      <c r="M39" s="190">
        <v>39731451.789999999</v>
      </c>
      <c r="N39" s="190">
        <v>51921398.890000001</v>
      </c>
      <c r="O39" s="190">
        <v>2264941.0699999998</v>
      </c>
      <c r="P39" s="190">
        <v>1515496.39</v>
      </c>
      <c r="Q39" s="190">
        <v>1987294.22</v>
      </c>
      <c r="R39" s="190">
        <v>2855919.02</v>
      </c>
      <c r="S39" s="190">
        <v>1403136.65</v>
      </c>
      <c r="T39" s="190">
        <v>264292.14</v>
      </c>
      <c r="U39" s="190">
        <v>967984.17</v>
      </c>
      <c r="V39" s="190">
        <v>5257006.2</v>
      </c>
      <c r="W39" s="190">
        <v>4801691.34</v>
      </c>
      <c r="X39" s="190">
        <v>5406597.2999999998</v>
      </c>
      <c r="Y39" s="190">
        <v>5421310.5099999998</v>
      </c>
      <c r="Z39" s="190">
        <v>4417203.72</v>
      </c>
      <c r="AA39" s="190">
        <v>4417203.72</v>
      </c>
      <c r="AB39" s="190">
        <v>672266.38</v>
      </c>
      <c r="AC39" s="190">
        <v>663430.69999999995</v>
      </c>
      <c r="AD39" s="190">
        <v>303495.55</v>
      </c>
      <c r="AE39" s="190">
        <v>301509.95</v>
      </c>
      <c r="AF39" s="190">
        <v>287446.88</v>
      </c>
      <c r="AG39" s="190">
        <v>185947.63</v>
      </c>
      <c r="AH39" s="190">
        <v>534430.61</v>
      </c>
      <c r="AI39" s="190">
        <v>327586.21999999997</v>
      </c>
      <c r="AJ39" s="190">
        <v>60728.86</v>
      </c>
      <c r="AK39" s="190">
        <v>305342.78999999998</v>
      </c>
      <c r="AL39" s="190">
        <v>405232.72</v>
      </c>
      <c r="AM39" s="190">
        <v>386236.2</v>
      </c>
      <c r="AN39" s="190">
        <v>389199.74</v>
      </c>
      <c r="AO39" s="190">
        <v>373628.78</v>
      </c>
      <c r="AP39" s="190">
        <v>477794.82</v>
      </c>
      <c r="AQ39" s="190">
        <v>600720.41</v>
      </c>
      <c r="AR39" s="190">
        <v>448259.91</v>
      </c>
      <c r="AS39" s="190">
        <v>448259.91</v>
      </c>
      <c r="AT39" s="190">
        <v>443775.13</v>
      </c>
      <c r="AU39" s="190">
        <v>423503.43</v>
      </c>
      <c r="AV39" s="190">
        <v>903809.24</v>
      </c>
      <c r="AW39" s="190">
        <v>789338.68</v>
      </c>
      <c r="AX39" s="190">
        <v>0</v>
      </c>
      <c r="AY39" s="190">
        <v>0</v>
      </c>
      <c r="AZ39" s="190">
        <v>0</v>
      </c>
      <c r="BA39" s="190">
        <v>0</v>
      </c>
      <c r="BB39" s="190">
        <v>0</v>
      </c>
      <c r="BC39" s="190">
        <v>0</v>
      </c>
      <c r="BD39" s="190">
        <v>0</v>
      </c>
      <c r="BE39" s="190">
        <v>0</v>
      </c>
      <c r="BF39" s="190">
        <v>0</v>
      </c>
      <c r="BG39" s="190">
        <v>0</v>
      </c>
    </row>
    <row r="40" spans="1:59" x14ac:dyDescent="0.25">
      <c r="A40" s="190" t="s">
        <v>144</v>
      </c>
      <c r="B40" s="190">
        <v>289342154.98000002</v>
      </c>
      <c r="C40" s="190">
        <v>564771517.58000004</v>
      </c>
      <c r="D40" s="190">
        <v>148866345.41</v>
      </c>
      <c r="E40" s="190">
        <v>132573929.23999999</v>
      </c>
      <c r="F40" s="190">
        <v>117802671.14</v>
      </c>
      <c r="G40" s="190">
        <v>127002556.39</v>
      </c>
      <c r="H40" s="190">
        <v>75635509.969999999</v>
      </c>
      <c r="I40" s="190">
        <v>40782714.409999996</v>
      </c>
      <c r="J40" s="190">
        <v>21972107.079999998</v>
      </c>
      <c r="K40" s="190">
        <v>43832519.950000003</v>
      </c>
      <c r="L40" s="190">
        <v>28316947.550000001</v>
      </c>
      <c r="M40" s="190">
        <v>23812543.91</v>
      </c>
      <c r="N40" s="190">
        <v>39652590.229999997</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row>
    <row r="41" spans="1:59" x14ac:dyDescent="0.25">
      <c r="A41" s="190" t="s">
        <v>145</v>
      </c>
      <c r="B41" s="190">
        <v>9892436547.4699993</v>
      </c>
      <c r="C41" s="190">
        <v>9747123786.6000004</v>
      </c>
      <c r="D41" s="190">
        <v>8123769046.21</v>
      </c>
      <c r="E41" s="190">
        <v>7889812092.5100002</v>
      </c>
      <c r="F41" s="190">
        <v>4958476660.2299995</v>
      </c>
      <c r="G41" s="190">
        <v>4324921829.5799999</v>
      </c>
      <c r="H41" s="190">
        <v>3844667670.5</v>
      </c>
      <c r="I41" s="190">
        <v>3619018214.54</v>
      </c>
      <c r="J41" s="190">
        <v>3281208749.48</v>
      </c>
      <c r="K41" s="190">
        <v>3018266033.9000001</v>
      </c>
      <c r="L41" s="190">
        <v>2703133804.29</v>
      </c>
      <c r="M41" s="190">
        <v>2579835263.6999998</v>
      </c>
      <c r="N41" s="190">
        <v>2465486739.3400002</v>
      </c>
      <c r="O41" s="190">
        <v>342234217.83999997</v>
      </c>
      <c r="P41" s="190">
        <v>317355456.69999999</v>
      </c>
      <c r="Q41" s="190">
        <v>338144759</v>
      </c>
      <c r="R41" s="190">
        <v>341824288.39999998</v>
      </c>
      <c r="S41" s="190">
        <v>337640256.63</v>
      </c>
      <c r="T41" s="190">
        <v>328879453.85000002</v>
      </c>
      <c r="U41" s="190">
        <v>292636045.38</v>
      </c>
      <c r="V41" s="190">
        <v>277297220.52999997</v>
      </c>
      <c r="W41" s="190">
        <v>265741132.91</v>
      </c>
      <c r="X41" s="190">
        <v>265724003.5</v>
      </c>
      <c r="Y41" s="190">
        <v>263317844.06999999</v>
      </c>
      <c r="Z41" s="190">
        <v>210374422.44999999</v>
      </c>
      <c r="AA41" s="190">
        <v>212693774.47</v>
      </c>
      <c r="AB41" s="190">
        <v>212356603.28</v>
      </c>
      <c r="AC41" s="190">
        <v>213694692.08000001</v>
      </c>
      <c r="AD41" s="190">
        <v>141418117.47999999</v>
      </c>
      <c r="AE41" s="190">
        <v>156593682.66999999</v>
      </c>
      <c r="AF41" s="190">
        <v>142372502.99000001</v>
      </c>
      <c r="AG41" s="190">
        <v>106868548.73999999</v>
      </c>
      <c r="AH41" s="190">
        <v>98996595.340000004</v>
      </c>
      <c r="AI41" s="190">
        <v>101027473.95</v>
      </c>
      <c r="AJ41" s="190">
        <v>101899104.55</v>
      </c>
      <c r="AK41" s="190">
        <v>105522777.23999999</v>
      </c>
      <c r="AL41" s="190">
        <v>110401093.26000001</v>
      </c>
      <c r="AM41" s="190">
        <v>113356975.45</v>
      </c>
      <c r="AN41" s="190">
        <v>116315961.27</v>
      </c>
      <c r="AO41" s="190">
        <v>119107741.59999999</v>
      </c>
      <c r="AP41" s="190">
        <v>126591676.69</v>
      </c>
      <c r="AQ41" s="190">
        <v>129904871.31</v>
      </c>
      <c r="AR41" s="190">
        <v>133651103.98</v>
      </c>
      <c r="AS41" s="190">
        <v>134659003.68000001</v>
      </c>
      <c r="AT41" s="190">
        <v>134266156.94999999</v>
      </c>
      <c r="AU41" s="190">
        <v>138111664.16999999</v>
      </c>
      <c r="AV41" s="190">
        <v>140586607.24000001</v>
      </c>
      <c r="AW41" s="190">
        <v>144181987.03999999</v>
      </c>
      <c r="AX41" s="190">
        <v>143507497.30000001</v>
      </c>
      <c r="AY41" s="190">
        <v>141059333.46000001</v>
      </c>
      <c r="AZ41" s="190">
        <v>133075502.34</v>
      </c>
      <c r="BA41" s="190">
        <v>134587813.22999999</v>
      </c>
      <c r="BB41" s="190">
        <v>125199601.65000001</v>
      </c>
      <c r="BC41" s="190">
        <v>123774111.09999999</v>
      </c>
      <c r="BD41" s="190">
        <v>122736338.48999999</v>
      </c>
      <c r="BE41" s="190">
        <v>96916898.260000005</v>
      </c>
      <c r="BF41" s="190">
        <v>84243655.109999999</v>
      </c>
      <c r="BG41" s="190">
        <v>0</v>
      </c>
    </row>
    <row r="42" spans="1:59" x14ac:dyDescent="0.25">
      <c r="A42" s="190" t="s">
        <v>146</v>
      </c>
      <c r="B42" s="190">
        <v>15132373977.190001</v>
      </c>
      <c r="C42" s="190">
        <v>14641120197.219999</v>
      </c>
      <c r="D42" s="190">
        <v>12755072036.49</v>
      </c>
      <c r="E42" s="190">
        <v>12479473500.35</v>
      </c>
      <c r="F42" s="190">
        <v>8082026926.54</v>
      </c>
      <c r="G42" s="190">
        <v>7372278735.0200005</v>
      </c>
      <c r="H42" s="190">
        <v>6191304943.9099998</v>
      </c>
      <c r="I42" s="190">
        <v>5989617090.6700001</v>
      </c>
      <c r="J42" s="190">
        <v>5314042164.6199999</v>
      </c>
      <c r="K42" s="190">
        <v>4683815809.3400002</v>
      </c>
      <c r="L42" s="190">
        <v>4381213442.4700003</v>
      </c>
      <c r="M42" s="190">
        <v>4480946459.9399996</v>
      </c>
      <c r="N42" s="190">
        <v>3930368786.1799998</v>
      </c>
      <c r="O42" s="190">
        <v>663617425.17999995</v>
      </c>
      <c r="P42" s="190">
        <v>584927517.67999995</v>
      </c>
      <c r="Q42" s="190">
        <v>683603868.38999999</v>
      </c>
      <c r="R42" s="190">
        <v>778786147.88</v>
      </c>
      <c r="S42" s="190">
        <v>741084238.91999996</v>
      </c>
      <c r="T42" s="190">
        <v>759329479.60000002</v>
      </c>
      <c r="U42" s="190">
        <v>759973212.87</v>
      </c>
      <c r="V42" s="190">
        <v>700516818.02999997</v>
      </c>
      <c r="W42" s="190">
        <v>661595884.70000005</v>
      </c>
      <c r="X42" s="190">
        <v>695125923.22000003</v>
      </c>
      <c r="Y42" s="190">
        <v>711867435.72000003</v>
      </c>
      <c r="Z42" s="190">
        <v>608555087.97000003</v>
      </c>
      <c r="AA42" s="190">
        <v>573357694.34000003</v>
      </c>
      <c r="AB42" s="190">
        <v>559291019.74000001</v>
      </c>
      <c r="AC42" s="190">
        <v>566441923.79999995</v>
      </c>
      <c r="AD42" s="190">
        <v>523388318.19</v>
      </c>
      <c r="AE42" s="190">
        <v>500085103.52999997</v>
      </c>
      <c r="AF42" s="190">
        <v>425260882.82999998</v>
      </c>
      <c r="AG42" s="190">
        <v>430142697.5</v>
      </c>
      <c r="AH42" s="190">
        <v>455372744.92000002</v>
      </c>
      <c r="AI42" s="190">
        <v>442696744.33999997</v>
      </c>
      <c r="AJ42" s="190">
        <v>436483382.06</v>
      </c>
      <c r="AK42" s="190">
        <v>447642559.64999998</v>
      </c>
      <c r="AL42" s="190">
        <v>453789293.95999998</v>
      </c>
      <c r="AM42" s="190">
        <v>444127133.31999999</v>
      </c>
      <c r="AN42" s="190">
        <v>411302185.81</v>
      </c>
      <c r="AO42" s="190">
        <v>408924835.13999999</v>
      </c>
      <c r="AP42" s="190">
        <v>412463507.41000003</v>
      </c>
      <c r="AQ42" s="190">
        <v>405838444.94</v>
      </c>
      <c r="AR42" s="190">
        <v>399375618.27999997</v>
      </c>
      <c r="AS42" s="190">
        <v>410220650.70999998</v>
      </c>
      <c r="AT42" s="190">
        <v>418287311.26999998</v>
      </c>
      <c r="AU42" s="190">
        <v>408741499.63999999</v>
      </c>
      <c r="AV42" s="190">
        <v>417781641.85000002</v>
      </c>
      <c r="AW42" s="190">
        <v>397313131.47000003</v>
      </c>
      <c r="AX42" s="190">
        <v>405000603.23000002</v>
      </c>
      <c r="AY42" s="190">
        <v>397248398.67000002</v>
      </c>
      <c r="AZ42" s="190">
        <v>402117561.81999999</v>
      </c>
      <c r="BA42" s="190">
        <v>379199547.42000002</v>
      </c>
      <c r="BB42" s="190">
        <v>420385314.88</v>
      </c>
      <c r="BC42" s="190">
        <v>414770007.68000001</v>
      </c>
      <c r="BD42" s="190">
        <v>276536234.45999998</v>
      </c>
      <c r="BE42" s="190">
        <v>240519238.91</v>
      </c>
      <c r="BF42" s="190">
        <v>191384544.12</v>
      </c>
      <c r="BG42" s="190">
        <v>0</v>
      </c>
    </row>
    <row r="43" spans="1:59" x14ac:dyDescent="0.25">
      <c r="A43" s="190" t="s">
        <v>147</v>
      </c>
    </row>
    <row r="44" spans="1:59" x14ac:dyDescent="0.25">
      <c r="A44" s="190" t="s">
        <v>148</v>
      </c>
      <c r="B44" s="190">
        <v>2463059015.0500002</v>
      </c>
      <c r="C44" s="190">
        <v>2304398052.0300002</v>
      </c>
      <c r="D44" s="190">
        <v>1721734400</v>
      </c>
      <c r="E44" s="190">
        <v>1144429300</v>
      </c>
      <c r="F44" s="190">
        <v>910000000</v>
      </c>
      <c r="G44" s="190">
        <v>945000000</v>
      </c>
      <c r="H44" s="190">
        <v>1035000000</v>
      </c>
      <c r="I44" s="190">
        <v>830000000</v>
      </c>
      <c r="J44" s="190">
        <v>842000000</v>
      </c>
      <c r="K44" s="190">
        <v>595000000</v>
      </c>
      <c r="L44" s="190">
        <v>578500000</v>
      </c>
      <c r="M44" s="190">
        <v>478500000</v>
      </c>
      <c r="N44" s="190">
        <v>332900000</v>
      </c>
      <c r="O44" s="190">
        <v>50000000</v>
      </c>
      <c r="P44" s="190">
        <v>0</v>
      </c>
      <c r="Q44" s="190">
        <v>80000000</v>
      </c>
      <c r="R44" s="190">
        <v>162000000</v>
      </c>
      <c r="S44" s="190">
        <v>186000000</v>
      </c>
      <c r="T44" s="190">
        <v>165000000</v>
      </c>
      <c r="U44" s="190">
        <v>156000000</v>
      </c>
      <c r="V44" s="190">
        <v>6000000</v>
      </c>
      <c r="W44" s="190">
        <v>10000000</v>
      </c>
      <c r="X44" s="190">
        <v>13000000</v>
      </c>
      <c r="Y44" s="190">
        <v>16000000</v>
      </c>
      <c r="Z44" s="190">
        <v>16000000</v>
      </c>
      <c r="AA44" s="190">
        <v>16000000</v>
      </c>
      <c r="AB44" s="190">
        <v>23000000</v>
      </c>
      <c r="AC44" s="190">
        <v>20000000</v>
      </c>
      <c r="AD44" s="190">
        <v>20000000</v>
      </c>
      <c r="AE44" s="190">
        <v>10000000</v>
      </c>
      <c r="AF44" s="190">
        <v>3000000</v>
      </c>
      <c r="AG44" s="190">
        <v>4000000</v>
      </c>
      <c r="AH44" s="190">
        <v>5000000</v>
      </c>
      <c r="AI44" s="190">
        <v>7000000</v>
      </c>
      <c r="AJ44" s="190">
        <v>23000000</v>
      </c>
      <c r="AK44" s="190">
        <v>20000000</v>
      </c>
      <c r="AL44" s="190">
        <v>20000000</v>
      </c>
      <c r="AM44" s="190">
        <v>22500000</v>
      </c>
      <c r="AN44" s="190">
        <v>8500000</v>
      </c>
      <c r="AO44" s="190">
        <v>11000000</v>
      </c>
      <c r="AP44" s="190">
        <v>11000000</v>
      </c>
      <c r="AQ44" s="190">
        <v>14500000</v>
      </c>
      <c r="AR44" s="190">
        <v>12000000</v>
      </c>
      <c r="AS44" s="190">
        <v>12000000</v>
      </c>
      <c r="AT44" s="190">
        <v>14000000</v>
      </c>
      <c r="AU44" s="190">
        <v>20000000</v>
      </c>
      <c r="AV44" s="190">
        <v>20000000</v>
      </c>
      <c r="AW44" s="190">
        <v>15000000</v>
      </c>
      <c r="AX44" s="190">
        <v>12000000</v>
      </c>
      <c r="AY44" s="190">
        <v>12000000</v>
      </c>
      <c r="AZ44" s="190">
        <v>10000000</v>
      </c>
      <c r="BA44" s="190">
        <v>10000000</v>
      </c>
      <c r="BB44" s="190">
        <v>10000000</v>
      </c>
      <c r="BC44" s="190">
        <v>11800000</v>
      </c>
      <c r="BD44" s="190">
        <v>10700000</v>
      </c>
      <c r="BE44" s="190">
        <v>11300000</v>
      </c>
      <c r="BF44" s="190">
        <v>0</v>
      </c>
      <c r="BG44" s="190">
        <v>0</v>
      </c>
    </row>
    <row r="45" spans="1:59"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row>
    <row r="46" spans="1:59" x14ac:dyDescent="0.25">
      <c r="A46" s="190" t="s">
        <v>150</v>
      </c>
      <c r="B46" s="190">
        <v>0</v>
      </c>
      <c r="C46" s="190">
        <v>0</v>
      </c>
      <c r="D46" s="190">
        <v>0</v>
      </c>
      <c r="E46" s="190">
        <v>0</v>
      </c>
      <c r="F46" s="190">
        <v>0</v>
      </c>
      <c r="G46" s="190">
        <v>0</v>
      </c>
      <c r="H46" s="190">
        <v>0</v>
      </c>
      <c r="I46" s="190">
        <v>0</v>
      </c>
      <c r="J46" s="190">
        <v>0</v>
      </c>
      <c r="K46" s="190">
        <v>0</v>
      </c>
      <c r="L46" s="190">
        <v>0</v>
      </c>
      <c r="M46" s="190">
        <v>1662750</v>
      </c>
      <c r="N46" s="190">
        <v>7246750</v>
      </c>
      <c r="O46" s="190">
        <v>6490000</v>
      </c>
      <c r="P46" s="190">
        <v>9068000</v>
      </c>
      <c r="Q46" s="190">
        <v>6500000</v>
      </c>
      <c r="R46" s="190">
        <v>17616000</v>
      </c>
      <c r="S46" s="190">
        <v>22079888</v>
      </c>
      <c r="T46" s="190">
        <v>24390000</v>
      </c>
      <c r="U46" s="190">
        <v>28000000</v>
      </c>
      <c r="V46" s="190">
        <v>29725000</v>
      </c>
      <c r="W46" s="190">
        <v>19122971.850000001</v>
      </c>
      <c r="X46" s="190">
        <v>14566798.33</v>
      </c>
      <c r="Y46" s="190">
        <v>21593826.48</v>
      </c>
      <c r="Z46" s="190">
        <v>17350000</v>
      </c>
      <c r="AA46" s="190">
        <v>7000000</v>
      </c>
      <c r="AB46" s="190">
        <v>7740000</v>
      </c>
      <c r="AC46" s="190">
        <v>11500000</v>
      </c>
      <c r="AD46" s="190">
        <v>7500000</v>
      </c>
      <c r="AE46" s="190">
        <v>8500000</v>
      </c>
      <c r="AF46" s="190">
        <v>11700000</v>
      </c>
      <c r="AG46" s="190">
        <v>20500000</v>
      </c>
      <c r="AH46" s="190">
        <v>11900000</v>
      </c>
      <c r="AI46" s="190">
        <v>9250000</v>
      </c>
      <c r="AJ46" s="190">
        <v>9150000</v>
      </c>
      <c r="AK46" s="190">
        <v>16968500</v>
      </c>
      <c r="AL46" s="190">
        <v>25698500</v>
      </c>
      <c r="AM46" s="190">
        <v>14730000</v>
      </c>
      <c r="AN46" s="190">
        <v>9600000</v>
      </c>
      <c r="AO46" s="190">
        <v>14450000</v>
      </c>
      <c r="AP46" s="190">
        <v>11750000</v>
      </c>
      <c r="AQ46" s="190">
        <v>9850000</v>
      </c>
      <c r="AR46" s="190">
        <v>8050000</v>
      </c>
      <c r="AS46" s="190">
        <v>9950000</v>
      </c>
      <c r="AT46" s="190">
        <v>5750000</v>
      </c>
      <c r="AU46" s="190">
        <v>5450000</v>
      </c>
      <c r="AV46" s="190">
        <v>3000000</v>
      </c>
      <c r="AW46" s="190">
        <v>614000</v>
      </c>
      <c r="AX46" s="190">
        <v>4164000</v>
      </c>
      <c r="AY46" s="190">
        <v>790000</v>
      </c>
      <c r="AZ46" s="190">
        <v>2555757.15</v>
      </c>
      <c r="BA46" s="190">
        <v>0</v>
      </c>
      <c r="BB46" s="190">
        <v>523748.57</v>
      </c>
      <c r="BC46" s="190">
        <v>0</v>
      </c>
      <c r="BD46" s="190">
        <v>0</v>
      </c>
      <c r="BE46" s="190">
        <v>0</v>
      </c>
      <c r="BF46" s="190">
        <v>0</v>
      </c>
      <c r="BG46" s="190">
        <v>0</v>
      </c>
    </row>
    <row r="47" spans="1:59" x14ac:dyDescent="0.25">
      <c r="A47" s="190" t="s">
        <v>151</v>
      </c>
      <c r="B47" s="190">
        <v>0</v>
      </c>
      <c r="C47" s="190">
        <v>719144772.33000004</v>
      </c>
      <c r="D47" s="190">
        <v>438021740.69999999</v>
      </c>
      <c r="E47" s="190">
        <v>590952409.02999997</v>
      </c>
      <c r="F47" s="190">
        <v>420717212.63999999</v>
      </c>
      <c r="G47" s="190">
        <v>355045260.31999999</v>
      </c>
      <c r="H47" s="190">
        <v>276725425.16000003</v>
      </c>
      <c r="I47" s="190">
        <v>274661108.88999999</v>
      </c>
      <c r="J47" s="190">
        <v>264969059.75999999</v>
      </c>
      <c r="K47" s="190">
        <v>219164534.77000001</v>
      </c>
      <c r="L47" s="190">
        <v>174873470.75999999</v>
      </c>
      <c r="M47" s="190">
        <v>153152617.44999999</v>
      </c>
      <c r="N47" s="190">
        <v>170294197.38</v>
      </c>
      <c r="O47" s="190">
        <v>61464803.390000001</v>
      </c>
      <c r="P47" s="190">
        <v>44382981.07</v>
      </c>
      <c r="Q47" s="190">
        <v>57311665.329999998</v>
      </c>
      <c r="R47" s="190">
        <v>58860470.009999998</v>
      </c>
      <c r="S47" s="190">
        <v>57498301.210000001</v>
      </c>
      <c r="T47" s="190">
        <v>64275715.899999999</v>
      </c>
      <c r="U47" s="190">
        <v>52021605.149999999</v>
      </c>
      <c r="V47" s="190">
        <v>89998605.120000005</v>
      </c>
      <c r="W47" s="190">
        <v>93996600.700000003</v>
      </c>
      <c r="X47" s="190">
        <v>80805845</v>
      </c>
      <c r="Y47" s="190">
        <v>73738737.129999995</v>
      </c>
      <c r="Z47" s="190">
        <v>75813599.909999996</v>
      </c>
      <c r="AA47" s="190">
        <v>86969620.799999997</v>
      </c>
      <c r="AB47" s="190">
        <v>78910856.409999996</v>
      </c>
      <c r="AC47" s="190">
        <v>64267706.060000002</v>
      </c>
      <c r="AD47" s="190">
        <v>85206873.819999993</v>
      </c>
      <c r="AE47" s="190">
        <v>87770217.900000006</v>
      </c>
      <c r="AF47" s="190">
        <v>29280770.350000001</v>
      </c>
      <c r="AG47" s="190">
        <v>27965529.579999998</v>
      </c>
      <c r="AH47" s="190">
        <v>68104462.969999999</v>
      </c>
      <c r="AI47" s="190">
        <v>64667820.340000004</v>
      </c>
      <c r="AJ47" s="190">
        <v>26852770.699999999</v>
      </c>
      <c r="AK47" s="190">
        <v>37550009.729999997</v>
      </c>
      <c r="AL47" s="190">
        <v>44335996.710000001</v>
      </c>
      <c r="AM47" s="190">
        <v>48421784.130000003</v>
      </c>
      <c r="AN47" s="190">
        <v>25923930.079999998</v>
      </c>
      <c r="AO47" s="190">
        <v>24462653.670000002</v>
      </c>
      <c r="AP47" s="190">
        <v>28629297.07</v>
      </c>
      <c r="AQ47" s="190">
        <v>31389599.920000002</v>
      </c>
      <c r="AR47" s="190">
        <v>24450361.699999999</v>
      </c>
      <c r="AS47" s="190">
        <v>33294240.359999999</v>
      </c>
      <c r="AT47" s="190">
        <v>50773872.93</v>
      </c>
      <c r="AU47" s="190">
        <v>49723131.109999999</v>
      </c>
      <c r="AV47" s="190">
        <v>42807991.520000003</v>
      </c>
      <c r="AW47" s="190">
        <v>36082969.539999999</v>
      </c>
      <c r="AX47" s="190">
        <v>45254738.920000002</v>
      </c>
      <c r="AY47" s="190">
        <v>42095419.649999999</v>
      </c>
      <c r="AZ47" s="190">
        <v>41377772.939999998</v>
      </c>
      <c r="BA47" s="190">
        <v>33428238.359999999</v>
      </c>
      <c r="BB47" s="190">
        <v>46661527.619999997</v>
      </c>
      <c r="BC47" s="190">
        <v>53264412.649999999</v>
      </c>
      <c r="BD47" s="190">
        <v>53140287.170000002</v>
      </c>
      <c r="BE47" s="190">
        <v>53164373.960000001</v>
      </c>
      <c r="BF47" s="190">
        <v>19464598.530000001</v>
      </c>
      <c r="BG47" s="190">
        <v>0</v>
      </c>
    </row>
    <row r="48" spans="1:59" x14ac:dyDescent="0.25">
      <c r="A48" s="190" t="s">
        <v>152</v>
      </c>
      <c r="B48" s="190">
        <v>1154504537.29</v>
      </c>
      <c r="C48" s="190">
        <v>1086243801.24</v>
      </c>
      <c r="D48" s="190">
        <v>821283179.55999994</v>
      </c>
      <c r="E48" s="190">
        <v>1092924806.8099999</v>
      </c>
      <c r="F48" s="190">
        <v>646724335.00999999</v>
      </c>
      <c r="G48" s="190">
        <v>526685016.52999997</v>
      </c>
      <c r="H48" s="190">
        <v>436276020.44</v>
      </c>
      <c r="I48" s="190">
        <v>455584584.02999997</v>
      </c>
      <c r="J48" s="190">
        <v>233697811.90000001</v>
      </c>
      <c r="K48" s="190">
        <v>172507753.86000001</v>
      </c>
      <c r="L48" s="190">
        <v>180636548.66999999</v>
      </c>
      <c r="M48" s="190">
        <v>204488955.44999999</v>
      </c>
      <c r="N48" s="190">
        <v>116879820.31</v>
      </c>
      <c r="O48" s="190">
        <v>4129043.04</v>
      </c>
      <c r="P48" s="190">
        <v>1009635.72</v>
      </c>
      <c r="Q48" s="190">
        <v>3157904.64</v>
      </c>
      <c r="R48" s="190">
        <v>4869967.3600000003</v>
      </c>
      <c r="S48" s="190">
        <v>3083451.45</v>
      </c>
      <c r="T48" s="190">
        <v>4671916.6500000004</v>
      </c>
      <c r="U48" s="190">
        <v>6232978.25</v>
      </c>
      <c r="V48" s="190">
        <v>5307445.41</v>
      </c>
      <c r="W48" s="190">
        <v>8399799.8399999999</v>
      </c>
      <c r="X48" s="190">
        <v>5587700.6799999997</v>
      </c>
      <c r="Y48" s="190">
        <v>4422084.1399999997</v>
      </c>
      <c r="Z48" s="190">
        <v>4721693.3899999997</v>
      </c>
      <c r="AA48" s="190">
        <v>4052188.92</v>
      </c>
      <c r="AB48" s="190">
        <v>2713380.5</v>
      </c>
      <c r="AC48" s="190">
        <v>3396939.31</v>
      </c>
      <c r="AD48" s="190">
        <v>2438403.02</v>
      </c>
      <c r="AE48" s="190">
        <v>1590964.9</v>
      </c>
      <c r="AF48" s="190">
        <v>4969009</v>
      </c>
      <c r="AG48" s="190">
        <v>7954076.6200000001</v>
      </c>
      <c r="AH48" s="190">
        <v>9141994.5399999991</v>
      </c>
      <c r="AI48" s="190">
        <v>4458600.9000000004</v>
      </c>
      <c r="AJ48" s="190">
        <v>6748124.4699999997</v>
      </c>
      <c r="AK48" s="190">
        <v>6874042.7699999996</v>
      </c>
      <c r="AL48" s="190">
        <v>2041353.6</v>
      </c>
      <c r="AM48" s="190">
        <v>1457271.85</v>
      </c>
      <c r="AN48" s="190">
        <v>1478295.53</v>
      </c>
      <c r="AO48" s="190">
        <v>2293476.7000000002</v>
      </c>
      <c r="AP48" s="190">
        <v>5101477.03</v>
      </c>
      <c r="AQ48" s="190">
        <v>2627288.7799999998</v>
      </c>
      <c r="AR48" s="190">
        <v>3648460.77</v>
      </c>
      <c r="AS48" s="190">
        <v>3289433.04</v>
      </c>
      <c r="AT48" s="190">
        <v>2310019.92</v>
      </c>
      <c r="AU48" s="190">
        <v>1648896.34</v>
      </c>
      <c r="AV48" s="190">
        <v>2892265.89</v>
      </c>
      <c r="AW48" s="190">
        <v>1082386.71</v>
      </c>
      <c r="AX48" s="190">
        <v>3244149.8</v>
      </c>
      <c r="AY48" s="190">
        <v>4065927.43</v>
      </c>
      <c r="AZ48" s="190">
        <v>5200008.1399999997</v>
      </c>
      <c r="BA48" s="190">
        <v>3477374.52</v>
      </c>
      <c r="BB48" s="190">
        <v>9269252.0800000001</v>
      </c>
      <c r="BC48" s="190">
        <v>8261947.4800000004</v>
      </c>
      <c r="BD48" s="190">
        <v>11615365.77</v>
      </c>
      <c r="BE48" s="190">
        <v>1484019.31</v>
      </c>
      <c r="BF48" s="190">
        <v>4285776.2699999996</v>
      </c>
      <c r="BG48" s="190">
        <v>0</v>
      </c>
    </row>
    <row r="49" spans="1:59"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row>
    <row r="50" spans="1:59" x14ac:dyDescent="0.25">
      <c r="A50" s="190" t="s">
        <v>154</v>
      </c>
      <c r="B50" s="190">
        <v>410343794.18000001</v>
      </c>
      <c r="C50" s="190">
        <v>392643356.31999999</v>
      </c>
      <c r="D50" s="190">
        <v>245877952.91999999</v>
      </c>
      <c r="E50" s="190">
        <v>414858780.87</v>
      </c>
      <c r="F50" s="190">
        <v>207199360.25999999</v>
      </c>
      <c r="G50" s="190">
        <v>164810778.56</v>
      </c>
      <c r="H50" s="190">
        <v>95997468.859999999</v>
      </c>
      <c r="I50" s="190">
        <v>156452196.28</v>
      </c>
      <c r="J50" s="190">
        <v>88746608.489999995</v>
      </c>
      <c r="K50" s="190">
        <v>68200589.25</v>
      </c>
      <c r="L50" s="190">
        <v>49593314.890000001</v>
      </c>
      <c r="M50" s="190">
        <v>64899428.399999999</v>
      </c>
      <c r="N50" s="190">
        <v>51490982.93</v>
      </c>
      <c r="O50" s="190">
        <v>12567227.84</v>
      </c>
      <c r="P50" s="190">
        <v>11783248.27</v>
      </c>
      <c r="Q50" s="190">
        <v>21546833.039999999</v>
      </c>
      <c r="R50" s="190">
        <v>14216784.83</v>
      </c>
      <c r="S50" s="190">
        <v>12802805.83</v>
      </c>
      <c r="T50" s="190">
        <v>12363693.689999999</v>
      </c>
      <c r="U50" s="190">
        <v>19210335.899999999</v>
      </c>
      <c r="V50" s="190">
        <v>15455895.029999999</v>
      </c>
      <c r="W50" s="190">
        <v>14789689.560000001</v>
      </c>
      <c r="X50" s="190">
        <v>14186620.560000001</v>
      </c>
      <c r="Y50" s="190">
        <v>19139061.66</v>
      </c>
      <c r="Z50" s="190">
        <v>16964271.57</v>
      </c>
      <c r="AA50" s="190">
        <v>17141161.460000001</v>
      </c>
      <c r="AB50" s="190">
        <v>15423406.98</v>
      </c>
      <c r="AC50" s="190">
        <v>20760704.449999999</v>
      </c>
      <c r="AD50" s="190">
        <v>17970149.300000001</v>
      </c>
      <c r="AE50" s="190">
        <v>17065543.18</v>
      </c>
      <c r="AF50" s="190">
        <v>16390298.58</v>
      </c>
      <c r="AG50" s="190">
        <v>18713089.510000002</v>
      </c>
      <c r="AH50" s="190">
        <v>18646176.469999999</v>
      </c>
      <c r="AI50" s="190">
        <v>18168702.129999999</v>
      </c>
      <c r="AJ50" s="190">
        <v>17354148.170000002</v>
      </c>
      <c r="AK50" s="190">
        <v>19063830.809999999</v>
      </c>
      <c r="AL50" s="190">
        <v>18790379.640000001</v>
      </c>
      <c r="AM50" s="190">
        <v>18320387.350000001</v>
      </c>
      <c r="AN50" s="190">
        <v>18252151.170000002</v>
      </c>
      <c r="AO50" s="190">
        <v>18976534.949999999</v>
      </c>
      <c r="AP50" s="190">
        <v>19246617.719999999</v>
      </c>
      <c r="AQ50" s="190">
        <v>18718395.219999999</v>
      </c>
      <c r="AR50" s="190">
        <v>22139924.800000001</v>
      </c>
      <c r="AS50" s="190">
        <v>24857051.010000002</v>
      </c>
      <c r="AT50" s="190">
        <v>19652319.93</v>
      </c>
      <c r="AU50" s="190">
        <v>24814476.309999999</v>
      </c>
      <c r="AV50" s="190">
        <v>22609396.149999999</v>
      </c>
      <c r="AW50" s="190">
        <v>29711522.370000001</v>
      </c>
      <c r="AX50" s="190">
        <v>18916399.899999999</v>
      </c>
      <c r="AY50" s="190">
        <v>19284438.010000002</v>
      </c>
      <c r="AZ50" s="190">
        <v>17794031.210000001</v>
      </c>
      <c r="BA50" s="190">
        <v>18243029.010000002</v>
      </c>
      <c r="BB50" s="190">
        <v>20320077.57</v>
      </c>
      <c r="BC50" s="190">
        <v>19728872.760000002</v>
      </c>
      <c r="BD50" s="190">
        <v>21957340.23</v>
      </c>
      <c r="BE50" s="190">
        <v>20883150.73</v>
      </c>
      <c r="BF50" s="190">
        <v>27951416.710000001</v>
      </c>
      <c r="BG50" s="190">
        <v>0</v>
      </c>
    </row>
    <row r="51" spans="1:59" x14ac:dyDescent="0.25">
      <c r="A51" s="190" t="s">
        <v>155</v>
      </c>
      <c r="B51" s="190">
        <v>92382359.170000002</v>
      </c>
      <c r="C51" s="190">
        <v>84295835.079999998</v>
      </c>
      <c r="D51" s="190">
        <v>42052517.640000001</v>
      </c>
      <c r="E51" s="190">
        <v>109092086.63</v>
      </c>
      <c r="F51" s="190">
        <v>63663528.960000001</v>
      </c>
      <c r="G51" s="190">
        <v>34437185.460000001</v>
      </c>
      <c r="H51" s="190">
        <v>22333313.43</v>
      </c>
      <c r="I51" s="190">
        <v>74751775.209999993</v>
      </c>
      <c r="J51" s="190">
        <v>31297826.920000002</v>
      </c>
      <c r="K51" s="190">
        <v>13227462.18</v>
      </c>
      <c r="L51" s="190">
        <v>13228415.039999999</v>
      </c>
      <c r="M51" s="190">
        <v>51279893.280000001</v>
      </c>
      <c r="N51" s="190">
        <v>16938454.710000001</v>
      </c>
      <c r="O51" s="190">
        <v>18481326.420000002</v>
      </c>
      <c r="P51" s="190">
        <v>9492859.6999999993</v>
      </c>
      <c r="Q51" s="190">
        <v>8488025.7799999993</v>
      </c>
      <c r="R51" s="190">
        <v>-6436499.4500000002</v>
      </c>
      <c r="S51" s="190">
        <v>-28949438.219999999</v>
      </c>
      <c r="T51" s="190">
        <v>-21844660.350000001</v>
      </c>
      <c r="U51" s="190">
        <v>-10663918.24</v>
      </c>
      <c r="V51" s="190">
        <v>-22931431.59</v>
      </c>
      <c r="W51" s="190">
        <v>-28493549.870000001</v>
      </c>
      <c r="X51" s="190">
        <v>-20302070.59</v>
      </c>
      <c r="Y51" s="190">
        <v>-12451888.85</v>
      </c>
      <c r="Z51" s="190">
        <v>-6375365.8799999999</v>
      </c>
      <c r="AA51" s="190">
        <v>-13749800.51</v>
      </c>
      <c r="AB51" s="190">
        <v>-8398483.4399999995</v>
      </c>
      <c r="AC51" s="190">
        <v>-708888.44</v>
      </c>
      <c r="AD51" s="190">
        <v>-2920187.07</v>
      </c>
      <c r="AE51" s="190">
        <v>-5546837.6799999997</v>
      </c>
      <c r="AF51" s="190">
        <v>-3508500.03</v>
      </c>
      <c r="AG51" s="190">
        <v>-7223305.5499999998</v>
      </c>
      <c r="AH51" s="190">
        <v>-6218723.96</v>
      </c>
      <c r="AI51" s="190">
        <v>-1274624.6200000001</v>
      </c>
      <c r="AJ51" s="190">
        <v>3456811.95</v>
      </c>
      <c r="AK51" s="190">
        <v>-555373.49</v>
      </c>
      <c r="AL51" s="190">
        <v>-2451839.6800000002</v>
      </c>
      <c r="AM51" s="190">
        <v>-2749821.85</v>
      </c>
      <c r="AN51" s="190">
        <v>1286209.3999999999</v>
      </c>
      <c r="AO51" s="190">
        <v>-1757013.43</v>
      </c>
      <c r="AP51" s="190">
        <v>1135276.18</v>
      </c>
      <c r="AQ51" s="190">
        <v>-306719.84000000003</v>
      </c>
      <c r="AR51" s="190">
        <v>1425331.72</v>
      </c>
      <c r="AS51" s="190">
        <v>2072870.44</v>
      </c>
      <c r="AT51" s="190">
        <v>23272.14</v>
      </c>
      <c r="AU51" s="190">
        <v>-437273.09</v>
      </c>
      <c r="AV51" s="190">
        <v>3046427.94</v>
      </c>
      <c r="AW51" s="190">
        <v>1109337.7</v>
      </c>
      <c r="AX51" s="190">
        <v>1786690.53</v>
      </c>
      <c r="AY51" s="190">
        <v>1911434.78</v>
      </c>
      <c r="AZ51" s="190">
        <v>714106.04</v>
      </c>
      <c r="BA51" s="190">
        <v>953387.01</v>
      </c>
      <c r="BB51" s="190">
        <v>2607915.17</v>
      </c>
      <c r="BC51" s="190">
        <v>136977.07999999999</v>
      </c>
      <c r="BD51" s="190">
        <v>3873008.1</v>
      </c>
      <c r="BE51" s="190">
        <v>976065.75</v>
      </c>
      <c r="BF51" s="190">
        <v>977448.6</v>
      </c>
      <c r="BG51" s="190">
        <v>0</v>
      </c>
    </row>
    <row r="52" spans="1:59" x14ac:dyDescent="0.25">
      <c r="A52" s="190" t="s">
        <v>156</v>
      </c>
      <c r="B52" s="190">
        <v>0</v>
      </c>
      <c r="C52" s="190">
        <v>21710241.640000001</v>
      </c>
      <c r="D52" s="190">
        <v>34521103.68</v>
      </c>
      <c r="E52" s="190">
        <v>34571686.479999997</v>
      </c>
      <c r="F52" s="190">
        <v>20761522.449999999</v>
      </c>
      <c r="G52" s="190">
        <v>8321447.4800000004</v>
      </c>
      <c r="H52" s="190">
        <v>2253263.31</v>
      </c>
      <c r="I52" s="190">
        <v>1950490.82</v>
      </c>
      <c r="J52" s="190">
        <v>1251335.03</v>
      </c>
      <c r="K52" s="190">
        <v>935563.65</v>
      </c>
      <c r="L52" s="190">
        <v>821847.92</v>
      </c>
      <c r="M52" s="190">
        <v>810416.35</v>
      </c>
      <c r="N52" s="190">
        <v>700000</v>
      </c>
      <c r="O52" s="190">
        <v>0</v>
      </c>
      <c r="P52" s="190">
        <v>22123.98</v>
      </c>
      <c r="Q52" s="190">
        <v>5299.33</v>
      </c>
      <c r="R52" s="190">
        <v>0</v>
      </c>
      <c r="S52" s="190">
        <v>0</v>
      </c>
      <c r="T52" s="190">
        <v>0</v>
      </c>
      <c r="U52" s="190">
        <v>0</v>
      </c>
      <c r="V52" s="190">
        <v>0</v>
      </c>
      <c r="W52" s="190">
        <v>0</v>
      </c>
      <c r="X52" s="190">
        <v>0</v>
      </c>
      <c r="Y52" s="190">
        <v>0</v>
      </c>
      <c r="Z52" s="190">
        <v>0</v>
      </c>
      <c r="AA52" s="190">
        <v>0</v>
      </c>
      <c r="AB52" s="190">
        <v>0</v>
      </c>
      <c r="AC52" s="190">
        <v>18790.41</v>
      </c>
      <c r="AD52" s="190">
        <v>0</v>
      </c>
      <c r="AE52" s="190">
        <v>0</v>
      </c>
      <c r="AF52" s="190">
        <v>48799.73</v>
      </c>
      <c r="AG52" s="190">
        <v>48799.73</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151625</v>
      </c>
      <c r="AW52" s="190">
        <v>0</v>
      </c>
      <c r="AX52" s="190">
        <v>0</v>
      </c>
      <c r="AY52" s="190">
        <v>0</v>
      </c>
      <c r="AZ52" s="190">
        <v>0</v>
      </c>
      <c r="BA52" s="190">
        <v>0</v>
      </c>
      <c r="BB52" s="190">
        <v>0</v>
      </c>
      <c r="BC52" s="190">
        <v>0</v>
      </c>
      <c r="BD52" s="190">
        <v>0</v>
      </c>
      <c r="BE52" s="190">
        <v>0</v>
      </c>
      <c r="BF52" s="190">
        <v>0</v>
      </c>
      <c r="BG52" s="190">
        <v>0</v>
      </c>
    </row>
    <row r="53" spans="1:59" x14ac:dyDescent="0.25">
      <c r="A53" s="190" t="s">
        <v>157</v>
      </c>
      <c r="B53" s="190">
        <v>0</v>
      </c>
      <c r="C53" s="190">
        <v>1448666.27</v>
      </c>
      <c r="D53" s="190">
        <v>5843848.2300000004</v>
      </c>
      <c r="E53" s="190">
        <v>5843848.2300000004</v>
      </c>
      <c r="F53" s="190">
        <v>910201.59</v>
      </c>
      <c r="G53" s="190">
        <v>1296543.06</v>
      </c>
      <c r="H53" s="190">
        <v>910201.59</v>
      </c>
      <c r="I53" s="190">
        <v>910201.59</v>
      </c>
      <c r="J53" s="190">
        <v>910201.59</v>
      </c>
      <c r="K53" s="190">
        <v>910201.59</v>
      </c>
      <c r="L53" s="190">
        <v>850201.59</v>
      </c>
      <c r="M53" s="190">
        <v>850201.59</v>
      </c>
      <c r="N53" s="190">
        <v>850201.59</v>
      </c>
      <c r="O53" s="190">
        <v>0</v>
      </c>
      <c r="P53" s="190">
        <v>0</v>
      </c>
      <c r="Q53" s="190">
        <v>0</v>
      </c>
      <c r="R53" s="190">
        <v>0</v>
      </c>
      <c r="S53" s="190">
        <v>1572618.4</v>
      </c>
      <c r="T53" s="190">
        <v>0</v>
      </c>
      <c r="U53" s="190">
        <v>0</v>
      </c>
      <c r="V53" s="190">
        <v>0</v>
      </c>
      <c r="W53" s="190">
        <v>0</v>
      </c>
      <c r="X53" s="190">
        <v>0</v>
      </c>
      <c r="Y53" s="190">
        <v>0</v>
      </c>
      <c r="Z53" s="190">
        <v>0</v>
      </c>
      <c r="AA53" s="190">
        <v>0</v>
      </c>
      <c r="AB53" s="190">
        <v>0</v>
      </c>
      <c r="AC53" s="190">
        <v>0</v>
      </c>
      <c r="AD53" s="190">
        <v>0</v>
      </c>
      <c r="AE53" s="190">
        <v>1186680</v>
      </c>
      <c r="AF53" s="190">
        <v>0</v>
      </c>
      <c r="AG53" s="190">
        <v>0</v>
      </c>
      <c r="AH53" s="190">
        <v>465088</v>
      </c>
      <c r="AI53" s="190">
        <v>2609088</v>
      </c>
      <c r="AJ53" s="190">
        <v>0</v>
      </c>
      <c r="AK53" s="190">
        <v>0</v>
      </c>
      <c r="AL53" s="190">
        <v>0</v>
      </c>
      <c r="AM53" s="190">
        <v>3227454.34</v>
      </c>
      <c r="AN53" s="190">
        <v>1131204.3400000001</v>
      </c>
      <c r="AO53" s="190">
        <v>1131204.3400000001</v>
      </c>
      <c r="AP53" s="190">
        <v>0</v>
      </c>
      <c r="AQ53" s="190">
        <v>0</v>
      </c>
      <c r="AR53" s="190">
        <v>0</v>
      </c>
      <c r="AS53" s="190">
        <v>1131204.3400000001</v>
      </c>
      <c r="AT53" s="190">
        <v>0</v>
      </c>
      <c r="AU53" s="190">
        <v>0</v>
      </c>
      <c r="AV53" s="190">
        <v>0</v>
      </c>
      <c r="AW53" s="190">
        <v>0</v>
      </c>
      <c r="AX53" s="190">
        <v>1189649.3700000001</v>
      </c>
      <c r="AY53" s="190">
        <v>11189649.369999999</v>
      </c>
      <c r="AZ53" s="190">
        <v>1137526.9099999999</v>
      </c>
      <c r="BA53" s="190">
        <v>1044951.98</v>
      </c>
      <c r="BB53" s="190">
        <v>1142721.53</v>
      </c>
      <c r="BC53" s="190">
        <v>1303996.18</v>
      </c>
      <c r="BD53" s="190">
        <v>4341895.58</v>
      </c>
      <c r="BE53" s="190">
        <v>0</v>
      </c>
      <c r="BF53" s="190">
        <v>0</v>
      </c>
      <c r="BG53" s="190">
        <v>0</v>
      </c>
    </row>
    <row r="54" spans="1:59" x14ac:dyDescent="0.25">
      <c r="A54" s="190" t="s">
        <v>158</v>
      </c>
      <c r="B54" s="190">
        <v>449585987.73000002</v>
      </c>
      <c r="C54" s="190">
        <v>371526655.02999997</v>
      </c>
      <c r="D54" s="190">
        <v>215973936.09999999</v>
      </c>
      <c r="E54" s="190">
        <v>263827313.40000001</v>
      </c>
      <c r="F54" s="190">
        <v>254177792.37</v>
      </c>
      <c r="G54" s="190">
        <v>173516780.97999999</v>
      </c>
      <c r="H54" s="190">
        <v>120394733.25</v>
      </c>
      <c r="I54" s="190">
        <v>146725809.34</v>
      </c>
      <c r="J54" s="190">
        <v>196945070.41999999</v>
      </c>
      <c r="K54" s="190">
        <v>165925985.59</v>
      </c>
      <c r="L54" s="190">
        <v>95650348.219999999</v>
      </c>
      <c r="M54" s="190">
        <v>95945997.950000003</v>
      </c>
      <c r="N54" s="190">
        <v>138630009.75999999</v>
      </c>
      <c r="O54" s="190">
        <v>30025747.66</v>
      </c>
      <c r="P54" s="190">
        <v>16366409.390000001</v>
      </c>
      <c r="Q54" s="190">
        <v>17820519.870000001</v>
      </c>
      <c r="R54" s="190">
        <v>21641210.109999999</v>
      </c>
      <c r="S54" s="190">
        <v>20014831.309999999</v>
      </c>
      <c r="T54" s="190">
        <v>19672761.57</v>
      </c>
      <c r="U54" s="190">
        <v>21555031.800000001</v>
      </c>
      <c r="V54" s="190">
        <v>21746661.440000001</v>
      </c>
      <c r="W54" s="190">
        <v>15518110.76</v>
      </c>
      <c r="X54" s="190">
        <v>16886809.510000002</v>
      </c>
      <c r="Y54" s="190">
        <v>23791396.02</v>
      </c>
      <c r="Z54" s="190">
        <v>28245667.440000001</v>
      </c>
      <c r="AA54" s="190">
        <v>27917134.32</v>
      </c>
      <c r="AB54" s="190">
        <v>21969371.859999999</v>
      </c>
      <c r="AC54" s="190">
        <v>33921732.649999999</v>
      </c>
      <c r="AD54" s="190">
        <v>5489784.7599999998</v>
      </c>
      <c r="AE54" s="190">
        <v>5412437.4400000004</v>
      </c>
      <c r="AF54" s="190">
        <v>9984227.5700000003</v>
      </c>
      <c r="AG54" s="190">
        <v>9984304.4399999995</v>
      </c>
      <c r="AH54" s="190">
        <v>7483511.9000000004</v>
      </c>
      <c r="AI54" s="190">
        <v>8002491.7699999996</v>
      </c>
      <c r="AJ54" s="190">
        <v>6360797.8499999996</v>
      </c>
      <c r="AK54" s="190">
        <v>8004144.5</v>
      </c>
      <c r="AL54" s="190">
        <v>8829427.2100000009</v>
      </c>
      <c r="AM54" s="190">
        <v>10372096.02</v>
      </c>
      <c r="AN54" s="190">
        <v>8355114.75</v>
      </c>
      <c r="AO54" s="190">
        <v>4425941.1900000004</v>
      </c>
      <c r="AP54" s="190">
        <v>7083635.25</v>
      </c>
      <c r="AQ54" s="190">
        <v>6310699.1200000001</v>
      </c>
      <c r="AR54" s="190">
        <v>6142423.3799999999</v>
      </c>
      <c r="AS54" s="190">
        <v>4984681.5199999996</v>
      </c>
      <c r="AT54" s="190">
        <v>12913806.07</v>
      </c>
      <c r="AU54" s="190">
        <v>9782239.7799999993</v>
      </c>
      <c r="AV54" s="190">
        <v>11906220.050000001</v>
      </c>
      <c r="AW54" s="190">
        <v>6763042.4900000002</v>
      </c>
      <c r="AX54" s="190">
        <v>16910712.82</v>
      </c>
      <c r="AY54" s="190">
        <v>20464153.600000001</v>
      </c>
      <c r="AZ54" s="190">
        <v>26879874.460000001</v>
      </c>
      <c r="BA54" s="190">
        <v>19729984.050000001</v>
      </c>
      <c r="BB54" s="190">
        <v>15939824.35</v>
      </c>
      <c r="BC54" s="190">
        <v>20188289.02</v>
      </c>
      <c r="BD54" s="190">
        <v>17818550.960000001</v>
      </c>
      <c r="BE54" s="190">
        <v>6256313.8300000001</v>
      </c>
      <c r="BF54" s="190">
        <v>10629776.34</v>
      </c>
      <c r="BG54" s="190">
        <v>0</v>
      </c>
    </row>
    <row r="55" spans="1:59"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362184.49</v>
      </c>
      <c r="AY55" s="190">
        <v>72406.58</v>
      </c>
      <c r="AZ55" s="190">
        <v>484169.99</v>
      </c>
      <c r="BA55" s="190">
        <v>15345</v>
      </c>
      <c r="BB55" s="190">
        <v>241922.91</v>
      </c>
      <c r="BC55" s="190">
        <v>0</v>
      </c>
      <c r="BD55" s="190">
        <v>18723.28</v>
      </c>
      <c r="BE55" s="190">
        <v>3468.3</v>
      </c>
      <c r="BF55" s="190">
        <v>0</v>
      </c>
      <c r="BG55" s="190">
        <v>0</v>
      </c>
    </row>
    <row r="56" spans="1:59"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row>
    <row r="57" spans="1:59"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row>
    <row r="58" spans="1:59" x14ac:dyDescent="0.25">
      <c r="A58" s="190" t="s">
        <v>162</v>
      </c>
      <c r="B58" s="190">
        <v>599433114.51999998</v>
      </c>
      <c r="C58" s="190">
        <v>649691077.27999997</v>
      </c>
      <c r="D58" s="190">
        <v>548587032.95000005</v>
      </c>
      <c r="E58" s="190">
        <v>408770288.04000002</v>
      </c>
      <c r="F58" s="190">
        <v>385622853.20999998</v>
      </c>
      <c r="G58" s="190">
        <v>312896396.49000001</v>
      </c>
      <c r="H58" s="190">
        <v>278369665.16000003</v>
      </c>
      <c r="I58" s="190">
        <v>156723495.31</v>
      </c>
      <c r="J58" s="190">
        <v>105526683.95999999</v>
      </c>
      <c r="K58" s="190">
        <v>79918854.75</v>
      </c>
      <c r="L58" s="190">
        <v>59868482.810000002</v>
      </c>
      <c r="M58" s="190">
        <v>64838998.609999999</v>
      </c>
      <c r="N58" s="190">
        <v>54475646.640000001</v>
      </c>
      <c r="O58" s="190">
        <v>2000000</v>
      </c>
      <c r="P58" s="190">
        <v>2000000</v>
      </c>
      <c r="Q58" s="190">
        <v>0</v>
      </c>
      <c r="R58" s="190">
        <v>0</v>
      </c>
      <c r="S58" s="190">
        <v>0</v>
      </c>
      <c r="T58" s="190">
        <v>20000000</v>
      </c>
      <c r="U58" s="190">
        <v>20000000</v>
      </c>
      <c r="V58" s="190">
        <v>8000000</v>
      </c>
      <c r="W58" s="190">
        <v>8000000</v>
      </c>
      <c r="X58" s="190">
        <v>8000000</v>
      </c>
      <c r="Y58" s="190">
        <v>8000000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row>
    <row r="59" spans="1:59" x14ac:dyDescent="0.25">
      <c r="A59" s="190" t="s">
        <v>163</v>
      </c>
      <c r="B59" s="190">
        <v>0</v>
      </c>
      <c r="C59" s="190">
        <v>0</v>
      </c>
      <c r="D59" s="190">
        <v>0</v>
      </c>
      <c r="E59" s="190">
        <v>400000000</v>
      </c>
      <c r="F59" s="190">
        <v>400000000</v>
      </c>
      <c r="G59" s="190">
        <v>400000000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250000</v>
      </c>
      <c r="BC59" s="190">
        <v>0</v>
      </c>
      <c r="BD59" s="190">
        <v>0</v>
      </c>
      <c r="BE59" s="190">
        <v>0</v>
      </c>
      <c r="BF59" s="190">
        <v>0</v>
      </c>
      <c r="BG59" s="190">
        <v>0</v>
      </c>
    </row>
    <row r="60" spans="1:59" x14ac:dyDescent="0.25">
      <c r="A60" s="190" t="s">
        <v>164</v>
      </c>
      <c r="B60" s="190">
        <v>5930149145.9700003</v>
      </c>
      <c r="C60" s="190">
        <v>5631102457.2200003</v>
      </c>
      <c r="D60" s="190">
        <v>4073895711.7800002</v>
      </c>
      <c r="E60" s="190">
        <v>4465270519.4899998</v>
      </c>
      <c r="F60" s="190">
        <v>3309776806.4899998</v>
      </c>
      <c r="G60" s="190">
        <v>2922009408.8800001</v>
      </c>
      <c r="H60" s="190">
        <v>2268260091.1999998</v>
      </c>
      <c r="I60" s="190">
        <v>2097759661.47</v>
      </c>
      <c r="J60" s="190">
        <v>1765344598.0699999</v>
      </c>
      <c r="K60" s="190">
        <v>1315790945.6400001</v>
      </c>
      <c r="L60" s="190">
        <v>1154022629.9000001</v>
      </c>
      <c r="M60" s="190">
        <v>1116429259.0799999</v>
      </c>
      <c r="N60" s="190">
        <v>890406063.32000005</v>
      </c>
      <c r="O60" s="190">
        <v>186191887.34999999</v>
      </c>
      <c r="P60" s="190">
        <v>95158997.129999995</v>
      </c>
      <c r="Q60" s="190">
        <v>195863986.99000001</v>
      </c>
      <c r="R60" s="190">
        <v>273618228.36000001</v>
      </c>
      <c r="S60" s="190">
        <v>274952753.48000002</v>
      </c>
      <c r="T60" s="190">
        <v>288529427.45999998</v>
      </c>
      <c r="U60" s="190">
        <v>293206328.36000001</v>
      </c>
      <c r="V60" s="190">
        <v>153302175.41</v>
      </c>
      <c r="W60" s="190">
        <v>141333622.84</v>
      </c>
      <c r="X60" s="190">
        <v>132731703.48999999</v>
      </c>
      <c r="Y60" s="190">
        <v>154233216.58000001</v>
      </c>
      <c r="Z60" s="190">
        <v>152719866.43000001</v>
      </c>
      <c r="AA60" s="190">
        <v>145330304.99000001</v>
      </c>
      <c r="AB60" s="190">
        <v>141358532.31</v>
      </c>
      <c r="AC60" s="190">
        <v>153156984.44</v>
      </c>
      <c r="AD60" s="190">
        <v>135685023.83000001</v>
      </c>
      <c r="AE60" s="190">
        <v>125979005.73999999</v>
      </c>
      <c r="AF60" s="190">
        <v>71864605.200000003</v>
      </c>
      <c r="AG60" s="190">
        <v>81942494.329999998</v>
      </c>
      <c r="AH60" s="190">
        <v>114522509.92</v>
      </c>
      <c r="AI60" s="190">
        <v>112882078.52</v>
      </c>
      <c r="AJ60" s="190">
        <v>92922653.140000001</v>
      </c>
      <c r="AK60" s="190">
        <v>107905154.31999999</v>
      </c>
      <c r="AL60" s="190">
        <v>117243817.48</v>
      </c>
      <c r="AM60" s="190">
        <v>116279171.84</v>
      </c>
      <c r="AN60" s="190">
        <v>74526905.269999996</v>
      </c>
      <c r="AO60" s="190">
        <v>74982797.420000002</v>
      </c>
      <c r="AP60" s="190">
        <v>83946303.25</v>
      </c>
      <c r="AQ60" s="190">
        <v>83089263.200000003</v>
      </c>
      <c r="AR60" s="190">
        <v>77856502.370000005</v>
      </c>
      <c r="AS60" s="190">
        <v>91579480.709999993</v>
      </c>
      <c r="AT60" s="190">
        <v>105423290.98999999</v>
      </c>
      <c r="AU60" s="190">
        <v>110981470.45</v>
      </c>
      <c r="AV60" s="190">
        <v>106413926.55</v>
      </c>
      <c r="AW60" s="190">
        <v>90363258.810000002</v>
      </c>
      <c r="AX60" s="190">
        <v>103840795.58</v>
      </c>
      <c r="AY60" s="190">
        <v>111917452.87</v>
      </c>
      <c r="AZ60" s="190">
        <v>106160832.53</v>
      </c>
      <c r="BA60" s="190">
        <v>86937414.459999993</v>
      </c>
      <c r="BB60" s="190">
        <v>106982180.5</v>
      </c>
      <c r="BC60" s="190">
        <v>114701492.04000001</v>
      </c>
      <c r="BD60" s="190">
        <v>123559231.29000001</v>
      </c>
      <c r="BE60" s="190">
        <v>94205923.620000005</v>
      </c>
      <c r="BF60" s="190">
        <v>63431772.960000001</v>
      </c>
      <c r="BG60" s="190">
        <v>0</v>
      </c>
    </row>
    <row r="61" spans="1:59" x14ac:dyDescent="0.25">
      <c r="A61" s="190" t="s">
        <v>165</v>
      </c>
    </row>
    <row r="62" spans="1:59" x14ac:dyDescent="0.25">
      <c r="A62" s="190" t="s">
        <v>166</v>
      </c>
      <c r="B62" s="190">
        <v>1213383866.0899999</v>
      </c>
      <c r="C62" s="190">
        <v>1053376196.48</v>
      </c>
      <c r="D62" s="190">
        <v>855572121.54999995</v>
      </c>
      <c r="E62" s="190">
        <v>603305502.75</v>
      </c>
      <c r="F62" s="190">
        <v>497768742.38</v>
      </c>
      <c r="G62" s="190">
        <v>392255367.37</v>
      </c>
      <c r="H62" s="190">
        <v>385804013.49000001</v>
      </c>
      <c r="I62" s="190">
        <v>245135157.19999999</v>
      </c>
      <c r="J62" s="190">
        <v>183406839.47</v>
      </c>
      <c r="K62" s="190">
        <v>89300000</v>
      </c>
      <c r="L62" s="190">
        <v>80537900</v>
      </c>
      <c r="M62" s="190">
        <v>86379900</v>
      </c>
      <c r="N62" s="190">
        <v>52934200</v>
      </c>
      <c r="O62" s="190">
        <v>20000000</v>
      </c>
      <c r="P62" s="190">
        <v>20000000</v>
      </c>
      <c r="Q62" s="190">
        <v>22000000</v>
      </c>
      <c r="R62" s="190">
        <v>22000000</v>
      </c>
      <c r="S62" s="190">
        <v>22000000</v>
      </c>
      <c r="T62" s="190">
        <v>22000000</v>
      </c>
      <c r="U62" s="190">
        <v>22000000</v>
      </c>
      <c r="V62" s="190">
        <v>52000000</v>
      </c>
      <c r="W62" s="190">
        <v>52000000</v>
      </c>
      <c r="X62" s="190">
        <v>52000000</v>
      </c>
      <c r="Y62" s="190">
        <v>52000000</v>
      </c>
      <c r="Z62" s="190">
        <v>30000000</v>
      </c>
      <c r="AA62" s="190">
        <v>30000000</v>
      </c>
      <c r="AB62" s="190">
        <v>0</v>
      </c>
      <c r="AC62" s="190">
        <v>0</v>
      </c>
      <c r="AD62" s="190">
        <v>0</v>
      </c>
      <c r="AE62" s="190">
        <v>10000000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c r="BC62" s="190">
        <v>0</v>
      </c>
      <c r="BD62" s="190">
        <v>0</v>
      </c>
      <c r="BE62" s="190">
        <v>0</v>
      </c>
      <c r="BF62" s="190">
        <v>0</v>
      </c>
      <c r="BG62" s="190">
        <v>0</v>
      </c>
    </row>
    <row r="63" spans="1:59" x14ac:dyDescent="0.25">
      <c r="A63" s="190" t="s">
        <v>167</v>
      </c>
      <c r="B63" s="190">
        <v>895449541.11000001</v>
      </c>
      <c r="C63" s="190">
        <v>895037428.26999998</v>
      </c>
      <c r="D63" s="190">
        <v>894565460.17999995</v>
      </c>
      <c r="E63" s="190">
        <v>396498769.88</v>
      </c>
      <c r="F63" s="190">
        <v>396004160.23000002</v>
      </c>
      <c r="G63" s="190">
        <v>395828426.13</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row>
    <row r="64" spans="1:59" x14ac:dyDescent="0.25">
      <c r="A64" s="190" t="s">
        <v>168</v>
      </c>
      <c r="B64" s="190">
        <v>141168333.19999999</v>
      </c>
      <c r="C64" s="190">
        <v>113921089.48</v>
      </c>
      <c r="D64" s="190">
        <v>101298979.3</v>
      </c>
      <c r="E64" s="190">
        <v>91850977.730000004</v>
      </c>
      <c r="F64" s="190">
        <v>17767127.120000001</v>
      </c>
      <c r="G64" s="190">
        <v>42640397.009999998</v>
      </c>
      <c r="H64" s="190">
        <v>47713483.780000001</v>
      </c>
      <c r="I64" s="190">
        <v>50288998.810000002</v>
      </c>
      <c r="J64" s="190">
        <v>24362965.02</v>
      </c>
      <c r="K64" s="190">
        <v>20562172.379999999</v>
      </c>
      <c r="L64" s="190">
        <v>34649947.719999999</v>
      </c>
      <c r="M64" s="190">
        <v>33923010.979999997</v>
      </c>
      <c r="N64" s="190">
        <v>34829075.109999999</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row>
    <row r="65" spans="1:59"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1026900</v>
      </c>
      <c r="P65" s="190">
        <v>1026900</v>
      </c>
      <c r="Q65" s="190">
        <v>1096900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row>
    <row r="66" spans="1:59" x14ac:dyDescent="0.25">
      <c r="A66" s="190" t="s">
        <v>170</v>
      </c>
      <c r="B66" s="190">
        <v>0</v>
      </c>
      <c r="C66" s="190">
        <v>800000</v>
      </c>
      <c r="D66" s="190">
        <v>800000</v>
      </c>
      <c r="E66" s="190">
        <v>800000</v>
      </c>
      <c r="F66" s="190">
        <v>1400000</v>
      </c>
      <c r="G66" s="190">
        <v>1400000</v>
      </c>
      <c r="H66" s="190">
        <v>1400000</v>
      </c>
      <c r="I66" s="190">
        <v>1400000</v>
      </c>
      <c r="J66" s="190">
        <v>1400000</v>
      </c>
      <c r="K66" s="190">
        <v>1400000</v>
      </c>
      <c r="L66" s="190">
        <v>1400000</v>
      </c>
      <c r="M66" s="190">
        <v>1400000</v>
      </c>
      <c r="N66" s="190">
        <v>0</v>
      </c>
      <c r="O66" s="190">
        <v>0</v>
      </c>
      <c r="P66" s="190">
        <v>0</v>
      </c>
      <c r="Q66" s="190">
        <v>0</v>
      </c>
      <c r="R66" s="190">
        <v>0</v>
      </c>
      <c r="S66" s="190">
        <v>1000000</v>
      </c>
      <c r="T66" s="190">
        <v>0</v>
      </c>
      <c r="U66" s="190">
        <v>500000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row>
    <row r="67" spans="1:59"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12500000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row>
    <row r="68" spans="1:59" x14ac:dyDescent="0.25">
      <c r="A68" s="190" t="s">
        <v>172</v>
      </c>
      <c r="B68" s="190">
        <v>37977104.520000003</v>
      </c>
      <c r="C68" s="190">
        <v>39730803.890000001</v>
      </c>
      <c r="D68" s="190">
        <v>20871923.73</v>
      </c>
      <c r="E68" s="190">
        <v>18662995.09</v>
      </c>
      <c r="F68" s="190">
        <v>19918853.199999999</v>
      </c>
      <c r="G68" s="190">
        <v>14885174.109999999</v>
      </c>
      <c r="H68" s="190">
        <v>11135043.470000001</v>
      </c>
      <c r="I68" s="190">
        <v>11109206.34</v>
      </c>
      <c r="J68" s="190">
        <v>3287796.74</v>
      </c>
      <c r="K68" s="190">
        <v>1561919.33</v>
      </c>
      <c r="L68" s="190">
        <v>1251641.93</v>
      </c>
      <c r="M68" s="190">
        <v>1286364.54</v>
      </c>
      <c r="N68" s="190">
        <v>449319.15</v>
      </c>
      <c r="O68" s="190">
        <v>0</v>
      </c>
      <c r="P68" s="190">
        <v>0</v>
      </c>
      <c r="Q68" s="190">
        <v>0</v>
      </c>
      <c r="R68" s="190">
        <v>50143.37</v>
      </c>
      <c r="S68" s="190">
        <v>50093.07</v>
      </c>
      <c r="T68" s="190">
        <v>50093.07</v>
      </c>
      <c r="U68" s="190">
        <v>50093.07</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21000.69</v>
      </c>
      <c r="AU68" s="190">
        <v>21000.69</v>
      </c>
      <c r="AV68" s="190">
        <v>30768.3</v>
      </c>
      <c r="AW68" s="190">
        <v>28307.23</v>
      </c>
      <c r="AX68" s="190">
        <v>0</v>
      </c>
      <c r="AY68" s="190">
        <v>0</v>
      </c>
      <c r="AZ68" s="190">
        <v>0</v>
      </c>
      <c r="BA68" s="190">
        <v>0</v>
      </c>
      <c r="BB68" s="190">
        <v>0</v>
      </c>
      <c r="BC68" s="190">
        <v>0</v>
      </c>
      <c r="BD68" s="190">
        <v>0</v>
      </c>
      <c r="BE68" s="190">
        <v>0</v>
      </c>
      <c r="BF68" s="190">
        <v>0</v>
      </c>
      <c r="BG68" s="190">
        <v>0</v>
      </c>
    </row>
    <row r="69" spans="1:59"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16095000</v>
      </c>
      <c r="P69" s="190">
        <v>16312500</v>
      </c>
      <c r="Q69" s="190">
        <v>16530000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row>
    <row r="70" spans="1:59" x14ac:dyDescent="0.25">
      <c r="A70" s="190" t="s">
        <v>174</v>
      </c>
      <c r="B70" s="190">
        <v>327723.27</v>
      </c>
      <c r="C70" s="190">
        <v>295091.34000000003</v>
      </c>
      <c r="D70" s="190">
        <v>240736.09</v>
      </c>
      <c r="E70" s="190">
        <v>212643.51</v>
      </c>
      <c r="F70" s="190">
        <v>0</v>
      </c>
      <c r="G70" s="190">
        <v>0</v>
      </c>
      <c r="H70" s="190">
        <v>0</v>
      </c>
      <c r="I70" s="190">
        <v>0</v>
      </c>
      <c r="J70" s="190">
        <v>0</v>
      </c>
      <c r="K70" s="190">
        <v>0</v>
      </c>
      <c r="L70" s="190">
        <v>0</v>
      </c>
      <c r="M70" s="190">
        <v>0</v>
      </c>
      <c r="N70" s="190">
        <v>0</v>
      </c>
      <c r="O70" s="190">
        <v>0</v>
      </c>
      <c r="P70" s="190">
        <v>0</v>
      </c>
      <c r="Q70" s="190">
        <v>0</v>
      </c>
      <c r="R70" s="190">
        <v>16747500</v>
      </c>
      <c r="S70" s="190">
        <v>16965000</v>
      </c>
      <c r="T70" s="190">
        <v>17400000</v>
      </c>
      <c r="U70" s="190">
        <v>17400000</v>
      </c>
      <c r="V70" s="190">
        <v>17400000</v>
      </c>
      <c r="W70" s="190">
        <v>17400000</v>
      </c>
      <c r="X70" s="190">
        <v>17400000</v>
      </c>
      <c r="Y70" s="190">
        <v>17400000</v>
      </c>
      <c r="Z70" s="190">
        <v>17400000</v>
      </c>
      <c r="AA70" s="190">
        <v>17400000</v>
      </c>
      <c r="AB70" s="190">
        <v>17400000</v>
      </c>
      <c r="AC70" s="190">
        <v>17400000</v>
      </c>
      <c r="AD70" s="190">
        <v>18337760.390000001</v>
      </c>
      <c r="AE70" s="190">
        <v>18250760.390000001</v>
      </c>
      <c r="AF70" s="190">
        <v>577760.39</v>
      </c>
      <c r="AG70" s="190">
        <v>577760.39</v>
      </c>
      <c r="AH70" s="190">
        <v>577760.39</v>
      </c>
      <c r="AI70" s="190">
        <v>577760.39</v>
      </c>
      <c r="AJ70" s="190">
        <v>1057760.3899999999</v>
      </c>
      <c r="AK70" s="190">
        <v>1057760.3899999999</v>
      </c>
      <c r="AL70" s="190">
        <v>2142258.16</v>
      </c>
      <c r="AM70" s="190">
        <v>2177034.16</v>
      </c>
      <c r="AN70" s="190">
        <v>3260960</v>
      </c>
      <c r="AO70" s="190">
        <v>3260960</v>
      </c>
      <c r="AP70" s="190">
        <v>480000</v>
      </c>
      <c r="AQ70" s="190">
        <v>480000</v>
      </c>
      <c r="AR70" s="190">
        <v>1647552.46</v>
      </c>
      <c r="AS70" s="190">
        <v>1647552.46</v>
      </c>
      <c r="AT70" s="190">
        <v>1167552.46</v>
      </c>
      <c r="AU70" s="190">
        <v>1167552.46</v>
      </c>
      <c r="AV70" s="190">
        <v>1167552.46</v>
      </c>
      <c r="AW70" s="190">
        <v>1167552.46</v>
      </c>
      <c r="AX70" s="190">
        <v>1167552.46</v>
      </c>
      <c r="AY70" s="190">
        <v>1167552.46</v>
      </c>
      <c r="AZ70" s="190">
        <v>1167552.46</v>
      </c>
      <c r="BA70" s="190">
        <v>1167552.46</v>
      </c>
      <c r="BB70" s="190">
        <v>1167552.46</v>
      </c>
      <c r="BC70" s="190">
        <v>1167552.46</v>
      </c>
      <c r="BD70" s="190">
        <v>1167552.46</v>
      </c>
      <c r="BE70" s="190">
        <v>1167552.46</v>
      </c>
      <c r="BF70" s="190">
        <v>1167552.46</v>
      </c>
      <c r="BG70" s="190">
        <v>0</v>
      </c>
    </row>
    <row r="71" spans="1:59" x14ac:dyDescent="0.25">
      <c r="A71" s="190" t="s">
        <v>175</v>
      </c>
      <c r="B71" s="190">
        <v>2288306568.1900001</v>
      </c>
      <c r="C71" s="190">
        <v>2103160609.46</v>
      </c>
      <c r="D71" s="190">
        <v>1873349220.8499999</v>
      </c>
      <c r="E71" s="190">
        <v>1111330888.96</v>
      </c>
      <c r="F71" s="190">
        <v>932858882.92999995</v>
      </c>
      <c r="G71" s="190">
        <v>847009364.62</v>
      </c>
      <c r="H71" s="190">
        <v>446052540.74000001</v>
      </c>
      <c r="I71" s="190">
        <v>307933362.35000002</v>
      </c>
      <c r="J71" s="190">
        <v>212457601.22999999</v>
      </c>
      <c r="K71" s="190">
        <v>112824091.70999999</v>
      </c>
      <c r="L71" s="190">
        <v>117839489.65000001</v>
      </c>
      <c r="M71" s="190">
        <v>122989275.52</v>
      </c>
      <c r="N71" s="190">
        <v>88212594.260000005</v>
      </c>
      <c r="O71" s="190">
        <v>37121900</v>
      </c>
      <c r="P71" s="190">
        <v>37339400</v>
      </c>
      <c r="Q71" s="190">
        <v>39626900</v>
      </c>
      <c r="R71" s="190">
        <v>51297643.369999997</v>
      </c>
      <c r="S71" s="190">
        <v>40015093.07</v>
      </c>
      <c r="T71" s="190">
        <v>39450093.07</v>
      </c>
      <c r="U71" s="190">
        <v>39950093.07</v>
      </c>
      <c r="V71" s="190">
        <v>69400000</v>
      </c>
      <c r="W71" s="190">
        <v>69400000</v>
      </c>
      <c r="X71" s="190">
        <v>69400000</v>
      </c>
      <c r="Y71" s="190">
        <v>69400000</v>
      </c>
      <c r="Z71" s="190">
        <v>47400000</v>
      </c>
      <c r="AA71" s="190">
        <v>47400000</v>
      </c>
      <c r="AB71" s="190">
        <v>17400000</v>
      </c>
      <c r="AC71" s="190">
        <v>17400000</v>
      </c>
      <c r="AD71" s="190">
        <v>18337760.390000001</v>
      </c>
      <c r="AE71" s="190">
        <v>28250760.390000001</v>
      </c>
      <c r="AF71" s="190">
        <v>577760.39</v>
      </c>
      <c r="AG71" s="190">
        <v>577760.39</v>
      </c>
      <c r="AH71" s="190">
        <v>577760.39</v>
      </c>
      <c r="AI71" s="190">
        <v>577760.39</v>
      </c>
      <c r="AJ71" s="190">
        <v>1057760.3899999999</v>
      </c>
      <c r="AK71" s="190">
        <v>1057760.3899999999</v>
      </c>
      <c r="AL71" s="190">
        <v>2142258.16</v>
      </c>
      <c r="AM71" s="190">
        <v>2177034.16</v>
      </c>
      <c r="AN71" s="190">
        <v>3260960</v>
      </c>
      <c r="AO71" s="190">
        <v>3260960</v>
      </c>
      <c r="AP71" s="190">
        <v>480000</v>
      </c>
      <c r="AQ71" s="190">
        <v>480000</v>
      </c>
      <c r="AR71" s="190">
        <v>1647552.46</v>
      </c>
      <c r="AS71" s="190">
        <v>1647552.46</v>
      </c>
      <c r="AT71" s="190">
        <v>1188553.1499999999</v>
      </c>
      <c r="AU71" s="190">
        <v>1188553.1499999999</v>
      </c>
      <c r="AV71" s="190">
        <v>1198320.76</v>
      </c>
      <c r="AW71" s="190">
        <v>1195859.69</v>
      </c>
      <c r="AX71" s="190">
        <v>1167552.46</v>
      </c>
      <c r="AY71" s="190">
        <v>1167552.46</v>
      </c>
      <c r="AZ71" s="190">
        <v>1167552.46</v>
      </c>
      <c r="BA71" s="190">
        <v>1167552.46</v>
      </c>
      <c r="BB71" s="190">
        <v>1167552.46</v>
      </c>
      <c r="BC71" s="190">
        <v>1167552.46</v>
      </c>
      <c r="BD71" s="190">
        <v>1167552.46</v>
      </c>
      <c r="BE71" s="190">
        <v>1167552.46</v>
      </c>
      <c r="BF71" s="190">
        <v>1167552.46</v>
      </c>
      <c r="BG71" s="190">
        <v>0</v>
      </c>
    </row>
    <row r="72" spans="1:59" x14ac:dyDescent="0.25">
      <c r="A72" s="190" t="s">
        <v>176</v>
      </c>
      <c r="B72" s="190">
        <v>8218455714.1599998</v>
      </c>
      <c r="C72" s="190">
        <v>7734263066.6800003</v>
      </c>
      <c r="D72" s="190">
        <v>5947244932.6300001</v>
      </c>
      <c r="E72" s="190">
        <v>5576601408.4499998</v>
      </c>
      <c r="F72" s="190">
        <v>4242635689.4200001</v>
      </c>
      <c r="G72" s="190">
        <v>3769018773.5</v>
      </c>
      <c r="H72" s="190">
        <v>2714312631.9400001</v>
      </c>
      <c r="I72" s="190">
        <v>2405693023.8200002</v>
      </c>
      <c r="J72" s="190">
        <v>1977802199.3</v>
      </c>
      <c r="K72" s="190">
        <v>1428615037.3499999</v>
      </c>
      <c r="L72" s="190">
        <v>1271862119.55</v>
      </c>
      <c r="M72" s="190">
        <v>1239418534.5999999</v>
      </c>
      <c r="N72" s="190">
        <v>978618657.58000004</v>
      </c>
      <c r="O72" s="190">
        <v>223313787.34999999</v>
      </c>
      <c r="P72" s="190">
        <v>132498397.13</v>
      </c>
      <c r="Q72" s="190">
        <v>235490886.99000001</v>
      </c>
      <c r="R72" s="190">
        <v>324915871.73000002</v>
      </c>
      <c r="S72" s="190">
        <v>314967846.55000001</v>
      </c>
      <c r="T72" s="190">
        <v>327979520.52999997</v>
      </c>
      <c r="U72" s="190">
        <v>333156421.43000001</v>
      </c>
      <c r="V72" s="190">
        <v>222702175.41</v>
      </c>
      <c r="W72" s="190">
        <v>210733622.84</v>
      </c>
      <c r="X72" s="190">
        <v>202131703.49000001</v>
      </c>
      <c r="Y72" s="190">
        <v>223633216.58000001</v>
      </c>
      <c r="Z72" s="190">
        <v>200119866.43000001</v>
      </c>
      <c r="AA72" s="190">
        <v>192730304.99000001</v>
      </c>
      <c r="AB72" s="190">
        <v>158758532.31</v>
      </c>
      <c r="AC72" s="190">
        <v>170556984.44</v>
      </c>
      <c r="AD72" s="190">
        <v>154022784.22</v>
      </c>
      <c r="AE72" s="190">
        <v>154229766.13</v>
      </c>
      <c r="AF72" s="190">
        <v>72442365.590000004</v>
      </c>
      <c r="AG72" s="190">
        <v>82520254.719999999</v>
      </c>
      <c r="AH72" s="190">
        <v>115100270.31</v>
      </c>
      <c r="AI72" s="190">
        <v>113459838.91</v>
      </c>
      <c r="AJ72" s="190">
        <v>93980413.530000001</v>
      </c>
      <c r="AK72" s="190">
        <v>108962914.70999999</v>
      </c>
      <c r="AL72" s="190">
        <v>119386075.64</v>
      </c>
      <c r="AM72" s="190">
        <v>118456206</v>
      </c>
      <c r="AN72" s="190">
        <v>77787865.269999996</v>
      </c>
      <c r="AO72" s="190">
        <v>78243757.420000002</v>
      </c>
      <c r="AP72" s="190">
        <v>84426303.25</v>
      </c>
      <c r="AQ72" s="190">
        <v>83569263.200000003</v>
      </c>
      <c r="AR72" s="190">
        <v>79504054.829999998</v>
      </c>
      <c r="AS72" s="190">
        <v>93227033.170000002</v>
      </c>
      <c r="AT72" s="190">
        <v>106611844.14</v>
      </c>
      <c r="AU72" s="190">
        <v>112170023.59999999</v>
      </c>
      <c r="AV72" s="190">
        <v>107612247.31</v>
      </c>
      <c r="AW72" s="190">
        <v>91559118.5</v>
      </c>
      <c r="AX72" s="190">
        <v>105008348.04000001</v>
      </c>
      <c r="AY72" s="190">
        <v>113085005.33</v>
      </c>
      <c r="AZ72" s="190">
        <v>107328384.98999999</v>
      </c>
      <c r="BA72" s="190">
        <v>88104966.920000002</v>
      </c>
      <c r="BB72" s="190">
        <v>108149732.95999999</v>
      </c>
      <c r="BC72" s="190">
        <v>115869044.5</v>
      </c>
      <c r="BD72" s="190">
        <v>124726783.75</v>
      </c>
      <c r="BE72" s="190">
        <v>95373476.079999998</v>
      </c>
      <c r="BF72" s="190">
        <v>64599325.420000002</v>
      </c>
      <c r="BG72" s="190">
        <v>0</v>
      </c>
    </row>
    <row r="73" spans="1:59" x14ac:dyDescent="0.25">
      <c r="A73" s="190" t="s">
        <v>177</v>
      </c>
    </row>
    <row r="74" spans="1:59" x14ac:dyDescent="0.25">
      <c r="A74" s="190" t="s">
        <v>178</v>
      </c>
      <c r="B74" s="190">
        <v>3121566956</v>
      </c>
      <c r="C74" s="190">
        <v>3121566956</v>
      </c>
      <c r="D74" s="190">
        <v>2601305797</v>
      </c>
      <c r="E74" s="190">
        <v>2601305797</v>
      </c>
      <c r="F74" s="190">
        <v>2421482706</v>
      </c>
      <c r="G74" s="190">
        <v>2421482706</v>
      </c>
      <c r="H74" s="190">
        <v>2421482706</v>
      </c>
      <c r="I74" s="190">
        <v>2421482706</v>
      </c>
      <c r="J74" s="190">
        <v>2421482706</v>
      </c>
      <c r="K74" s="190">
        <v>2421482706</v>
      </c>
      <c r="L74" s="190">
        <v>1210741353</v>
      </c>
      <c r="M74" s="190">
        <v>1210741353</v>
      </c>
      <c r="N74" s="190">
        <v>1210741353</v>
      </c>
      <c r="O74" s="190">
        <v>278070000</v>
      </c>
      <c r="P74" s="190">
        <v>224250000</v>
      </c>
      <c r="Q74" s="190">
        <v>224250000</v>
      </c>
      <c r="R74" s="190">
        <v>224250000</v>
      </c>
      <c r="S74" s="190">
        <v>224250000</v>
      </c>
      <c r="T74" s="190">
        <v>224250000</v>
      </c>
      <c r="U74" s="190">
        <v>224250000</v>
      </c>
      <c r="V74" s="190">
        <v>224250000</v>
      </c>
      <c r="W74" s="190">
        <v>224250000</v>
      </c>
      <c r="X74" s="190">
        <v>224250000</v>
      </c>
      <c r="Y74" s="190">
        <v>224250000</v>
      </c>
      <c r="Z74" s="190">
        <v>224250000</v>
      </c>
      <c r="AA74" s="190">
        <v>224250000</v>
      </c>
      <c r="AB74" s="190">
        <v>224250000</v>
      </c>
      <c r="AC74" s="190">
        <v>224250000</v>
      </c>
      <c r="AD74" s="190">
        <v>224250000</v>
      </c>
      <c r="AE74" s="190">
        <v>224250000</v>
      </c>
      <c r="AF74" s="190">
        <v>162500000</v>
      </c>
      <c r="AG74" s="190">
        <v>162500000</v>
      </c>
      <c r="AH74" s="190">
        <v>162500000</v>
      </c>
      <c r="AI74" s="190">
        <v>162500000</v>
      </c>
      <c r="AJ74" s="190">
        <v>162500000</v>
      </c>
      <c r="AK74" s="190">
        <v>162500000</v>
      </c>
      <c r="AL74" s="190">
        <v>162500000</v>
      </c>
      <c r="AM74" s="190">
        <v>162500000</v>
      </c>
      <c r="AN74" s="190">
        <v>162500000</v>
      </c>
      <c r="AO74" s="190">
        <v>162500000</v>
      </c>
      <c r="AP74" s="190">
        <v>162500000</v>
      </c>
      <c r="AQ74" s="190">
        <v>162500000</v>
      </c>
      <c r="AR74" s="190">
        <v>125000000</v>
      </c>
      <c r="AS74" s="190">
        <v>125000000</v>
      </c>
      <c r="AT74" s="190">
        <v>125000000</v>
      </c>
      <c r="AU74" s="190">
        <v>125000000</v>
      </c>
      <c r="AV74" s="190">
        <v>125000000</v>
      </c>
      <c r="AW74" s="190">
        <v>125000000</v>
      </c>
      <c r="AX74" s="190">
        <v>125000000</v>
      </c>
      <c r="AY74" s="190">
        <v>125000000</v>
      </c>
      <c r="AZ74" s="190">
        <v>125000000</v>
      </c>
      <c r="BA74" s="190">
        <v>125000000</v>
      </c>
      <c r="BB74" s="190">
        <v>125000000</v>
      </c>
      <c r="BC74" s="190">
        <v>125000000</v>
      </c>
      <c r="BD74" s="190">
        <v>80000000</v>
      </c>
      <c r="BE74" s="190">
        <v>80000000</v>
      </c>
      <c r="BF74" s="190">
        <v>80000000</v>
      </c>
      <c r="BG74" s="190">
        <v>0</v>
      </c>
    </row>
    <row r="75" spans="1:59" x14ac:dyDescent="0.25">
      <c r="A75" s="190" t="s">
        <v>179</v>
      </c>
      <c r="B75" s="190">
        <v>1383601809.54</v>
      </c>
      <c r="C75" s="190">
        <v>1694080120.8099999</v>
      </c>
      <c r="D75" s="190">
        <v>2357463089.8499999</v>
      </c>
      <c r="E75" s="190">
        <v>2357463089.8499999</v>
      </c>
      <c r="F75" s="190">
        <v>2657657.2400000002</v>
      </c>
      <c r="G75" s="190">
        <v>18483069.879999999</v>
      </c>
      <c r="H75" s="190">
        <v>21464767.030000001</v>
      </c>
      <c r="I75" s="190">
        <v>21464767.030000001</v>
      </c>
      <c r="J75" s="190">
        <v>43171134.670000002</v>
      </c>
      <c r="K75" s="190">
        <v>93159211.489999995</v>
      </c>
      <c r="L75" s="190">
        <v>1315256407.7</v>
      </c>
      <c r="M75" s="190">
        <v>1315080527.29</v>
      </c>
      <c r="N75" s="190">
        <v>1314954325.0899999</v>
      </c>
      <c r="O75" s="190">
        <v>779706.19</v>
      </c>
      <c r="P75" s="190">
        <v>776262.14</v>
      </c>
      <c r="Q75" s="190">
        <v>776262.14</v>
      </c>
      <c r="R75" s="190">
        <v>634676.97</v>
      </c>
      <c r="S75" s="190">
        <v>634676.97</v>
      </c>
      <c r="T75" s="190">
        <v>634676.97</v>
      </c>
      <c r="U75" s="190">
        <v>634676.97</v>
      </c>
      <c r="V75" s="190">
        <v>634676.97</v>
      </c>
      <c r="W75" s="190">
        <v>634676.97</v>
      </c>
      <c r="X75" s="190">
        <v>634676.97</v>
      </c>
      <c r="Y75" s="190">
        <v>634676.97</v>
      </c>
      <c r="Z75" s="190">
        <v>717404.44</v>
      </c>
      <c r="AA75" s="190">
        <v>717404.44</v>
      </c>
      <c r="AB75" s="190">
        <v>717404.44</v>
      </c>
      <c r="AC75" s="190">
        <v>717404.44</v>
      </c>
      <c r="AD75" s="190">
        <v>717404.44</v>
      </c>
      <c r="AE75" s="190">
        <v>717404.44</v>
      </c>
      <c r="AF75" s="190">
        <v>62511500.740000002</v>
      </c>
      <c r="AG75" s="190">
        <v>62467404.439999998</v>
      </c>
      <c r="AH75" s="190">
        <v>62489326.420000002</v>
      </c>
      <c r="AI75" s="190">
        <v>62489326.420000002</v>
      </c>
      <c r="AJ75" s="190">
        <v>62489326.420000002</v>
      </c>
      <c r="AK75" s="190">
        <v>62489326.420000002</v>
      </c>
      <c r="AL75" s="190">
        <v>62511500.740000002</v>
      </c>
      <c r="AM75" s="190">
        <v>62511500.740000002</v>
      </c>
      <c r="AN75" s="190">
        <v>62511500.740000002</v>
      </c>
      <c r="AO75" s="190">
        <v>62511500.740000002</v>
      </c>
      <c r="AP75" s="190">
        <v>62511500.740000002</v>
      </c>
      <c r="AQ75" s="190">
        <v>62511500.740000002</v>
      </c>
      <c r="AR75" s="190">
        <v>100011500.73999999</v>
      </c>
      <c r="AS75" s="190">
        <v>100011500.73999999</v>
      </c>
      <c r="AT75" s="190">
        <v>100011500.73999999</v>
      </c>
      <c r="AU75" s="190">
        <v>100111881.81</v>
      </c>
      <c r="AV75" s="190">
        <v>100011500.73999999</v>
      </c>
      <c r="AW75" s="190">
        <v>100011500.73999999</v>
      </c>
      <c r="AX75" s="190">
        <v>100011500.73999999</v>
      </c>
      <c r="AY75" s="190">
        <v>100011500.73999999</v>
      </c>
      <c r="AZ75" s="190">
        <v>100011500.73999999</v>
      </c>
      <c r="BA75" s="190">
        <v>100011500.73999999</v>
      </c>
      <c r="BB75" s="190">
        <v>101670500.73999999</v>
      </c>
      <c r="BC75" s="190">
        <v>101670500.73999999</v>
      </c>
      <c r="BD75" s="190">
        <v>356963.78</v>
      </c>
      <c r="BE75" s="190">
        <v>26316</v>
      </c>
      <c r="BF75" s="190">
        <v>0</v>
      </c>
      <c r="BG75" s="190">
        <v>0</v>
      </c>
    </row>
    <row r="76" spans="1:59"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row>
    <row r="77" spans="1:59" x14ac:dyDescent="0.25">
      <c r="A77" s="190" t="s">
        <v>181</v>
      </c>
      <c r="B77" s="190">
        <v>1315909.32</v>
      </c>
      <c r="C77" s="190">
        <v>324405.09000000003</v>
      </c>
      <c r="D77" s="190">
        <v>-337220.78</v>
      </c>
      <c r="E77" s="190">
        <v>77933.67</v>
      </c>
      <c r="F77" s="190">
        <v>184969.12</v>
      </c>
      <c r="G77" s="190">
        <v>144145.98000000001</v>
      </c>
      <c r="H77" s="190">
        <v>190231.41</v>
      </c>
      <c r="I77" s="190">
        <v>201253.77</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row>
    <row r="78" spans="1:59"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row>
    <row r="79" spans="1:59" x14ac:dyDescent="0.25">
      <c r="A79" s="190" t="s">
        <v>183</v>
      </c>
      <c r="B79" s="190">
        <v>38771034.850000001</v>
      </c>
      <c r="C79" s="190">
        <v>38771034.850000001</v>
      </c>
      <c r="D79" s="190">
        <v>38771034.850000001</v>
      </c>
      <c r="E79" s="190">
        <v>38771034.850000001</v>
      </c>
      <c r="F79" s="190">
        <v>1501538.02</v>
      </c>
      <c r="G79" s="190">
        <v>1501538.02</v>
      </c>
      <c r="H79" s="190">
        <v>1501538.02</v>
      </c>
      <c r="I79" s="190">
        <v>1501538.02</v>
      </c>
      <c r="J79" s="190">
        <v>417407.86</v>
      </c>
      <c r="K79" s="190">
        <v>417407.86</v>
      </c>
      <c r="L79" s="190">
        <v>417407.86</v>
      </c>
      <c r="M79" s="190">
        <v>417407.86</v>
      </c>
      <c r="N79" s="190">
        <v>0</v>
      </c>
      <c r="O79" s="190">
        <v>78693206.099999994</v>
      </c>
      <c r="P79" s="190">
        <v>78693206.099999994</v>
      </c>
      <c r="Q79" s="190">
        <v>78693206.099999994</v>
      </c>
      <c r="R79" s="190">
        <v>77869058.329999998</v>
      </c>
      <c r="S79" s="190">
        <v>77869058.329999998</v>
      </c>
      <c r="T79" s="190">
        <v>77869058.329999998</v>
      </c>
      <c r="U79" s="190">
        <v>77869058.329999998</v>
      </c>
      <c r="V79" s="190">
        <v>81065220.969999999</v>
      </c>
      <c r="W79" s="190">
        <v>81065220.969999999</v>
      </c>
      <c r="X79" s="190">
        <v>81065220.969999999</v>
      </c>
      <c r="Y79" s="190">
        <v>81065220.969999999</v>
      </c>
      <c r="Z79" s="190">
        <v>64747519.039999999</v>
      </c>
      <c r="AA79" s="190">
        <v>64747519.039999999</v>
      </c>
      <c r="AB79" s="190">
        <v>64747519.039999999</v>
      </c>
      <c r="AC79" s="190">
        <v>64747519.039999999</v>
      </c>
      <c r="AD79" s="190">
        <v>49915442.770000003</v>
      </c>
      <c r="AE79" s="190">
        <v>49915442.770000003</v>
      </c>
      <c r="AF79" s="190">
        <v>49915442.770000003</v>
      </c>
      <c r="AG79" s="190">
        <v>49915442.770000003</v>
      </c>
      <c r="AH79" s="190">
        <v>44389335.990000002</v>
      </c>
      <c r="AI79" s="190">
        <v>44389335.990000002</v>
      </c>
      <c r="AJ79" s="190">
        <v>44389335.990000002</v>
      </c>
      <c r="AK79" s="190">
        <v>44389335.990000002</v>
      </c>
      <c r="AL79" s="190">
        <v>36680152.920000002</v>
      </c>
      <c r="AM79" s="190">
        <v>36680152.920000002</v>
      </c>
      <c r="AN79" s="190">
        <v>37078267.359999999</v>
      </c>
      <c r="AO79" s="190">
        <v>36680152.920000002</v>
      </c>
      <c r="AP79" s="190">
        <v>32614728.350000001</v>
      </c>
      <c r="AQ79" s="190">
        <v>32614728.350000001</v>
      </c>
      <c r="AR79" s="190">
        <v>32614728.350000001</v>
      </c>
      <c r="AS79" s="190">
        <v>32614728.350000001</v>
      </c>
      <c r="AT79" s="190">
        <v>29496952.43</v>
      </c>
      <c r="AU79" s="190">
        <v>29496952.43</v>
      </c>
      <c r="AV79" s="190">
        <v>29496952.43</v>
      </c>
      <c r="AW79" s="190">
        <v>26189383.899999999</v>
      </c>
      <c r="AX79" s="190">
        <v>22545128.420000002</v>
      </c>
      <c r="AY79" s="190">
        <v>22545128.420000002</v>
      </c>
      <c r="AZ79" s="190">
        <v>22545128.420000002</v>
      </c>
      <c r="BA79" s="190">
        <v>22545128.420000002</v>
      </c>
      <c r="BB79" s="190">
        <v>16274034.359999999</v>
      </c>
      <c r="BC79" s="190">
        <v>16274034.359999999</v>
      </c>
      <c r="BD79" s="190">
        <v>16274034.359999999</v>
      </c>
      <c r="BE79" s="190">
        <v>10493007.5</v>
      </c>
      <c r="BF79" s="190">
        <v>5221815.25</v>
      </c>
      <c r="BG79" s="190">
        <v>0</v>
      </c>
    </row>
    <row r="80" spans="1:59"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2115221.84</v>
      </c>
      <c r="P80" s="190">
        <v>2115221.84</v>
      </c>
      <c r="Q80" s="190">
        <v>2115221.84</v>
      </c>
      <c r="R80" s="190">
        <v>1003058.14</v>
      </c>
      <c r="S80" s="190">
        <v>1003058.14</v>
      </c>
      <c r="T80" s="190">
        <v>1003058.14</v>
      </c>
      <c r="U80" s="190">
        <v>1003058.14</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row>
    <row r="81" spans="1:59" x14ac:dyDescent="0.25">
      <c r="A81" s="190" t="s">
        <v>185</v>
      </c>
      <c r="B81" s="190">
        <v>1746190253.1900001</v>
      </c>
      <c r="C81" s="190">
        <v>1538442645.72</v>
      </c>
      <c r="D81" s="190">
        <v>1400587017.6800001</v>
      </c>
      <c r="E81" s="190">
        <v>1498909518.25</v>
      </c>
      <c r="F81" s="190">
        <v>1047718065.03</v>
      </c>
      <c r="G81" s="190">
        <v>860177465.91999996</v>
      </c>
      <c r="H81" s="190">
        <v>762186713.16999996</v>
      </c>
      <c r="I81" s="190">
        <v>867978788.34000003</v>
      </c>
      <c r="J81" s="190">
        <v>625528601.75999999</v>
      </c>
      <c r="K81" s="190">
        <v>507700408.41000003</v>
      </c>
      <c r="L81" s="190">
        <v>401083913.69</v>
      </c>
      <c r="M81" s="190">
        <v>530152490.18000001</v>
      </c>
      <c r="N81" s="190">
        <v>348821894.69999999</v>
      </c>
      <c r="O81" s="190">
        <v>18938058.329999998</v>
      </c>
      <c r="P81" s="190">
        <v>84468160.930000007</v>
      </c>
      <c r="Q81" s="190">
        <v>81465023.680000007</v>
      </c>
      <c r="R81" s="190">
        <v>73044166.540000007</v>
      </c>
      <c r="S81" s="190">
        <v>45169524.810000002</v>
      </c>
      <c r="T81" s="190">
        <v>49152997.460000001</v>
      </c>
      <c r="U81" s="190">
        <v>45100692.469999999</v>
      </c>
      <c r="V81" s="190">
        <v>102617063.22</v>
      </c>
      <c r="W81" s="190">
        <v>74846368.310000002</v>
      </c>
      <c r="X81" s="190">
        <v>115780770.42</v>
      </c>
      <c r="Y81" s="190">
        <v>110554963.19</v>
      </c>
      <c r="Z81" s="190">
        <v>104365210.81</v>
      </c>
      <c r="AA81" s="190">
        <v>76146276.060000002</v>
      </c>
      <c r="AB81" s="190">
        <v>94350579.209999993</v>
      </c>
      <c r="AC81" s="190">
        <v>88984907.069999993</v>
      </c>
      <c r="AD81" s="190">
        <v>76152789.579999998</v>
      </c>
      <c r="AE81" s="190">
        <v>52559084.469999999</v>
      </c>
      <c r="AF81" s="190">
        <v>57810579.07</v>
      </c>
      <c r="AG81" s="190">
        <v>53021781.399999999</v>
      </c>
      <c r="AH81" s="190">
        <v>51372191.899999999</v>
      </c>
      <c r="AI81" s="190">
        <v>40590527.740000002</v>
      </c>
      <c r="AJ81" s="190">
        <v>51786119.380000003</v>
      </c>
      <c r="AK81" s="190">
        <v>48334965.960000001</v>
      </c>
      <c r="AL81" s="190">
        <v>49736423.009999998</v>
      </c>
      <c r="AM81" s="190">
        <v>41172003.700000003</v>
      </c>
      <c r="AN81" s="190">
        <v>47387319.770000003</v>
      </c>
      <c r="AO81" s="190">
        <v>45186511.149999999</v>
      </c>
      <c r="AP81" s="190">
        <v>47100957.539999999</v>
      </c>
      <c r="AQ81" s="190">
        <v>39827300.369999997</v>
      </c>
      <c r="AR81" s="190">
        <v>38532613.390000001</v>
      </c>
      <c r="AS81" s="190">
        <v>36175812.649999999</v>
      </c>
      <c r="AT81" s="190">
        <v>35491967.979999997</v>
      </c>
      <c r="AU81" s="190">
        <v>20669473.32</v>
      </c>
      <c r="AV81" s="190">
        <v>33249579.82</v>
      </c>
      <c r="AW81" s="190">
        <v>32526706.300000001</v>
      </c>
      <c r="AX81" s="190">
        <v>30581938.989999998</v>
      </c>
      <c r="AY81" s="190">
        <v>15780506.23</v>
      </c>
      <c r="AZ81" s="190">
        <v>23389024.32</v>
      </c>
      <c r="BA81" s="190">
        <v>19678380.859999999</v>
      </c>
      <c r="BB81" s="190">
        <v>44188034.359999999</v>
      </c>
      <c r="BC81" s="190">
        <v>31488439.699999999</v>
      </c>
      <c r="BD81" s="190">
        <v>28395531.140000001</v>
      </c>
      <c r="BE81" s="190">
        <v>18137732.800000001</v>
      </c>
      <c r="BF81" s="190">
        <v>12349559.65</v>
      </c>
      <c r="BG81" s="190">
        <v>0</v>
      </c>
    </row>
    <row r="82" spans="1:59" x14ac:dyDescent="0.25">
      <c r="A82" s="190" t="s">
        <v>186</v>
      </c>
      <c r="B82" s="190">
        <v>6291445962.8999996</v>
      </c>
      <c r="C82" s="190">
        <v>6393185162.4700003</v>
      </c>
      <c r="D82" s="190">
        <v>6397789718.6000004</v>
      </c>
      <c r="E82" s="190">
        <v>6496527373.6199999</v>
      </c>
      <c r="F82" s="190">
        <v>3473544935.4099998</v>
      </c>
      <c r="G82" s="190">
        <v>3301788925.8000002</v>
      </c>
      <c r="H82" s="190">
        <v>3206825955.6300001</v>
      </c>
      <c r="I82" s="190">
        <v>3312629053.1599998</v>
      </c>
      <c r="J82" s="190">
        <v>3090599850.29</v>
      </c>
      <c r="K82" s="190">
        <v>3022759733.7600002</v>
      </c>
      <c r="L82" s="190">
        <v>2927499082.25</v>
      </c>
      <c r="M82" s="190">
        <v>3056391778.3299999</v>
      </c>
      <c r="N82" s="190">
        <v>2874517572.79</v>
      </c>
      <c r="O82" s="190">
        <v>378596192.45999998</v>
      </c>
      <c r="P82" s="190">
        <v>390302851.00999999</v>
      </c>
      <c r="Q82" s="190">
        <v>387299713.75999999</v>
      </c>
      <c r="R82" s="190">
        <v>376800959.98000002</v>
      </c>
      <c r="S82" s="190">
        <v>348926318.25</v>
      </c>
      <c r="T82" s="190">
        <v>352909790.89999998</v>
      </c>
      <c r="U82" s="190">
        <v>348857485.91000003</v>
      </c>
      <c r="V82" s="190">
        <v>408566961.16000003</v>
      </c>
      <c r="W82" s="190">
        <v>380796266.25</v>
      </c>
      <c r="X82" s="190">
        <v>421730668.36000001</v>
      </c>
      <c r="Y82" s="190">
        <v>416504861.13</v>
      </c>
      <c r="Z82" s="190">
        <v>394080134.29000002</v>
      </c>
      <c r="AA82" s="190">
        <v>365861199.54000002</v>
      </c>
      <c r="AB82" s="190">
        <v>384065502.69</v>
      </c>
      <c r="AC82" s="190">
        <v>378699830.55000001</v>
      </c>
      <c r="AD82" s="190">
        <v>351035636.79000002</v>
      </c>
      <c r="AE82" s="190">
        <v>327441931.68000001</v>
      </c>
      <c r="AF82" s="190">
        <v>332737522.57999998</v>
      </c>
      <c r="AG82" s="190">
        <v>327904628.61000001</v>
      </c>
      <c r="AH82" s="190">
        <v>320750854.31</v>
      </c>
      <c r="AI82" s="190">
        <v>309969190.14999998</v>
      </c>
      <c r="AJ82" s="190">
        <v>321164781.79000002</v>
      </c>
      <c r="AK82" s="190">
        <v>317713628.37</v>
      </c>
      <c r="AL82" s="190">
        <v>311428076.67000002</v>
      </c>
      <c r="AM82" s="190">
        <v>302863657.36000001</v>
      </c>
      <c r="AN82" s="190">
        <v>309477087.87</v>
      </c>
      <c r="AO82" s="190">
        <v>306878164.81</v>
      </c>
      <c r="AP82" s="190">
        <v>304727186.63</v>
      </c>
      <c r="AQ82" s="190">
        <v>297453529.45999998</v>
      </c>
      <c r="AR82" s="190">
        <v>296158842.48000002</v>
      </c>
      <c r="AS82" s="190">
        <v>293802041.74000001</v>
      </c>
      <c r="AT82" s="190">
        <v>290000421.14999998</v>
      </c>
      <c r="AU82" s="190">
        <v>275278307.56</v>
      </c>
      <c r="AV82" s="190">
        <v>287758032.99000001</v>
      </c>
      <c r="AW82" s="190">
        <v>283727590.94</v>
      </c>
      <c r="AX82" s="190">
        <v>278138568.14999998</v>
      </c>
      <c r="AY82" s="190">
        <v>263337135.38999999</v>
      </c>
      <c r="AZ82" s="190">
        <v>270945653.48000002</v>
      </c>
      <c r="BA82" s="190">
        <v>267235010.02000001</v>
      </c>
      <c r="BB82" s="190">
        <v>287132569.45999998</v>
      </c>
      <c r="BC82" s="190">
        <v>274432974.80000001</v>
      </c>
      <c r="BD82" s="190">
        <v>125026529.28</v>
      </c>
      <c r="BE82" s="190">
        <v>108657056.3</v>
      </c>
      <c r="BF82" s="190">
        <v>97571374.900000006</v>
      </c>
      <c r="BG82" s="190">
        <v>0</v>
      </c>
    </row>
    <row r="83" spans="1:59" x14ac:dyDescent="0.25">
      <c r="A83" s="190" t="s">
        <v>187</v>
      </c>
      <c r="B83" s="190">
        <v>622472300.13</v>
      </c>
      <c r="C83" s="190">
        <v>513671968.06999999</v>
      </c>
      <c r="D83" s="190">
        <v>410037385.25999999</v>
      </c>
      <c r="E83" s="190">
        <v>406344718.27999997</v>
      </c>
      <c r="F83" s="190">
        <v>365846301.70999998</v>
      </c>
      <c r="G83" s="190">
        <v>301471035.72000003</v>
      </c>
      <c r="H83" s="190">
        <v>270166356.33999997</v>
      </c>
      <c r="I83" s="190">
        <v>271295013.69</v>
      </c>
      <c r="J83" s="190">
        <v>245640115.03</v>
      </c>
      <c r="K83" s="190">
        <v>232441038.22999999</v>
      </c>
      <c r="L83" s="190">
        <v>181852240.66999999</v>
      </c>
      <c r="M83" s="190">
        <v>185136147.00999999</v>
      </c>
      <c r="N83" s="190">
        <v>77232555.810000002</v>
      </c>
      <c r="O83" s="190">
        <v>61707445.369999997</v>
      </c>
      <c r="P83" s="190">
        <v>62126269.539999999</v>
      </c>
      <c r="Q83" s="190">
        <v>60813267.640000001</v>
      </c>
      <c r="R83" s="190">
        <v>77069316.170000002</v>
      </c>
      <c r="S83" s="190">
        <v>77190074.120000005</v>
      </c>
      <c r="T83" s="190">
        <v>78440168.170000002</v>
      </c>
      <c r="U83" s="190">
        <v>77959305.530000001</v>
      </c>
      <c r="V83" s="190">
        <v>69247681.459999993</v>
      </c>
      <c r="W83" s="190">
        <v>70065995.609999999</v>
      </c>
      <c r="X83" s="190">
        <v>71263551.370000005</v>
      </c>
      <c r="Y83" s="190">
        <v>71729358.010000005</v>
      </c>
      <c r="Z83" s="190">
        <v>14355087.25</v>
      </c>
      <c r="AA83" s="190">
        <v>14766189.810000001</v>
      </c>
      <c r="AB83" s="190">
        <v>16466984.74</v>
      </c>
      <c r="AC83" s="190">
        <v>17185108.809999999</v>
      </c>
      <c r="AD83" s="190">
        <v>18329897.18</v>
      </c>
      <c r="AE83" s="190">
        <v>18413405.719999999</v>
      </c>
      <c r="AF83" s="190">
        <v>20080994.66</v>
      </c>
      <c r="AG83" s="190">
        <v>19717814.170000002</v>
      </c>
      <c r="AH83" s="190">
        <v>19521620.300000001</v>
      </c>
      <c r="AI83" s="190">
        <v>19267715.280000001</v>
      </c>
      <c r="AJ83" s="190">
        <v>21338186.739999998</v>
      </c>
      <c r="AK83" s="190">
        <v>20966016.57</v>
      </c>
      <c r="AL83" s="190">
        <v>22975141.649999999</v>
      </c>
      <c r="AM83" s="190">
        <v>22807269.960000001</v>
      </c>
      <c r="AN83" s="190">
        <v>24037232.670000002</v>
      </c>
      <c r="AO83" s="190">
        <v>23802912.91</v>
      </c>
      <c r="AP83" s="190">
        <v>23310017.530000001</v>
      </c>
      <c r="AQ83" s="190">
        <v>24815652.280000001</v>
      </c>
      <c r="AR83" s="190">
        <v>23712720.969999999</v>
      </c>
      <c r="AS83" s="190">
        <v>23191575.800000001</v>
      </c>
      <c r="AT83" s="190">
        <v>21675045.98</v>
      </c>
      <c r="AU83" s="190">
        <v>21293168.48</v>
      </c>
      <c r="AV83" s="190">
        <v>22411361.550000001</v>
      </c>
      <c r="AW83" s="190">
        <v>22026422.030000001</v>
      </c>
      <c r="AX83" s="190">
        <v>21853687.039999999</v>
      </c>
      <c r="AY83" s="190">
        <v>20826257.949999999</v>
      </c>
      <c r="AZ83" s="190">
        <v>23843523.350000001</v>
      </c>
      <c r="BA83" s="190">
        <v>23859570.48</v>
      </c>
      <c r="BB83" s="190">
        <v>25103012.460000001</v>
      </c>
      <c r="BC83" s="190">
        <v>24467988.379999999</v>
      </c>
      <c r="BD83" s="190">
        <v>26782921.43</v>
      </c>
      <c r="BE83" s="190">
        <v>36488706.530000001</v>
      </c>
      <c r="BF83" s="190">
        <v>29213843.800000001</v>
      </c>
      <c r="BG83" s="190">
        <v>0</v>
      </c>
    </row>
    <row r="84" spans="1:59" x14ac:dyDescent="0.25">
      <c r="A84" s="190" t="s">
        <v>188</v>
      </c>
      <c r="B84" s="190">
        <v>6913918263.0299997</v>
      </c>
      <c r="C84" s="190">
        <v>6906857130.54</v>
      </c>
      <c r="D84" s="190">
        <v>6807827103.8599997</v>
      </c>
      <c r="E84" s="190">
        <v>6902872091.8999996</v>
      </c>
      <c r="F84" s="190">
        <v>3839391237.1199999</v>
      </c>
      <c r="G84" s="190">
        <v>3603259961.52</v>
      </c>
      <c r="H84" s="190">
        <v>3476992311.9699998</v>
      </c>
      <c r="I84" s="190">
        <v>3583924066.8499999</v>
      </c>
      <c r="J84" s="190">
        <v>3336239965.3200002</v>
      </c>
      <c r="K84" s="190">
        <v>3255200771.9899998</v>
      </c>
      <c r="L84" s="190">
        <v>3109351322.9200001</v>
      </c>
      <c r="M84" s="190">
        <v>3241527925.3400002</v>
      </c>
      <c r="N84" s="190">
        <v>2951750128.5999999</v>
      </c>
      <c r="O84" s="190">
        <v>440303637.82999998</v>
      </c>
      <c r="P84" s="190">
        <v>452429120.55000001</v>
      </c>
      <c r="Q84" s="190">
        <v>448112981.39999998</v>
      </c>
      <c r="R84" s="190">
        <v>453870276.14999998</v>
      </c>
      <c r="S84" s="190">
        <v>426116392.37</v>
      </c>
      <c r="T84" s="190">
        <v>431349959.06999999</v>
      </c>
      <c r="U84" s="190">
        <v>426816791.44</v>
      </c>
      <c r="V84" s="190">
        <v>477814642.62</v>
      </c>
      <c r="W84" s="190">
        <v>450862261.86000001</v>
      </c>
      <c r="X84" s="190">
        <v>492994219.73000002</v>
      </c>
      <c r="Y84" s="190">
        <v>488234219.13999999</v>
      </c>
      <c r="Z84" s="190">
        <v>408435221.54000002</v>
      </c>
      <c r="AA84" s="190">
        <v>380627389.35000002</v>
      </c>
      <c r="AB84" s="190">
        <v>400532487.43000001</v>
      </c>
      <c r="AC84" s="190">
        <v>395884939.36000001</v>
      </c>
      <c r="AD84" s="190">
        <v>369365533.97000003</v>
      </c>
      <c r="AE84" s="190">
        <v>345855337.39999998</v>
      </c>
      <c r="AF84" s="190">
        <v>352818517.24000001</v>
      </c>
      <c r="AG84" s="190">
        <v>347622442.77999997</v>
      </c>
      <c r="AH84" s="190">
        <v>340272474.61000001</v>
      </c>
      <c r="AI84" s="190">
        <v>329236905.43000001</v>
      </c>
      <c r="AJ84" s="190">
        <v>342502968.52999997</v>
      </c>
      <c r="AK84" s="190">
        <v>338679644.94</v>
      </c>
      <c r="AL84" s="190">
        <v>334403218.31999999</v>
      </c>
      <c r="AM84" s="190">
        <v>325670927.31999999</v>
      </c>
      <c r="AN84" s="190">
        <v>333514320.54000002</v>
      </c>
      <c r="AO84" s="190">
        <v>330681077.72000003</v>
      </c>
      <c r="AP84" s="190">
        <v>328037204.16000003</v>
      </c>
      <c r="AQ84" s="190">
        <v>322269181.74000001</v>
      </c>
      <c r="AR84" s="190">
        <v>319871563.44999999</v>
      </c>
      <c r="AS84" s="190">
        <v>316993617.54000002</v>
      </c>
      <c r="AT84" s="190">
        <v>311675467.13</v>
      </c>
      <c r="AU84" s="190">
        <v>296571476.04000002</v>
      </c>
      <c r="AV84" s="190">
        <v>310169394.54000002</v>
      </c>
      <c r="AW84" s="190">
        <v>305754012.97000003</v>
      </c>
      <c r="AX84" s="190">
        <v>299992255.19</v>
      </c>
      <c r="AY84" s="190">
        <v>284163393.33999997</v>
      </c>
      <c r="AZ84" s="190">
        <v>294789176.82999998</v>
      </c>
      <c r="BA84" s="190">
        <v>291094580.5</v>
      </c>
      <c r="BB84" s="190">
        <v>312235581.92000002</v>
      </c>
      <c r="BC84" s="190">
        <v>298900963.18000001</v>
      </c>
      <c r="BD84" s="190">
        <v>151809450.71000001</v>
      </c>
      <c r="BE84" s="190">
        <v>145145762.83000001</v>
      </c>
      <c r="BF84" s="190">
        <v>126785218.7</v>
      </c>
      <c r="BG84" s="190">
        <v>0</v>
      </c>
    </row>
    <row r="85" spans="1:59" x14ac:dyDescent="0.25">
      <c r="A85" s="190" t="s">
        <v>189</v>
      </c>
      <c r="B85" s="190">
        <v>15132373977.190001</v>
      </c>
      <c r="C85" s="190">
        <v>14641120197.219999</v>
      </c>
      <c r="D85" s="190">
        <v>12755072036.49</v>
      </c>
      <c r="E85" s="190">
        <v>12479473500.35</v>
      </c>
      <c r="F85" s="190">
        <v>8082026926.54</v>
      </c>
      <c r="G85" s="190">
        <v>7372278735.0200005</v>
      </c>
      <c r="H85" s="190">
        <v>6191304943.9099998</v>
      </c>
      <c r="I85" s="190">
        <v>5989617090.6700001</v>
      </c>
      <c r="J85" s="190">
        <v>5314042164.6199999</v>
      </c>
      <c r="K85" s="190">
        <v>4683815809.3400002</v>
      </c>
      <c r="L85" s="190">
        <v>4381213442.4700003</v>
      </c>
      <c r="M85" s="190">
        <v>4480946459.9399996</v>
      </c>
      <c r="N85" s="190">
        <v>3930368786.1799998</v>
      </c>
      <c r="O85" s="190">
        <v>663617425.17999995</v>
      </c>
      <c r="P85" s="190">
        <v>584927517.67999995</v>
      </c>
      <c r="Q85" s="190">
        <v>683603868.38999999</v>
      </c>
      <c r="R85" s="190">
        <v>778786147.88</v>
      </c>
      <c r="S85" s="190">
        <v>741084238.91999996</v>
      </c>
      <c r="T85" s="190">
        <v>759329479.60000002</v>
      </c>
      <c r="U85" s="190">
        <v>759973212.87</v>
      </c>
      <c r="V85" s="190">
        <v>700516818.02999997</v>
      </c>
      <c r="W85" s="190">
        <v>661595884.70000005</v>
      </c>
      <c r="X85" s="190">
        <v>695125923.22000003</v>
      </c>
      <c r="Y85" s="190">
        <v>711867435.72000003</v>
      </c>
      <c r="Z85" s="190">
        <v>608555087.97000003</v>
      </c>
      <c r="AA85" s="190">
        <v>573357694.35000002</v>
      </c>
      <c r="AB85" s="190">
        <v>559291019.74000001</v>
      </c>
      <c r="AC85" s="190">
        <v>566441923.79999995</v>
      </c>
      <c r="AD85" s="190">
        <v>523388318.19</v>
      </c>
      <c r="AE85" s="190">
        <v>500085103.52999997</v>
      </c>
      <c r="AF85" s="190">
        <v>425260882.82999998</v>
      </c>
      <c r="AG85" s="190">
        <v>430142697.5</v>
      </c>
      <c r="AH85" s="190">
        <v>455372744.92000002</v>
      </c>
      <c r="AI85" s="190">
        <v>442696744.33999997</v>
      </c>
      <c r="AJ85" s="190">
        <v>436483382.06</v>
      </c>
      <c r="AK85" s="190">
        <v>447642559.64999998</v>
      </c>
      <c r="AL85" s="190">
        <v>453789293.95999998</v>
      </c>
      <c r="AM85" s="190">
        <v>444127133.31999999</v>
      </c>
      <c r="AN85" s="190">
        <v>411302185.81</v>
      </c>
      <c r="AO85" s="190">
        <v>408924835.13999999</v>
      </c>
      <c r="AP85" s="190">
        <v>412463507.41000003</v>
      </c>
      <c r="AQ85" s="190">
        <v>405838444.94</v>
      </c>
      <c r="AR85" s="190">
        <v>399375618.27999997</v>
      </c>
      <c r="AS85" s="190">
        <v>410220650.70999998</v>
      </c>
      <c r="AT85" s="190">
        <v>418287311.26999998</v>
      </c>
      <c r="AU85" s="190">
        <v>408741499.63999999</v>
      </c>
      <c r="AV85" s="190">
        <v>417781641.85000002</v>
      </c>
      <c r="AW85" s="190">
        <v>397313131.47000003</v>
      </c>
      <c r="AX85" s="190">
        <v>405000603.23000002</v>
      </c>
      <c r="AY85" s="190">
        <v>397248398.67000002</v>
      </c>
      <c r="AZ85" s="190">
        <v>402117561.81999999</v>
      </c>
      <c r="BA85" s="190">
        <v>379199547.42000002</v>
      </c>
      <c r="BB85" s="190">
        <v>420385314.88</v>
      </c>
      <c r="BC85" s="190">
        <v>414770007.68000001</v>
      </c>
      <c r="BD85" s="190">
        <v>276536234.45999998</v>
      </c>
      <c r="BE85" s="190">
        <v>240519238.91</v>
      </c>
      <c r="BF85" s="190">
        <v>191384544.12</v>
      </c>
      <c r="BG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J31"/>
  <sheetViews>
    <sheetView workbookViewId="0">
      <selection activeCell="A2" sqref="A2"/>
    </sheetView>
  </sheetViews>
  <sheetFormatPr defaultRowHeight="14.4" x14ac:dyDescent="0.25"/>
  <cols>
    <col min="1" max="1" width="39.109375" style="190" bestFit="1" customWidth="1"/>
    <col min="2" max="3" width="12.77734375" style="190" hidden="1" customWidth="1"/>
    <col min="4" max="4" width="13.88671875" style="190" hidden="1" customWidth="1"/>
    <col min="5" max="5" width="12.77734375" style="190" bestFit="1" customWidth="1"/>
    <col min="6" max="7" width="12.77734375" style="190" hidden="1" customWidth="1"/>
    <col min="8" max="8" width="13.88671875" style="190" hidden="1" customWidth="1"/>
    <col min="9" max="9" width="12.77734375" style="190" bestFit="1" customWidth="1"/>
    <col min="10" max="10" width="12.77734375" style="190" hidden="1" customWidth="1"/>
    <col min="11" max="12" width="13.886718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3.886718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59" width="12.77734375" style="190" hidden="1" customWidth="1"/>
    <col min="60" max="61" width="12.77734375" style="190" bestFit="1" customWidth="1"/>
    <col min="62" max="62" width="9.5546875" style="190" hidden="1" customWidth="1"/>
    <col min="63" max="16384" width="8.88671875" style="190"/>
  </cols>
  <sheetData>
    <row r="1" spans="1:62" x14ac:dyDescent="0.25">
      <c r="A1" s="190">
        <v>2044</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20031231</v>
      </c>
      <c r="BI1" s="190">
        <v>20021231</v>
      </c>
      <c r="BJ1" s="190">
        <v>19700101</v>
      </c>
    </row>
    <row r="2" spans="1:6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row>
    <row r="3" spans="1:62" x14ac:dyDescent="0.25">
      <c r="A3" s="190" t="s">
        <v>190</v>
      </c>
      <c r="B3" s="190">
        <v>5818693664.4200001</v>
      </c>
      <c r="C3" s="190">
        <v>3484839610.5900002</v>
      </c>
      <c r="D3" s="190">
        <v>1224913069.04</v>
      </c>
      <c r="E3" s="190">
        <v>6233050789.2700005</v>
      </c>
      <c r="F3" s="190">
        <v>2989216840.73</v>
      </c>
      <c r="G3" s="190">
        <v>1621362138.1800001</v>
      </c>
      <c r="H3" s="190">
        <v>554996254.27999997</v>
      </c>
      <c r="I3" s="190">
        <v>3081860748.46</v>
      </c>
      <c r="J3" s="190">
        <v>1882610155.46</v>
      </c>
      <c r="K3" s="190">
        <v>1042533326.38</v>
      </c>
      <c r="L3" s="190">
        <v>309009125.79000002</v>
      </c>
      <c r="M3" s="190">
        <v>2101482138.0899999</v>
      </c>
      <c r="N3" s="190">
        <v>1287716120.8399999</v>
      </c>
      <c r="O3" s="190">
        <v>243000932.12</v>
      </c>
      <c r="P3" s="190">
        <v>103093463.67</v>
      </c>
      <c r="Q3" s="190">
        <v>716060234.61000001</v>
      </c>
      <c r="R3" s="190">
        <v>513808009.31</v>
      </c>
      <c r="S3" s="190">
        <v>226679169.19999999</v>
      </c>
      <c r="T3" s="190">
        <v>84384146.780000001</v>
      </c>
      <c r="U3" s="190">
        <v>769233340.97000003</v>
      </c>
      <c r="V3" s="190">
        <v>505160617.19999999</v>
      </c>
      <c r="W3" s="190">
        <v>244045439.34</v>
      </c>
      <c r="X3" s="190">
        <v>124255763.25</v>
      </c>
      <c r="Y3" s="190">
        <v>691214660.60000002</v>
      </c>
      <c r="Z3" s="190">
        <v>479068814.31999999</v>
      </c>
      <c r="AA3" s="190">
        <v>247057637.74000001</v>
      </c>
      <c r="AB3" s="190">
        <v>129105048.27</v>
      </c>
      <c r="AC3" s="190">
        <v>776359138.99000001</v>
      </c>
      <c r="AD3" s="190">
        <v>579326555.54999995</v>
      </c>
      <c r="AE3" s="190">
        <v>304913961.62</v>
      </c>
      <c r="AF3" s="190">
        <v>129331362.36</v>
      </c>
      <c r="AG3" s="190">
        <v>554317044.60000002</v>
      </c>
      <c r="AH3" s="190">
        <v>356208895.57999998</v>
      </c>
      <c r="AI3" s="190">
        <v>184973928.56</v>
      </c>
      <c r="AJ3" s="190">
        <v>104299108.65000001</v>
      </c>
      <c r="AK3" s="190">
        <v>509839028.19</v>
      </c>
      <c r="AL3" s="190">
        <v>339390401.16000003</v>
      </c>
      <c r="AM3" s="190">
        <v>179720032.56</v>
      </c>
      <c r="AN3" s="190">
        <v>98918353.280000001</v>
      </c>
      <c r="AO3" s="190">
        <v>412981840.82999998</v>
      </c>
      <c r="AP3" s="190">
        <v>271774932.64999998</v>
      </c>
      <c r="AQ3" s="190">
        <v>163859513.34999999</v>
      </c>
      <c r="AR3" s="190">
        <v>83742016.219999999</v>
      </c>
      <c r="AS3" s="190">
        <v>566295103.17999995</v>
      </c>
      <c r="AT3" s="190">
        <v>419765060.01999998</v>
      </c>
      <c r="AU3" s="190">
        <v>242760630.49000001</v>
      </c>
      <c r="AV3" s="190">
        <v>125941160.89</v>
      </c>
      <c r="AW3" s="190">
        <v>593824099.46000004</v>
      </c>
      <c r="AX3" s="190">
        <v>439235650.68000001</v>
      </c>
      <c r="AY3" s="190">
        <v>287317133.20999998</v>
      </c>
      <c r="AZ3" s="190">
        <v>136790548.13</v>
      </c>
      <c r="BA3" s="190">
        <v>529133442.5</v>
      </c>
      <c r="BB3" s="190">
        <v>399964743</v>
      </c>
      <c r="BC3" s="190">
        <v>216043193.16</v>
      </c>
      <c r="BD3" s="190">
        <v>122965520.65000001</v>
      </c>
      <c r="BE3" s="190">
        <v>563946853.73000002</v>
      </c>
      <c r="BF3" s="190">
        <v>399399559.06999999</v>
      </c>
      <c r="BG3" s="190">
        <v>216779358.47999999</v>
      </c>
      <c r="BH3" s="190">
        <v>447530446.68000001</v>
      </c>
      <c r="BI3" s="190">
        <v>335665721.81999999</v>
      </c>
      <c r="BJ3" s="190">
        <v>0</v>
      </c>
    </row>
    <row r="4" spans="1:62" x14ac:dyDescent="0.25">
      <c r="A4" s="190" t="s">
        <v>191</v>
      </c>
      <c r="B4" s="190">
        <v>5818693664.4200001</v>
      </c>
      <c r="C4" s="190">
        <v>3484839610.5900002</v>
      </c>
      <c r="D4" s="190">
        <v>1224913069.04</v>
      </c>
      <c r="E4" s="190">
        <v>6233050789.2700005</v>
      </c>
      <c r="F4" s="190">
        <v>2989216840.73</v>
      </c>
      <c r="G4" s="190">
        <v>1621362138.1800001</v>
      </c>
      <c r="H4" s="190">
        <v>554996254.27999997</v>
      </c>
      <c r="I4" s="190">
        <v>3081860748.46</v>
      </c>
      <c r="J4" s="190">
        <v>1882610155.46</v>
      </c>
      <c r="K4" s="190">
        <v>1042533326.38</v>
      </c>
      <c r="L4" s="190">
        <v>309009125.79000002</v>
      </c>
      <c r="M4" s="190">
        <v>2101482138.0899999</v>
      </c>
      <c r="N4" s="190">
        <v>1287716120.8399999</v>
      </c>
      <c r="O4" s="190">
        <v>234402082.41999999</v>
      </c>
      <c r="P4" s="190">
        <v>98884258.989999995</v>
      </c>
      <c r="Q4" s="190">
        <v>696008522.04999995</v>
      </c>
      <c r="R4" s="190">
        <v>499824845.88</v>
      </c>
      <c r="S4" s="190">
        <v>218791842.91</v>
      </c>
      <c r="T4" s="190">
        <v>80628835.340000004</v>
      </c>
      <c r="U4" s="190">
        <v>758700415.60000002</v>
      </c>
      <c r="V4" s="190">
        <v>505160617.19999999</v>
      </c>
      <c r="W4" s="190">
        <v>244045439.34</v>
      </c>
      <c r="X4" s="190">
        <v>124255763.25</v>
      </c>
      <c r="Y4" s="190">
        <v>691214660.60000002</v>
      </c>
      <c r="Z4" s="190">
        <v>479068814.31999999</v>
      </c>
      <c r="AA4" s="190">
        <v>247057637.74000001</v>
      </c>
      <c r="AB4" s="190">
        <v>129105048.27</v>
      </c>
      <c r="AC4" s="190">
        <v>776359138.99000001</v>
      </c>
      <c r="AD4" s="190">
        <v>579326555.54999995</v>
      </c>
      <c r="AE4" s="190">
        <v>304913961.62</v>
      </c>
      <c r="AF4" s="190">
        <v>129331362.36</v>
      </c>
      <c r="AG4" s="190">
        <v>554317044.60000002</v>
      </c>
      <c r="AH4" s="190">
        <v>356208895.57999998</v>
      </c>
      <c r="AI4" s="190">
        <v>184973928.56</v>
      </c>
      <c r="AJ4" s="190">
        <v>104299108.65000001</v>
      </c>
      <c r="AK4" s="190">
        <v>509839028.19</v>
      </c>
      <c r="AL4" s="190">
        <v>339390401.16000003</v>
      </c>
      <c r="AM4" s="190">
        <v>179720032.56</v>
      </c>
      <c r="AN4" s="190">
        <v>98918353.280000001</v>
      </c>
      <c r="AO4" s="190">
        <v>412981840.82999998</v>
      </c>
      <c r="AP4" s="190">
        <v>271774932.64999998</v>
      </c>
      <c r="AQ4" s="190">
        <v>163859513.34999999</v>
      </c>
      <c r="AR4" s="190">
        <v>83742016.219999999</v>
      </c>
      <c r="AS4" s="190">
        <v>566295103.17999995</v>
      </c>
      <c r="AT4" s="190">
        <v>419765060.01999998</v>
      </c>
      <c r="AU4" s="190">
        <v>242760630.49000001</v>
      </c>
      <c r="AV4" s="190">
        <v>125941160.89</v>
      </c>
      <c r="AW4" s="190">
        <v>593824099.46000004</v>
      </c>
      <c r="AX4" s="190">
        <v>439235650.68000001</v>
      </c>
      <c r="AY4" s="190">
        <v>287317133.20999998</v>
      </c>
      <c r="AZ4" s="190">
        <v>136790548.13</v>
      </c>
      <c r="BA4" s="190">
        <v>528669895.29000002</v>
      </c>
      <c r="BB4" s="190">
        <v>399564767.79000002</v>
      </c>
      <c r="BC4" s="190">
        <v>215657508.13999999</v>
      </c>
      <c r="BD4" s="190">
        <v>122796213.84</v>
      </c>
      <c r="BE4" s="190">
        <v>563658847.70000005</v>
      </c>
      <c r="BF4" s="190">
        <v>398889793.47000003</v>
      </c>
      <c r="BG4" s="190">
        <v>216854594.63</v>
      </c>
      <c r="BH4" s="190">
        <v>446927130.95999998</v>
      </c>
      <c r="BI4" s="190">
        <v>335191928.19</v>
      </c>
      <c r="BJ4" s="190">
        <v>0</v>
      </c>
    </row>
    <row r="5" spans="1:62" x14ac:dyDescent="0.25">
      <c r="A5" s="190" t="s">
        <v>192</v>
      </c>
      <c r="B5" s="190">
        <v>5275394639.0900002</v>
      </c>
      <c r="C5" s="190">
        <v>3276085668.3000002</v>
      </c>
      <c r="D5" s="190">
        <v>1347181602.9200001</v>
      </c>
      <c r="E5" s="190">
        <v>5394235946.3500004</v>
      </c>
      <c r="F5" s="190">
        <v>2714258331.4099998</v>
      </c>
      <c r="G5" s="190">
        <v>1571700830.0899999</v>
      </c>
      <c r="H5" s="190">
        <v>676299524.04999995</v>
      </c>
      <c r="I5" s="190">
        <v>2622023323.96</v>
      </c>
      <c r="J5" s="190">
        <v>1743772154.28</v>
      </c>
      <c r="K5" s="190">
        <v>1070702621.78</v>
      </c>
      <c r="L5" s="190">
        <v>477945188.10000002</v>
      </c>
      <c r="M5" s="190">
        <v>1797357013.72</v>
      </c>
      <c r="N5" s="190">
        <v>1231627161.48</v>
      </c>
      <c r="O5" s="190">
        <v>230471970.78</v>
      </c>
      <c r="P5" s="190">
        <v>97430370.930000007</v>
      </c>
      <c r="Q5" s="190">
        <v>649267625.96000004</v>
      </c>
      <c r="R5" s="190">
        <v>443517315.94</v>
      </c>
      <c r="S5" s="190">
        <v>210710470.13</v>
      </c>
      <c r="T5" s="190">
        <v>78181388.310000002</v>
      </c>
      <c r="U5" s="190">
        <v>787841819.37</v>
      </c>
      <c r="V5" s="190">
        <v>454760984.48000002</v>
      </c>
      <c r="W5" s="190">
        <v>230957096.06999999</v>
      </c>
      <c r="X5" s="190">
        <v>117617181.66</v>
      </c>
      <c r="Y5" s="190">
        <v>609642689.51999998</v>
      </c>
      <c r="Z5" s="190">
        <v>428584892.49000001</v>
      </c>
      <c r="AA5" s="190">
        <v>233692878.88</v>
      </c>
      <c r="AB5" s="190">
        <v>121756199.13</v>
      </c>
      <c r="AC5" s="190">
        <v>698699467.74000001</v>
      </c>
      <c r="AD5" s="190">
        <v>536796692.31999999</v>
      </c>
      <c r="AE5" s="190">
        <v>294271757.13</v>
      </c>
      <c r="AF5" s="190">
        <v>123158366.05</v>
      </c>
      <c r="AG5" s="190">
        <v>522118400.20999998</v>
      </c>
      <c r="AH5" s="190">
        <v>334090614.42000002</v>
      </c>
      <c r="AI5" s="190">
        <v>177658505.40000001</v>
      </c>
      <c r="AJ5" s="190">
        <v>99272549.099999994</v>
      </c>
      <c r="AK5" s="190">
        <v>482175193.43000001</v>
      </c>
      <c r="AL5" s="190">
        <v>322024675.42000002</v>
      </c>
      <c r="AM5" s="190">
        <v>173842896.13999999</v>
      </c>
      <c r="AN5" s="190">
        <v>94667280.780000001</v>
      </c>
      <c r="AO5" s="190">
        <v>395821571.55000001</v>
      </c>
      <c r="AP5" s="190">
        <v>255617184.94999999</v>
      </c>
      <c r="AQ5" s="190">
        <v>158738602.25</v>
      </c>
      <c r="AR5" s="190">
        <v>80507582.989999995</v>
      </c>
      <c r="AS5" s="190">
        <v>535870181.00999999</v>
      </c>
      <c r="AT5" s="190">
        <v>394222234.12</v>
      </c>
      <c r="AU5" s="190">
        <v>234843813.44</v>
      </c>
      <c r="AV5" s="190">
        <v>120080253.67</v>
      </c>
      <c r="AW5" s="190">
        <v>560332263.46000004</v>
      </c>
      <c r="AX5" s="190">
        <v>410987929.47000003</v>
      </c>
      <c r="AY5" s="190">
        <v>277854977.30000001</v>
      </c>
      <c r="AZ5" s="190">
        <v>132299824.28</v>
      </c>
      <c r="BA5" s="190">
        <v>499512373.49000001</v>
      </c>
      <c r="BB5" s="190">
        <v>378860258.11000001</v>
      </c>
      <c r="BC5" s="190">
        <v>211038272.12</v>
      </c>
      <c r="BD5" s="190">
        <v>119697076.39</v>
      </c>
      <c r="BE5" s="190">
        <v>535116374.27999997</v>
      </c>
      <c r="BF5" s="190">
        <v>380829386.85000002</v>
      </c>
      <c r="BG5" s="190">
        <v>212598785.5</v>
      </c>
      <c r="BH5" s="190">
        <v>418722890.56</v>
      </c>
      <c r="BI5" s="190">
        <v>312836116.25</v>
      </c>
      <c r="BJ5" s="190">
        <v>0</v>
      </c>
    </row>
    <row r="6" spans="1:62" x14ac:dyDescent="0.25">
      <c r="A6" s="190" t="s">
        <v>193</v>
      </c>
      <c r="B6" s="190">
        <v>3122430746.2199998</v>
      </c>
      <c r="C6" s="190">
        <v>1927203388.5</v>
      </c>
      <c r="D6" s="190">
        <v>824311041.36000001</v>
      </c>
      <c r="E6" s="190">
        <v>3305842153.46</v>
      </c>
      <c r="F6" s="190">
        <v>1607703653.8599999</v>
      </c>
      <c r="G6" s="190">
        <v>912262660.67999995</v>
      </c>
      <c r="H6" s="190">
        <v>403895644.81</v>
      </c>
      <c r="I6" s="190">
        <v>1593099881.1400001</v>
      </c>
      <c r="J6" s="190">
        <v>1054987145.26</v>
      </c>
      <c r="K6" s="190">
        <v>645996106.79999995</v>
      </c>
      <c r="L6" s="190">
        <v>287994101.57999998</v>
      </c>
      <c r="M6" s="190">
        <v>1093803294.7</v>
      </c>
      <c r="N6" s="190">
        <v>735007941.15999997</v>
      </c>
      <c r="O6" s="190">
        <v>203239821.19</v>
      </c>
      <c r="P6" s="190">
        <v>85021682.310000002</v>
      </c>
      <c r="Q6" s="190">
        <v>556375832.12</v>
      </c>
      <c r="R6" s="190">
        <v>390693544.98000002</v>
      </c>
      <c r="S6" s="190">
        <v>180750310.22</v>
      </c>
      <c r="T6" s="190">
        <v>65873397.520000003</v>
      </c>
      <c r="U6" s="190">
        <v>624264230.88999999</v>
      </c>
      <c r="V6" s="190">
        <v>411752426.16000003</v>
      </c>
      <c r="W6" s="190">
        <v>204748056.61000001</v>
      </c>
      <c r="X6" s="190">
        <v>105999396.81999999</v>
      </c>
      <c r="Y6" s="190">
        <v>552430922.80999994</v>
      </c>
      <c r="Z6" s="190">
        <v>392694832.89999998</v>
      </c>
      <c r="AA6" s="190">
        <v>209481156.28999999</v>
      </c>
      <c r="AB6" s="190">
        <v>108166229.47</v>
      </c>
      <c r="AC6" s="190">
        <v>643419400.03999996</v>
      </c>
      <c r="AD6" s="190">
        <v>499522077.79000002</v>
      </c>
      <c r="AE6" s="190">
        <v>270291582.54000002</v>
      </c>
      <c r="AF6" s="190">
        <v>113183634.31</v>
      </c>
      <c r="AG6" s="190">
        <v>487245059.11000001</v>
      </c>
      <c r="AH6" s="190">
        <v>309240439.19</v>
      </c>
      <c r="AI6" s="190">
        <v>161559143.69999999</v>
      </c>
      <c r="AJ6" s="190">
        <v>92342805.459999993</v>
      </c>
      <c r="AK6" s="190">
        <v>439583068.93000001</v>
      </c>
      <c r="AL6" s="190">
        <v>300397846.06999999</v>
      </c>
      <c r="AM6" s="190">
        <v>159877295.71000001</v>
      </c>
      <c r="AN6" s="190">
        <v>89069045.790000007</v>
      </c>
      <c r="AO6" s="190">
        <v>365088505.76999998</v>
      </c>
      <c r="AP6" s="190">
        <v>236760445.34999999</v>
      </c>
      <c r="AQ6" s="190">
        <v>147704653.58000001</v>
      </c>
      <c r="AR6" s="190">
        <v>76475808.640000001</v>
      </c>
      <c r="AS6" s="190">
        <v>501552367.08999997</v>
      </c>
      <c r="AT6" s="190">
        <v>370580841.50999999</v>
      </c>
      <c r="AU6" s="190">
        <v>219786798.90000001</v>
      </c>
      <c r="AV6" s="190">
        <v>112239155.43000001</v>
      </c>
      <c r="AW6" s="190">
        <v>525457022.52999997</v>
      </c>
      <c r="AX6" s="190">
        <v>383078442.14999998</v>
      </c>
      <c r="AY6" s="190">
        <v>258654230.25</v>
      </c>
      <c r="AZ6" s="190">
        <v>120869082.25</v>
      </c>
      <c r="BA6" s="190">
        <v>451775599.12</v>
      </c>
      <c r="BB6" s="190">
        <v>342468923.31</v>
      </c>
      <c r="BC6" s="190">
        <v>186594625.97</v>
      </c>
      <c r="BD6" s="190">
        <v>106630749.14</v>
      </c>
      <c r="BE6" s="190">
        <v>493558949.17000002</v>
      </c>
      <c r="BF6" s="190">
        <v>353278186.13999999</v>
      </c>
      <c r="BG6" s="190">
        <v>195848178.13999999</v>
      </c>
      <c r="BH6" s="190">
        <v>380728387.19</v>
      </c>
      <c r="BI6" s="190">
        <v>286706185.30000001</v>
      </c>
      <c r="BJ6" s="190">
        <v>0</v>
      </c>
    </row>
    <row r="7" spans="1:62" x14ac:dyDescent="0.25">
      <c r="A7" s="190" t="s">
        <v>194</v>
      </c>
      <c r="B7" s="190">
        <v>6396947.4299999997</v>
      </c>
      <c r="C7" s="190">
        <v>2769239.1</v>
      </c>
      <c r="D7" s="190">
        <v>581615.12</v>
      </c>
      <c r="E7" s="190">
        <v>7779361.5499999998</v>
      </c>
      <c r="F7" s="190">
        <v>609410.35</v>
      </c>
      <c r="G7" s="190">
        <v>289899.03999999998</v>
      </c>
      <c r="H7" s="190">
        <v>44951.11</v>
      </c>
      <c r="I7" s="190">
        <v>815109.12</v>
      </c>
      <c r="J7" s="190">
        <v>216155.37</v>
      </c>
      <c r="K7" s="190">
        <v>123487</v>
      </c>
      <c r="L7" s="190">
        <v>53201.64</v>
      </c>
      <c r="M7" s="190">
        <v>2354162.14</v>
      </c>
      <c r="N7" s="190">
        <v>655348.03</v>
      </c>
      <c r="O7" s="190">
        <v>2024948.34</v>
      </c>
      <c r="P7" s="190">
        <v>1401204.46</v>
      </c>
      <c r="Q7" s="190">
        <v>5794018.9400000004</v>
      </c>
      <c r="R7" s="190">
        <v>2923435.89</v>
      </c>
      <c r="S7" s="190">
        <v>2361889.4300000002</v>
      </c>
      <c r="T7" s="190">
        <v>2018220.45</v>
      </c>
      <c r="U7" s="190">
        <v>4530749.54</v>
      </c>
      <c r="V7" s="190">
        <v>1679468.93</v>
      </c>
      <c r="W7" s="190">
        <v>1661713.03</v>
      </c>
      <c r="X7" s="190">
        <v>1042669.28</v>
      </c>
      <c r="Y7" s="190">
        <v>4857444.91</v>
      </c>
      <c r="Z7" s="190">
        <v>3130687.74</v>
      </c>
      <c r="AA7" s="190">
        <v>2569636.8199999998</v>
      </c>
      <c r="AB7" s="190">
        <v>1948066.91</v>
      </c>
      <c r="AC7" s="190">
        <v>3136069.67</v>
      </c>
      <c r="AD7" s="190">
        <v>1478208</v>
      </c>
      <c r="AE7" s="190">
        <v>1290432.23</v>
      </c>
      <c r="AF7" s="190">
        <v>373720.48</v>
      </c>
      <c r="AG7" s="190">
        <v>824735.49</v>
      </c>
      <c r="AH7" s="190">
        <v>545994.86</v>
      </c>
      <c r="AI7" s="190">
        <v>536286.68000000005</v>
      </c>
      <c r="AJ7" s="190">
        <v>155584.76999999999</v>
      </c>
      <c r="AK7" s="190">
        <v>555155.07999999996</v>
      </c>
      <c r="AL7" s="190">
        <v>435891.13</v>
      </c>
      <c r="AM7" s="190">
        <v>220558.07999999999</v>
      </c>
      <c r="AN7" s="190">
        <v>127518.08</v>
      </c>
      <c r="AO7" s="190">
        <v>796320.63</v>
      </c>
      <c r="AP7" s="190">
        <v>574148.56000000006</v>
      </c>
      <c r="AQ7" s="190">
        <v>440939.33</v>
      </c>
      <c r="AR7" s="190">
        <v>340998.51</v>
      </c>
      <c r="AS7" s="190">
        <v>893734.55</v>
      </c>
      <c r="AT7" s="190">
        <v>624953.15</v>
      </c>
      <c r="AU7" s="190">
        <v>373929.53</v>
      </c>
      <c r="AV7" s="190">
        <v>65319.26</v>
      </c>
      <c r="AW7" s="190">
        <v>1130422.42</v>
      </c>
      <c r="AX7" s="190">
        <v>618176.18000000005</v>
      </c>
      <c r="AY7" s="190">
        <v>449690.21</v>
      </c>
      <c r="AZ7" s="190">
        <v>107520.55</v>
      </c>
      <c r="BA7" s="190">
        <v>488426.56</v>
      </c>
      <c r="BB7" s="190">
        <v>322468.73</v>
      </c>
      <c r="BC7" s="190">
        <v>230764.04</v>
      </c>
      <c r="BD7" s="190">
        <v>149907.04</v>
      </c>
      <c r="BE7" s="190">
        <v>559071.49</v>
      </c>
      <c r="BF7" s="190">
        <v>360289.04</v>
      </c>
      <c r="BG7" s="190">
        <v>248176.14</v>
      </c>
      <c r="BH7" s="190">
        <v>441914.22</v>
      </c>
      <c r="BI7" s="190">
        <v>497665.04</v>
      </c>
      <c r="BJ7" s="190">
        <v>0</v>
      </c>
    </row>
    <row r="8" spans="1:62" x14ac:dyDescent="0.25">
      <c r="A8" s="190" t="s">
        <v>195</v>
      </c>
      <c r="B8" s="190">
        <v>1516097174.0899999</v>
      </c>
      <c r="C8" s="190">
        <v>967981799.66999996</v>
      </c>
      <c r="D8" s="190">
        <v>368262589.02999997</v>
      </c>
      <c r="E8" s="190">
        <v>1488121514.8800001</v>
      </c>
      <c r="F8" s="190">
        <v>787218730.94000006</v>
      </c>
      <c r="G8" s="190">
        <v>453550589.17000002</v>
      </c>
      <c r="H8" s="190">
        <v>185640586.59</v>
      </c>
      <c r="I8" s="190">
        <v>718023350.42999995</v>
      </c>
      <c r="J8" s="190">
        <v>497367843.00999999</v>
      </c>
      <c r="K8" s="190">
        <v>298292455.66000003</v>
      </c>
      <c r="L8" s="190">
        <v>123044101.31</v>
      </c>
      <c r="M8" s="190">
        <v>483963720.38999999</v>
      </c>
      <c r="N8" s="190">
        <v>342368671.48000002</v>
      </c>
      <c r="O8" s="190">
        <v>3174807.23</v>
      </c>
      <c r="P8" s="190">
        <v>1657360.64</v>
      </c>
      <c r="Q8" s="190">
        <v>10790437.960000001</v>
      </c>
      <c r="R8" s="190">
        <v>6878197.2199999997</v>
      </c>
      <c r="S8" s="190">
        <v>3407029.8</v>
      </c>
      <c r="T8" s="190">
        <v>1578821.93</v>
      </c>
      <c r="U8" s="190">
        <v>10842038.74</v>
      </c>
      <c r="V8" s="190">
        <v>6755973.3399999999</v>
      </c>
      <c r="W8" s="190">
        <v>3993292.95</v>
      </c>
      <c r="X8" s="190">
        <v>2277423.2999999998</v>
      </c>
      <c r="Y8" s="190">
        <v>10121159.449999999</v>
      </c>
      <c r="Z8" s="190">
        <v>6886421.9699999997</v>
      </c>
      <c r="AA8" s="190">
        <v>4013467.36</v>
      </c>
      <c r="AB8" s="190">
        <v>2471837.4</v>
      </c>
      <c r="AC8" s="190">
        <v>10966096.58</v>
      </c>
      <c r="AD8" s="190">
        <v>7458358.6299999999</v>
      </c>
      <c r="AE8" s="190">
        <v>4805150.51</v>
      </c>
      <c r="AF8" s="190">
        <v>2180572.61</v>
      </c>
      <c r="AG8" s="190">
        <v>9161172.6699999999</v>
      </c>
      <c r="AH8" s="190">
        <v>6073507.0999999996</v>
      </c>
      <c r="AI8" s="190">
        <v>3573572.5</v>
      </c>
      <c r="AJ8" s="190">
        <v>2031097.27</v>
      </c>
      <c r="AK8" s="190">
        <v>9233460.9000000004</v>
      </c>
      <c r="AL8" s="190">
        <v>5424458.4500000002</v>
      </c>
      <c r="AM8" s="190">
        <v>3418431.18</v>
      </c>
      <c r="AN8" s="190">
        <v>1467674.65</v>
      </c>
      <c r="AO8" s="190">
        <v>6606826.7400000002</v>
      </c>
      <c r="AP8" s="190">
        <v>4537138.16</v>
      </c>
      <c r="AQ8" s="190">
        <v>2908525.41</v>
      </c>
      <c r="AR8" s="190">
        <v>1178748.47</v>
      </c>
      <c r="AS8" s="190">
        <v>9146015.4499999993</v>
      </c>
      <c r="AT8" s="190">
        <v>7107999.21</v>
      </c>
      <c r="AU8" s="190">
        <v>4730788.82</v>
      </c>
      <c r="AV8" s="190">
        <v>3323357.19</v>
      </c>
      <c r="AW8" s="190">
        <v>8759969.5700000003</v>
      </c>
      <c r="AX8" s="190">
        <v>7647869.71</v>
      </c>
      <c r="AY8" s="190">
        <v>5471102.8799999999</v>
      </c>
      <c r="AZ8" s="190">
        <v>3569133.41</v>
      </c>
      <c r="BA8" s="190">
        <v>9783034.9000000004</v>
      </c>
      <c r="BB8" s="190">
        <v>7308959.0499999998</v>
      </c>
      <c r="BC8" s="190">
        <v>5731423.1500000004</v>
      </c>
      <c r="BD8" s="190">
        <v>4832341.4000000004</v>
      </c>
      <c r="BE8" s="190">
        <v>9200229.9100000001</v>
      </c>
      <c r="BF8" s="190">
        <v>5753790.2999999998</v>
      </c>
      <c r="BG8" s="190">
        <v>3010235.19</v>
      </c>
      <c r="BH8" s="190">
        <v>6748485.5899999999</v>
      </c>
      <c r="BI8" s="190">
        <v>3028378.55</v>
      </c>
      <c r="BJ8" s="190">
        <v>0</v>
      </c>
    </row>
    <row r="9" spans="1:62" x14ac:dyDescent="0.25">
      <c r="A9" s="190" t="s">
        <v>196</v>
      </c>
      <c r="B9" s="190">
        <v>419210235.45999998</v>
      </c>
      <c r="C9" s="190">
        <v>268013048.78999999</v>
      </c>
      <c r="D9" s="190">
        <v>119612618.59</v>
      </c>
      <c r="E9" s="190">
        <v>463538394.62</v>
      </c>
      <c r="F9" s="190">
        <v>234548046.56999999</v>
      </c>
      <c r="G9" s="190">
        <v>153887803.25999999</v>
      </c>
      <c r="H9" s="190">
        <v>69031923.219999999</v>
      </c>
      <c r="I9" s="190">
        <v>263725741.44</v>
      </c>
      <c r="J9" s="190">
        <v>164162372.47</v>
      </c>
      <c r="K9" s="190">
        <v>109973147.16</v>
      </c>
      <c r="L9" s="190">
        <v>59134578.759999998</v>
      </c>
      <c r="M9" s="190">
        <v>195338730.59</v>
      </c>
      <c r="N9" s="190">
        <v>140259560.37</v>
      </c>
      <c r="O9" s="190">
        <v>20015563.760000002</v>
      </c>
      <c r="P9" s="190">
        <v>10229813.67</v>
      </c>
      <c r="Q9" s="190">
        <v>50180749.780000001</v>
      </c>
      <c r="R9" s="190">
        <v>31861827.140000001</v>
      </c>
      <c r="S9" s="190">
        <v>19844144.109999999</v>
      </c>
      <c r="T9" s="190">
        <v>9316399.4800000004</v>
      </c>
      <c r="U9" s="190">
        <v>44008332.509999998</v>
      </c>
      <c r="V9" s="190">
        <v>27631818.120000001</v>
      </c>
      <c r="W9" s="190">
        <v>17190247.170000002</v>
      </c>
      <c r="X9" s="190">
        <v>8164594.46</v>
      </c>
      <c r="Y9" s="190">
        <v>37359226.710000001</v>
      </c>
      <c r="Z9" s="190">
        <v>26415311.77</v>
      </c>
      <c r="AA9" s="190">
        <v>16833217.43</v>
      </c>
      <c r="AB9" s="190">
        <v>8895081.2400000002</v>
      </c>
      <c r="AC9" s="190">
        <v>35708982.93</v>
      </c>
      <c r="AD9" s="190">
        <v>22334122.620000001</v>
      </c>
      <c r="AE9" s="190">
        <v>14047428.210000001</v>
      </c>
      <c r="AF9" s="190">
        <v>6686464.3700000001</v>
      </c>
      <c r="AG9" s="190">
        <v>26126420.640000001</v>
      </c>
      <c r="AH9" s="190">
        <v>18827237.800000001</v>
      </c>
      <c r="AI9" s="190">
        <v>13329673.050000001</v>
      </c>
      <c r="AJ9" s="190">
        <v>7472893.1500000004</v>
      </c>
      <c r="AK9" s="190">
        <v>35014157.420000002</v>
      </c>
      <c r="AL9" s="190">
        <v>20352361.289999999</v>
      </c>
      <c r="AM9" s="190">
        <v>13794834.4</v>
      </c>
      <c r="AN9" s="190">
        <v>6731794.2599999998</v>
      </c>
      <c r="AO9" s="190">
        <v>24880534.25</v>
      </c>
      <c r="AP9" s="190">
        <v>15647808.710000001</v>
      </c>
      <c r="AQ9" s="190">
        <v>10731399.140000001</v>
      </c>
      <c r="AR9" s="190">
        <v>5361907.88</v>
      </c>
      <c r="AS9" s="190">
        <v>23769539.98</v>
      </c>
      <c r="AT9" s="190">
        <v>17280211.280000001</v>
      </c>
      <c r="AU9" s="190">
        <v>11657931.970000001</v>
      </c>
      <c r="AV9" s="190">
        <v>6116957.6200000001</v>
      </c>
      <c r="AW9" s="190">
        <v>23896954.370000001</v>
      </c>
      <c r="AX9" s="190">
        <v>18713339.670000002</v>
      </c>
      <c r="AY9" s="190">
        <v>12501660.880000001</v>
      </c>
      <c r="AZ9" s="190">
        <v>6415014.8200000003</v>
      </c>
      <c r="BA9" s="190">
        <v>38104606.450000003</v>
      </c>
      <c r="BB9" s="190">
        <v>28683922.649999999</v>
      </c>
      <c r="BC9" s="190">
        <v>18607387.100000001</v>
      </c>
      <c r="BD9" s="190">
        <v>8052727.5</v>
      </c>
      <c r="BE9" s="190">
        <v>31376172.039999999</v>
      </c>
      <c r="BF9" s="190">
        <v>21094998.489999998</v>
      </c>
      <c r="BG9" s="190">
        <v>13283840.18</v>
      </c>
      <c r="BH9" s="190">
        <v>31129663.550000001</v>
      </c>
      <c r="BI9" s="190">
        <v>25821544.140000001</v>
      </c>
      <c r="BJ9" s="190">
        <v>0</v>
      </c>
    </row>
    <row r="10" spans="1:62" x14ac:dyDescent="0.25">
      <c r="A10" s="190" t="s">
        <v>197</v>
      </c>
      <c r="B10" s="190">
        <v>180445889.94</v>
      </c>
      <c r="C10" s="190">
        <v>105112062.16</v>
      </c>
      <c r="D10" s="190">
        <v>37780017.130000003</v>
      </c>
      <c r="E10" s="190">
        <v>111200771.66</v>
      </c>
      <c r="F10" s="190">
        <v>73797575.680000007</v>
      </c>
      <c r="G10" s="190">
        <v>42657297.43</v>
      </c>
      <c r="H10" s="190">
        <v>17209558.579999998</v>
      </c>
      <c r="I10" s="190">
        <v>40329097.539999999</v>
      </c>
      <c r="J10" s="190">
        <v>25351333.91</v>
      </c>
      <c r="K10" s="190">
        <v>14907425.34</v>
      </c>
      <c r="L10" s="190">
        <v>7565905.5</v>
      </c>
      <c r="M10" s="190">
        <v>19881250.48</v>
      </c>
      <c r="N10" s="190">
        <v>12893072.82</v>
      </c>
      <c r="O10" s="190">
        <v>-281452.78999999998</v>
      </c>
      <c r="P10" s="190">
        <v>-642825.49</v>
      </c>
      <c r="Q10" s="190">
        <v>8098209.2599999998</v>
      </c>
      <c r="R10" s="190">
        <v>7471299.8799999999</v>
      </c>
      <c r="S10" s="190">
        <v>4978252.42</v>
      </c>
      <c r="T10" s="190">
        <v>1930917.85</v>
      </c>
      <c r="U10" s="190">
        <v>11548955.9</v>
      </c>
      <c r="V10" s="190">
        <v>7019567.71</v>
      </c>
      <c r="W10" s="190">
        <v>5712580.5099999998</v>
      </c>
      <c r="X10" s="190">
        <v>1741811.86</v>
      </c>
      <c r="Y10" s="190">
        <v>918550.34</v>
      </c>
      <c r="Z10" s="190">
        <v>-1746780.08</v>
      </c>
      <c r="AA10" s="190">
        <v>-1074299.42</v>
      </c>
      <c r="AB10" s="190">
        <v>-689278.59</v>
      </c>
      <c r="AC10" s="190">
        <v>1200456.69</v>
      </c>
      <c r="AD10" s="190">
        <v>1069203.06</v>
      </c>
      <c r="AE10" s="190">
        <v>-230904.19</v>
      </c>
      <c r="AF10" s="190">
        <v>-780326.03</v>
      </c>
      <c r="AG10" s="190">
        <v>-1430285.15</v>
      </c>
      <c r="AH10" s="190">
        <v>-2116228.2400000002</v>
      </c>
      <c r="AI10" s="190">
        <v>-1946776.28</v>
      </c>
      <c r="AJ10" s="190">
        <v>-2161654.0699999998</v>
      </c>
      <c r="AK10" s="190">
        <v>-4307683.47</v>
      </c>
      <c r="AL10" s="190">
        <v>-4364504.28</v>
      </c>
      <c r="AM10" s="190">
        <v>-2705158.58</v>
      </c>
      <c r="AN10" s="190">
        <v>-2739895.99</v>
      </c>
      <c r="AO10" s="190">
        <v>-1149063.42</v>
      </c>
      <c r="AP10" s="190">
        <v>-1896454.18</v>
      </c>
      <c r="AQ10" s="190">
        <v>-1951498.37</v>
      </c>
      <c r="AR10" s="190">
        <v>-1951402.75</v>
      </c>
      <c r="AS10" s="190">
        <v>-1604895.6</v>
      </c>
      <c r="AT10" s="190">
        <v>-1706624.36</v>
      </c>
      <c r="AU10" s="190">
        <v>-1660081.07</v>
      </c>
      <c r="AV10" s="190">
        <v>-2535170.69</v>
      </c>
      <c r="AW10" s="190">
        <v>4322.8999999999996</v>
      </c>
      <c r="AX10" s="190">
        <v>-687794.55</v>
      </c>
      <c r="AY10" s="190">
        <v>-459639.5</v>
      </c>
      <c r="AZ10" s="190">
        <v>9432.8799999999992</v>
      </c>
      <c r="BA10" s="190">
        <v>-639293.54</v>
      </c>
      <c r="BB10" s="190">
        <v>75984.37</v>
      </c>
      <c r="BC10" s="190">
        <v>-125928.14</v>
      </c>
      <c r="BD10" s="190">
        <v>31351.31</v>
      </c>
      <c r="BE10" s="190">
        <v>421951.67</v>
      </c>
      <c r="BF10" s="190">
        <v>342122.88</v>
      </c>
      <c r="BG10" s="190">
        <v>208355.85</v>
      </c>
      <c r="BH10" s="190">
        <v>-325559.99</v>
      </c>
      <c r="BI10" s="190">
        <v>-3217656.78</v>
      </c>
      <c r="BJ10" s="190">
        <v>0</v>
      </c>
    </row>
    <row r="11" spans="1:62" x14ac:dyDescent="0.25">
      <c r="A11" s="190" t="s">
        <v>198</v>
      </c>
      <c r="B11" s="190">
        <v>6951351.4900000002</v>
      </c>
      <c r="C11" s="190">
        <v>5006130.08</v>
      </c>
      <c r="D11" s="190">
        <v>-3366278.31</v>
      </c>
      <c r="E11" s="190">
        <v>17753750.18</v>
      </c>
      <c r="F11" s="190">
        <v>10380914.01</v>
      </c>
      <c r="G11" s="190">
        <v>9052580.5099999998</v>
      </c>
      <c r="H11" s="190">
        <v>476859.74</v>
      </c>
      <c r="I11" s="190">
        <v>6030144.29</v>
      </c>
      <c r="J11" s="190">
        <v>1687304.26</v>
      </c>
      <c r="K11" s="190">
        <v>1409999.82</v>
      </c>
      <c r="L11" s="190">
        <v>153299.31</v>
      </c>
      <c r="M11" s="190">
        <v>2015855.42</v>
      </c>
      <c r="N11" s="190">
        <v>442567.62</v>
      </c>
      <c r="O11" s="190">
        <v>2298283.84</v>
      </c>
      <c r="P11" s="190">
        <v>-237445.71</v>
      </c>
      <c r="Q11" s="190">
        <v>17882149.25</v>
      </c>
      <c r="R11" s="190">
        <v>3718714.17</v>
      </c>
      <c r="S11" s="190">
        <v>-632888.44999999995</v>
      </c>
      <c r="T11" s="190">
        <v>-2536966.92</v>
      </c>
      <c r="U11" s="190">
        <v>92404460.180000007</v>
      </c>
      <c r="V11" s="190">
        <v>-78269.78</v>
      </c>
      <c r="W11" s="190">
        <v>-2348794.2000000002</v>
      </c>
      <c r="X11" s="190">
        <v>-1608714.06</v>
      </c>
      <c r="Y11" s="190">
        <v>3955385.3</v>
      </c>
      <c r="Z11" s="190">
        <v>1204418.19</v>
      </c>
      <c r="AA11" s="190">
        <v>1869700.4</v>
      </c>
      <c r="AB11" s="190">
        <v>964262.7</v>
      </c>
      <c r="AC11" s="190">
        <v>4268461.83</v>
      </c>
      <c r="AD11" s="190">
        <v>4942441.79</v>
      </c>
      <c r="AE11" s="190">
        <v>4088140.79</v>
      </c>
      <c r="AF11" s="190">
        <v>1514300.31</v>
      </c>
      <c r="AG11" s="190">
        <v>191297.45</v>
      </c>
      <c r="AH11" s="190">
        <v>1519663.71</v>
      </c>
      <c r="AI11" s="190">
        <v>606605.75</v>
      </c>
      <c r="AJ11" s="190">
        <v>-568177.48</v>
      </c>
      <c r="AK11" s="190">
        <v>2097034.57</v>
      </c>
      <c r="AL11" s="190">
        <v>-221377.24</v>
      </c>
      <c r="AM11" s="190">
        <v>-763064.65</v>
      </c>
      <c r="AN11" s="190">
        <v>11143.99</v>
      </c>
      <c r="AO11" s="190">
        <v>-401552.42</v>
      </c>
      <c r="AP11" s="190">
        <v>-5901.65</v>
      </c>
      <c r="AQ11" s="190">
        <v>-1095416.8400000001</v>
      </c>
      <c r="AR11" s="190">
        <v>-898477.76</v>
      </c>
      <c r="AS11" s="190">
        <v>2113419.54</v>
      </c>
      <c r="AT11" s="190">
        <v>334853.33</v>
      </c>
      <c r="AU11" s="190">
        <v>-45554.71</v>
      </c>
      <c r="AV11" s="190">
        <v>870634.86</v>
      </c>
      <c r="AW11" s="190">
        <v>1083571.67</v>
      </c>
      <c r="AX11" s="190">
        <v>1617896.31</v>
      </c>
      <c r="AY11" s="190">
        <v>1237932.58</v>
      </c>
      <c r="AZ11" s="190">
        <v>1329640.3700000001</v>
      </c>
      <c r="BA11" s="190">
        <v>0</v>
      </c>
      <c r="BB11" s="190">
        <v>0</v>
      </c>
      <c r="BC11" s="190">
        <v>0</v>
      </c>
      <c r="BD11" s="190">
        <v>0</v>
      </c>
      <c r="BE11" s="190">
        <v>0</v>
      </c>
      <c r="BF11" s="190">
        <v>0</v>
      </c>
      <c r="BG11" s="190">
        <v>0</v>
      </c>
      <c r="BH11" s="190">
        <v>0</v>
      </c>
      <c r="BI11" s="190">
        <v>0</v>
      </c>
      <c r="BJ11" s="190">
        <v>0</v>
      </c>
    </row>
    <row r="12" spans="1:62" x14ac:dyDescent="0.25">
      <c r="A12" s="190" t="s">
        <v>199</v>
      </c>
      <c r="B12" s="190">
        <v>0</v>
      </c>
      <c r="C12" s="190">
        <v>0</v>
      </c>
      <c r="D12" s="190">
        <v>0</v>
      </c>
      <c r="E12" s="190">
        <v>0</v>
      </c>
      <c r="F12" s="190">
        <v>0</v>
      </c>
      <c r="G12" s="190">
        <v>0</v>
      </c>
      <c r="H12" s="190">
        <v>0</v>
      </c>
      <c r="I12" s="190">
        <v>0</v>
      </c>
      <c r="J12" s="190">
        <v>0</v>
      </c>
      <c r="K12" s="190">
        <v>0</v>
      </c>
      <c r="L12" s="190">
        <v>0</v>
      </c>
      <c r="M12" s="190">
        <v>-31438.3</v>
      </c>
      <c r="N12" s="190">
        <v>0</v>
      </c>
      <c r="O12" s="190">
        <v>0</v>
      </c>
      <c r="P12" s="190">
        <v>0</v>
      </c>
      <c r="Q12" s="190">
        <v>-197777.8</v>
      </c>
      <c r="R12" s="190">
        <v>0</v>
      </c>
      <c r="S12" s="190">
        <v>0</v>
      </c>
      <c r="T12" s="190">
        <v>0</v>
      </c>
      <c r="U12" s="190">
        <v>197777.8</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row>
    <row r="13" spans="1:62" x14ac:dyDescent="0.25">
      <c r="A13" s="190" t="s">
        <v>200</v>
      </c>
      <c r="B13" s="190">
        <v>124647676.86</v>
      </c>
      <c r="C13" s="190">
        <v>108795080.48</v>
      </c>
      <c r="D13" s="190">
        <v>3673939.93</v>
      </c>
      <c r="E13" s="190">
        <v>60501175.509999998</v>
      </c>
      <c r="F13" s="190">
        <v>67556056.609999999</v>
      </c>
      <c r="G13" s="190">
        <v>14151477.800000001</v>
      </c>
      <c r="H13" s="190">
        <v>-14062200.77</v>
      </c>
      <c r="I13" s="190">
        <v>37118871.789999999</v>
      </c>
      <c r="J13" s="190">
        <v>12569380.189999999</v>
      </c>
      <c r="K13" s="190">
        <v>4793543.42</v>
      </c>
      <c r="L13" s="190">
        <v>-2917450.58</v>
      </c>
      <c r="M13" s="190">
        <v>53570772.770000003</v>
      </c>
      <c r="N13" s="190">
        <v>40055555.630000003</v>
      </c>
      <c r="O13" s="190">
        <v>510825.22</v>
      </c>
      <c r="P13" s="190">
        <v>24870.81</v>
      </c>
      <c r="Q13" s="190">
        <v>1630758.64</v>
      </c>
      <c r="R13" s="190">
        <v>-40003.43</v>
      </c>
      <c r="S13" s="190">
        <v>79976.25</v>
      </c>
      <c r="T13" s="190">
        <v>24823.919999999998</v>
      </c>
      <c r="U13" s="190">
        <v>-21413.46</v>
      </c>
      <c r="V13" s="190">
        <v>-11601.16</v>
      </c>
      <c r="W13" s="190">
        <v>-13976.22</v>
      </c>
      <c r="X13" s="190">
        <v>-16731.95</v>
      </c>
      <c r="Y13" s="190">
        <v>12574.73</v>
      </c>
      <c r="Z13" s="190">
        <v>19808.259999999998</v>
      </c>
      <c r="AA13" s="190">
        <v>22099.75</v>
      </c>
      <c r="AB13" s="190">
        <v>-41665.65</v>
      </c>
      <c r="AC13" s="190">
        <v>28836.82</v>
      </c>
      <c r="AD13" s="190">
        <v>7719.57</v>
      </c>
      <c r="AE13" s="190">
        <v>20072.96</v>
      </c>
      <c r="AF13" s="190">
        <v>-33058.81</v>
      </c>
      <c r="AG13" s="190">
        <v>5182.87</v>
      </c>
      <c r="AH13" s="190">
        <v>71068.929999999993</v>
      </c>
      <c r="AI13" s="190">
        <v>78133.38</v>
      </c>
      <c r="AJ13" s="190">
        <v>-44974.69</v>
      </c>
      <c r="AK13" s="190">
        <v>-66558.8</v>
      </c>
      <c r="AL13" s="190">
        <v>70854.25</v>
      </c>
      <c r="AM13" s="190">
        <v>27931.33</v>
      </c>
      <c r="AN13" s="190">
        <v>-54569.58</v>
      </c>
      <c r="AO13" s="190">
        <v>-604372.03</v>
      </c>
      <c r="AP13" s="190">
        <v>-737826.63</v>
      </c>
      <c r="AQ13" s="190">
        <v>58437.919999999998</v>
      </c>
      <c r="AR13" s="190">
        <v>119748.64</v>
      </c>
      <c r="AS13" s="190">
        <v>382915.55</v>
      </c>
      <c r="AT13" s="190">
        <v>325849.77</v>
      </c>
      <c r="AU13" s="190">
        <v>239413.97</v>
      </c>
      <c r="AV13" s="190">
        <v>-423850.49</v>
      </c>
      <c r="AW13" s="190">
        <v>55520.68</v>
      </c>
      <c r="AX13" s="190">
        <v>-736062.31</v>
      </c>
      <c r="AY13" s="190">
        <v>-733355.63</v>
      </c>
      <c r="AZ13" s="190">
        <v>21520.31</v>
      </c>
      <c r="BA13" s="190">
        <v>-502573.18</v>
      </c>
      <c r="BB13" s="190">
        <v>-309881.87</v>
      </c>
      <c r="BC13" s="190">
        <v>-338013.04</v>
      </c>
      <c r="BD13" s="190">
        <v>-169296.41</v>
      </c>
      <c r="BE13" s="190">
        <v>-554236.79</v>
      </c>
      <c r="BF13" s="190">
        <v>-179478.72</v>
      </c>
      <c r="BG13" s="190">
        <v>-108290.09</v>
      </c>
      <c r="BH13" s="190">
        <v>-66889.25</v>
      </c>
      <c r="BI13" s="190">
        <v>372953.52</v>
      </c>
      <c r="BJ13" s="190">
        <v>0</v>
      </c>
    </row>
    <row r="14" spans="1:62" x14ac:dyDescent="0.25">
      <c r="A14" s="190" t="s">
        <v>201</v>
      </c>
      <c r="B14" s="190">
        <v>-1377107.43</v>
      </c>
      <c r="C14" s="190">
        <v>600113.77</v>
      </c>
      <c r="D14" s="190">
        <v>-571266.43999999994</v>
      </c>
      <c r="E14" s="190">
        <v>-4800953.59</v>
      </c>
      <c r="F14" s="190">
        <v>13943367.460000001</v>
      </c>
      <c r="G14" s="190">
        <v>-6887001.9699999997</v>
      </c>
      <c r="H14" s="190">
        <v>-17274270.48</v>
      </c>
      <c r="I14" s="190">
        <v>-6964367.54</v>
      </c>
      <c r="J14" s="190">
        <v>-2864096.23</v>
      </c>
      <c r="K14" s="190">
        <v>-3597533</v>
      </c>
      <c r="L14" s="190">
        <v>-2917450.58</v>
      </c>
      <c r="M14" s="190">
        <v>3501929.12</v>
      </c>
      <c r="N14" s="190">
        <v>3193509.45</v>
      </c>
      <c r="O14" s="190">
        <v>0</v>
      </c>
      <c r="P14" s="190">
        <v>0</v>
      </c>
      <c r="Q14" s="190">
        <v>35490.75</v>
      </c>
      <c r="R14" s="190">
        <v>0</v>
      </c>
      <c r="S14" s="190">
        <v>0</v>
      </c>
      <c r="T14" s="190">
        <v>0</v>
      </c>
      <c r="U14" s="190">
        <v>-21413.46</v>
      </c>
      <c r="V14" s="190">
        <v>0</v>
      </c>
      <c r="W14" s="190">
        <v>0</v>
      </c>
      <c r="X14" s="190">
        <v>0</v>
      </c>
      <c r="Y14" s="190">
        <v>0</v>
      </c>
      <c r="Z14" s="190">
        <v>0</v>
      </c>
      <c r="AA14" s="190">
        <v>0</v>
      </c>
      <c r="AB14" s="190">
        <v>0</v>
      </c>
      <c r="AC14" s="190">
        <v>0</v>
      </c>
      <c r="AD14" s="190">
        <v>0</v>
      </c>
      <c r="AE14" s="190">
        <v>20072.96</v>
      </c>
      <c r="AF14" s="190">
        <v>0</v>
      </c>
      <c r="AG14" s="190">
        <v>5182.87</v>
      </c>
      <c r="AH14" s="190">
        <v>0</v>
      </c>
      <c r="AI14" s="190">
        <v>0</v>
      </c>
      <c r="AJ14" s="190">
        <v>0</v>
      </c>
      <c r="AK14" s="190">
        <v>-66558.8</v>
      </c>
      <c r="AL14" s="190">
        <v>0</v>
      </c>
      <c r="AM14" s="190">
        <v>0</v>
      </c>
      <c r="AN14" s="190">
        <v>0</v>
      </c>
      <c r="AO14" s="190">
        <v>-46594.44</v>
      </c>
      <c r="AP14" s="190">
        <v>0</v>
      </c>
      <c r="AQ14" s="190">
        <v>58437.919999999998</v>
      </c>
      <c r="AR14" s="190">
        <v>0</v>
      </c>
      <c r="AS14" s="190">
        <v>382915.55</v>
      </c>
      <c r="AT14" s="190">
        <v>0</v>
      </c>
      <c r="AU14" s="190">
        <v>239413.97</v>
      </c>
      <c r="AV14" s="190">
        <v>0</v>
      </c>
      <c r="AW14" s="190">
        <v>55520.68</v>
      </c>
      <c r="AX14" s="190">
        <v>0</v>
      </c>
      <c r="AY14" s="190">
        <v>0</v>
      </c>
      <c r="AZ14" s="190">
        <v>0</v>
      </c>
      <c r="BA14" s="190">
        <v>0</v>
      </c>
      <c r="BB14" s="190">
        <v>0</v>
      </c>
      <c r="BC14" s="190">
        <v>0</v>
      </c>
      <c r="BD14" s="190">
        <v>0</v>
      </c>
      <c r="BE14" s="190">
        <v>0</v>
      </c>
      <c r="BF14" s="190">
        <v>0</v>
      </c>
      <c r="BG14" s="190">
        <v>0</v>
      </c>
      <c r="BH14" s="190">
        <v>0</v>
      </c>
      <c r="BI14" s="190">
        <v>0</v>
      </c>
      <c r="BJ14" s="190">
        <v>0</v>
      </c>
    </row>
    <row r="15" spans="1:62"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row>
    <row r="16" spans="1:62" x14ac:dyDescent="0.25">
      <c r="A16" s="190" t="s">
        <v>203</v>
      </c>
      <c r="B16" s="190">
        <v>669241988.00999999</v>
      </c>
      <c r="C16" s="190">
        <v>318413774.91000003</v>
      </c>
      <c r="D16" s="190">
        <v>-118594593.95</v>
      </c>
      <c r="E16" s="190">
        <v>903840097.59000003</v>
      </c>
      <c r="F16" s="190">
        <v>343324764.55000001</v>
      </c>
      <c r="G16" s="190">
        <v>63812785.890000001</v>
      </c>
      <c r="H16" s="190">
        <v>-135365470.53999999</v>
      </c>
      <c r="I16" s="190">
        <v>496956296.29000002</v>
      </c>
      <c r="J16" s="190">
        <v>151407381.37</v>
      </c>
      <c r="K16" s="190">
        <v>-23375751.98</v>
      </c>
      <c r="L16" s="190">
        <v>-171853512.88999999</v>
      </c>
      <c r="M16" s="190">
        <v>357664458.83999997</v>
      </c>
      <c r="N16" s="190">
        <v>96144514.989999995</v>
      </c>
      <c r="O16" s="190">
        <v>13039786.560000001</v>
      </c>
      <c r="P16" s="190">
        <v>5687963.5499999998</v>
      </c>
      <c r="Q16" s="190">
        <v>68225589.489999995</v>
      </c>
      <c r="R16" s="190">
        <v>70250689.939999998</v>
      </c>
      <c r="S16" s="190">
        <v>16048675.32</v>
      </c>
      <c r="T16" s="190">
        <v>6227582.3899999997</v>
      </c>
      <c r="U16" s="190">
        <v>-18432114.059999999</v>
      </c>
      <c r="V16" s="190">
        <v>50388031.560000002</v>
      </c>
      <c r="W16" s="190">
        <v>13074367.050000001</v>
      </c>
      <c r="X16" s="190">
        <v>6621849.6399999997</v>
      </c>
      <c r="Y16" s="190">
        <v>81584545.810000002</v>
      </c>
      <c r="Z16" s="190">
        <v>50503730.090000004</v>
      </c>
      <c r="AA16" s="190">
        <v>13386858.609999999</v>
      </c>
      <c r="AB16" s="190">
        <v>7307183.4900000002</v>
      </c>
      <c r="AC16" s="190">
        <v>77688508.069999993</v>
      </c>
      <c r="AD16" s="190">
        <v>42529863.229999997</v>
      </c>
      <c r="AE16" s="190">
        <v>10642204.49</v>
      </c>
      <c r="AF16" s="190">
        <v>6139937.5</v>
      </c>
      <c r="AG16" s="190">
        <v>32203827.260000002</v>
      </c>
      <c r="AH16" s="190">
        <v>22189350.09</v>
      </c>
      <c r="AI16" s="190">
        <v>7393556.54</v>
      </c>
      <c r="AJ16" s="190">
        <v>4981584.8600000003</v>
      </c>
      <c r="AK16" s="190">
        <v>27597275.960000001</v>
      </c>
      <c r="AL16" s="190">
        <v>17436579.989999998</v>
      </c>
      <c r="AM16" s="190">
        <v>5905067.75</v>
      </c>
      <c r="AN16" s="190">
        <v>4196502.92</v>
      </c>
      <c r="AO16" s="190">
        <v>16555897.25</v>
      </c>
      <c r="AP16" s="190">
        <v>15419921.07</v>
      </c>
      <c r="AQ16" s="190">
        <v>5179349.0199999996</v>
      </c>
      <c r="AR16" s="190">
        <v>3354181.87</v>
      </c>
      <c r="AS16" s="190">
        <v>30807837.719999999</v>
      </c>
      <c r="AT16" s="190">
        <v>25868675.670000002</v>
      </c>
      <c r="AU16" s="190">
        <v>8156231.0199999996</v>
      </c>
      <c r="AV16" s="190">
        <v>5437056.7300000004</v>
      </c>
      <c r="AW16" s="190">
        <v>33547356.68</v>
      </c>
      <c r="AX16" s="190">
        <v>27511658.899999999</v>
      </c>
      <c r="AY16" s="190">
        <v>8728800.2799999993</v>
      </c>
      <c r="AZ16" s="190">
        <v>4512244.16</v>
      </c>
      <c r="BA16" s="190">
        <v>29118495.829999998</v>
      </c>
      <c r="BB16" s="190">
        <v>20794603.02</v>
      </c>
      <c r="BC16" s="190">
        <v>4666908</v>
      </c>
      <c r="BD16" s="190">
        <v>3099147.85</v>
      </c>
      <c r="BE16" s="190">
        <v>28367551.66</v>
      </c>
      <c r="BF16" s="190">
        <v>18492851.120000001</v>
      </c>
      <c r="BG16" s="190">
        <v>4174440.51</v>
      </c>
      <c r="BH16" s="190">
        <v>28766124.870000001</v>
      </c>
      <c r="BI16" s="190">
        <v>23216393.09</v>
      </c>
      <c r="BJ16" s="190">
        <v>0</v>
      </c>
    </row>
    <row r="17" spans="1:62" x14ac:dyDescent="0.25">
      <c r="A17" s="190" t="s">
        <v>204</v>
      </c>
      <c r="B17" s="190">
        <v>5641612.3200000003</v>
      </c>
      <c r="C17" s="190">
        <v>4159943.87</v>
      </c>
      <c r="D17" s="190">
        <v>1545271.62</v>
      </c>
      <c r="E17" s="190">
        <v>4053650.32</v>
      </c>
      <c r="F17" s="190">
        <v>1690423.39</v>
      </c>
      <c r="G17" s="190">
        <v>883436.21</v>
      </c>
      <c r="H17" s="190">
        <v>118338.04</v>
      </c>
      <c r="I17" s="190">
        <v>4040605.88</v>
      </c>
      <c r="J17" s="190">
        <v>2650283.89</v>
      </c>
      <c r="K17" s="190">
        <v>2149202.7000000002</v>
      </c>
      <c r="L17" s="190">
        <v>613124.75</v>
      </c>
      <c r="M17" s="190">
        <v>1652435.75</v>
      </c>
      <c r="N17" s="190">
        <v>2806220.26</v>
      </c>
      <c r="O17" s="190">
        <v>2390861.0299999998</v>
      </c>
      <c r="P17" s="190">
        <v>733578.7</v>
      </c>
      <c r="Q17" s="190">
        <v>2587167.2200000002</v>
      </c>
      <c r="R17" s="190">
        <v>1197369.44</v>
      </c>
      <c r="S17" s="190">
        <v>676555.58</v>
      </c>
      <c r="T17" s="190">
        <v>12701.22</v>
      </c>
      <c r="U17" s="190">
        <v>317177.03999999998</v>
      </c>
      <c r="V17" s="190">
        <v>206515.61</v>
      </c>
      <c r="W17" s="190">
        <v>90792.07</v>
      </c>
      <c r="X17" s="190">
        <v>5230.75</v>
      </c>
      <c r="Y17" s="190">
        <v>262083.13</v>
      </c>
      <c r="Z17" s="190">
        <v>148195.75</v>
      </c>
      <c r="AA17" s="190">
        <v>141483.79999999999</v>
      </c>
      <c r="AB17" s="190">
        <v>662</v>
      </c>
      <c r="AC17" s="190">
        <v>2273643.7000000002</v>
      </c>
      <c r="AD17" s="190">
        <v>753360.73</v>
      </c>
      <c r="AE17" s="190">
        <v>765538.02</v>
      </c>
      <c r="AF17" s="190">
        <v>634280.15</v>
      </c>
      <c r="AG17" s="190">
        <v>1286549.06</v>
      </c>
      <c r="AH17" s="190">
        <v>1153489.05</v>
      </c>
      <c r="AI17" s="190">
        <v>886377.71</v>
      </c>
      <c r="AJ17" s="190">
        <v>308196.3</v>
      </c>
      <c r="AK17" s="190">
        <v>4164366.51</v>
      </c>
      <c r="AL17" s="190">
        <v>2170454.63</v>
      </c>
      <c r="AM17" s="190">
        <v>1397890.75</v>
      </c>
      <c r="AN17" s="190">
        <v>196796.83</v>
      </c>
      <c r="AO17" s="190">
        <v>3528854.93</v>
      </c>
      <c r="AP17" s="190">
        <v>920428.48</v>
      </c>
      <c r="AQ17" s="190">
        <v>679790.48</v>
      </c>
      <c r="AR17" s="190">
        <v>569527.85</v>
      </c>
      <c r="AS17" s="190">
        <v>2817430.69</v>
      </c>
      <c r="AT17" s="190">
        <v>2143229.63</v>
      </c>
      <c r="AU17" s="190">
        <v>1643661.55</v>
      </c>
      <c r="AV17" s="190">
        <v>9476.2999999999993</v>
      </c>
      <c r="AW17" s="190">
        <v>882177.15</v>
      </c>
      <c r="AX17" s="190">
        <v>82838.11</v>
      </c>
      <c r="AY17" s="190">
        <v>68318.289999999994</v>
      </c>
      <c r="AZ17" s="190">
        <v>601</v>
      </c>
      <c r="BA17" s="190">
        <v>282364.5</v>
      </c>
      <c r="BB17" s="190">
        <v>161832.84</v>
      </c>
      <c r="BC17" s="190">
        <v>155346.78</v>
      </c>
      <c r="BD17" s="190">
        <v>6831.91</v>
      </c>
      <c r="BE17" s="190">
        <v>566216.30000000005</v>
      </c>
      <c r="BF17" s="190">
        <v>230455.49</v>
      </c>
      <c r="BG17" s="190">
        <v>62022.92</v>
      </c>
      <c r="BH17" s="190">
        <v>254790.39</v>
      </c>
      <c r="BI17" s="190">
        <v>135880.97</v>
      </c>
      <c r="BJ17" s="190">
        <v>0</v>
      </c>
    </row>
    <row r="18" spans="1:62" x14ac:dyDescent="0.25">
      <c r="A18" s="190" t="s">
        <v>205</v>
      </c>
      <c r="B18" s="190">
        <v>9374115.8699999992</v>
      </c>
      <c r="C18" s="190">
        <v>2896888.45</v>
      </c>
      <c r="D18" s="190">
        <v>253118.96</v>
      </c>
      <c r="E18" s="190">
        <v>6309766.5099999998</v>
      </c>
      <c r="F18" s="190">
        <v>1579627.18</v>
      </c>
      <c r="G18" s="190">
        <v>1358745.42</v>
      </c>
      <c r="H18" s="190">
        <v>123239.79</v>
      </c>
      <c r="I18" s="190">
        <v>2023069.88</v>
      </c>
      <c r="J18" s="190">
        <v>249156.28</v>
      </c>
      <c r="K18" s="190">
        <v>214191.23</v>
      </c>
      <c r="L18" s="190">
        <v>190593.63</v>
      </c>
      <c r="M18" s="190">
        <v>424442.64</v>
      </c>
      <c r="N18" s="190">
        <v>241562.99</v>
      </c>
      <c r="O18" s="190">
        <v>507281.67</v>
      </c>
      <c r="P18" s="190">
        <v>94563.08</v>
      </c>
      <c r="Q18" s="190">
        <v>3089740.84</v>
      </c>
      <c r="R18" s="190">
        <v>13757034.609999999</v>
      </c>
      <c r="S18" s="190">
        <v>405826.76</v>
      </c>
      <c r="T18" s="190">
        <v>205571.72</v>
      </c>
      <c r="U18" s="190">
        <v>1139879.78</v>
      </c>
      <c r="V18" s="190">
        <v>570552.30000000005</v>
      </c>
      <c r="W18" s="190">
        <v>275522.03999999998</v>
      </c>
      <c r="X18" s="190">
        <v>88734.28</v>
      </c>
      <c r="Y18" s="190">
        <v>761859.36</v>
      </c>
      <c r="Z18" s="190">
        <v>201711.74</v>
      </c>
      <c r="AA18" s="190">
        <v>262877.87</v>
      </c>
      <c r="AB18" s="190">
        <v>157190.28</v>
      </c>
      <c r="AC18" s="190">
        <v>941871.2</v>
      </c>
      <c r="AD18" s="190">
        <v>485338.53</v>
      </c>
      <c r="AE18" s="190">
        <v>310296.43</v>
      </c>
      <c r="AF18" s="190">
        <v>105593.1</v>
      </c>
      <c r="AG18" s="190">
        <v>1103175.29</v>
      </c>
      <c r="AH18" s="190">
        <v>798095.29</v>
      </c>
      <c r="AI18" s="190">
        <v>545096.81000000006</v>
      </c>
      <c r="AJ18" s="190">
        <v>90599.4</v>
      </c>
      <c r="AK18" s="190">
        <v>2947234.13</v>
      </c>
      <c r="AL18" s="190">
        <v>447367.77</v>
      </c>
      <c r="AM18" s="190">
        <v>206020.95</v>
      </c>
      <c r="AN18" s="190">
        <v>41815.65</v>
      </c>
      <c r="AO18" s="190">
        <v>666320.81999999995</v>
      </c>
      <c r="AP18" s="190">
        <v>527921.23</v>
      </c>
      <c r="AQ18" s="190">
        <v>310225.99</v>
      </c>
      <c r="AR18" s="190">
        <v>117805.35</v>
      </c>
      <c r="AS18" s="190">
        <v>850770.35</v>
      </c>
      <c r="AT18" s="190">
        <v>615660.37</v>
      </c>
      <c r="AU18" s="190">
        <v>283242.36</v>
      </c>
      <c r="AV18" s="190">
        <v>79886.149999999994</v>
      </c>
      <c r="AW18" s="190">
        <v>1137866.6100000001</v>
      </c>
      <c r="AX18" s="190">
        <v>892487.41</v>
      </c>
      <c r="AY18" s="190">
        <v>637333.4</v>
      </c>
      <c r="AZ18" s="190">
        <v>122266.51</v>
      </c>
      <c r="BA18" s="190">
        <v>901821.55</v>
      </c>
      <c r="BB18" s="190">
        <v>555558.68999999994</v>
      </c>
      <c r="BC18" s="190">
        <v>312936.13</v>
      </c>
      <c r="BD18" s="190">
        <v>133142.53</v>
      </c>
      <c r="BE18" s="190">
        <v>1040371.48</v>
      </c>
      <c r="BF18" s="190">
        <v>852657.5</v>
      </c>
      <c r="BG18" s="190">
        <v>510561.8</v>
      </c>
      <c r="BH18" s="190">
        <v>993953.66</v>
      </c>
      <c r="BI18" s="190">
        <v>732017.22</v>
      </c>
      <c r="BJ18" s="190">
        <v>0</v>
      </c>
    </row>
    <row r="19" spans="1:62" x14ac:dyDescent="0.25">
      <c r="A19" s="190" t="s">
        <v>206</v>
      </c>
      <c r="B19" s="190">
        <v>0</v>
      </c>
      <c r="C19" s="190">
        <v>0</v>
      </c>
      <c r="D19" s="190">
        <v>0</v>
      </c>
      <c r="E19" s="190">
        <v>2541666.4</v>
      </c>
      <c r="F19" s="190">
        <v>0</v>
      </c>
      <c r="G19" s="190">
        <v>455931.07</v>
      </c>
      <c r="H19" s="190">
        <v>0</v>
      </c>
      <c r="I19" s="190">
        <v>955096.7</v>
      </c>
      <c r="J19" s="190">
        <v>115299.54</v>
      </c>
      <c r="K19" s="190">
        <v>99061.13</v>
      </c>
      <c r="L19" s="190">
        <v>90593.63</v>
      </c>
      <c r="M19" s="190">
        <v>294172.09000000003</v>
      </c>
      <c r="N19" s="190">
        <v>189635.78</v>
      </c>
      <c r="O19" s="190">
        <v>67943.27</v>
      </c>
      <c r="P19" s="190">
        <v>0</v>
      </c>
      <c r="Q19" s="190">
        <v>2136797.33</v>
      </c>
      <c r="R19" s="190">
        <v>159776.57999999999</v>
      </c>
      <c r="S19" s="190">
        <v>127899.64</v>
      </c>
      <c r="T19" s="190">
        <v>0</v>
      </c>
      <c r="U19" s="190">
        <v>63963.81</v>
      </c>
      <c r="V19" s="190">
        <v>0</v>
      </c>
      <c r="W19" s="190">
        <v>363.27</v>
      </c>
      <c r="X19" s="190">
        <v>0</v>
      </c>
      <c r="Y19" s="190">
        <v>6349</v>
      </c>
      <c r="Z19" s="190">
        <v>0</v>
      </c>
      <c r="AA19" s="190">
        <v>0</v>
      </c>
      <c r="AB19" s="190">
        <v>0</v>
      </c>
      <c r="AC19" s="190">
        <v>3329.53</v>
      </c>
      <c r="AD19" s="190">
        <v>0</v>
      </c>
      <c r="AE19" s="190">
        <v>0</v>
      </c>
      <c r="AF19" s="190">
        <v>0</v>
      </c>
      <c r="AG19" s="190">
        <v>505003.23</v>
      </c>
      <c r="AH19" s="190">
        <v>0</v>
      </c>
      <c r="AI19" s="190">
        <v>0</v>
      </c>
      <c r="AJ19" s="190">
        <v>0</v>
      </c>
      <c r="AK19" s="190">
        <v>2264670.12</v>
      </c>
      <c r="AL19" s="190">
        <v>0</v>
      </c>
      <c r="AM19" s="190">
        <v>0</v>
      </c>
      <c r="AN19" s="190">
        <v>0</v>
      </c>
      <c r="AO19" s="190">
        <v>60322.63</v>
      </c>
      <c r="AP19" s="190">
        <v>0</v>
      </c>
      <c r="AQ19" s="190">
        <v>204027.25</v>
      </c>
      <c r="AR19" s="190">
        <v>0</v>
      </c>
      <c r="AS19" s="190">
        <v>247013.48</v>
      </c>
      <c r="AT19" s="190">
        <v>0</v>
      </c>
      <c r="AU19" s="190">
        <v>0</v>
      </c>
      <c r="AV19" s="190">
        <v>0</v>
      </c>
      <c r="AW19" s="190">
        <v>456573.84</v>
      </c>
      <c r="AX19" s="190">
        <v>0</v>
      </c>
      <c r="AY19" s="190">
        <v>0</v>
      </c>
      <c r="AZ19" s="190">
        <v>0</v>
      </c>
      <c r="BA19" s="190">
        <v>0</v>
      </c>
      <c r="BB19" s="190">
        <v>0</v>
      </c>
      <c r="BC19" s="190">
        <v>0</v>
      </c>
      <c r="BD19" s="190">
        <v>0</v>
      </c>
      <c r="BE19" s="190">
        <v>0</v>
      </c>
      <c r="BF19" s="190">
        <v>0</v>
      </c>
      <c r="BG19" s="190">
        <v>0</v>
      </c>
      <c r="BH19" s="190">
        <v>0</v>
      </c>
      <c r="BI19" s="190">
        <v>0</v>
      </c>
      <c r="BJ19" s="190">
        <v>0</v>
      </c>
    </row>
    <row r="20" spans="1:62" x14ac:dyDescent="0.25">
      <c r="A20" s="190" t="s">
        <v>207</v>
      </c>
      <c r="B20" s="190">
        <v>665509484.46000004</v>
      </c>
      <c r="C20" s="190">
        <v>319676830.32999998</v>
      </c>
      <c r="D20" s="190">
        <v>-117302441.29000001</v>
      </c>
      <c r="E20" s="190">
        <v>901583981.39999998</v>
      </c>
      <c r="F20" s="190">
        <v>343435560.75999999</v>
      </c>
      <c r="G20" s="190">
        <v>63337476.68</v>
      </c>
      <c r="H20" s="190">
        <v>-135370372.28999999</v>
      </c>
      <c r="I20" s="190">
        <v>498973832.29000002</v>
      </c>
      <c r="J20" s="190">
        <v>153808508.97999999</v>
      </c>
      <c r="K20" s="190">
        <v>-21440740.510000002</v>
      </c>
      <c r="L20" s="190">
        <v>-171430981.77000001</v>
      </c>
      <c r="M20" s="190">
        <v>358892451.94999999</v>
      </c>
      <c r="N20" s="190">
        <v>98709172.260000005</v>
      </c>
      <c r="O20" s="190">
        <v>14923365.92</v>
      </c>
      <c r="P20" s="190">
        <v>6326979.1699999999</v>
      </c>
      <c r="Q20" s="190">
        <v>67723015.870000005</v>
      </c>
      <c r="R20" s="190">
        <v>57691024.770000003</v>
      </c>
      <c r="S20" s="190">
        <v>16319404.140000001</v>
      </c>
      <c r="T20" s="190">
        <v>6034711.8899999997</v>
      </c>
      <c r="U20" s="190">
        <v>-19254816.800000001</v>
      </c>
      <c r="V20" s="190">
        <v>50023994.869999997</v>
      </c>
      <c r="W20" s="190">
        <v>12889637.08</v>
      </c>
      <c r="X20" s="190">
        <v>6538346.1100000003</v>
      </c>
      <c r="Y20" s="190">
        <v>81084769.579999998</v>
      </c>
      <c r="Z20" s="190">
        <v>50450214.100000001</v>
      </c>
      <c r="AA20" s="190">
        <v>13265464.539999999</v>
      </c>
      <c r="AB20" s="190">
        <v>7150655.21</v>
      </c>
      <c r="AC20" s="190">
        <v>79020280.569999993</v>
      </c>
      <c r="AD20" s="190">
        <v>42797885.43</v>
      </c>
      <c r="AE20" s="190">
        <v>11097446.08</v>
      </c>
      <c r="AF20" s="190">
        <v>6668624.5499999998</v>
      </c>
      <c r="AG20" s="190">
        <v>32387201.030000001</v>
      </c>
      <c r="AH20" s="190">
        <v>22544743.850000001</v>
      </c>
      <c r="AI20" s="190">
        <v>7734837.4400000004</v>
      </c>
      <c r="AJ20" s="190">
        <v>5199181.76</v>
      </c>
      <c r="AK20" s="190">
        <v>28814408.34</v>
      </c>
      <c r="AL20" s="190">
        <v>19159666.850000001</v>
      </c>
      <c r="AM20" s="190">
        <v>7096937.5499999998</v>
      </c>
      <c r="AN20" s="190">
        <v>4351484.0999999996</v>
      </c>
      <c r="AO20" s="190">
        <v>19418431.359999999</v>
      </c>
      <c r="AP20" s="190">
        <v>15812428.32</v>
      </c>
      <c r="AQ20" s="190">
        <v>5548913.5099999998</v>
      </c>
      <c r="AR20" s="190">
        <v>3805904.37</v>
      </c>
      <c r="AS20" s="190">
        <v>32774498.059999999</v>
      </c>
      <c r="AT20" s="190">
        <v>27396244.93</v>
      </c>
      <c r="AU20" s="190">
        <v>9516650.2100000009</v>
      </c>
      <c r="AV20" s="190">
        <v>5366646.88</v>
      </c>
      <c r="AW20" s="190">
        <v>33291667.219999999</v>
      </c>
      <c r="AX20" s="190">
        <v>26702009.600000001</v>
      </c>
      <c r="AY20" s="190">
        <v>8159785.1699999999</v>
      </c>
      <c r="AZ20" s="190">
        <v>4390578.6500000004</v>
      </c>
      <c r="BA20" s="190">
        <v>28499038.780000001</v>
      </c>
      <c r="BB20" s="190">
        <v>20400877.170000002</v>
      </c>
      <c r="BC20" s="190">
        <v>4509318.6500000004</v>
      </c>
      <c r="BD20" s="190">
        <v>2972837.23</v>
      </c>
      <c r="BE20" s="190">
        <v>27893396.48</v>
      </c>
      <c r="BF20" s="190">
        <v>17870649.109999999</v>
      </c>
      <c r="BG20" s="190">
        <v>3725901.63</v>
      </c>
      <c r="BH20" s="190">
        <v>28026961.600000001</v>
      </c>
      <c r="BI20" s="190">
        <v>22620256.84</v>
      </c>
      <c r="BJ20" s="190">
        <v>0</v>
      </c>
    </row>
    <row r="21" spans="1:62" x14ac:dyDescent="0.25">
      <c r="A21" s="190" t="s">
        <v>208</v>
      </c>
      <c r="B21" s="190">
        <v>166423727.06999999</v>
      </c>
      <c r="C21" s="190">
        <v>98625547.439999998</v>
      </c>
      <c r="D21" s="190">
        <v>-17836872.43</v>
      </c>
      <c r="E21" s="190">
        <v>207257786.19999999</v>
      </c>
      <c r="F21" s="190">
        <v>88331384.099999994</v>
      </c>
      <c r="G21" s="190">
        <v>26809790.16</v>
      </c>
      <c r="H21" s="190">
        <v>-22414988.34</v>
      </c>
      <c r="I21" s="190">
        <v>120458348.61</v>
      </c>
      <c r="J21" s="190">
        <v>41586121.020000003</v>
      </c>
      <c r="K21" s="190">
        <v>419706.33</v>
      </c>
      <c r="L21" s="190">
        <v>-32254379.350000001</v>
      </c>
      <c r="M21" s="190">
        <v>72732218.760000005</v>
      </c>
      <c r="N21" s="190">
        <v>13202545.359999999</v>
      </c>
      <c r="O21" s="190">
        <v>4792709.49</v>
      </c>
      <c r="P21" s="190">
        <v>2010840.02</v>
      </c>
      <c r="Q21" s="190">
        <v>22629534.359999999</v>
      </c>
      <c r="R21" s="190">
        <v>18239242.059999999</v>
      </c>
      <c r="S21" s="190">
        <v>5093575.51</v>
      </c>
      <c r="T21" s="190">
        <v>1501544.26</v>
      </c>
      <c r="U21" s="190">
        <v>25914665.489999998</v>
      </c>
      <c r="V21" s="190">
        <v>14590996.800000001</v>
      </c>
      <c r="W21" s="190">
        <v>4409019.7699999996</v>
      </c>
      <c r="X21" s="190">
        <v>1778345.49</v>
      </c>
      <c r="Y21" s="190">
        <v>22207066.82</v>
      </c>
      <c r="Z21" s="190">
        <v>14298558.960000001</v>
      </c>
      <c r="AA21" s="190">
        <v>4921641.59</v>
      </c>
      <c r="AB21" s="190">
        <v>2540306.75</v>
      </c>
      <c r="AC21" s="190">
        <v>20695440.82</v>
      </c>
      <c r="AD21" s="190">
        <v>11783031.560000001</v>
      </c>
      <c r="AE21" s="190">
        <v>3592788.78</v>
      </c>
      <c r="AF21" s="190">
        <v>1516646.36</v>
      </c>
      <c r="AG21" s="190">
        <v>8011198.3600000003</v>
      </c>
      <c r="AH21" s="190">
        <v>5527083.3300000001</v>
      </c>
      <c r="AI21" s="190">
        <v>1984372.11</v>
      </c>
      <c r="AJ21" s="190">
        <v>1398032.45</v>
      </c>
      <c r="AK21" s="190">
        <v>11398377.380000001</v>
      </c>
      <c r="AL21" s="190">
        <v>6180062.4900000002</v>
      </c>
      <c r="AM21" s="190">
        <v>2849624.21</v>
      </c>
      <c r="AN21" s="190">
        <v>1517742.07</v>
      </c>
      <c r="AO21" s="190">
        <v>5606182.0800000001</v>
      </c>
      <c r="AP21" s="190">
        <v>4173098.1</v>
      </c>
      <c r="AQ21" s="190">
        <v>1174849.1499999999</v>
      </c>
      <c r="AR21" s="190">
        <v>927958.45</v>
      </c>
      <c r="AS21" s="190">
        <v>5862502.4500000002</v>
      </c>
      <c r="AT21" s="190">
        <v>4652558.18</v>
      </c>
      <c r="AU21" s="190">
        <v>2073780.18</v>
      </c>
      <c r="AV21" s="190">
        <v>902316.36</v>
      </c>
      <c r="AW21" s="190">
        <v>5328444.59</v>
      </c>
      <c r="AX21" s="190">
        <v>4564534.16</v>
      </c>
      <c r="AY21" s="190">
        <v>1875308.32</v>
      </c>
      <c r="AZ21" s="190">
        <v>441816.64</v>
      </c>
      <c r="BA21" s="190">
        <v>4302092.7</v>
      </c>
      <c r="BB21" s="190">
        <v>3252871.49</v>
      </c>
      <c r="BC21" s="190">
        <v>695931.71</v>
      </c>
      <c r="BD21" s="190">
        <v>507642.34</v>
      </c>
      <c r="BE21" s="190">
        <v>5416808.5099999998</v>
      </c>
      <c r="BF21" s="190">
        <v>3242863.87</v>
      </c>
      <c r="BG21" s="190">
        <v>1286808.29</v>
      </c>
      <c r="BH21" s="190">
        <v>4939223.38</v>
      </c>
      <c r="BI21" s="190">
        <v>4333302.3899999997</v>
      </c>
      <c r="BJ21" s="190">
        <v>0</v>
      </c>
    </row>
    <row r="22" spans="1:62" x14ac:dyDescent="0.25">
      <c r="A22" s="190" t="s">
        <v>209</v>
      </c>
      <c r="B22" s="190">
        <v>499085757.38999999</v>
      </c>
      <c r="C22" s="190">
        <v>221051282.88999999</v>
      </c>
      <c r="D22" s="190">
        <v>-99465568.859999999</v>
      </c>
      <c r="E22" s="190">
        <v>694326195.20000005</v>
      </c>
      <c r="F22" s="190">
        <v>255104176.66</v>
      </c>
      <c r="G22" s="190">
        <v>36527686.520000003</v>
      </c>
      <c r="H22" s="190">
        <v>-112955383.95</v>
      </c>
      <c r="I22" s="190">
        <v>378515483.68000001</v>
      </c>
      <c r="J22" s="190">
        <v>112222387.95999999</v>
      </c>
      <c r="K22" s="190">
        <v>-21860446.84</v>
      </c>
      <c r="L22" s="190">
        <v>-139176602.41999999</v>
      </c>
      <c r="M22" s="190">
        <v>286160233.19</v>
      </c>
      <c r="N22" s="190">
        <v>85506626.900000006</v>
      </c>
      <c r="O22" s="190">
        <v>10130656.43</v>
      </c>
      <c r="P22" s="190">
        <v>4316139.1500000004</v>
      </c>
      <c r="Q22" s="190">
        <v>45093481.509999998</v>
      </c>
      <c r="R22" s="190">
        <v>39451782.710000001</v>
      </c>
      <c r="S22" s="190">
        <v>11225828.630000001</v>
      </c>
      <c r="T22" s="190">
        <v>4533167.63</v>
      </c>
      <c r="U22" s="190">
        <v>-45169482.289999999</v>
      </c>
      <c r="V22" s="190">
        <v>35432998.07</v>
      </c>
      <c r="W22" s="190">
        <v>8480617.3100000005</v>
      </c>
      <c r="X22" s="190">
        <v>4760000.62</v>
      </c>
      <c r="Y22" s="190">
        <v>58877702.759999998</v>
      </c>
      <c r="Z22" s="190">
        <v>36151655.140000001</v>
      </c>
      <c r="AA22" s="190">
        <v>8343822.9500000002</v>
      </c>
      <c r="AB22" s="190">
        <v>4610348.46</v>
      </c>
      <c r="AC22" s="190">
        <v>58324839.75</v>
      </c>
      <c r="AD22" s="190">
        <v>31014853.870000001</v>
      </c>
      <c r="AE22" s="190">
        <v>7504657.2999999998</v>
      </c>
      <c r="AF22" s="190">
        <v>5151978.1900000004</v>
      </c>
      <c r="AG22" s="190">
        <v>24376002.670000002</v>
      </c>
      <c r="AH22" s="190">
        <v>17017660.52</v>
      </c>
      <c r="AI22" s="190">
        <v>5750465.3300000001</v>
      </c>
      <c r="AJ22" s="190">
        <v>3801149.31</v>
      </c>
      <c r="AK22" s="190">
        <v>17416030.960000001</v>
      </c>
      <c r="AL22" s="190">
        <v>12979604.359999999</v>
      </c>
      <c r="AM22" s="190">
        <v>4247313.34</v>
      </c>
      <c r="AN22" s="190">
        <v>2833742.03</v>
      </c>
      <c r="AO22" s="190">
        <v>13812249.279999999</v>
      </c>
      <c r="AP22" s="190">
        <v>11639330.220000001</v>
      </c>
      <c r="AQ22" s="190">
        <v>4374064.3600000003</v>
      </c>
      <c r="AR22" s="190">
        <v>2877945.92</v>
      </c>
      <c r="AS22" s="190">
        <v>26911995.609999999</v>
      </c>
      <c r="AT22" s="190">
        <v>22743686.75</v>
      </c>
      <c r="AU22" s="190">
        <v>7442870.0300000003</v>
      </c>
      <c r="AV22" s="190">
        <v>4464330.5199999996</v>
      </c>
      <c r="AW22" s="190">
        <v>27963222.629999999</v>
      </c>
      <c r="AX22" s="190">
        <v>22137475.440000001</v>
      </c>
      <c r="AY22" s="190">
        <v>6284476.8499999996</v>
      </c>
      <c r="AZ22" s="190">
        <v>3948762.01</v>
      </c>
      <c r="BA22" s="190">
        <v>24196946.079999998</v>
      </c>
      <c r="BB22" s="190">
        <v>17148005.68</v>
      </c>
      <c r="BC22" s="190">
        <v>3813386.94</v>
      </c>
      <c r="BD22" s="190">
        <v>2465194.89</v>
      </c>
      <c r="BE22" s="190">
        <v>22476587.969999999</v>
      </c>
      <c r="BF22" s="190">
        <v>14627785.24</v>
      </c>
      <c r="BG22" s="190">
        <v>2439093.34</v>
      </c>
      <c r="BH22" s="190">
        <v>23087738.219999999</v>
      </c>
      <c r="BI22" s="190">
        <v>18286954.449999999</v>
      </c>
      <c r="BJ22" s="190">
        <v>0</v>
      </c>
    </row>
    <row r="23" spans="1:62" x14ac:dyDescent="0.25">
      <c r="A23" s="190" t="s">
        <v>210</v>
      </c>
      <c r="B23" s="190">
        <v>413873093.00999999</v>
      </c>
      <c r="C23" s="190">
        <v>169598417.31999999</v>
      </c>
      <c r="D23" s="190">
        <v>-98322500.569999993</v>
      </c>
      <c r="E23" s="190">
        <v>613800128.70000005</v>
      </c>
      <c r="F23" s="190">
        <v>216061517.28</v>
      </c>
      <c r="G23" s="190">
        <v>28520918.170000002</v>
      </c>
      <c r="H23" s="190">
        <v>-105792075.17</v>
      </c>
      <c r="I23" s="190">
        <v>338910428.31999999</v>
      </c>
      <c r="J23" s="190">
        <v>95376111.579999998</v>
      </c>
      <c r="K23" s="190">
        <v>-22452081.77</v>
      </c>
      <c r="L23" s="190">
        <v>-129068576.48999999</v>
      </c>
      <c r="M23" s="190">
        <v>260273434.15000001</v>
      </c>
      <c r="N23" s="190">
        <v>78525430.810000002</v>
      </c>
      <c r="O23" s="190">
        <v>9233034.6500000004</v>
      </c>
      <c r="P23" s="190">
        <v>3003137.25</v>
      </c>
      <c r="Q23" s="190">
        <v>49513142.68</v>
      </c>
      <c r="R23" s="190">
        <v>39155974.07</v>
      </c>
      <c r="S23" s="190">
        <v>11281332.34</v>
      </c>
      <c r="T23" s="190">
        <v>4052304.99</v>
      </c>
      <c r="U23" s="190">
        <v>-6234721.9000000004</v>
      </c>
      <c r="V23" s="190">
        <v>36912100.030000001</v>
      </c>
      <c r="W23" s="190">
        <v>9141405.1199999992</v>
      </c>
      <c r="X23" s="190">
        <v>5225807.2300000004</v>
      </c>
      <c r="Y23" s="190">
        <v>60983292.909999996</v>
      </c>
      <c r="Z23" s="190">
        <v>37805303.740000002</v>
      </c>
      <c r="AA23" s="190">
        <v>9586368.9900000002</v>
      </c>
      <c r="AB23" s="190">
        <v>5365672.1399999997</v>
      </c>
      <c r="AC23" s="190">
        <v>58920201.939999998</v>
      </c>
      <c r="AD23" s="190">
        <v>31256008.18</v>
      </c>
      <c r="AE23" s="190">
        <v>7662303.0700000003</v>
      </c>
      <c r="AF23" s="190">
        <v>4788797.67</v>
      </c>
      <c r="AG23" s="190">
        <v>23212922.219999999</v>
      </c>
      <c r="AH23" s="190">
        <v>16037225.939999999</v>
      </c>
      <c r="AI23" s="190">
        <v>5255561.78</v>
      </c>
      <c r="AJ23" s="190">
        <v>3451153.42</v>
      </c>
      <c r="AK23" s="190">
        <v>18982637.879999999</v>
      </c>
      <c r="AL23" s="190">
        <v>12674911.859999999</v>
      </c>
      <c r="AM23" s="190">
        <v>4110492.55</v>
      </c>
      <c r="AN23" s="190">
        <v>2609780.77</v>
      </c>
      <c r="AO23" s="190">
        <v>13076583.59</v>
      </c>
      <c r="AP23" s="190">
        <v>10925144.890000001</v>
      </c>
      <c r="AQ23" s="190">
        <v>3651487.72</v>
      </c>
      <c r="AR23" s="190">
        <v>2356800.7400000002</v>
      </c>
      <c r="AS23" s="190">
        <v>25182667.559999999</v>
      </c>
      <c r="AT23" s="190">
        <v>21272830.210000001</v>
      </c>
      <c r="AU23" s="190">
        <v>6450335.5499999998</v>
      </c>
      <c r="AV23" s="190">
        <v>4030442.05</v>
      </c>
      <c r="AW23" s="190">
        <v>26415585.140000001</v>
      </c>
      <c r="AX23" s="190">
        <v>20737650.440000001</v>
      </c>
      <c r="AY23" s="190">
        <v>5820843.5</v>
      </c>
      <c r="AZ23" s="190">
        <v>3883193.65</v>
      </c>
      <c r="BA23" s="190">
        <v>22698755.120000001</v>
      </c>
      <c r="BB23" s="190">
        <v>15792503.220000001</v>
      </c>
      <c r="BC23" s="190">
        <v>3092908.56</v>
      </c>
      <c r="BD23" s="190">
        <v>2417471.7400000002</v>
      </c>
      <c r="BE23" s="190">
        <v>20520965.34</v>
      </c>
      <c r="BF23" s="190">
        <v>13352905.35</v>
      </c>
      <c r="BG23" s="190">
        <v>2407005.71</v>
      </c>
      <c r="BH23" s="190">
        <v>20079864.170000002</v>
      </c>
      <c r="BI23" s="190">
        <v>16178335.560000001</v>
      </c>
      <c r="BJ23" s="190">
        <v>0</v>
      </c>
    </row>
    <row r="24" spans="1:62" x14ac:dyDescent="0.25">
      <c r="A24" s="190" t="s">
        <v>211</v>
      </c>
      <c r="B24" s="190">
        <v>85212664.379999995</v>
      </c>
      <c r="C24" s="190">
        <v>51452865.57</v>
      </c>
      <c r="D24" s="190">
        <v>-1143068.29</v>
      </c>
      <c r="E24" s="190">
        <v>80526066.5</v>
      </c>
      <c r="F24" s="190">
        <v>39042659.380000003</v>
      </c>
      <c r="G24" s="190">
        <v>8006768.3499999996</v>
      </c>
      <c r="H24" s="190">
        <v>-7163308.7800000003</v>
      </c>
      <c r="I24" s="190">
        <v>39605055.359999999</v>
      </c>
      <c r="J24" s="190">
        <v>16846276.379999999</v>
      </c>
      <c r="K24" s="190">
        <v>591634.93000000005</v>
      </c>
      <c r="L24" s="190">
        <v>-10108025.93</v>
      </c>
      <c r="M24" s="190">
        <v>25886799.039999999</v>
      </c>
      <c r="N24" s="190">
        <v>6981196.0899999999</v>
      </c>
      <c r="O24" s="190">
        <v>897621.78</v>
      </c>
      <c r="P24" s="190">
        <v>1313001.8999999999</v>
      </c>
      <c r="Q24" s="190">
        <v>-4419661.17</v>
      </c>
      <c r="R24" s="190">
        <v>295808.64000000001</v>
      </c>
      <c r="S24" s="190">
        <v>-55503.71</v>
      </c>
      <c r="T24" s="190">
        <v>480862.64</v>
      </c>
      <c r="U24" s="190">
        <v>-38934760.390000001</v>
      </c>
      <c r="V24" s="190">
        <v>-1479101.96</v>
      </c>
      <c r="W24" s="190">
        <v>-660787.81000000006</v>
      </c>
      <c r="X24" s="190">
        <v>-465806.61</v>
      </c>
      <c r="Y24" s="190">
        <v>-2105590.15</v>
      </c>
      <c r="Z24" s="190">
        <v>-1653648.6</v>
      </c>
      <c r="AA24" s="190">
        <v>-1242546.04</v>
      </c>
      <c r="AB24" s="190">
        <v>-755323.68</v>
      </c>
      <c r="AC24" s="190">
        <v>-595362.18999999994</v>
      </c>
      <c r="AD24" s="190">
        <v>-241154.31</v>
      </c>
      <c r="AE24" s="190">
        <v>-157645.76999999999</v>
      </c>
      <c r="AF24" s="190">
        <v>363180.52</v>
      </c>
      <c r="AG24" s="190">
        <v>1163080.45</v>
      </c>
      <c r="AH24" s="190">
        <v>980434.58</v>
      </c>
      <c r="AI24" s="190">
        <v>494903.55</v>
      </c>
      <c r="AJ24" s="190">
        <v>349995.89</v>
      </c>
      <c r="AK24" s="190">
        <v>-1566606.92</v>
      </c>
      <c r="AL24" s="190">
        <v>304692.5</v>
      </c>
      <c r="AM24" s="190">
        <v>136820.79</v>
      </c>
      <c r="AN24" s="190">
        <v>223961.26</v>
      </c>
      <c r="AO24" s="190">
        <v>735665.69</v>
      </c>
      <c r="AP24" s="190">
        <v>714185.33</v>
      </c>
      <c r="AQ24" s="190">
        <v>722576.64</v>
      </c>
      <c r="AR24" s="190">
        <v>521145.18</v>
      </c>
      <c r="AS24" s="190">
        <v>1729328.05</v>
      </c>
      <c r="AT24" s="190">
        <v>1470856.54</v>
      </c>
      <c r="AU24" s="190">
        <v>992534.48</v>
      </c>
      <c r="AV24" s="190">
        <v>433888.47</v>
      </c>
      <c r="AW24" s="190">
        <v>1547637.49</v>
      </c>
      <c r="AX24" s="190">
        <v>1399825</v>
      </c>
      <c r="AY24" s="190">
        <v>463633.35</v>
      </c>
      <c r="AZ24" s="190">
        <v>65568.36</v>
      </c>
      <c r="BA24" s="190">
        <v>1498190.96</v>
      </c>
      <c r="BB24" s="190">
        <v>1355502.46</v>
      </c>
      <c r="BC24" s="190">
        <v>720478.38</v>
      </c>
      <c r="BD24" s="190">
        <v>47723.15</v>
      </c>
      <c r="BE24" s="190">
        <v>1955622.63</v>
      </c>
      <c r="BF24" s="190">
        <v>1274879.8899999999</v>
      </c>
      <c r="BG24" s="190">
        <v>32087.63</v>
      </c>
      <c r="BH24" s="190">
        <v>3007874.05</v>
      </c>
      <c r="BI24" s="190">
        <v>2108618.89</v>
      </c>
      <c r="BJ24" s="190">
        <v>0</v>
      </c>
    </row>
    <row r="25" spans="1:62" x14ac:dyDescent="0.25">
      <c r="A25" s="190" t="s">
        <v>212</v>
      </c>
    </row>
    <row r="26" spans="1:62" x14ac:dyDescent="0.25">
      <c r="A26" s="190" t="s">
        <v>213</v>
      </c>
      <c r="B26" s="190">
        <v>0.13</v>
      </c>
      <c r="C26" s="190">
        <v>0.05</v>
      </c>
      <c r="D26" s="190">
        <v>-0.04</v>
      </c>
      <c r="E26" s="190">
        <v>0.24</v>
      </c>
      <c r="F26" s="190">
        <v>0.09</v>
      </c>
      <c r="G26" s="190">
        <v>0.01</v>
      </c>
      <c r="H26" s="190">
        <v>-0.04</v>
      </c>
      <c r="I26" s="190">
        <v>0.14000000000000001</v>
      </c>
      <c r="J26" s="190">
        <v>0.04</v>
      </c>
      <c r="K26" s="190">
        <v>-0.01</v>
      </c>
      <c r="L26" s="190">
        <v>-0.11</v>
      </c>
      <c r="M26" s="190">
        <v>0.25</v>
      </c>
      <c r="N26" s="190">
        <v>0.08</v>
      </c>
      <c r="O26" s="190">
        <v>0.03</v>
      </c>
      <c r="P26" s="190">
        <v>1.2999999999999999E-2</v>
      </c>
      <c r="Q26" s="190">
        <v>0.22</v>
      </c>
      <c r="R26" s="190">
        <v>0.17</v>
      </c>
      <c r="S26" s="190">
        <v>0.05</v>
      </c>
      <c r="T26" s="190">
        <v>1.7999999999999999E-2</v>
      </c>
      <c r="U26" s="190">
        <v>-0.03</v>
      </c>
      <c r="V26" s="190">
        <v>0.16500000000000001</v>
      </c>
      <c r="W26" s="190">
        <v>4.1000000000000002E-2</v>
      </c>
      <c r="X26" s="190">
        <v>2.3E-2</v>
      </c>
      <c r="Y26" s="190">
        <v>0.27</v>
      </c>
      <c r="Z26" s="190">
        <v>0.16900000000000001</v>
      </c>
      <c r="AA26" s="190">
        <v>4.2999999999999997E-2</v>
      </c>
      <c r="AB26" s="190">
        <v>2.4E-2</v>
      </c>
      <c r="AC26" s="190">
        <v>0.26</v>
      </c>
      <c r="AD26" s="190">
        <v>0.13900000000000001</v>
      </c>
      <c r="AE26" s="190">
        <v>3.4000000000000002E-2</v>
      </c>
      <c r="AF26" s="190">
        <v>2.1000000000000001E-2</v>
      </c>
      <c r="AG26" s="190">
        <v>0.1</v>
      </c>
      <c r="AH26" s="190">
        <v>7.1999999999999995E-2</v>
      </c>
      <c r="AI26" s="190">
        <v>2.3E-2</v>
      </c>
      <c r="AJ26" s="190">
        <v>2.1000000000000001E-2</v>
      </c>
      <c r="AK26" s="190">
        <v>0.12</v>
      </c>
      <c r="AL26" s="190">
        <v>0.08</v>
      </c>
      <c r="AM26" s="190">
        <v>0.03</v>
      </c>
      <c r="AN26" s="190">
        <v>0.02</v>
      </c>
      <c r="AO26" s="190">
        <v>0.08</v>
      </c>
      <c r="AP26" s="190">
        <v>7.0000000000000007E-2</v>
      </c>
      <c r="AQ26" s="190">
        <v>0.02</v>
      </c>
      <c r="AR26" s="190">
        <v>0.01</v>
      </c>
      <c r="AS26" s="190">
        <v>0.15</v>
      </c>
      <c r="AT26" s="190">
        <v>0.13</v>
      </c>
      <c r="AU26" s="190">
        <v>0.04</v>
      </c>
      <c r="AV26" s="190">
        <v>0.03</v>
      </c>
      <c r="AW26" s="190">
        <v>0.21</v>
      </c>
      <c r="AX26" s="190">
        <v>0.16600000000000001</v>
      </c>
      <c r="AY26" s="190">
        <v>4.7E-2</v>
      </c>
      <c r="AZ26" s="190">
        <v>0.03</v>
      </c>
      <c r="BA26" s="190">
        <v>0.2064</v>
      </c>
      <c r="BB26" s="190">
        <v>0</v>
      </c>
      <c r="BC26" s="190">
        <v>3.3000000000000002E-2</v>
      </c>
      <c r="BD26" s="190">
        <v>0</v>
      </c>
      <c r="BE26" s="190">
        <v>0.25650000000000001</v>
      </c>
      <c r="BF26" s="190">
        <v>0</v>
      </c>
      <c r="BG26" s="190">
        <v>0</v>
      </c>
      <c r="BH26" s="190">
        <v>0.251</v>
      </c>
      <c r="BI26" s="190">
        <v>0.20219999999999999</v>
      </c>
      <c r="BJ26" s="190">
        <v>0</v>
      </c>
    </row>
    <row r="27" spans="1:62" x14ac:dyDescent="0.25">
      <c r="A27" s="190" t="s">
        <v>214</v>
      </c>
      <c r="B27" s="190">
        <v>0.13</v>
      </c>
      <c r="C27" s="190">
        <v>0.05</v>
      </c>
      <c r="D27" s="190">
        <v>-0.04</v>
      </c>
      <c r="E27" s="190">
        <v>0.24</v>
      </c>
      <c r="F27" s="190">
        <v>0.09</v>
      </c>
      <c r="G27" s="190">
        <v>0.01</v>
      </c>
      <c r="H27" s="190">
        <v>-0.04</v>
      </c>
      <c r="I27" s="190">
        <v>0.14000000000000001</v>
      </c>
      <c r="J27" s="190">
        <v>0.04</v>
      </c>
      <c r="K27" s="190">
        <v>-0.01</v>
      </c>
      <c r="L27" s="190">
        <v>-0.11</v>
      </c>
      <c r="M27" s="190">
        <v>0.25</v>
      </c>
      <c r="N27" s="190">
        <v>0.08</v>
      </c>
      <c r="O27" s="190">
        <v>0.03</v>
      </c>
      <c r="P27" s="190">
        <v>1.2999999999999999E-2</v>
      </c>
      <c r="Q27" s="190">
        <v>0.22</v>
      </c>
      <c r="R27" s="190">
        <v>0.17</v>
      </c>
      <c r="S27" s="190">
        <v>0.05</v>
      </c>
      <c r="T27" s="190">
        <v>1.7999999999999999E-2</v>
      </c>
      <c r="U27" s="190">
        <v>-0.03</v>
      </c>
      <c r="V27" s="190">
        <v>0.16500000000000001</v>
      </c>
      <c r="W27" s="190">
        <v>4.1000000000000002E-2</v>
      </c>
      <c r="X27" s="190">
        <v>2.3E-2</v>
      </c>
      <c r="Y27" s="190">
        <v>0.27</v>
      </c>
      <c r="Z27" s="190">
        <v>0.16900000000000001</v>
      </c>
      <c r="AA27" s="190">
        <v>4.2999999999999997E-2</v>
      </c>
      <c r="AB27" s="190">
        <v>2.4E-2</v>
      </c>
      <c r="AC27" s="190">
        <v>0.26</v>
      </c>
      <c r="AD27" s="190">
        <v>0.13900000000000001</v>
      </c>
      <c r="AE27" s="190">
        <v>3.4000000000000002E-2</v>
      </c>
      <c r="AF27" s="190">
        <v>2.1000000000000001E-2</v>
      </c>
      <c r="AG27" s="190">
        <v>0.1</v>
      </c>
      <c r="AH27" s="190">
        <v>7.1999999999999995E-2</v>
      </c>
      <c r="AI27" s="190">
        <v>2.3E-2</v>
      </c>
      <c r="AJ27" s="190">
        <v>2.1000000000000001E-2</v>
      </c>
      <c r="AK27" s="190">
        <v>0.12</v>
      </c>
      <c r="AL27" s="190">
        <v>0.08</v>
      </c>
      <c r="AM27" s="190">
        <v>0.03</v>
      </c>
      <c r="AN27" s="190">
        <v>0.02</v>
      </c>
      <c r="AO27" s="190">
        <v>0.08</v>
      </c>
      <c r="AP27" s="190">
        <v>7.0000000000000007E-2</v>
      </c>
      <c r="AQ27" s="190">
        <v>0.02</v>
      </c>
      <c r="AR27" s="190">
        <v>0.01</v>
      </c>
      <c r="AS27" s="190">
        <v>0.15</v>
      </c>
      <c r="AT27" s="190">
        <v>0.13</v>
      </c>
      <c r="AU27" s="190">
        <v>0.04</v>
      </c>
      <c r="AV27" s="190">
        <v>0.03</v>
      </c>
      <c r="AW27" s="190">
        <v>0.21</v>
      </c>
      <c r="AX27" s="190">
        <v>0.16600000000000001</v>
      </c>
      <c r="AY27" s="190">
        <v>4.7E-2</v>
      </c>
      <c r="AZ27" s="190">
        <v>0.03</v>
      </c>
      <c r="BA27" s="190">
        <v>0</v>
      </c>
      <c r="BB27" s="190">
        <v>0</v>
      </c>
      <c r="BC27" s="190">
        <v>0</v>
      </c>
      <c r="BD27" s="190">
        <v>0</v>
      </c>
      <c r="BE27" s="190">
        <v>0</v>
      </c>
      <c r="BF27" s="190">
        <v>0</v>
      </c>
      <c r="BG27" s="190">
        <v>0</v>
      </c>
      <c r="BH27" s="190">
        <v>0</v>
      </c>
      <c r="BI27" s="190">
        <v>0</v>
      </c>
      <c r="BJ27" s="190">
        <v>0</v>
      </c>
    </row>
    <row r="28" spans="1:62" x14ac:dyDescent="0.25">
      <c r="A28" s="190" t="s">
        <v>215</v>
      </c>
      <c r="B28" s="190">
        <v>1237975.6499999999</v>
      </c>
      <c r="C28" s="190">
        <v>246471.42</v>
      </c>
      <c r="D28" s="190">
        <v>-415154.45</v>
      </c>
      <c r="E28" s="190">
        <v>-123320.1</v>
      </c>
      <c r="F28" s="190">
        <v>-16284.65</v>
      </c>
      <c r="G28" s="190">
        <v>-57107.79</v>
      </c>
      <c r="H28" s="190">
        <v>-11022.36</v>
      </c>
      <c r="I28" s="190">
        <v>201253.77</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row>
    <row r="29" spans="1:62" x14ac:dyDescent="0.25">
      <c r="A29" s="190" t="s">
        <v>216</v>
      </c>
      <c r="B29" s="190">
        <v>500323733.04000002</v>
      </c>
      <c r="C29" s="190">
        <v>221297754.31</v>
      </c>
      <c r="D29" s="190">
        <v>-99880723.310000002</v>
      </c>
      <c r="E29" s="190">
        <v>694202875.10000002</v>
      </c>
      <c r="F29" s="190">
        <v>255087892.00999999</v>
      </c>
      <c r="G29" s="190">
        <v>36470578.729999997</v>
      </c>
      <c r="H29" s="190">
        <v>-112966406.31</v>
      </c>
      <c r="I29" s="190">
        <v>378716737.44999999</v>
      </c>
      <c r="J29" s="190">
        <v>112222387.95999999</v>
      </c>
      <c r="K29" s="190">
        <v>-21860446.84</v>
      </c>
      <c r="L29" s="190">
        <v>-139176602.41999999</v>
      </c>
      <c r="M29" s="190">
        <v>286160233.19</v>
      </c>
      <c r="N29" s="190">
        <v>85506626.900000006</v>
      </c>
      <c r="O29" s="190">
        <v>10130656.43</v>
      </c>
      <c r="P29" s="190">
        <v>4316139.1500000004</v>
      </c>
      <c r="Q29" s="190">
        <v>45093481.509999998</v>
      </c>
      <c r="R29" s="190">
        <v>39451782.710000001</v>
      </c>
      <c r="S29" s="190">
        <v>11225828.630000001</v>
      </c>
      <c r="T29" s="190">
        <v>4533167.63</v>
      </c>
      <c r="U29" s="190">
        <v>-45169482.289999999</v>
      </c>
      <c r="V29" s="190">
        <v>35432998.07</v>
      </c>
      <c r="W29" s="190">
        <v>8480617.3100000005</v>
      </c>
      <c r="X29" s="190">
        <v>4760000.62</v>
      </c>
      <c r="Y29" s="190">
        <v>58877702.759999998</v>
      </c>
      <c r="Z29" s="190">
        <v>36151655.140000001</v>
      </c>
      <c r="AA29" s="190">
        <v>8343822.9500000002</v>
      </c>
      <c r="AB29" s="190">
        <v>4610348.46</v>
      </c>
      <c r="AC29" s="190">
        <v>58324839.75</v>
      </c>
      <c r="AD29" s="190">
        <v>31014853.870000001</v>
      </c>
      <c r="AE29" s="190">
        <v>7504657.2999999998</v>
      </c>
      <c r="AF29" s="190">
        <v>5151978.1900000004</v>
      </c>
      <c r="AG29" s="190">
        <v>24376002.670000002</v>
      </c>
      <c r="AH29" s="190">
        <v>17017660.52</v>
      </c>
      <c r="AI29" s="190">
        <v>5750465.3300000001</v>
      </c>
      <c r="AJ29" s="190">
        <v>3801149.31</v>
      </c>
      <c r="AK29" s="190">
        <v>17416030.960000001</v>
      </c>
      <c r="AL29" s="190">
        <v>12979604.359999999</v>
      </c>
      <c r="AM29" s="190">
        <v>4247313.34</v>
      </c>
      <c r="AN29" s="190">
        <v>2833742.03</v>
      </c>
      <c r="AO29" s="190">
        <v>13812249.279999999</v>
      </c>
      <c r="AP29" s="190">
        <v>11639330.220000001</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row>
    <row r="30" spans="1:62" x14ac:dyDescent="0.25">
      <c r="A30" s="190" t="s">
        <v>217</v>
      </c>
      <c r="B30" s="190">
        <v>415111068.66000003</v>
      </c>
      <c r="C30" s="190">
        <v>169844888.74000001</v>
      </c>
      <c r="D30" s="190">
        <v>-98737655.019999996</v>
      </c>
      <c r="E30" s="190">
        <v>613676808.60000002</v>
      </c>
      <c r="F30" s="190">
        <v>216045232.63</v>
      </c>
      <c r="G30" s="190">
        <v>28463810.379999999</v>
      </c>
      <c r="H30" s="190">
        <v>-105803097.53</v>
      </c>
      <c r="I30" s="190">
        <v>339111682.08999997</v>
      </c>
      <c r="J30" s="190">
        <v>95376111.579999998</v>
      </c>
      <c r="K30" s="190">
        <v>-22452081.77</v>
      </c>
      <c r="L30" s="190">
        <v>-129068576.48999999</v>
      </c>
      <c r="M30" s="190">
        <v>260273434.15000001</v>
      </c>
      <c r="N30" s="190">
        <v>78525430.810000002</v>
      </c>
      <c r="O30" s="190">
        <v>9233034.6500000004</v>
      </c>
      <c r="P30" s="190">
        <v>3003137.25</v>
      </c>
      <c r="Q30" s="190">
        <v>49513142.68</v>
      </c>
      <c r="R30" s="190">
        <v>39155974.07</v>
      </c>
      <c r="S30" s="190">
        <v>11281332.34</v>
      </c>
      <c r="T30" s="190">
        <v>4052304.99</v>
      </c>
      <c r="U30" s="190">
        <v>-6234721.9000000004</v>
      </c>
      <c r="V30" s="190">
        <v>36912100.030000001</v>
      </c>
      <c r="W30" s="190">
        <v>9141405.1199999992</v>
      </c>
      <c r="X30" s="190">
        <v>5225807.2300000004</v>
      </c>
      <c r="Y30" s="190">
        <v>60983292.909999996</v>
      </c>
      <c r="Z30" s="190">
        <v>37805303.740000002</v>
      </c>
      <c r="AA30" s="190">
        <v>9586368.9900000002</v>
      </c>
      <c r="AB30" s="190">
        <v>5365672.1399999997</v>
      </c>
      <c r="AC30" s="190">
        <v>58920201.939999998</v>
      </c>
      <c r="AD30" s="190">
        <v>31256008.18</v>
      </c>
      <c r="AE30" s="190">
        <v>7662303.0700000003</v>
      </c>
      <c r="AF30" s="190">
        <v>4788797.67</v>
      </c>
      <c r="AG30" s="190">
        <v>23212922.219999999</v>
      </c>
      <c r="AH30" s="190">
        <v>16037225.939999999</v>
      </c>
      <c r="AI30" s="190">
        <v>5255561.78</v>
      </c>
      <c r="AJ30" s="190">
        <v>3451153.42</v>
      </c>
      <c r="AK30" s="190">
        <v>18982637.879999999</v>
      </c>
      <c r="AL30" s="190">
        <v>12674911.859999999</v>
      </c>
      <c r="AM30" s="190">
        <v>4110492.55</v>
      </c>
      <c r="AN30" s="190">
        <v>2609780.77</v>
      </c>
      <c r="AO30" s="190">
        <v>13076583.59</v>
      </c>
      <c r="AP30" s="190">
        <v>10925144.890000001</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row>
    <row r="31" spans="1:62" x14ac:dyDescent="0.25">
      <c r="A31" s="190" t="s">
        <v>218</v>
      </c>
      <c r="B31" s="190">
        <v>85212664.379999995</v>
      </c>
      <c r="C31" s="190">
        <v>51452865.57</v>
      </c>
      <c r="D31" s="190">
        <v>-1143068.29</v>
      </c>
      <c r="E31" s="190">
        <v>80526066.5</v>
      </c>
      <c r="F31" s="190">
        <v>39042659.380000003</v>
      </c>
      <c r="G31" s="190">
        <v>8006768.3499999996</v>
      </c>
      <c r="H31" s="190">
        <v>-7163308.7800000003</v>
      </c>
      <c r="I31" s="190">
        <v>39605055.359999999</v>
      </c>
      <c r="J31" s="190">
        <v>16846276.379999999</v>
      </c>
      <c r="K31" s="190">
        <v>591634.93000000005</v>
      </c>
      <c r="L31" s="190">
        <v>-10108025.93</v>
      </c>
      <c r="M31" s="190">
        <v>25886799.039999999</v>
      </c>
      <c r="N31" s="190">
        <v>6981196.0899999999</v>
      </c>
      <c r="O31" s="190">
        <v>897621.78</v>
      </c>
      <c r="P31" s="190">
        <v>1313001.8999999999</v>
      </c>
      <c r="Q31" s="190">
        <v>-4419661.17</v>
      </c>
      <c r="R31" s="190">
        <v>295808.64000000001</v>
      </c>
      <c r="S31" s="190">
        <v>-55503.71</v>
      </c>
      <c r="T31" s="190">
        <v>480862.64</v>
      </c>
      <c r="U31" s="190">
        <v>-38934760.390000001</v>
      </c>
      <c r="V31" s="190">
        <v>-1479101.96</v>
      </c>
      <c r="W31" s="190">
        <v>-660787.81000000006</v>
      </c>
      <c r="X31" s="190">
        <v>-465806.61</v>
      </c>
      <c r="Y31" s="190">
        <v>-2105590.15</v>
      </c>
      <c r="Z31" s="190">
        <v>-1653648.6</v>
      </c>
      <c r="AA31" s="190">
        <v>-1242546.04</v>
      </c>
      <c r="AB31" s="190">
        <v>-755323.68</v>
      </c>
      <c r="AC31" s="190">
        <v>-595362.18999999994</v>
      </c>
      <c r="AD31" s="190">
        <v>-241154.31</v>
      </c>
      <c r="AE31" s="190">
        <v>-157645.76999999999</v>
      </c>
      <c r="AF31" s="190">
        <v>363180.52</v>
      </c>
      <c r="AG31" s="190">
        <v>1163080.45</v>
      </c>
      <c r="AH31" s="190">
        <v>980434.58</v>
      </c>
      <c r="AI31" s="190">
        <v>494903.55</v>
      </c>
      <c r="AJ31" s="190">
        <v>349995.89</v>
      </c>
      <c r="AK31" s="190">
        <v>-1566606.92</v>
      </c>
      <c r="AL31" s="190">
        <v>304692.5</v>
      </c>
      <c r="AM31" s="190">
        <v>136820.79</v>
      </c>
      <c r="AN31" s="190">
        <v>223961.26</v>
      </c>
      <c r="AO31" s="190">
        <v>735665.69</v>
      </c>
      <c r="AP31" s="190">
        <v>714185.33</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E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4" width="12.77734375" style="190" hidden="1" customWidth="1"/>
    <col min="15"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7" width="13.88671875" style="190" hidden="1" customWidth="1"/>
    <col min="28" max="28" width="12.77734375" style="190" hidden="1" customWidth="1"/>
    <col min="29" max="29" width="13.88671875" style="190" bestFit="1" customWidth="1"/>
    <col min="30" max="32" width="13.886718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38" width="12.77734375" style="190" hidden="1" customWidth="1"/>
    <col min="39" max="39" width="13.88671875" style="190" hidden="1" customWidth="1"/>
    <col min="40" max="40" width="12.77734375" style="190" hidden="1" customWidth="1"/>
    <col min="41" max="41" width="13.88671875" style="190" bestFit="1" customWidth="1"/>
    <col min="42" max="42" width="12.77734375" style="190" hidden="1" customWidth="1"/>
    <col min="43" max="43" width="13.88671875" style="190" hidden="1" customWidth="1"/>
    <col min="44" max="44" width="12.77734375" style="190" hidden="1" customWidth="1"/>
    <col min="45" max="45" width="13.88671875" style="190" bestFit="1" customWidth="1"/>
    <col min="46" max="47" width="13.88671875" style="190" hidden="1" customWidth="1"/>
    <col min="48" max="48" width="12.77734375" style="190" hidden="1" customWidth="1"/>
    <col min="49" max="49" width="13.88671875" style="190" bestFit="1" customWidth="1"/>
    <col min="50" max="51" width="13.88671875" style="190" hidden="1" customWidth="1"/>
    <col min="52" max="52" width="12.77734375" style="190" hidden="1" customWidth="1"/>
    <col min="53" max="53" width="13.88671875" style="190" bestFit="1" customWidth="1"/>
    <col min="54" max="55" width="13.88671875" style="190" hidden="1" customWidth="1"/>
    <col min="56" max="56" width="13.88671875" style="190" bestFit="1" customWidth="1"/>
    <col min="57" max="57" width="9.5546875" style="190" hidden="1" customWidth="1"/>
    <col min="58" max="16384" width="8.88671875" style="190"/>
  </cols>
  <sheetData>
    <row r="1" spans="1:57" x14ac:dyDescent="0.25">
      <c r="A1" s="190">
        <v>2044</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19700101</v>
      </c>
    </row>
    <row r="2" spans="1:57"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row>
    <row r="3" spans="1:57" x14ac:dyDescent="0.25">
      <c r="A3" s="190" t="s">
        <v>219</v>
      </c>
    </row>
    <row r="4" spans="1:57" x14ac:dyDescent="0.25">
      <c r="A4" s="190" t="s">
        <v>220</v>
      </c>
      <c r="B4" s="190">
        <v>4926985054.9399996</v>
      </c>
      <c r="C4" s="190">
        <v>2956796172.4299998</v>
      </c>
      <c r="D4" s="190">
        <v>1624382973.98</v>
      </c>
      <c r="E4" s="190">
        <v>6365503568.4300003</v>
      </c>
      <c r="F4" s="190">
        <v>2563812880.6199999</v>
      </c>
      <c r="G4" s="190">
        <v>1434475395.1600001</v>
      </c>
      <c r="H4" s="190">
        <v>734676277.87</v>
      </c>
      <c r="I4" s="190">
        <v>2996647206.96</v>
      </c>
      <c r="J4" s="190">
        <v>1608019774.3399999</v>
      </c>
      <c r="K4" s="190">
        <v>925311345.46000004</v>
      </c>
      <c r="L4" s="190">
        <v>497404132.92000002</v>
      </c>
      <c r="M4" s="190">
        <v>2007165347.3099999</v>
      </c>
      <c r="N4" s="190">
        <v>1255295061.2</v>
      </c>
      <c r="O4" s="190">
        <v>219369473.03999999</v>
      </c>
      <c r="P4" s="190">
        <v>134656836.88999999</v>
      </c>
      <c r="Q4" s="190">
        <v>729675637.25999999</v>
      </c>
      <c r="R4" s="190">
        <v>461048190.47000003</v>
      </c>
      <c r="S4" s="190">
        <v>221636268.99000001</v>
      </c>
      <c r="T4" s="190">
        <v>121405850.08</v>
      </c>
      <c r="U4" s="190">
        <v>818944827.64999998</v>
      </c>
      <c r="V4" s="190">
        <v>535894525.52999997</v>
      </c>
      <c r="W4" s="190">
        <v>296943999.95999998</v>
      </c>
      <c r="X4" s="190">
        <v>158423526.66999999</v>
      </c>
      <c r="Y4" s="190">
        <v>695136214.37</v>
      </c>
      <c r="Z4" s="190">
        <v>498755274.87</v>
      </c>
      <c r="AA4" s="190">
        <v>245931844.19</v>
      </c>
      <c r="AB4" s="190">
        <v>132755071.81</v>
      </c>
      <c r="AC4" s="190">
        <v>751409957.61000001</v>
      </c>
      <c r="AD4" s="190">
        <v>533218581.94999999</v>
      </c>
      <c r="AE4" s="190">
        <v>259714741.61000001</v>
      </c>
      <c r="AF4" s="190">
        <v>113588937.41</v>
      </c>
      <c r="AG4" s="190">
        <v>570193955.13</v>
      </c>
      <c r="AH4" s="190">
        <v>349422574.08999997</v>
      </c>
      <c r="AI4" s="190">
        <v>186863822.75</v>
      </c>
      <c r="AJ4" s="190">
        <v>126922728.20999999</v>
      </c>
      <c r="AK4" s="190">
        <v>534102709.42000002</v>
      </c>
      <c r="AL4" s="190">
        <v>370297207.61000001</v>
      </c>
      <c r="AM4" s="190">
        <v>199969332.44</v>
      </c>
      <c r="AN4" s="190">
        <v>108299394.04000001</v>
      </c>
      <c r="AO4" s="190">
        <v>441443269.69999999</v>
      </c>
      <c r="AP4" s="190">
        <v>287267891.01999998</v>
      </c>
      <c r="AQ4" s="190">
        <v>190717958.13</v>
      </c>
      <c r="AR4" s="190">
        <v>110970878.48999999</v>
      </c>
      <c r="AS4" s="190">
        <v>564252268.80999994</v>
      </c>
      <c r="AT4" s="190">
        <v>429697088.97000003</v>
      </c>
      <c r="AU4" s="190">
        <v>251850745.08000001</v>
      </c>
      <c r="AV4" s="190">
        <v>117979610.13</v>
      </c>
      <c r="AW4" s="190">
        <v>606495973.63</v>
      </c>
      <c r="AX4" s="190">
        <v>429730394.70999998</v>
      </c>
      <c r="AY4" s="190">
        <v>276992441.45999998</v>
      </c>
      <c r="AZ4" s="190">
        <v>121935846.84999999</v>
      </c>
      <c r="BA4" s="190">
        <v>586815278.88</v>
      </c>
      <c r="BB4" s="190">
        <v>422348027.94</v>
      </c>
      <c r="BC4" s="190">
        <v>255113644.09999999</v>
      </c>
      <c r="BD4" s="190">
        <v>581554886.69000006</v>
      </c>
      <c r="BE4" s="190">
        <v>0</v>
      </c>
    </row>
    <row r="5" spans="1:57" x14ac:dyDescent="0.25">
      <c r="A5" s="190" t="s">
        <v>221</v>
      </c>
      <c r="B5" s="190">
        <v>1704208.49</v>
      </c>
      <c r="C5" s="190">
        <v>1094935.79</v>
      </c>
      <c r="D5" s="190">
        <v>0</v>
      </c>
      <c r="E5" s="190">
        <v>1735750.13</v>
      </c>
      <c r="F5" s="190">
        <v>810198.62</v>
      </c>
      <c r="G5" s="190">
        <v>167526.32999999999</v>
      </c>
      <c r="H5" s="190">
        <v>81696.009999999995</v>
      </c>
      <c r="I5" s="190">
        <v>973038.04</v>
      </c>
      <c r="J5" s="190">
        <v>973038.04</v>
      </c>
      <c r="K5" s="190">
        <v>977049.78</v>
      </c>
      <c r="L5" s="190">
        <v>611328.5</v>
      </c>
      <c r="M5" s="190">
        <v>1053593.82</v>
      </c>
      <c r="N5" s="190">
        <v>1248637.67</v>
      </c>
      <c r="O5" s="190">
        <v>11006405.59</v>
      </c>
      <c r="P5" s="190">
        <v>5175268.33</v>
      </c>
      <c r="Q5" s="190">
        <v>28861797.120000001</v>
      </c>
      <c r="R5" s="190">
        <v>25420542.690000001</v>
      </c>
      <c r="S5" s="190">
        <v>6666841.2800000003</v>
      </c>
      <c r="T5" s="190">
        <v>1364873.53</v>
      </c>
      <c r="U5" s="190">
        <v>42614642.030000001</v>
      </c>
      <c r="V5" s="190">
        <v>28965856.93</v>
      </c>
      <c r="W5" s="190">
        <v>14737348.73</v>
      </c>
      <c r="X5" s="190">
        <v>4404445.8899999997</v>
      </c>
      <c r="Y5" s="190">
        <v>35374454.270000003</v>
      </c>
      <c r="Z5" s="190">
        <v>21605201.43</v>
      </c>
      <c r="AA5" s="190">
        <v>8740469.7799999993</v>
      </c>
      <c r="AB5" s="190">
        <v>7863302.1600000001</v>
      </c>
      <c r="AC5" s="190">
        <v>38645466.759999998</v>
      </c>
      <c r="AD5" s="190">
        <v>29950782.609999999</v>
      </c>
      <c r="AE5" s="190">
        <v>19307274.420000002</v>
      </c>
      <c r="AF5" s="190">
        <v>11622183.23</v>
      </c>
      <c r="AG5" s="190">
        <v>31617394.640000001</v>
      </c>
      <c r="AH5" s="190">
        <v>16820167.210000001</v>
      </c>
      <c r="AI5" s="190">
        <v>12319250.289999999</v>
      </c>
      <c r="AJ5" s="190">
        <v>6866955.5800000001</v>
      </c>
      <c r="AK5" s="190">
        <v>33153259.379999999</v>
      </c>
      <c r="AL5" s="190">
        <v>15954645.609999999</v>
      </c>
      <c r="AM5" s="190">
        <v>9558984.4399999995</v>
      </c>
      <c r="AN5" s="190">
        <v>5696324.3600000003</v>
      </c>
      <c r="AO5" s="190">
        <v>9988646.6400000006</v>
      </c>
      <c r="AP5" s="190">
        <v>5875393.8300000001</v>
      </c>
      <c r="AQ5" s="190">
        <v>4986930.74</v>
      </c>
      <c r="AR5" s="190">
        <v>3669682.35</v>
      </c>
      <c r="AS5" s="190">
        <v>15499353.439999999</v>
      </c>
      <c r="AT5" s="190">
        <v>11091143.380000001</v>
      </c>
      <c r="AU5" s="190">
        <v>5701289.8700000001</v>
      </c>
      <c r="AV5" s="190">
        <v>3964186.3</v>
      </c>
      <c r="AW5" s="190">
        <v>15147986.73</v>
      </c>
      <c r="AX5" s="190">
        <v>8752506.4399999995</v>
      </c>
      <c r="AY5" s="190">
        <v>5587380.1200000001</v>
      </c>
      <c r="AZ5" s="190">
        <v>3329437.72</v>
      </c>
      <c r="BA5" s="190">
        <v>8518779.7599999998</v>
      </c>
      <c r="BB5" s="190">
        <v>5899336.9900000002</v>
      </c>
      <c r="BC5" s="190">
        <v>2909681.3</v>
      </c>
      <c r="BD5" s="190">
        <v>19878124.050000001</v>
      </c>
      <c r="BE5" s="190">
        <v>0</v>
      </c>
    </row>
    <row r="6" spans="1:57" x14ac:dyDescent="0.25">
      <c r="A6" s="190" t="s">
        <v>222</v>
      </c>
      <c r="B6" s="190">
        <v>75257343.540000007</v>
      </c>
      <c r="C6" s="190">
        <v>45369979.82</v>
      </c>
      <c r="D6" s="190">
        <v>8574437.4100000001</v>
      </c>
      <c r="E6" s="190">
        <v>220392938.81999999</v>
      </c>
      <c r="F6" s="190">
        <v>38514309.460000001</v>
      </c>
      <c r="G6" s="190">
        <v>8267131.2699999996</v>
      </c>
      <c r="H6" s="190">
        <v>9849295.25</v>
      </c>
      <c r="I6" s="190">
        <v>145209595.74000001</v>
      </c>
      <c r="J6" s="190">
        <v>29494872.68</v>
      </c>
      <c r="K6" s="190">
        <v>7929923.96</v>
      </c>
      <c r="L6" s="190">
        <v>11565586.66</v>
      </c>
      <c r="M6" s="190">
        <v>56084354.600000001</v>
      </c>
      <c r="N6" s="190">
        <v>39032168.649999999</v>
      </c>
      <c r="O6" s="190">
        <v>95185597.310000002</v>
      </c>
      <c r="P6" s="190">
        <v>21736872.34</v>
      </c>
      <c r="Q6" s="190">
        <v>29752834.449999999</v>
      </c>
      <c r="R6" s="190">
        <v>12715290.960000001</v>
      </c>
      <c r="S6" s="190">
        <v>20513662.079999998</v>
      </c>
      <c r="T6" s="190">
        <v>13208200.470000001</v>
      </c>
      <c r="U6" s="190">
        <v>4833533.0199999996</v>
      </c>
      <c r="V6" s="190">
        <v>3160357.53</v>
      </c>
      <c r="W6" s="190">
        <v>2152735.33</v>
      </c>
      <c r="X6" s="190">
        <v>909699.23</v>
      </c>
      <c r="Y6" s="190">
        <v>4342048.3</v>
      </c>
      <c r="Z6" s="190">
        <v>3362578.4</v>
      </c>
      <c r="AA6" s="190">
        <v>2166033.27</v>
      </c>
      <c r="AB6" s="190">
        <v>1427034.85</v>
      </c>
      <c r="AC6" s="190">
        <v>6285382.1600000001</v>
      </c>
      <c r="AD6" s="190">
        <v>6304775.9000000004</v>
      </c>
      <c r="AE6" s="190">
        <v>3459107.7</v>
      </c>
      <c r="AF6" s="190">
        <v>1815356.43</v>
      </c>
      <c r="AG6" s="190">
        <v>23120301.32</v>
      </c>
      <c r="AH6" s="190">
        <v>5422028.5199999996</v>
      </c>
      <c r="AI6" s="190">
        <v>3336994.58</v>
      </c>
      <c r="AJ6" s="190">
        <v>2848281.42</v>
      </c>
      <c r="AK6" s="190">
        <v>10245016.43</v>
      </c>
      <c r="AL6" s="190">
        <v>8452324.75</v>
      </c>
      <c r="AM6" s="190">
        <v>5531453.75</v>
      </c>
      <c r="AN6" s="190">
        <v>2866152.56</v>
      </c>
      <c r="AO6" s="190">
        <v>9469231.0099999998</v>
      </c>
      <c r="AP6" s="190">
        <v>3239894.73</v>
      </c>
      <c r="AQ6" s="190">
        <v>4055309.72</v>
      </c>
      <c r="AR6" s="190">
        <v>3162754.69</v>
      </c>
      <c r="AS6" s="190">
        <v>5197826.7300000004</v>
      </c>
      <c r="AT6" s="190">
        <v>4374008.26</v>
      </c>
      <c r="AU6" s="190">
        <v>3669795.5</v>
      </c>
      <c r="AV6" s="190">
        <v>2928246.1</v>
      </c>
      <c r="AW6" s="190">
        <v>2781173.63</v>
      </c>
      <c r="AX6" s="190">
        <v>2567027.48</v>
      </c>
      <c r="AY6" s="190">
        <v>2531897.29</v>
      </c>
      <c r="AZ6" s="190">
        <v>1750483.82</v>
      </c>
      <c r="BA6" s="190">
        <v>5187407.16</v>
      </c>
      <c r="BB6" s="190">
        <v>1464524.1</v>
      </c>
      <c r="BC6" s="190">
        <v>2276699.5</v>
      </c>
      <c r="BD6" s="190">
        <v>12430507.18</v>
      </c>
      <c r="BE6" s="190">
        <v>0</v>
      </c>
    </row>
    <row r="7" spans="1:57" x14ac:dyDescent="0.25">
      <c r="A7" s="190" t="s">
        <v>223</v>
      </c>
      <c r="B7" s="190">
        <v>5003946606.9700003</v>
      </c>
      <c r="C7" s="190">
        <v>3003261088.04</v>
      </c>
      <c r="D7" s="190">
        <v>1632957411.3900001</v>
      </c>
      <c r="E7" s="190">
        <v>6587632257.3800001</v>
      </c>
      <c r="F7" s="190">
        <v>2603137388.6999998</v>
      </c>
      <c r="G7" s="190">
        <v>1442910052.76</v>
      </c>
      <c r="H7" s="190">
        <v>744607269.13</v>
      </c>
      <c r="I7" s="190">
        <v>3142829840.7399998</v>
      </c>
      <c r="J7" s="190">
        <v>1638487685.0599999</v>
      </c>
      <c r="K7" s="190">
        <v>934218319.20000005</v>
      </c>
      <c r="L7" s="190">
        <v>509581048.07999998</v>
      </c>
      <c r="M7" s="190">
        <v>2064303295.73</v>
      </c>
      <c r="N7" s="190">
        <v>1295575867.52</v>
      </c>
      <c r="O7" s="190">
        <v>334130325.63999999</v>
      </c>
      <c r="P7" s="190">
        <v>165778182.24000001</v>
      </c>
      <c r="Q7" s="190">
        <v>807777319.45000005</v>
      </c>
      <c r="R7" s="190">
        <v>513309747.51999998</v>
      </c>
      <c r="S7" s="190">
        <v>257051454.28999999</v>
      </c>
      <c r="T7" s="190">
        <v>140253051.52000001</v>
      </c>
      <c r="U7" s="190">
        <v>876333825.03999996</v>
      </c>
      <c r="V7" s="190">
        <v>568020739.99000001</v>
      </c>
      <c r="W7" s="190">
        <v>313834084.01999998</v>
      </c>
      <c r="X7" s="190">
        <v>163737671.78999999</v>
      </c>
      <c r="Y7" s="190">
        <v>734852716.94000006</v>
      </c>
      <c r="Z7" s="190">
        <v>523723054.69999999</v>
      </c>
      <c r="AA7" s="190">
        <v>256838347.24000001</v>
      </c>
      <c r="AB7" s="190">
        <v>142045408.81999999</v>
      </c>
      <c r="AC7" s="190">
        <v>796340806.52999997</v>
      </c>
      <c r="AD7" s="190">
        <v>569474140.46000004</v>
      </c>
      <c r="AE7" s="190">
        <v>282481123.73000002</v>
      </c>
      <c r="AF7" s="190">
        <v>127026477.06999999</v>
      </c>
      <c r="AG7" s="190">
        <v>624931651.09000003</v>
      </c>
      <c r="AH7" s="190">
        <v>371664769.81999999</v>
      </c>
      <c r="AI7" s="190">
        <v>202520067.62</v>
      </c>
      <c r="AJ7" s="190">
        <v>136637965.21000001</v>
      </c>
      <c r="AK7" s="190">
        <v>577500985.23000002</v>
      </c>
      <c r="AL7" s="190">
        <v>394704177.97000003</v>
      </c>
      <c r="AM7" s="190">
        <v>215059770.63</v>
      </c>
      <c r="AN7" s="190">
        <v>116861870.95999999</v>
      </c>
      <c r="AO7" s="190">
        <v>460901147.35000002</v>
      </c>
      <c r="AP7" s="190">
        <v>296383179.57999998</v>
      </c>
      <c r="AQ7" s="190">
        <v>199760198.59</v>
      </c>
      <c r="AR7" s="190">
        <v>117803315.53</v>
      </c>
      <c r="AS7" s="190">
        <v>584949448.98000002</v>
      </c>
      <c r="AT7" s="190">
        <v>445162240.61000001</v>
      </c>
      <c r="AU7" s="190">
        <v>261221830.44999999</v>
      </c>
      <c r="AV7" s="190">
        <v>124872042.53</v>
      </c>
      <c r="AW7" s="190">
        <v>624425133.99000001</v>
      </c>
      <c r="AX7" s="190">
        <v>441049928.63</v>
      </c>
      <c r="AY7" s="190">
        <v>285111718.87</v>
      </c>
      <c r="AZ7" s="190">
        <v>127015768.39</v>
      </c>
      <c r="BA7" s="190">
        <v>600521465.79999995</v>
      </c>
      <c r="BB7" s="190">
        <v>429711889.02999997</v>
      </c>
      <c r="BC7" s="190">
        <v>260300024.90000001</v>
      </c>
      <c r="BD7" s="190">
        <v>613863517.91999996</v>
      </c>
      <c r="BE7" s="190">
        <v>0</v>
      </c>
    </row>
    <row r="8" spans="1:57" x14ac:dyDescent="0.25">
      <c r="A8" s="190" t="s">
        <v>224</v>
      </c>
      <c r="B8" s="190">
        <v>1871206882.05</v>
      </c>
      <c r="C8" s="190">
        <v>1126691227.03</v>
      </c>
      <c r="D8" s="190">
        <v>616921875.88</v>
      </c>
      <c r="E8" s="190">
        <v>1735677826.6400001</v>
      </c>
      <c r="F8" s="190">
        <v>856433476.79999995</v>
      </c>
      <c r="G8" s="190">
        <v>454963734</v>
      </c>
      <c r="H8" s="190">
        <v>298591130.30000001</v>
      </c>
      <c r="I8" s="190">
        <v>781758916.35000002</v>
      </c>
      <c r="J8" s="190">
        <v>614886313.38</v>
      </c>
      <c r="K8" s="190">
        <v>280544184.22000003</v>
      </c>
      <c r="L8" s="190">
        <v>264833431.72999999</v>
      </c>
      <c r="M8" s="190">
        <v>561321834.40999997</v>
      </c>
      <c r="N8" s="190">
        <v>489046815.98000002</v>
      </c>
      <c r="O8" s="190">
        <v>258771722.56999999</v>
      </c>
      <c r="P8" s="190">
        <v>109393546.27</v>
      </c>
      <c r="Q8" s="190">
        <v>520279276.26999998</v>
      </c>
      <c r="R8" s="190">
        <v>386459034.92000002</v>
      </c>
      <c r="S8" s="190">
        <v>234963797.44</v>
      </c>
      <c r="T8" s="190">
        <v>95722820.790000007</v>
      </c>
      <c r="U8" s="190">
        <v>653764447.67999995</v>
      </c>
      <c r="V8" s="190">
        <v>485180916.74000001</v>
      </c>
      <c r="W8" s="190">
        <v>291060157.99000001</v>
      </c>
      <c r="X8" s="190">
        <v>123741299.36</v>
      </c>
      <c r="Y8" s="190">
        <v>527425391.63</v>
      </c>
      <c r="Z8" s="190">
        <v>389274946.60000002</v>
      </c>
      <c r="AA8" s="190">
        <v>228879600.58000001</v>
      </c>
      <c r="AB8" s="190">
        <v>93434068</v>
      </c>
      <c r="AC8" s="190">
        <v>611801729.51999998</v>
      </c>
      <c r="AD8" s="190">
        <v>435935982.60000002</v>
      </c>
      <c r="AE8" s="190">
        <v>230287125.59</v>
      </c>
      <c r="AF8" s="190">
        <v>80161402.819999993</v>
      </c>
      <c r="AG8" s="190">
        <v>494229957.38</v>
      </c>
      <c r="AH8" s="190">
        <v>328490588.72000003</v>
      </c>
      <c r="AI8" s="190">
        <v>145406043.63999999</v>
      </c>
      <c r="AJ8" s="190">
        <v>90490850.540000007</v>
      </c>
      <c r="AK8" s="190">
        <v>441443482.63999999</v>
      </c>
      <c r="AL8" s="190">
        <v>292968096.56</v>
      </c>
      <c r="AM8" s="190">
        <v>151980840.63</v>
      </c>
      <c r="AN8" s="190">
        <v>76783428.049999997</v>
      </c>
      <c r="AO8" s="190">
        <v>333112880.50999999</v>
      </c>
      <c r="AP8" s="190">
        <v>222176966.63999999</v>
      </c>
      <c r="AQ8" s="190">
        <v>140223540.88</v>
      </c>
      <c r="AR8" s="190">
        <v>64848005.93</v>
      </c>
      <c r="AS8" s="190">
        <v>416635042.57999998</v>
      </c>
      <c r="AT8" s="190">
        <v>304812873.58999997</v>
      </c>
      <c r="AU8" s="190">
        <v>164444339.34</v>
      </c>
      <c r="AV8" s="190">
        <v>80553118.489999995</v>
      </c>
      <c r="AW8" s="190">
        <v>459004274.41000003</v>
      </c>
      <c r="AX8" s="190">
        <v>328984130.49000001</v>
      </c>
      <c r="AY8" s="190">
        <v>207273632.52000001</v>
      </c>
      <c r="AZ8" s="190">
        <v>98711983.319999993</v>
      </c>
      <c r="BA8" s="190">
        <v>446074522.51999998</v>
      </c>
      <c r="BB8" s="190">
        <v>324475334.25999999</v>
      </c>
      <c r="BC8" s="190">
        <v>189863866.68000001</v>
      </c>
      <c r="BD8" s="190">
        <v>443258079.81999999</v>
      </c>
      <c r="BE8" s="190">
        <v>0</v>
      </c>
    </row>
    <row r="9" spans="1:57" x14ac:dyDescent="0.25">
      <c r="A9" s="190" t="s">
        <v>225</v>
      </c>
      <c r="B9" s="190">
        <v>2260522049.4099998</v>
      </c>
      <c r="C9" s="190">
        <v>1500355785.0799999</v>
      </c>
      <c r="D9" s="190">
        <v>731814160.20000005</v>
      </c>
      <c r="E9" s="190">
        <v>2187291484.0300002</v>
      </c>
      <c r="F9" s="190">
        <v>1045420812.29</v>
      </c>
      <c r="G9" s="190">
        <v>652793678.22000003</v>
      </c>
      <c r="H9" s="190">
        <v>323280615.83999997</v>
      </c>
      <c r="I9" s="190">
        <v>1008641925.25</v>
      </c>
      <c r="J9" s="190">
        <v>669728251.63999999</v>
      </c>
      <c r="K9" s="190">
        <v>418294029.52999997</v>
      </c>
      <c r="L9" s="190">
        <v>209612355.61000001</v>
      </c>
      <c r="M9" s="190">
        <v>747644103.13999999</v>
      </c>
      <c r="N9" s="190">
        <v>511722342.19999999</v>
      </c>
      <c r="O9" s="190">
        <v>53528847.100000001</v>
      </c>
      <c r="P9" s="190">
        <v>34353450.590000004</v>
      </c>
      <c r="Q9" s="190">
        <v>89055988.120000005</v>
      </c>
      <c r="R9" s="190">
        <v>60422681.990000002</v>
      </c>
      <c r="S9" s="190">
        <v>40189477.530000001</v>
      </c>
      <c r="T9" s="190">
        <v>24090784.859999999</v>
      </c>
      <c r="U9" s="190">
        <v>88663992.299999997</v>
      </c>
      <c r="V9" s="190">
        <v>60929233.399999999</v>
      </c>
      <c r="W9" s="190">
        <v>38513042.75</v>
      </c>
      <c r="X9" s="190">
        <v>22240314.52</v>
      </c>
      <c r="Y9" s="190">
        <v>79826509.209999993</v>
      </c>
      <c r="Z9" s="190">
        <v>61828788.270000003</v>
      </c>
      <c r="AA9" s="190">
        <v>39676427.979999997</v>
      </c>
      <c r="AB9" s="190">
        <v>19239507.100000001</v>
      </c>
      <c r="AC9" s="190">
        <v>68637526.060000002</v>
      </c>
      <c r="AD9" s="190">
        <v>52098579.509999998</v>
      </c>
      <c r="AE9" s="190">
        <v>39435107.840000004</v>
      </c>
      <c r="AF9" s="190">
        <v>17163129.960000001</v>
      </c>
      <c r="AG9" s="190">
        <v>72110375.489999995</v>
      </c>
      <c r="AH9" s="190">
        <v>43937841.979999997</v>
      </c>
      <c r="AI9" s="190">
        <v>34885391.490000002</v>
      </c>
      <c r="AJ9" s="190">
        <v>15321839.77</v>
      </c>
      <c r="AK9" s="190">
        <v>62430105.759999998</v>
      </c>
      <c r="AL9" s="190">
        <v>50248326.049999997</v>
      </c>
      <c r="AM9" s="190">
        <v>37081508.509999998</v>
      </c>
      <c r="AN9" s="190">
        <v>16153032.619999999</v>
      </c>
      <c r="AO9" s="190">
        <v>75393032.730000004</v>
      </c>
      <c r="AP9" s="190">
        <v>47555284.119999997</v>
      </c>
      <c r="AQ9" s="190">
        <v>41524749.140000001</v>
      </c>
      <c r="AR9" s="190">
        <v>20072836.390000001</v>
      </c>
      <c r="AS9" s="190">
        <v>101508801.76000001</v>
      </c>
      <c r="AT9" s="190">
        <v>69708689.230000004</v>
      </c>
      <c r="AU9" s="190">
        <v>46942742.82</v>
      </c>
      <c r="AV9" s="190">
        <v>21188679</v>
      </c>
      <c r="AW9" s="190">
        <v>100012476.70999999</v>
      </c>
      <c r="AX9" s="190">
        <v>61751002.469999999</v>
      </c>
      <c r="AY9" s="190">
        <v>43450341.960000001</v>
      </c>
      <c r="AZ9" s="190">
        <v>22625762.199999999</v>
      </c>
      <c r="BA9" s="190">
        <v>73920169.640000001</v>
      </c>
      <c r="BB9" s="190">
        <v>56281937.32</v>
      </c>
      <c r="BC9" s="190">
        <v>40414259.289999999</v>
      </c>
      <c r="BD9" s="190">
        <v>93481901.659999996</v>
      </c>
      <c r="BE9" s="190">
        <v>0</v>
      </c>
    </row>
    <row r="10" spans="1:57" x14ac:dyDescent="0.25">
      <c r="A10" s="190" t="s">
        <v>226</v>
      </c>
      <c r="B10" s="190">
        <v>201814040.13</v>
      </c>
      <c r="C10" s="190">
        <v>140141747.77000001</v>
      </c>
      <c r="D10" s="190">
        <v>92269203.269999996</v>
      </c>
      <c r="E10" s="190">
        <v>225451494.13999999</v>
      </c>
      <c r="F10" s="190">
        <v>118682348.48999999</v>
      </c>
      <c r="G10" s="190">
        <v>87915612.819999993</v>
      </c>
      <c r="H10" s="190">
        <v>58902390.990000002</v>
      </c>
      <c r="I10" s="190">
        <v>98218674.370000005</v>
      </c>
      <c r="J10" s="190">
        <v>68057940.180000007</v>
      </c>
      <c r="K10" s="190">
        <v>53709110.789999999</v>
      </c>
      <c r="L10" s="190">
        <v>38873837.020000003</v>
      </c>
      <c r="M10" s="190">
        <v>60149161.630000003</v>
      </c>
      <c r="N10" s="190">
        <v>44678269.740000002</v>
      </c>
      <c r="O10" s="190">
        <v>12849516.699999999</v>
      </c>
      <c r="P10" s="190">
        <v>8502137.5500000007</v>
      </c>
      <c r="Q10" s="190">
        <v>38293599.240000002</v>
      </c>
      <c r="R10" s="190">
        <v>23224134.989999998</v>
      </c>
      <c r="S10" s="190">
        <v>18008065.210000001</v>
      </c>
      <c r="T10" s="190">
        <v>12883889.67</v>
      </c>
      <c r="U10" s="190">
        <v>32562186</v>
      </c>
      <c r="V10" s="190">
        <v>19575992.609999999</v>
      </c>
      <c r="W10" s="190">
        <v>17033063.050000001</v>
      </c>
      <c r="X10" s="190">
        <v>10294642.73</v>
      </c>
      <c r="Y10" s="190">
        <v>39421291.439999998</v>
      </c>
      <c r="Z10" s="190">
        <v>26278356.09</v>
      </c>
      <c r="AA10" s="190">
        <v>21321139.66</v>
      </c>
      <c r="AB10" s="190">
        <v>13547843.460000001</v>
      </c>
      <c r="AC10" s="190">
        <v>20386630.760000002</v>
      </c>
      <c r="AD10" s="190">
        <v>10728067.880000001</v>
      </c>
      <c r="AE10" s="190">
        <v>7732212.9000000004</v>
      </c>
      <c r="AF10" s="190">
        <v>4761431.71</v>
      </c>
      <c r="AG10" s="190">
        <v>15713562.560000001</v>
      </c>
      <c r="AH10" s="190">
        <v>13039743.439999999</v>
      </c>
      <c r="AI10" s="190">
        <v>9087535.9199999999</v>
      </c>
      <c r="AJ10" s="190">
        <v>3590886.27</v>
      </c>
      <c r="AK10" s="190">
        <v>12499356.73</v>
      </c>
      <c r="AL10" s="190">
        <v>8471570.0800000001</v>
      </c>
      <c r="AM10" s="190">
        <v>5510170.0999999996</v>
      </c>
      <c r="AN10" s="190">
        <v>2371100.89</v>
      </c>
      <c r="AO10" s="190">
        <v>12504761.119999999</v>
      </c>
      <c r="AP10" s="190">
        <v>9531982.4100000001</v>
      </c>
      <c r="AQ10" s="190">
        <v>7605520.4400000004</v>
      </c>
      <c r="AR10" s="190">
        <v>4510888.71</v>
      </c>
      <c r="AS10" s="190">
        <v>19000836.390000001</v>
      </c>
      <c r="AT10" s="190">
        <v>14790948.57</v>
      </c>
      <c r="AU10" s="190">
        <v>9358070.3800000008</v>
      </c>
      <c r="AV10" s="190">
        <v>2702931.12</v>
      </c>
      <c r="AW10" s="190">
        <v>17961051.969999999</v>
      </c>
      <c r="AX10" s="190">
        <v>13072244.26</v>
      </c>
      <c r="AY10" s="190">
        <v>8191706.5899999999</v>
      </c>
      <c r="AZ10" s="190">
        <v>2881470.91</v>
      </c>
      <c r="BA10" s="190">
        <v>15787948.289999999</v>
      </c>
      <c r="BB10" s="190">
        <v>12382740.949999999</v>
      </c>
      <c r="BC10" s="190">
        <v>8718672.7300000004</v>
      </c>
      <c r="BD10" s="190">
        <v>17337931.789999999</v>
      </c>
      <c r="BE10" s="190">
        <v>0</v>
      </c>
    </row>
    <row r="11" spans="1:57" x14ac:dyDescent="0.25">
      <c r="A11" s="190" t="s">
        <v>227</v>
      </c>
      <c r="B11" s="190">
        <v>584249916.70000005</v>
      </c>
      <c r="C11" s="190">
        <v>478754095.95999998</v>
      </c>
      <c r="D11" s="190">
        <v>352803019.73000002</v>
      </c>
      <c r="E11" s="190">
        <v>994679400.80999994</v>
      </c>
      <c r="F11" s="190">
        <v>557549848.58000004</v>
      </c>
      <c r="G11" s="190">
        <v>325029261.20999998</v>
      </c>
      <c r="H11" s="190">
        <v>271035223.75</v>
      </c>
      <c r="I11" s="190">
        <v>547128755.73000002</v>
      </c>
      <c r="J11" s="190">
        <v>293705663.47000003</v>
      </c>
      <c r="K11" s="190">
        <v>200021755.22</v>
      </c>
      <c r="L11" s="190">
        <v>163725622.78</v>
      </c>
      <c r="M11" s="190">
        <v>365348794.47000003</v>
      </c>
      <c r="N11" s="190">
        <v>231459347.41</v>
      </c>
      <c r="O11" s="190">
        <v>38523333.119999997</v>
      </c>
      <c r="P11" s="190">
        <v>8756486.7100000009</v>
      </c>
      <c r="Q11" s="190">
        <v>57719017.420000002</v>
      </c>
      <c r="R11" s="190">
        <v>40888872.329999998</v>
      </c>
      <c r="S11" s="190">
        <v>18944354.539999999</v>
      </c>
      <c r="T11" s="190">
        <v>10122720</v>
      </c>
      <c r="U11" s="190">
        <v>32784229.32</v>
      </c>
      <c r="V11" s="190">
        <v>17189978.399999999</v>
      </c>
      <c r="W11" s="190">
        <v>10274833.359999999</v>
      </c>
      <c r="X11" s="190">
        <v>5715363.1799999997</v>
      </c>
      <c r="Y11" s="190">
        <v>21485866.379999999</v>
      </c>
      <c r="Z11" s="190">
        <v>14291172.710000001</v>
      </c>
      <c r="AA11" s="190">
        <v>10748462</v>
      </c>
      <c r="AB11" s="190">
        <v>5470385.54</v>
      </c>
      <c r="AC11" s="190">
        <v>32086602.120000001</v>
      </c>
      <c r="AD11" s="190">
        <v>20120966.879999999</v>
      </c>
      <c r="AE11" s="190">
        <v>19015402.940000001</v>
      </c>
      <c r="AF11" s="190">
        <v>4925420.12</v>
      </c>
      <c r="AG11" s="190">
        <v>35482597.859999999</v>
      </c>
      <c r="AH11" s="190">
        <v>16336076.82</v>
      </c>
      <c r="AI11" s="190">
        <v>9984998.5500000007</v>
      </c>
      <c r="AJ11" s="190">
        <v>7597106.8200000003</v>
      </c>
      <c r="AK11" s="190">
        <v>20626625.050000001</v>
      </c>
      <c r="AL11" s="190">
        <v>28737396.530000001</v>
      </c>
      <c r="AM11" s="190">
        <v>10612425.800000001</v>
      </c>
      <c r="AN11" s="190">
        <v>7598332.3200000003</v>
      </c>
      <c r="AO11" s="190">
        <v>14806295.960000001</v>
      </c>
      <c r="AP11" s="190">
        <v>11130759.49</v>
      </c>
      <c r="AQ11" s="190">
        <v>9886414.4399999995</v>
      </c>
      <c r="AR11" s="190">
        <v>8357678.3399999999</v>
      </c>
      <c r="AS11" s="190">
        <v>20533735.510000002</v>
      </c>
      <c r="AT11" s="190">
        <v>12281835.65</v>
      </c>
      <c r="AU11" s="190">
        <v>10534678.539999999</v>
      </c>
      <c r="AV11" s="190">
        <v>5066626.91</v>
      </c>
      <c r="AW11" s="190">
        <v>20974050.559999999</v>
      </c>
      <c r="AX11" s="190">
        <v>17058174.170000002</v>
      </c>
      <c r="AY11" s="190">
        <v>10767665.949999999</v>
      </c>
      <c r="AZ11" s="190">
        <v>1527431.03</v>
      </c>
      <c r="BA11" s="190">
        <v>15454940.359999999</v>
      </c>
      <c r="BB11" s="190">
        <v>10101276.890000001</v>
      </c>
      <c r="BC11" s="190">
        <v>7410287.4800000004</v>
      </c>
      <c r="BD11" s="190">
        <v>17716737.059999999</v>
      </c>
      <c r="BE11" s="190">
        <v>0</v>
      </c>
    </row>
    <row r="12" spans="1:57" x14ac:dyDescent="0.25">
      <c r="A12" s="190" t="s">
        <v>228</v>
      </c>
      <c r="B12" s="190">
        <v>4917792888.29</v>
      </c>
      <c r="C12" s="190">
        <v>3245942855.8400002</v>
      </c>
      <c r="D12" s="190">
        <v>1793808259.0799999</v>
      </c>
      <c r="E12" s="190">
        <v>5143100205.6199999</v>
      </c>
      <c r="F12" s="190">
        <v>2578086486.1599998</v>
      </c>
      <c r="G12" s="190">
        <v>1520702286.25</v>
      </c>
      <c r="H12" s="190">
        <v>951809360.88</v>
      </c>
      <c r="I12" s="190">
        <v>2435748271.6999998</v>
      </c>
      <c r="J12" s="190">
        <v>1646378168.6700001</v>
      </c>
      <c r="K12" s="190">
        <v>952569079.75999999</v>
      </c>
      <c r="L12" s="190">
        <v>677045247.13999999</v>
      </c>
      <c r="M12" s="190">
        <v>1734463893.6500001</v>
      </c>
      <c r="N12" s="190">
        <v>1276906775.3299999</v>
      </c>
      <c r="O12" s="190">
        <v>423903316.83999997</v>
      </c>
      <c r="P12" s="190">
        <v>162810621.12</v>
      </c>
      <c r="Q12" s="190">
        <v>777931373.24000001</v>
      </c>
      <c r="R12" s="190">
        <v>566786573.98000002</v>
      </c>
      <c r="S12" s="190">
        <v>358614276.41000003</v>
      </c>
      <c r="T12" s="190">
        <v>183429085.18000001</v>
      </c>
      <c r="U12" s="190">
        <v>850173484.38999999</v>
      </c>
      <c r="V12" s="190">
        <v>582876121.14999998</v>
      </c>
      <c r="W12" s="190">
        <v>356881097.14999998</v>
      </c>
      <c r="X12" s="190">
        <v>161991619.78999999</v>
      </c>
      <c r="Y12" s="190">
        <v>668159058.65999997</v>
      </c>
      <c r="Z12" s="190">
        <v>491673263.67000002</v>
      </c>
      <c r="AA12" s="190">
        <v>300625630.22000003</v>
      </c>
      <c r="AB12" s="190">
        <v>131691804.09999999</v>
      </c>
      <c r="AC12" s="190">
        <v>732912488.46000004</v>
      </c>
      <c r="AD12" s="190">
        <v>518883596.87</v>
      </c>
      <c r="AE12" s="190">
        <v>296469849.26999998</v>
      </c>
      <c r="AF12" s="190">
        <v>107011384.61</v>
      </c>
      <c r="AG12" s="190">
        <v>617536493.28999996</v>
      </c>
      <c r="AH12" s="190">
        <v>401804250.95999998</v>
      </c>
      <c r="AI12" s="190">
        <v>199363969.59999999</v>
      </c>
      <c r="AJ12" s="190">
        <v>117000683.40000001</v>
      </c>
      <c r="AK12" s="190">
        <v>536999570.17999995</v>
      </c>
      <c r="AL12" s="190">
        <v>380425389.22000003</v>
      </c>
      <c r="AM12" s="190">
        <v>205184945.03999999</v>
      </c>
      <c r="AN12" s="190">
        <v>102905893.88</v>
      </c>
      <c r="AO12" s="190">
        <v>435816970.31999999</v>
      </c>
      <c r="AP12" s="190">
        <v>290394992.66000003</v>
      </c>
      <c r="AQ12" s="190">
        <v>199240224.90000001</v>
      </c>
      <c r="AR12" s="190">
        <v>97789409.370000005</v>
      </c>
      <c r="AS12" s="190">
        <v>557678416.24000001</v>
      </c>
      <c r="AT12" s="190">
        <v>401594347.04000002</v>
      </c>
      <c r="AU12" s="190">
        <v>231279831.08000001</v>
      </c>
      <c r="AV12" s="190">
        <v>109511355.52</v>
      </c>
      <c r="AW12" s="190">
        <v>597951853.64999998</v>
      </c>
      <c r="AX12" s="190">
        <v>420865551.38999999</v>
      </c>
      <c r="AY12" s="190">
        <v>269683347.01999998</v>
      </c>
      <c r="AZ12" s="190">
        <v>125746647.45999999</v>
      </c>
      <c r="BA12" s="190">
        <v>551237580.80999994</v>
      </c>
      <c r="BB12" s="190">
        <v>403241289.42000002</v>
      </c>
      <c r="BC12" s="190">
        <v>246407086.18000001</v>
      </c>
      <c r="BD12" s="190">
        <v>571794650.33000004</v>
      </c>
      <c r="BE12" s="190">
        <v>0</v>
      </c>
    </row>
    <row r="13" spans="1:57" x14ac:dyDescent="0.25">
      <c r="A13" s="190" t="s">
        <v>229</v>
      </c>
      <c r="B13" s="190">
        <v>86153718.680000007</v>
      </c>
      <c r="C13" s="190">
        <v>-242681767.80000001</v>
      </c>
      <c r="D13" s="190">
        <v>-160850847.69</v>
      </c>
      <c r="E13" s="190">
        <v>1444532051.76</v>
      </c>
      <c r="F13" s="190">
        <v>25050902.539999999</v>
      </c>
      <c r="G13" s="190">
        <v>-77792233.489999995</v>
      </c>
      <c r="H13" s="190">
        <v>-207202091.75</v>
      </c>
      <c r="I13" s="190">
        <v>707081569.03999996</v>
      </c>
      <c r="J13" s="190">
        <v>-7890483.6100000003</v>
      </c>
      <c r="K13" s="190">
        <v>-18350760.559999999</v>
      </c>
      <c r="L13" s="190">
        <v>-167464199.06</v>
      </c>
      <c r="M13" s="190">
        <v>329839402.07999998</v>
      </c>
      <c r="N13" s="190">
        <v>18669092.190000001</v>
      </c>
      <c r="O13" s="190">
        <v>-89772991.200000003</v>
      </c>
      <c r="P13" s="190">
        <v>2967561.12</v>
      </c>
      <c r="Q13" s="190">
        <v>29845946.210000001</v>
      </c>
      <c r="R13" s="190">
        <v>-53476826.460000001</v>
      </c>
      <c r="S13" s="190">
        <v>-101562822.12</v>
      </c>
      <c r="T13" s="190">
        <v>-43176033.659999996</v>
      </c>
      <c r="U13" s="190">
        <v>26160340.649999999</v>
      </c>
      <c r="V13" s="190">
        <v>-14855381.16</v>
      </c>
      <c r="W13" s="190">
        <v>-43047013.130000003</v>
      </c>
      <c r="X13" s="190">
        <v>1746052</v>
      </c>
      <c r="Y13" s="190">
        <v>66693658.280000001</v>
      </c>
      <c r="Z13" s="190">
        <v>32049791.030000001</v>
      </c>
      <c r="AA13" s="190">
        <v>-43787282.979999997</v>
      </c>
      <c r="AB13" s="190">
        <v>10353604.720000001</v>
      </c>
      <c r="AC13" s="190">
        <v>63428318.07</v>
      </c>
      <c r="AD13" s="190">
        <v>50590543.590000004</v>
      </c>
      <c r="AE13" s="190">
        <v>-13988725.539999999</v>
      </c>
      <c r="AF13" s="190">
        <v>20015092.460000001</v>
      </c>
      <c r="AG13" s="190">
        <v>7395157.7999999998</v>
      </c>
      <c r="AH13" s="190">
        <v>-30139481.140000001</v>
      </c>
      <c r="AI13" s="190">
        <v>3156098.02</v>
      </c>
      <c r="AJ13" s="190">
        <v>19637281.809999999</v>
      </c>
      <c r="AK13" s="190">
        <v>40501415.049999997</v>
      </c>
      <c r="AL13" s="190">
        <v>14278788.75</v>
      </c>
      <c r="AM13" s="190">
        <v>9874825.5899999999</v>
      </c>
      <c r="AN13" s="190">
        <v>13955977.08</v>
      </c>
      <c r="AO13" s="190">
        <v>25084177.030000001</v>
      </c>
      <c r="AP13" s="190">
        <v>5988186.9199999999</v>
      </c>
      <c r="AQ13" s="190">
        <v>519973.69</v>
      </c>
      <c r="AR13" s="190">
        <v>20013906.16</v>
      </c>
      <c r="AS13" s="190">
        <v>27271032.739999998</v>
      </c>
      <c r="AT13" s="190">
        <v>43567893.57</v>
      </c>
      <c r="AU13" s="190">
        <v>29941999.370000001</v>
      </c>
      <c r="AV13" s="190">
        <v>15360687.01</v>
      </c>
      <c r="AW13" s="190">
        <v>26473280.34</v>
      </c>
      <c r="AX13" s="190">
        <v>20184377.239999998</v>
      </c>
      <c r="AY13" s="190">
        <v>15428371.85</v>
      </c>
      <c r="AZ13" s="190">
        <v>1269120.93</v>
      </c>
      <c r="BA13" s="190">
        <v>49283884.990000002</v>
      </c>
      <c r="BB13" s="190">
        <v>26470599.609999999</v>
      </c>
      <c r="BC13" s="190">
        <v>13892938.720000001</v>
      </c>
      <c r="BD13" s="190">
        <v>42068867.590000004</v>
      </c>
      <c r="BE13" s="190">
        <v>0</v>
      </c>
    </row>
    <row r="14" spans="1:57" x14ac:dyDescent="0.25">
      <c r="A14" s="190" t="s">
        <v>230</v>
      </c>
    </row>
    <row r="15" spans="1:57" x14ac:dyDescent="0.25">
      <c r="A15" s="190" t="s">
        <v>231</v>
      </c>
      <c r="B15" s="190">
        <v>108212291</v>
      </c>
      <c r="C15" s="190">
        <v>99512291</v>
      </c>
      <c r="D15" s="190">
        <v>0</v>
      </c>
      <c r="E15" s="190">
        <v>24873000</v>
      </c>
      <c r="F15" s="190">
        <v>4949500</v>
      </c>
      <c r="G15" s="190">
        <v>4949500</v>
      </c>
      <c r="H15" s="190">
        <v>2500000</v>
      </c>
      <c r="I15" s="190">
        <v>1010000</v>
      </c>
      <c r="J15" s="190">
        <v>0</v>
      </c>
      <c r="K15" s="190">
        <v>0</v>
      </c>
      <c r="L15" s="190">
        <v>0</v>
      </c>
      <c r="M15" s="190">
        <v>1480588.03</v>
      </c>
      <c r="N15" s="190">
        <v>1368155.51</v>
      </c>
      <c r="O15" s="190">
        <v>0</v>
      </c>
      <c r="P15" s="190">
        <v>0</v>
      </c>
      <c r="Q15" s="190">
        <v>0</v>
      </c>
      <c r="R15" s="190">
        <v>1000000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3352296.91</v>
      </c>
      <c r="BB15" s="190">
        <v>990000</v>
      </c>
      <c r="BC15" s="190">
        <v>990000</v>
      </c>
      <c r="BD15" s="190">
        <v>0</v>
      </c>
      <c r="BE15" s="190">
        <v>0</v>
      </c>
    </row>
    <row r="16" spans="1:57" x14ac:dyDescent="0.25">
      <c r="A16" s="190" t="s">
        <v>232</v>
      </c>
      <c r="B16" s="190">
        <v>14541212.300000001</v>
      </c>
      <c r="C16" s="190">
        <v>13356830.68</v>
      </c>
      <c r="D16" s="190">
        <v>112191.78</v>
      </c>
      <c r="E16" s="190">
        <v>11321707.539999999</v>
      </c>
      <c r="F16" s="190">
        <v>0</v>
      </c>
      <c r="G16" s="190">
        <v>0</v>
      </c>
      <c r="H16" s="190">
        <v>4520.54</v>
      </c>
      <c r="I16" s="190">
        <v>3445071.62</v>
      </c>
      <c r="J16" s="190">
        <v>183520</v>
      </c>
      <c r="K16" s="190">
        <v>183520</v>
      </c>
      <c r="L16" s="190">
        <v>183520</v>
      </c>
      <c r="M16" s="190">
        <v>19269.7</v>
      </c>
      <c r="N16" s="190">
        <v>0</v>
      </c>
      <c r="O16" s="190">
        <v>0</v>
      </c>
      <c r="P16" s="190">
        <v>0</v>
      </c>
      <c r="Q16" s="190">
        <v>27714.76</v>
      </c>
      <c r="R16" s="190">
        <v>0</v>
      </c>
      <c r="S16" s="190">
        <v>0</v>
      </c>
      <c r="T16" s="190">
        <v>0</v>
      </c>
      <c r="U16" s="190">
        <v>0</v>
      </c>
      <c r="V16" s="190">
        <v>0</v>
      </c>
      <c r="W16" s="190">
        <v>0</v>
      </c>
      <c r="X16" s="190">
        <v>0</v>
      </c>
      <c r="Y16" s="190">
        <v>0</v>
      </c>
      <c r="Z16" s="190">
        <v>0</v>
      </c>
      <c r="AA16" s="190">
        <v>0</v>
      </c>
      <c r="AB16" s="190">
        <v>0</v>
      </c>
      <c r="AC16" s="190">
        <v>29321.06</v>
      </c>
      <c r="AD16" s="190">
        <v>29321.06</v>
      </c>
      <c r="AE16" s="190">
        <v>29321.06</v>
      </c>
      <c r="AF16" s="190">
        <v>0</v>
      </c>
      <c r="AG16" s="190">
        <v>0</v>
      </c>
      <c r="AH16" s="190">
        <v>58874.09</v>
      </c>
      <c r="AI16" s="190">
        <v>0</v>
      </c>
      <c r="AJ16" s="190">
        <v>0</v>
      </c>
      <c r="AK16" s="190">
        <v>0</v>
      </c>
      <c r="AL16" s="190">
        <v>68151.899999999994</v>
      </c>
      <c r="AM16" s="190">
        <v>0</v>
      </c>
      <c r="AN16" s="190">
        <v>0</v>
      </c>
      <c r="AO16" s="190">
        <v>344466.49</v>
      </c>
      <c r="AP16" s="190">
        <v>344466.49</v>
      </c>
      <c r="AQ16" s="190">
        <v>344466.49</v>
      </c>
      <c r="AR16" s="190">
        <v>1997337.72</v>
      </c>
      <c r="AS16" s="190">
        <v>415479.39</v>
      </c>
      <c r="AT16" s="190">
        <v>556958.18999999994</v>
      </c>
      <c r="AU16" s="190">
        <v>556958.1</v>
      </c>
      <c r="AV16" s="190">
        <v>0</v>
      </c>
      <c r="AW16" s="190">
        <v>178155.02</v>
      </c>
      <c r="AX16" s="190">
        <v>0</v>
      </c>
      <c r="AY16" s="190">
        <v>0</v>
      </c>
      <c r="AZ16" s="190">
        <v>0</v>
      </c>
      <c r="BA16" s="190">
        <v>153899.74</v>
      </c>
      <c r="BB16" s="190">
        <v>0</v>
      </c>
      <c r="BC16" s="190">
        <v>0</v>
      </c>
      <c r="BD16" s="190">
        <v>0</v>
      </c>
      <c r="BE16" s="190">
        <v>0</v>
      </c>
    </row>
    <row r="17" spans="1:57" x14ac:dyDescent="0.25">
      <c r="A17" s="190" t="s">
        <v>233</v>
      </c>
      <c r="B17" s="190">
        <v>351940</v>
      </c>
      <c r="C17" s="190">
        <v>351940</v>
      </c>
      <c r="D17" s="190">
        <v>249170</v>
      </c>
      <c r="E17" s="190">
        <v>8325052.0499999998</v>
      </c>
      <c r="F17" s="190">
        <v>30252.69</v>
      </c>
      <c r="G17" s="190">
        <v>30252.69</v>
      </c>
      <c r="H17" s="190">
        <v>0</v>
      </c>
      <c r="I17" s="190">
        <v>231666.93</v>
      </c>
      <c r="J17" s="190">
        <v>213000</v>
      </c>
      <c r="K17" s="190">
        <v>213000</v>
      </c>
      <c r="L17" s="190">
        <v>0</v>
      </c>
      <c r="M17" s="190">
        <v>189089.59</v>
      </c>
      <c r="N17" s="190">
        <v>191280.17</v>
      </c>
      <c r="O17" s="190">
        <v>222903.6</v>
      </c>
      <c r="P17" s="190">
        <v>422353.02</v>
      </c>
      <c r="Q17" s="190">
        <v>2869040.4</v>
      </c>
      <c r="R17" s="190">
        <v>725557.79</v>
      </c>
      <c r="S17" s="190">
        <v>122600</v>
      </c>
      <c r="T17" s="190">
        <v>0</v>
      </c>
      <c r="U17" s="190">
        <v>269819.23</v>
      </c>
      <c r="V17" s="190">
        <v>153913.07999999999</v>
      </c>
      <c r="W17" s="190">
        <v>153913.07999999999</v>
      </c>
      <c r="X17" s="190">
        <v>6569.25</v>
      </c>
      <c r="Y17" s="190">
        <v>702148.2</v>
      </c>
      <c r="Z17" s="190">
        <v>694148.2</v>
      </c>
      <c r="AA17" s="190">
        <v>692815.4</v>
      </c>
      <c r="AB17" s="190">
        <v>0</v>
      </c>
      <c r="AC17" s="190">
        <v>1246555.3899999999</v>
      </c>
      <c r="AD17" s="190">
        <v>901529.72</v>
      </c>
      <c r="AE17" s="190">
        <v>844106.72</v>
      </c>
      <c r="AF17" s="190">
        <v>789204.8</v>
      </c>
      <c r="AG17" s="190">
        <v>1270629.04</v>
      </c>
      <c r="AH17" s="190">
        <v>628089.76</v>
      </c>
      <c r="AI17" s="190">
        <v>116772.9</v>
      </c>
      <c r="AJ17" s="190">
        <v>0</v>
      </c>
      <c r="AK17" s="190">
        <v>318837.57</v>
      </c>
      <c r="AL17" s="190">
        <v>42676.47</v>
      </c>
      <c r="AM17" s="190">
        <v>112500</v>
      </c>
      <c r="AN17" s="190">
        <v>186828</v>
      </c>
      <c r="AO17" s="190">
        <v>173300</v>
      </c>
      <c r="AP17" s="190">
        <v>25000</v>
      </c>
      <c r="AQ17" s="190">
        <v>57690</v>
      </c>
      <c r="AR17" s="190">
        <v>106427.68</v>
      </c>
      <c r="AS17" s="190">
        <v>3438008</v>
      </c>
      <c r="AT17" s="190">
        <v>1716176</v>
      </c>
      <c r="AU17" s="190">
        <v>878376</v>
      </c>
      <c r="AV17" s="190">
        <v>0</v>
      </c>
      <c r="AW17" s="190">
        <v>1625759.1</v>
      </c>
      <c r="AX17" s="190">
        <v>1095160</v>
      </c>
      <c r="AY17" s="190">
        <v>1084700</v>
      </c>
      <c r="AZ17" s="190">
        <v>18200</v>
      </c>
      <c r="BA17" s="190">
        <v>284902</v>
      </c>
      <c r="BB17" s="190">
        <v>130210.47</v>
      </c>
      <c r="BC17" s="190">
        <v>204950</v>
      </c>
      <c r="BD17" s="190">
        <v>2065026</v>
      </c>
      <c r="BE17" s="190">
        <v>0</v>
      </c>
    </row>
    <row r="18" spans="1:57"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4912204.6900000004</v>
      </c>
      <c r="P18" s="190">
        <v>5000000</v>
      </c>
      <c r="Q18" s="190">
        <v>995850.38</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1630848.76</v>
      </c>
      <c r="AP18" s="190">
        <v>11560073.369999999</v>
      </c>
      <c r="AQ18" s="190">
        <v>0</v>
      </c>
      <c r="AR18" s="190">
        <v>0</v>
      </c>
      <c r="AS18" s="190">
        <v>0</v>
      </c>
      <c r="AT18" s="190">
        <v>0</v>
      </c>
      <c r="AU18" s="190">
        <v>0</v>
      </c>
      <c r="AV18" s="190">
        <v>0</v>
      </c>
      <c r="AW18" s="190">
        <v>816157.8</v>
      </c>
      <c r="AX18" s="190">
        <v>0</v>
      </c>
      <c r="AY18" s="190">
        <v>0</v>
      </c>
      <c r="AZ18" s="190">
        <v>0</v>
      </c>
      <c r="BA18" s="190">
        <v>0</v>
      </c>
      <c r="BB18" s="190">
        <v>0</v>
      </c>
      <c r="BC18" s="190">
        <v>0</v>
      </c>
      <c r="BD18" s="190">
        <v>0</v>
      </c>
      <c r="BE18" s="190">
        <v>0</v>
      </c>
    </row>
    <row r="19" spans="1:57" x14ac:dyDescent="0.25">
      <c r="A19" s="190" t="s">
        <v>235</v>
      </c>
      <c r="B19" s="190">
        <v>194194408.09</v>
      </c>
      <c r="C19" s="190">
        <v>109167894.98999999</v>
      </c>
      <c r="D19" s="190">
        <v>101700489.56</v>
      </c>
      <c r="E19" s="190">
        <v>156784364.81999999</v>
      </c>
      <c r="F19" s="190">
        <v>108477243.7</v>
      </c>
      <c r="G19" s="190">
        <v>63566085.700000003</v>
      </c>
      <c r="H19" s="190">
        <v>27136679</v>
      </c>
      <c r="I19" s="190">
        <v>68717781.319999993</v>
      </c>
      <c r="J19" s="190">
        <v>114442351.25</v>
      </c>
      <c r="K19" s="190">
        <v>27439062.25</v>
      </c>
      <c r="L19" s="190">
        <v>0</v>
      </c>
      <c r="M19" s="190">
        <v>0</v>
      </c>
      <c r="N19" s="190">
        <v>0</v>
      </c>
      <c r="O19" s="190">
        <v>20804945.300000001</v>
      </c>
      <c r="P19" s="190">
        <v>0</v>
      </c>
      <c r="Q19" s="190">
        <v>52020821.909999996</v>
      </c>
      <c r="R19" s="190">
        <v>0</v>
      </c>
      <c r="S19" s="190">
        <v>500000</v>
      </c>
      <c r="T19" s="190">
        <v>0</v>
      </c>
      <c r="U19" s="190">
        <v>500000</v>
      </c>
      <c r="V19" s="190">
        <v>0</v>
      </c>
      <c r="W19" s="190">
        <v>0</v>
      </c>
      <c r="X19" s="190">
        <v>0</v>
      </c>
      <c r="Y19" s="190">
        <v>0</v>
      </c>
      <c r="Z19" s="190">
        <v>0</v>
      </c>
      <c r="AA19" s="190">
        <v>0</v>
      </c>
      <c r="AB19" s="190">
        <v>0</v>
      </c>
      <c r="AC19" s="190">
        <v>17400000</v>
      </c>
      <c r="AD19" s="190">
        <v>17400000</v>
      </c>
      <c r="AE19" s="190">
        <v>17400000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269585.21000000002</v>
      </c>
      <c r="AU19" s="190">
        <v>269585.21000000002</v>
      </c>
      <c r="AV19" s="190">
        <v>0</v>
      </c>
      <c r="AW19" s="190">
        <v>0</v>
      </c>
      <c r="AX19" s="190">
        <v>0</v>
      </c>
      <c r="AY19" s="190">
        <v>0</v>
      </c>
      <c r="AZ19" s="190">
        <v>0</v>
      </c>
      <c r="BA19" s="190">
        <v>0</v>
      </c>
      <c r="BB19" s="190">
        <v>0</v>
      </c>
      <c r="BC19" s="190">
        <v>0</v>
      </c>
      <c r="BD19" s="190">
        <v>0</v>
      </c>
      <c r="BE19" s="190">
        <v>0</v>
      </c>
    </row>
    <row r="20" spans="1:57" x14ac:dyDescent="0.25">
      <c r="A20" s="190" t="s">
        <v>236</v>
      </c>
      <c r="B20" s="190">
        <v>317299851.38999999</v>
      </c>
      <c r="C20" s="190">
        <v>222388956.66999999</v>
      </c>
      <c r="D20" s="190">
        <v>102061851.34</v>
      </c>
      <c r="E20" s="190">
        <v>201304124.41</v>
      </c>
      <c r="F20" s="190">
        <v>113456996.39</v>
      </c>
      <c r="G20" s="190">
        <v>68545838.390000001</v>
      </c>
      <c r="H20" s="190">
        <v>29641199.539999999</v>
      </c>
      <c r="I20" s="190">
        <v>73404519.870000005</v>
      </c>
      <c r="J20" s="190">
        <v>114838871.25</v>
      </c>
      <c r="K20" s="190">
        <v>27835582.25</v>
      </c>
      <c r="L20" s="190">
        <v>183520</v>
      </c>
      <c r="M20" s="190">
        <v>1688947.32</v>
      </c>
      <c r="N20" s="190">
        <v>1559435.68</v>
      </c>
      <c r="O20" s="190">
        <v>25940053.59</v>
      </c>
      <c r="P20" s="190">
        <v>5422353.0199999996</v>
      </c>
      <c r="Q20" s="190">
        <v>55913427.450000003</v>
      </c>
      <c r="R20" s="190">
        <v>1725557.79</v>
      </c>
      <c r="S20" s="190">
        <v>622600</v>
      </c>
      <c r="T20" s="190">
        <v>0</v>
      </c>
      <c r="U20" s="190">
        <v>769819.23</v>
      </c>
      <c r="V20" s="190">
        <v>153913.07999999999</v>
      </c>
      <c r="W20" s="190">
        <v>153913.07999999999</v>
      </c>
      <c r="X20" s="190">
        <v>6569.25</v>
      </c>
      <c r="Y20" s="190">
        <v>702148.2</v>
      </c>
      <c r="Z20" s="190">
        <v>694148.2</v>
      </c>
      <c r="AA20" s="190">
        <v>692815.4</v>
      </c>
      <c r="AB20" s="190">
        <v>0</v>
      </c>
      <c r="AC20" s="190">
        <v>18675876.449999999</v>
      </c>
      <c r="AD20" s="190">
        <v>18330850.780000001</v>
      </c>
      <c r="AE20" s="190">
        <v>18273427.780000001</v>
      </c>
      <c r="AF20" s="190">
        <v>789204.8</v>
      </c>
      <c r="AG20" s="190">
        <v>1270629.04</v>
      </c>
      <c r="AH20" s="190">
        <v>686963.85</v>
      </c>
      <c r="AI20" s="190">
        <v>116772.9</v>
      </c>
      <c r="AJ20" s="190">
        <v>0</v>
      </c>
      <c r="AK20" s="190">
        <v>318837.57</v>
      </c>
      <c r="AL20" s="190">
        <v>110828.37</v>
      </c>
      <c r="AM20" s="190">
        <v>112500</v>
      </c>
      <c r="AN20" s="190">
        <v>186828</v>
      </c>
      <c r="AO20" s="190">
        <v>2148615.25</v>
      </c>
      <c r="AP20" s="190">
        <v>11929539.859999999</v>
      </c>
      <c r="AQ20" s="190">
        <v>402156.49</v>
      </c>
      <c r="AR20" s="190">
        <v>2103765.4</v>
      </c>
      <c r="AS20" s="190">
        <v>3853487.39</v>
      </c>
      <c r="AT20" s="190">
        <v>2542719.4</v>
      </c>
      <c r="AU20" s="190">
        <v>1704919.31</v>
      </c>
      <c r="AV20" s="190">
        <v>0</v>
      </c>
      <c r="AW20" s="190">
        <v>2620071.92</v>
      </c>
      <c r="AX20" s="190">
        <v>1095160</v>
      </c>
      <c r="AY20" s="190">
        <v>1084700</v>
      </c>
      <c r="AZ20" s="190">
        <v>18200</v>
      </c>
      <c r="BA20" s="190">
        <v>3791098.65</v>
      </c>
      <c r="BB20" s="190">
        <v>1120210.47</v>
      </c>
      <c r="BC20" s="190">
        <v>1194950</v>
      </c>
      <c r="BD20" s="190">
        <v>2065026</v>
      </c>
      <c r="BE20" s="190">
        <v>0</v>
      </c>
    </row>
    <row r="21" spans="1:57" x14ac:dyDescent="0.25">
      <c r="A21" s="190" t="s">
        <v>237</v>
      </c>
      <c r="B21" s="190">
        <v>961227118.38999999</v>
      </c>
      <c r="C21" s="190">
        <v>457844847.39999998</v>
      </c>
      <c r="D21" s="190">
        <v>223079910.83000001</v>
      </c>
      <c r="E21" s="190">
        <v>811789530.45000005</v>
      </c>
      <c r="F21" s="190">
        <v>536009275.01999998</v>
      </c>
      <c r="G21" s="190">
        <v>340515396.06</v>
      </c>
      <c r="H21" s="190">
        <v>120924376.16</v>
      </c>
      <c r="I21" s="190">
        <v>454099741.80000001</v>
      </c>
      <c r="J21" s="190">
        <v>342140237.5</v>
      </c>
      <c r="K21" s="190">
        <v>328225267.89999998</v>
      </c>
      <c r="L21" s="190">
        <v>123718924.05</v>
      </c>
      <c r="M21" s="190">
        <v>347085165.62</v>
      </c>
      <c r="N21" s="190">
        <v>312259177.13</v>
      </c>
      <c r="O21" s="190">
        <v>5550354.2699999996</v>
      </c>
      <c r="P21" s="190">
        <v>1773390.42</v>
      </c>
      <c r="Q21" s="190">
        <v>6169016.8799999999</v>
      </c>
      <c r="R21" s="190">
        <v>7360349.5099999998</v>
      </c>
      <c r="S21" s="190">
        <v>6649761.4900000002</v>
      </c>
      <c r="T21" s="190">
        <v>4033350.8</v>
      </c>
      <c r="U21" s="190">
        <v>20839546.16</v>
      </c>
      <c r="V21" s="190">
        <v>18362122.75</v>
      </c>
      <c r="W21" s="190">
        <v>15272471.630000001</v>
      </c>
      <c r="X21" s="190">
        <v>11632480.84</v>
      </c>
      <c r="Y21" s="190">
        <v>15641476.57</v>
      </c>
      <c r="Z21" s="190">
        <v>6491410.2999999998</v>
      </c>
      <c r="AA21" s="190">
        <v>5739740.0800000001</v>
      </c>
      <c r="AB21" s="190">
        <v>4077896.1</v>
      </c>
      <c r="AC21" s="190">
        <v>75157746.260000005</v>
      </c>
      <c r="AD21" s="190">
        <v>79284781.609999999</v>
      </c>
      <c r="AE21" s="190">
        <v>60488009.090000004</v>
      </c>
      <c r="AF21" s="190">
        <v>48241679.439999998</v>
      </c>
      <c r="AG21" s="190">
        <v>44174795.380000003</v>
      </c>
      <c r="AH21" s="190">
        <v>4153891.33</v>
      </c>
      <c r="AI21" s="190">
        <v>1643605.21</v>
      </c>
      <c r="AJ21" s="190">
        <v>64882.559999999998</v>
      </c>
      <c r="AK21" s="190">
        <v>2404620.17</v>
      </c>
      <c r="AL21" s="190">
        <v>866426.16</v>
      </c>
      <c r="AM21" s="190">
        <v>703981.72</v>
      </c>
      <c r="AN21" s="190">
        <v>278717.93</v>
      </c>
      <c r="AO21" s="190">
        <v>10295136.27</v>
      </c>
      <c r="AP21" s="190">
        <v>-981292.37</v>
      </c>
      <c r="AQ21" s="190">
        <v>1856193</v>
      </c>
      <c r="AR21" s="190">
        <v>1469160</v>
      </c>
      <c r="AS21" s="190">
        <v>7336982.0899999999</v>
      </c>
      <c r="AT21" s="190">
        <v>487452.05</v>
      </c>
      <c r="AU21" s="190">
        <v>344411</v>
      </c>
      <c r="AV21" s="190">
        <v>406711.3</v>
      </c>
      <c r="AW21" s="190">
        <v>24418580.09</v>
      </c>
      <c r="AX21" s="190">
        <v>20894625.350000001</v>
      </c>
      <c r="AY21" s="190">
        <v>15154816.630000001</v>
      </c>
      <c r="AZ21" s="190">
        <v>1863626.93</v>
      </c>
      <c r="BA21" s="190">
        <v>23612634.5</v>
      </c>
      <c r="BB21" s="190">
        <v>11386751.17</v>
      </c>
      <c r="BC21" s="190">
        <v>7658658.0800000001</v>
      </c>
      <c r="BD21" s="190">
        <v>32261150.329999998</v>
      </c>
      <c r="BE21" s="190">
        <v>0</v>
      </c>
    </row>
    <row r="22" spans="1:57" x14ac:dyDescent="0.25">
      <c r="A22" s="190" t="s">
        <v>238</v>
      </c>
      <c r="B22" s="190">
        <v>884763311.91999996</v>
      </c>
      <c r="C22" s="190">
        <v>1179498727.72</v>
      </c>
      <c r="D22" s="190">
        <v>380945493.06999999</v>
      </c>
      <c r="E22" s="190">
        <v>469970527.07999998</v>
      </c>
      <c r="F22" s="190">
        <v>250287958</v>
      </c>
      <c r="G22" s="190">
        <v>154014613.62</v>
      </c>
      <c r="H22" s="190">
        <v>30333320</v>
      </c>
      <c r="I22" s="190">
        <v>225858671</v>
      </c>
      <c r="J22" s="190">
        <v>251349352.81999999</v>
      </c>
      <c r="K22" s="190">
        <v>114981000</v>
      </c>
      <c r="L22" s="190">
        <v>34996760</v>
      </c>
      <c r="M22" s="190">
        <v>1099828567.55</v>
      </c>
      <c r="N22" s="190">
        <v>1115894567.55</v>
      </c>
      <c r="O22" s="190">
        <v>0</v>
      </c>
      <c r="P22" s="190">
        <v>0</v>
      </c>
      <c r="Q22" s="190">
        <v>0</v>
      </c>
      <c r="R22" s="190">
        <v>0</v>
      </c>
      <c r="S22" s="190">
        <v>0</v>
      </c>
      <c r="T22" s="190">
        <v>0</v>
      </c>
      <c r="U22" s="190">
        <v>0</v>
      </c>
      <c r="V22" s="190">
        <v>5000000</v>
      </c>
      <c r="W22" s="190">
        <v>0</v>
      </c>
      <c r="X22" s="190">
        <v>0</v>
      </c>
      <c r="Y22" s="190">
        <v>2927050</v>
      </c>
      <c r="Z22" s="190">
        <v>0</v>
      </c>
      <c r="AA22" s="190">
        <v>0</v>
      </c>
      <c r="AB22" s="190">
        <v>0</v>
      </c>
      <c r="AC22" s="190">
        <v>0</v>
      </c>
      <c r="AD22" s="190">
        <v>0</v>
      </c>
      <c r="AE22" s="190">
        <v>0</v>
      </c>
      <c r="AF22" s="190">
        <v>0</v>
      </c>
      <c r="AG22" s="190">
        <v>240000</v>
      </c>
      <c r="AH22" s="190">
        <v>0</v>
      </c>
      <c r="AI22" s="190">
        <v>0</v>
      </c>
      <c r="AJ22" s="190">
        <v>128487.12</v>
      </c>
      <c r="AK22" s="190">
        <v>160000</v>
      </c>
      <c r="AL22" s="190">
        <v>0</v>
      </c>
      <c r="AM22" s="190">
        <v>0</v>
      </c>
      <c r="AN22" s="190">
        <v>0</v>
      </c>
      <c r="AO22" s="190">
        <v>0</v>
      </c>
      <c r="AP22" s="190">
        <v>0</v>
      </c>
      <c r="AQ22" s="190">
        <v>0</v>
      </c>
      <c r="AR22" s="190">
        <v>0</v>
      </c>
      <c r="AS22" s="190">
        <v>0</v>
      </c>
      <c r="AT22" s="190">
        <v>990000</v>
      </c>
      <c r="AU22" s="190">
        <v>990000</v>
      </c>
      <c r="AV22" s="190">
        <v>0</v>
      </c>
      <c r="AW22" s="190">
        <v>0</v>
      </c>
      <c r="AX22" s="190">
        <v>2019000</v>
      </c>
      <c r="AY22" s="190">
        <v>2019000</v>
      </c>
      <c r="AZ22" s="190">
        <v>0</v>
      </c>
      <c r="BA22" s="190">
        <v>2758600</v>
      </c>
      <c r="BB22" s="190">
        <v>2758600</v>
      </c>
      <c r="BC22" s="190">
        <v>2758600</v>
      </c>
      <c r="BD22" s="190">
        <v>7788769.4000000004</v>
      </c>
      <c r="BE22" s="190">
        <v>0</v>
      </c>
    </row>
    <row r="23" spans="1:57" x14ac:dyDescent="0.25">
      <c r="A23" s="190" t="s">
        <v>239</v>
      </c>
      <c r="B23" s="190">
        <v>413701238.88999999</v>
      </c>
      <c r="C23" s="190">
        <v>397944013.05000001</v>
      </c>
      <c r="D23" s="190">
        <v>15692505.369999999</v>
      </c>
      <c r="E23" s="190">
        <v>437226781.45999998</v>
      </c>
      <c r="F23" s="190">
        <v>253994137.81999999</v>
      </c>
      <c r="G23" s="190">
        <v>127041832.56999999</v>
      </c>
      <c r="H23" s="190">
        <v>22196046.550000001</v>
      </c>
      <c r="I23" s="190">
        <v>221022851.84</v>
      </c>
      <c r="J23" s="190">
        <v>40620072.270000003</v>
      </c>
      <c r="K23" s="190">
        <v>12485588.029999999</v>
      </c>
      <c r="L23" s="190">
        <v>0</v>
      </c>
      <c r="M23" s="190">
        <v>123729484.23999999</v>
      </c>
      <c r="N23" s="190">
        <v>101253544.69</v>
      </c>
      <c r="O23" s="190">
        <v>0</v>
      </c>
      <c r="P23" s="190">
        <v>0</v>
      </c>
      <c r="Q23" s="190">
        <v>0</v>
      </c>
      <c r="R23" s="190">
        <v>0</v>
      </c>
      <c r="S23" s="190">
        <v>0</v>
      </c>
      <c r="T23" s="190">
        <v>0</v>
      </c>
      <c r="U23" s="190">
        <v>84797800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720414.79</v>
      </c>
      <c r="AT23" s="190">
        <v>0</v>
      </c>
      <c r="AU23" s="190">
        <v>0</v>
      </c>
      <c r="AV23" s="190">
        <v>0</v>
      </c>
      <c r="AW23" s="190">
        <v>2019000</v>
      </c>
      <c r="AX23" s="190">
        <v>0</v>
      </c>
      <c r="AY23" s="190">
        <v>0</v>
      </c>
      <c r="AZ23" s="190">
        <v>0</v>
      </c>
      <c r="BA23" s="190">
        <v>0</v>
      </c>
      <c r="BB23" s="190">
        <v>0</v>
      </c>
      <c r="BC23" s="190">
        <v>0</v>
      </c>
      <c r="BD23" s="190">
        <v>0</v>
      </c>
      <c r="BE23" s="190">
        <v>0</v>
      </c>
    </row>
    <row r="24" spans="1:57" x14ac:dyDescent="0.25">
      <c r="A24" s="190" t="s">
        <v>240</v>
      </c>
      <c r="B24" s="190">
        <v>572240362.14999998</v>
      </c>
      <c r="C24" s="190">
        <v>268308563.15000001</v>
      </c>
      <c r="D24" s="190">
        <v>93192117.450000003</v>
      </c>
      <c r="E24" s="190">
        <v>496264196.91000003</v>
      </c>
      <c r="F24" s="190">
        <v>349135825.60000002</v>
      </c>
      <c r="G24" s="190">
        <v>205290669.59999999</v>
      </c>
      <c r="H24" s="190">
        <v>51791469.600000001</v>
      </c>
      <c r="I24" s="190">
        <v>333743996.56</v>
      </c>
      <c r="J24" s="190">
        <v>345328094.27999997</v>
      </c>
      <c r="K24" s="190">
        <v>220940254</v>
      </c>
      <c r="L24" s="190">
        <v>0</v>
      </c>
      <c r="M24" s="190">
        <v>0</v>
      </c>
      <c r="N24" s="190">
        <v>0</v>
      </c>
      <c r="O24" s="190">
        <v>0</v>
      </c>
      <c r="P24" s="190">
        <v>0</v>
      </c>
      <c r="Q24" s="190">
        <v>74738998</v>
      </c>
      <c r="R24" s="190">
        <v>50000000</v>
      </c>
      <c r="S24" s="190">
        <v>50000000</v>
      </c>
      <c r="T24" s="190">
        <v>0</v>
      </c>
      <c r="U24" s="190">
        <v>0</v>
      </c>
      <c r="V24" s="190">
        <v>0</v>
      </c>
      <c r="W24" s="190">
        <v>0</v>
      </c>
      <c r="X24" s="190">
        <v>0</v>
      </c>
      <c r="Y24" s="190">
        <v>0</v>
      </c>
      <c r="Z24" s="190">
        <v>0</v>
      </c>
      <c r="AA24" s="190">
        <v>0</v>
      </c>
      <c r="AB24" s="190">
        <v>0</v>
      </c>
      <c r="AC24" s="190">
        <v>790580.49</v>
      </c>
      <c r="AD24" s="190">
        <v>0</v>
      </c>
      <c r="AE24" s="190">
        <v>0</v>
      </c>
      <c r="AF24" s="190">
        <v>0</v>
      </c>
      <c r="AG24" s="190">
        <v>0</v>
      </c>
      <c r="AH24" s="190">
        <v>0</v>
      </c>
      <c r="AI24" s="190">
        <v>0</v>
      </c>
      <c r="AJ24" s="190">
        <v>0</v>
      </c>
      <c r="AK24" s="190">
        <v>0</v>
      </c>
      <c r="AL24" s="190">
        <v>0</v>
      </c>
      <c r="AM24" s="190">
        <v>0</v>
      </c>
      <c r="AN24" s="190">
        <v>0</v>
      </c>
      <c r="AO24" s="190">
        <v>0</v>
      </c>
      <c r="AP24" s="190">
        <v>0</v>
      </c>
      <c r="AQ24" s="190">
        <v>1127871.3799999999</v>
      </c>
      <c r="AR24" s="190">
        <v>954671.31</v>
      </c>
      <c r="AS24" s="190">
        <v>0</v>
      </c>
      <c r="AT24" s="190">
        <v>0</v>
      </c>
      <c r="AU24" s="190">
        <v>0</v>
      </c>
      <c r="AV24" s="190">
        <v>0</v>
      </c>
      <c r="AW24" s="190">
        <v>0</v>
      </c>
      <c r="AX24" s="190">
        <v>0</v>
      </c>
      <c r="AY24" s="190">
        <v>0</v>
      </c>
      <c r="AZ24" s="190">
        <v>0</v>
      </c>
      <c r="BA24" s="190">
        <v>3627919.56</v>
      </c>
      <c r="BB24" s="190">
        <v>1090671.54</v>
      </c>
      <c r="BC24" s="190">
        <v>1090671.54</v>
      </c>
      <c r="BD24" s="190">
        <v>0</v>
      </c>
      <c r="BE24" s="190">
        <v>0</v>
      </c>
    </row>
    <row r="25" spans="1:57" x14ac:dyDescent="0.25">
      <c r="A25" s="190" t="s">
        <v>241</v>
      </c>
      <c r="B25" s="190">
        <v>2831932031.3499999</v>
      </c>
      <c r="C25" s="190">
        <v>2303596151.3200002</v>
      </c>
      <c r="D25" s="190">
        <v>712910026.72000003</v>
      </c>
      <c r="E25" s="190">
        <v>2215251035.9000001</v>
      </c>
      <c r="F25" s="190">
        <v>1389427196.4400001</v>
      </c>
      <c r="G25" s="190">
        <v>826862511.85000002</v>
      </c>
      <c r="H25" s="190">
        <v>225245212.31</v>
      </c>
      <c r="I25" s="190">
        <v>1234725261.2</v>
      </c>
      <c r="J25" s="190">
        <v>979437756.87</v>
      </c>
      <c r="K25" s="190">
        <v>676632109.92999995</v>
      </c>
      <c r="L25" s="190">
        <v>158715684.05000001</v>
      </c>
      <c r="M25" s="190">
        <v>1570643217.4100001</v>
      </c>
      <c r="N25" s="190">
        <v>1529407289.3699999</v>
      </c>
      <c r="O25" s="190">
        <v>5550354.2699999996</v>
      </c>
      <c r="P25" s="190">
        <v>1773390.42</v>
      </c>
      <c r="Q25" s="190">
        <v>80908014.879999995</v>
      </c>
      <c r="R25" s="190">
        <v>57360349.509999998</v>
      </c>
      <c r="S25" s="190">
        <v>56649761.490000002</v>
      </c>
      <c r="T25" s="190">
        <v>4033350.8</v>
      </c>
      <c r="U25" s="190">
        <v>105637346.16</v>
      </c>
      <c r="V25" s="190">
        <v>23362122.75</v>
      </c>
      <c r="W25" s="190">
        <v>15272471.630000001</v>
      </c>
      <c r="X25" s="190">
        <v>11632480.84</v>
      </c>
      <c r="Y25" s="190">
        <v>18568526.57</v>
      </c>
      <c r="Z25" s="190">
        <v>6491410.2999999998</v>
      </c>
      <c r="AA25" s="190">
        <v>5739740.0800000001</v>
      </c>
      <c r="AB25" s="190">
        <v>4077896.1</v>
      </c>
      <c r="AC25" s="190">
        <v>75948326.75</v>
      </c>
      <c r="AD25" s="190">
        <v>79284781.609999999</v>
      </c>
      <c r="AE25" s="190">
        <v>60488009.090000004</v>
      </c>
      <c r="AF25" s="190">
        <v>48241679.439999998</v>
      </c>
      <c r="AG25" s="190">
        <v>44414795.380000003</v>
      </c>
      <c r="AH25" s="190">
        <v>4153891.33</v>
      </c>
      <c r="AI25" s="190">
        <v>1643605.21</v>
      </c>
      <c r="AJ25" s="190">
        <v>193369.68</v>
      </c>
      <c r="AK25" s="190">
        <v>2564620.17</v>
      </c>
      <c r="AL25" s="190">
        <v>866426.16</v>
      </c>
      <c r="AM25" s="190">
        <v>703981.72</v>
      </c>
      <c r="AN25" s="190">
        <v>278717.93</v>
      </c>
      <c r="AO25" s="190">
        <v>10295136.27</v>
      </c>
      <c r="AP25" s="190">
        <v>-981292.37</v>
      </c>
      <c r="AQ25" s="190">
        <v>2984064.38</v>
      </c>
      <c r="AR25" s="190">
        <v>2423831.31</v>
      </c>
      <c r="AS25" s="190">
        <v>8057396.8799999999</v>
      </c>
      <c r="AT25" s="190">
        <v>1477452.05</v>
      </c>
      <c r="AU25" s="190">
        <v>1334411</v>
      </c>
      <c r="AV25" s="190">
        <v>406711.3</v>
      </c>
      <c r="AW25" s="190">
        <v>26437580.09</v>
      </c>
      <c r="AX25" s="190">
        <v>22913625.350000001</v>
      </c>
      <c r="AY25" s="190">
        <v>17173816.629999999</v>
      </c>
      <c r="AZ25" s="190">
        <v>1863626.93</v>
      </c>
      <c r="BA25" s="190">
        <v>29999154.059999999</v>
      </c>
      <c r="BB25" s="190">
        <v>15236022.710000001</v>
      </c>
      <c r="BC25" s="190">
        <v>11507929.619999999</v>
      </c>
      <c r="BD25" s="190">
        <v>40049919.729999997</v>
      </c>
      <c r="BE25" s="190">
        <v>0</v>
      </c>
    </row>
    <row r="26" spans="1:57" x14ac:dyDescent="0.25">
      <c r="A26" s="190" t="s">
        <v>242</v>
      </c>
      <c r="B26" s="190">
        <v>-2514632179.96</v>
      </c>
      <c r="C26" s="190">
        <v>-2081207194.6500001</v>
      </c>
      <c r="D26" s="190">
        <v>-610848175.38</v>
      </c>
      <c r="E26" s="190">
        <v>-2013946911.49</v>
      </c>
      <c r="F26" s="190">
        <v>-1275970200.05</v>
      </c>
      <c r="G26" s="190">
        <v>-758316673.46000004</v>
      </c>
      <c r="H26" s="190">
        <v>-195604012.77000001</v>
      </c>
      <c r="I26" s="190">
        <v>-1161320741.3299999</v>
      </c>
      <c r="J26" s="190">
        <v>-864598885.62</v>
      </c>
      <c r="K26" s="190">
        <v>-648796527.67999995</v>
      </c>
      <c r="L26" s="190">
        <v>-158532164.05000001</v>
      </c>
      <c r="M26" s="190">
        <v>-1568954270.0899999</v>
      </c>
      <c r="N26" s="190">
        <v>-1527847853.6900001</v>
      </c>
      <c r="O26" s="190">
        <v>20389699.32</v>
      </c>
      <c r="P26" s="190">
        <v>3648962.6</v>
      </c>
      <c r="Q26" s="190">
        <v>-24994587.43</v>
      </c>
      <c r="R26" s="190">
        <v>-55634791.719999999</v>
      </c>
      <c r="S26" s="190">
        <v>-56027161.490000002</v>
      </c>
      <c r="T26" s="190">
        <v>-4033350.8</v>
      </c>
      <c r="U26" s="190">
        <v>-104867526.93000001</v>
      </c>
      <c r="V26" s="190">
        <v>-23208209.670000002</v>
      </c>
      <c r="W26" s="190">
        <v>-15118558.550000001</v>
      </c>
      <c r="X26" s="190">
        <v>-11625911.59</v>
      </c>
      <c r="Y26" s="190">
        <v>-17866378.370000001</v>
      </c>
      <c r="Z26" s="190">
        <v>-5797262.0999999996</v>
      </c>
      <c r="AA26" s="190">
        <v>-5046924.68</v>
      </c>
      <c r="AB26" s="190">
        <v>-4077896.1</v>
      </c>
      <c r="AC26" s="190">
        <v>-57272450.299999997</v>
      </c>
      <c r="AD26" s="190">
        <v>-60953930.829999998</v>
      </c>
      <c r="AE26" s="190">
        <v>-42214581.310000002</v>
      </c>
      <c r="AF26" s="190">
        <v>-47452474.640000001</v>
      </c>
      <c r="AG26" s="190">
        <v>-43144166.340000004</v>
      </c>
      <c r="AH26" s="190">
        <v>-3466927.48</v>
      </c>
      <c r="AI26" s="190">
        <v>-1526832.31</v>
      </c>
      <c r="AJ26" s="190">
        <v>-193369.68</v>
      </c>
      <c r="AK26" s="190">
        <v>-2245782.6</v>
      </c>
      <c r="AL26" s="190">
        <v>-755597.79</v>
      </c>
      <c r="AM26" s="190">
        <v>-591481.72</v>
      </c>
      <c r="AN26" s="190">
        <v>-91889.93</v>
      </c>
      <c r="AO26" s="190">
        <v>-8146521.0199999996</v>
      </c>
      <c r="AP26" s="190">
        <v>12910832.23</v>
      </c>
      <c r="AQ26" s="190">
        <v>-2581907.89</v>
      </c>
      <c r="AR26" s="190">
        <v>-320065.90999999997</v>
      </c>
      <c r="AS26" s="190">
        <v>-4203909.49</v>
      </c>
      <c r="AT26" s="190">
        <v>1065267.3500000001</v>
      </c>
      <c r="AU26" s="190">
        <v>370508.31</v>
      </c>
      <c r="AV26" s="190">
        <v>-406711.3</v>
      </c>
      <c r="AW26" s="190">
        <v>-23817508.170000002</v>
      </c>
      <c r="AX26" s="190">
        <v>-21818465.350000001</v>
      </c>
      <c r="AY26" s="190">
        <v>-16089116.630000001</v>
      </c>
      <c r="AZ26" s="190">
        <v>-1845426.93</v>
      </c>
      <c r="BA26" s="190">
        <v>-26208055.41</v>
      </c>
      <c r="BB26" s="190">
        <v>-14115812.24</v>
      </c>
      <c r="BC26" s="190">
        <v>-10312979.619999999</v>
      </c>
      <c r="BD26" s="190">
        <v>-37984893.729999997</v>
      </c>
      <c r="BE26" s="190">
        <v>0</v>
      </c>
    </row>
    <row r="27" spans="1:57" x14ac:dyDescent="0.25">
      <c r="A27" s="190" t="s">
        <v>243</v>
      </c>
    </row>
    <row r="28" spans="1:57" x14ac:dyDescent="0.25">
      <c r="A28" s="190" t="s">
        <v>244</v>
      </c>
      <c r="B28" s="190">
        <v>14750000</v>
      </c>
      <c r="C28" s="190">
        <v>14750000</v>
      </c>
      <c r="D28" s="190">
        <v>0</v>
      </c>
      <c r="E28" s="190">
        <v>486674987.37</v>
      </c>
      <c r="F28" s="190">
        <v>0</v>
      </c>
      <c r="G28" s="190">
        <v>0</v>
      </c>
      <c r="H28" s="190">
        <v>0</v>
      </c>
      <c r="I28" s="190">
        <v>7000000</v>
      </c>
      <c r="J28" s="190">
        <v>7000000</v>
      </c>
      <c r="K28" s="190">
        <v>7000000</v>
      </c>
      <c r="L28" s="190">
        <v>5000000</v>
      </c>
      <c r="M28" s="190">
        <v>1481909988.9000001</v>
      </c>
      <c r="N28" s="190">
        <v>1418639988.9000001</v>
      </c>
      <c r="O28" s="190">
        <v>0</v>
      </c>
      <c r="P28" s="190">
        <v>0</v>
      </c>
      <c r="Q28" s="190">
        <v>0</v>
      </c>
      <c r="R28" s="190">
        <v>0</v>
      </c>
      <c r="S28" s="190">
        <v>0</v>
      </c>
      <c r="T28" s="190">
        <v>0</v>
      </c>
      <c r="U28" s="190">
        <v>0</v>
      </c>
      <c r="V28" s="190">
        <v>5000000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4150000</v>
      </c>
      <c r="AP28" s="190">
        <v>4150000</v>
      </c>
      <c r="AQ28" s="190">
        <v>4150000</v>
      </c>
      <c r="AR28" s="190">
        <v>0</v>
      </c>
      <c r="AS28" s="190">
        <v>1250000</v>
      </c>
      <c r="AT28" s="190">
        <v>0</v>
      </c>
      <c r="AU28" s="190">
        <v>0</v>
      </c>
      <c r="AV28" s="190">
        <v>0</v>
      </c>
      <c r="AW28" s="190">
        <v>0</v>
      </c>
      <c r="AX28" s="190">
        <v>0</v>
      </c>
      <c r="AY28" s="190">
        <v>0</v>
      </c>
      <c r="AZ28" s="190">
        <v>0</v>
      </c>
      <c r="BA28" s="190">
        <v>149815823.77000001</v>
      </c>
      <c r="BB28" s="190">
        <v>146275823.77000001</v>
      </c>
      <c r="BC28" s="190">
        <v>149815823.77000001</v>
      </c>
      <c r="BD28" s="190">
        <v>0</v>
      </c>
      <c r="BE28" s="190">
        <v>0</v>
      </c>
    </row>
    <row r="29" spans="1:57" x14ac:dyDescent="0.25">
      <c r="A29" s="190" t="s">
        <v>245</v>
      </c>
      <c r="B29" s="190">
        <v>14750000</v>
      </c>
      <c r="C29" s="190">
        <v>14750000</v>
      </c>
      <c r="D29" s="190">
        <v>0</v>
      </c>
      <c r="E29" s="190">
        <v>16675000</v>
      </c>
      <c r="F29" s="190">
        <v>0</v>
      </c>
      <c r="G29" s="190">
        <v>0</v>
      </c>
      <c r="H29" s="190">
        <v>0</v>
      </c>
      <c r="I29" s="190">
        <v>7000000</v>
      </c>
      <c r="J29" s="190">
        <v>7000000</v>
      </c>
      <c r="K29" s="190">
        <v>7000000</v>
      </c>
      <c r="L29" s="190">
        <v>5000000</v>
      </c>
      <c r="M29" s="190">
        <v>71910000</v>
      </c>
      <c r="N29" s="190">
        <v>8640000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4150000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row>
    <row r="30" spans="1:57" x14ac:dyDescent="0.25">
      <c r="A30" s="190" t="s">
        <v>246</v>
      </c>
      <c r="B30" s="190">
        <v>3899741460.3299999</v>
      </c>
      <c r="C30" s="190">
        <v>3033564883.52</v>
      </c>
      <c r="D30" s="190">
        <v>1401900833.8699999</v>
      </c>
      <c r="E30" s="190">
        <v>2125360745.3699999</v>
      </c>
      <c r="F30" s="190">
        <v>1355743901.3599999</v>
      </c>
      <c r="G30" s="190">
        <v>755896388.47000003</v>
      </c>
      <c r="H30" s="190">
        <v>581350473.92999995</v>
      </c>
      <c r="I30" s="190">
        <v>1155078168</v>
      </c>
      <c r="J30" s="190">
        <v>778822000</v>
      </c>
      <c r="K30" s="190">
        <v>272600000</v>
      </c>
      <c r="L30" s="190">
        <v>149950000</v>
      </c>
      <c r="M30" s="190">
        <v>628000000</v>
      </c>
      <c r="N30" s="190">
        <v>350000000</v>
      </c>
      <c r="O30" s="190">
        <v>85000000</v>
      </c>
      <c r="P30" s="190">
        <v>35000000</v>
      </c>
      <c r="Q30" s="190">
        <v>186000000</v>
      </c>
      <c r="R30" s="190">
        <v>140000000</v>
      </c>
      <c r="S30" s="190">
        <v>80000000</v>
      </c>
      <c r="T30" s="190">
        <v>60000000</v>
      </c>
      <c r="U30" s="190">
        <v>160000000</v>
      </c>
      <c r="V30" s="190">
        <v>0</v>
      </c>
      <c r="W30" s="190">
        <v>0</v>
      </c>
      <c r="X30" s="190">
        <v>0</v>
      </c>
      <c r="Y30" s="190">
        <v>86000000</v>
      </c>
      <c r="Z30" s="190">
        <v>30000000</v>
      </c>
      <c r="AA30" s="190">
        <v>30000000</v>
      </c>
      <c r="AB30" s="190">
        <v>3000000</v>
      </c>
      <c r="AC30" s="190">
        <v>20000000</v>
      </c>
      <c r="AD30" s="190">
        <v>20000000</v>
      </c>
      <c r="AE30" s="190">
        <v>20000000</v>
      </c>
      <c r="AF30" s="190">
        <v>3000000</v>
      </c>
      <c r="AG30" s="190">
        <v>12000000</v>
      </c>
      <c r="AH30" s="190">
        <v>0</v>
      </c>
      <c r="AI30" s="190">
        <v>7000000</v>
      </c>
      <c r="AJ30" s="190">
        <v>3000000</v>
      </c>
      <c r="AK30" s="190">
        <v>20000000</v>
      </c>
      <c r="AL30" s="190">
        <v>15000000</v>
      </c>
      <c r="AM30" s="190">
        <v>15000000</v>
      </c>
      <c r="AN30" s="190">
        <v>0</v>
      </c>
      <c r="AO30" s="190">
        <v>19500000</v>
      </c>
      <c r="AP30" s="190">
        <v>7000000</v>
      </c>
      <c r="AQ30" s="190">
        <v>10500000</v>
      </c>
      <c r="AR30" s="190">
        <v>0</v>
      </c>
      <c r="AS30" s="190">
        <v>24000000</v>
      </c>
      <c r="AT30" s="190">
        <v>24000000</v>
      </c>
      <c r="AU30" s="190">
        <v>20000000</v>
      </c>
      <c r="AV30" s="190">
        <v>5000000</v>
      </c>
      <c r="AW30" s="190">
        <v>17000000</v>
      </c>
      <c r="AX30" s="190">
        <v>12000000</v>
      </c>
      <c r="AY30" s="190">
        <v>2000000</v>
      </c>
      <c r="AZ30" s="190">
        <v>0</v>
      </c>
      <c r="BA30" s="190">
        <v>20000000</v>
      </c>
      <c r="BB30" s="190">
        <v>20000000</v>
      </c>
      <c r="BC30" s="190">
        <v>11000000</v>
      </c>
      <c r="BD30" s="190">
        <v>1800000</v>
      </c>
      <c r="BE30" s="190">
        <v>0</v>
      </c>
    </row>
    <row r="31" spans="1:57" x14ac:dyDescent="0.25">
      <c r="A31" s="190" t="s">
        <v>247</v>
      </c>
      <c r="B31" s="190">
        <v>497500000</v>
      </c>
      <c r="C31" s="190">
        <v>497500000</v>
      </c>
      <c r="D31" s="190">
        <v>497500000</v>
      </c>
      <c r="E31" s="190">
        <v>794400000</v>
      </c>
      <c r="F31" s="190">
        <v>794400000</v>
      </c>
      <c r="G31" s="190">
        <v>794400000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row>
    <row r="32" spans="1:57" x14ac:dyDescent="0.25">
      <c r="A32" s="190" t="s">
        <v>248</v>
      </c>
      <c r="B32" s="190">
        <v>35500000</v>
      </c>
      <c r="C32" s="190">
        <v>3500000</v>
      </c>
      <c r="D32" s="190">
        <v>0</v>
      </c>
      <c r="E32" s="190">
        <v>24410000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row>
    <row r="33" spans="1:57" x14ac:dyDescent="0.25">
      <c r="A33" s="190" t="s">
        <v>249</v>
      </c>
      <c r="B33" s="190">
        <v>4447491460.3299999</v>
      </c>
      <c r="C33" s="190">
        <v>3549314883.52</v>
      </c>
      <c r="D33" s="190">
        <v>1899400833.8699999</v>
      </c>
      <c r="E33" s="190">
        <v>3430845732.7399998</v>
      </c>
      <c r="F33" s="190">
        <v>2150143901.3600001</v>
      </c>
      <c r="G33" s="190">
        <v>1550296388.47</v>
      </c>
      <c r="H33" s="190">
        <v>581350473.92999995</v>
      </c>
      <c r="I33" s="190">
        <v>1162078168</v>
      </c>
      <c r="J33" s="190">
        <v>785822000</v>
      </c>
      <c r="K33" s="190">
        <v>279600000</v>
      </c>
      <c r="L33" s="190">
        <v>154950000</v>
      </c>
      <c r="M33" s="190">
        <v>2109909988.9000001</v>
      </c>
      <c r="N33" s="190">
        <v>1768639988.9000001</v>
      </c>
      <c r="O33" s="190">
        <v>85000000</v>
      </c>
      <c r="P33" s="190">
        <v>35000000</v>
      </c>
      <c r="Q33" s="190">
        <v>186000000</v>
      </c>
      <c r="R33" s="190">
        <v>140000000</v>
      </c>
      <c r="S33" s="190">
        <v>80000000</v>
      </c>
      <c r="T33" s="190">
        <v>60000000</v>
      </c>
      <c r="U33" s="190">
        <v>160000000</v>
      </c>
      <c r="V33" s="190">
        <v>5000000</v>
      </c>
      <c r="W33" s="190">
        <v>0</v>
      </c>
      <c r="X33" s="190">
        <v>0</v>
      </c>
      <c r="Y33" s="190">
        <v>86000000</v>
      </c>
      <c r="Z33" s="190">
        <v>30000000</v>
      </c>
      <c r="AA33" s="190">
        <v>30000000</v>
      </c>
      <c r="AB33" s="190">
        <v>3000000</v>
      </c>
      <c r="AC33" s="190">
        <v>20000000</v>
      </c>
      <c r="AD33" s="190">
        <v>20000000</v>
      </c>
      <c r="AE33" s="190">
        <v>20000000</v>
      </c>
      <c r="AF33" s="190">
        <v>3000000</v>
      </c>
      <c r="AG33" s="190">
        <v>12000000</v>
      </c>
      <c r="AH33" s="190">
        <v>0</v>
      </c>
      <c r="AI33" s="190">
        <v>7000000</v>
      </c>
      <c r="AJ33" s="190">
        <v>3000000</v>
      </c>
      <c r="AK33" s="190">
        <v>20000000</v>
      </c>
      <c r="AL33" s="190">
        <v>15000000</v>
      </c>
      <c r="AM33" s="190">
        <v>15000000</v>
      </c>
      <c r="AN33" s="190">
        <v>0</v>
      </c>
      <c r="AO33" s="190">
        <v>23650000</v>
      </c>
      <c r="AP33" s="190">
        <v>11150000</v>
      </c>
      <c r="AQ33" s="190">
        <v>14650000</v>
      </c>
      <c r="AR33" s="190">
        <v>0</v>
      </c>
      <c r="AS33" s="190">
        <v>25250000</v>
      </c>
      <c r="AT33" s="190">
        <v>24000000</v>
      </c>
      <c r="AU33" s="190">
        <v>20000000</v>
      </c>
      <c r="AV33" s="190">
        <v>5000000</v>
      </c>
      <c r="AW33" s="190">
        <v>17000000</v>
      </c>
      <c r="AX33" s="190">
        <v>12000000</v>
      </c>
      <c r="AY33" s="190">
        <v>2000000</v>
      </c>
      <c r="AZ33" s="190">
        <v>0</v>
      </c>
      <c r="BA33" s="190">
        <v>169815823.77000001</v>
      </c>
      <c r="BB33" s="190">
        <v>166275823.77000001</v>
      </c>
      <c r="BC33" s="190">
        <v>160815823.77000001</v>
      </c>
      <c r="BD33" s="190">
        <v>1800000</v>
      </c>
      <c r="BE33" s="190">
        <v>0</v>
      </c>
    </row>
    <row r="34" spans="1:57" x14ac:dyDescent="0.25">
      <c r="A34" s="190" t="s">
        <v>250</v>
      </c>
      <c r="B34" s="190">
        <v>2181289143.2399998</v>
      </c>
      <c r="C34" s="190">
        <v>1583909947.6700001</v>
      </c>
      <c r="D34" s="190">
        <v>833583963.41999996</v>
      </c>
      <c r="E34" s="190">
        <v>1209251536.3499999</v>
      </c>
      <c r="F34" s="190">
        <v>803503400.62</v>
      </c>
      <c r="G34" s="190">
        <v>343300662.98000002</v>
      </c>
      <c r="H34" s="190">
        <v>182594022.12</v>
      </c>
      <c r="I34" s="190">
        <v>565726605.60000002</v>
      </c>
      <c r="J34" s="190">
        <v>289993000</v>
      </c>
      <c r="K34" s="190">
        <v>160892500</v>
      </c>
      <c r="L34" s="190">
        <v>55792000</v>
      </c>
      <c r="M34" s="190">
        <v>237751600</v>
      </c>
      <c r="N34" s="190">
        <v>135716800</v>
      </c>
      <c r="O34" s="190">
        <v>115000000</v>
      </c>
      <c r="P34" s="190">
        <v>115000000</v>
      </c>
      <c r="Q34" s="190">
        <v>282000000</v>
      </c>
      <c r="R34" s="190">
        <v>141500000</v>
      </c>
      <c r="S34" s="190">
        <v>70000000</v>
      </c>
      <c r="T34" s="190">
        <v>51000000</v>
      </c>
      <c r="U34" s="190">
        <v>38000000</v>
      </c>
      <c r="V34" s="190">
        <v>10000000</v>
      </c>
      <c r="W34" s="190">
        <v>6000000</v>
      </c>
      <c r="X34" s="190">
        <v>3000000</v>
      </c>
      <c r="Y34" s="190">
        <v>30000000</v>
      </c>
      <c r="Z34" s="190">
        <v>4000000</v>
      </c>
      <c r="AA34" s="190">
        <v>4000000</v>
      </c>
      <c r="AB34" s="190">
        <v>0</v>
      </c>
      <c r="AC34" s="190">
        <v>4000000</v>
      </c>
      <c r="AD34" s="190">
        <v>4000000</v>
      </c>
      <c r="AE34" s="190">
        <v>4000000</v>
      </c>
      <c r="AF34" s="190">
        <v>4000000</v>
      </c>
      <c r="AG34" s="190">
        <v>28000000</v>
      </c>
      <c r="AH34" s="190">
        <v>15000000</v>
      </c>
      <c r="AI34" s="190">
        <v>20000000</v>
      </c>
      <c r="AJ34" s="190">
        <v>0</v>
      </c>
      <c r="AK34" s="190">
        <v>11000000</v>
      </c>
      <c r="AL34" s="190">
        <v>6000000</v>
      </c>
      <c r="AM34" s="190">
        <v>3500000</v>
      </c>
      <c r="AN34" s="190">
        <v>2500000</v>
      </c>
      <c r="AO34" s="190">
        <v>20500000</v>
      </c>
      <c r="AP34" s="190">
        <v>8000000</v>
      </c>
      <c r="AQ34" s="190">
        <v>8000000</v>
      </c>
      <c r="AR34" s="190">
        <v>0</v>
      </c>
      <c r="AS34" s="190">
        <v>27000000</v>
      </c>
      <c r="AT34" s="190">
        <v>25000000</v>
      </c>
      <c r="AU34" s="190">
        <v>15000000</v>
      </c>
      <c r="AV34" s="190">
        <v>0</v>
      </c>
      <c r="AW34" s="190">
        <v>12000000</v>
      </c>
      <c r="AX34" s="190">
        <v>10000000</v>
      </c>
      <c r="AY34" s="190">
        <v>0</v>
      </c>
      <c r="AZ34" s="190">
        <v>0</v>
      </c>
      <c r="BA34" s="190">
        <v>20700000</v>
      </c>
      <c r="BB34" s="190">
        <v>20700000</v>
      </c>
      <c r="BC34" s="190">
        <v>9900000</v>
      </c>
      <c r="BD34" s="190">
        <v>6400000</v>
      </c>
      <c r="BE34" s="190">
        <v>0</v>
      </c>
    </row>
    <row r="35" spans="1:57" x14ac:dyDescent="0.25">
      <c r="A35" s="190" t="s">
        <v>552</v>
      </c>
      <c r="B35" s="190">
        <v>281896700</v>
      </c>
      <c r="C35" s="190">
        <v>217984387.62</v>
      </c>
      <c r="D35" s="190">
        <v>39608225.840000004</v>
      </c>
      <c r="E35" s="190">
        <v>125944669.45999999</v>
      </c>
      <c r="F35" s="190">
        <v>87753320.230000004</v>
      </c>
      <c r="G35" s="190">
        <v>82204552.670000002</v>
      </c>
      <c r="H35" s="190">
        <v>15962461.619999999</v>
      </c>
      <c r="I35" s="190">
        <v>37960515.409999996</v>
      </c>
      <c r="J35" s="190">
        <v>25004525.859999999</v>
      </c>
      <c r="K35" s="190">
        <v>16115203.5</v>
      </c>
      <c r="L35" s="190">
        <v>7182117.8700000001</v>
      </c>
      <c r="M35" s="190">
        <v>17362234.460000001</v>
      </c>
      <c r="N35" s="190">
        <v>10851551.98</v>
      </c>
      <c r="O35" s="190">
        <v>20286724.73</v>
      </c>
      <c r="P35" s="190">
        <v>1088785.82</v>
      </c>
      <c r="Q35" s="190">
        <v>23129174.129999999</v>
      </c>
      <c r="R35" s="190">
        <v>22060719.84</v>
      </c>
      <c r="S35" s="190">
        <v>16228937.619999999</v>
      </c>
      <c r="T35" s="190">
        <v>2529041.73</v>
      </c>
      <c r="U35" s="190">
        <v>52259891.030000001</v>
      </c>
      <c r="V35" s="190">
        <v>46640807.890000001</v>
      </c>
      <c r="W35" s="190">
        <v>46488141.219999999</v>
      </c>
      <c r="X35" s="190">
        <v>321320.12</v>
      </c>
      <c r="Y35" s="190">
        <v>26199711.960000001</v>
      </c>
      <c r="Z35" s="190">
        <v>24818577.16</v>
      </c>
      <c r="AA35" s="190">
        <v>24465132.539999999</v>
      </c>
      <c r="AB35" s="190">
        <v>333605.88</v>
      </c>
      <c r="AC35" s="190">
        <v>10470583.390000001</v>
      </c>
      <c r="AD35" s="190">
        <v>9951998.6099999994</v>
      </c>
      <c r="AE35" s="190">
        <v>8495694.4499999993</v>
      </c>
      <c r="AF35" s="190">
        <v>38408.33</v>
      </c>
      <c r="AG35" s="190">
        <v>14598905.949999999</v>
      </c>
      <c r="AH35" s="190">
        <v>13438221.51</v>
      </c>
      <c r="AI35" s="190">
        <v>13121462.609999999</v>
      </c>
      <c r="AJ35" s="190">
        <v>369425.05</v>
      </c>
      <c r="AK35" s="190">
        <v>11361535.33</v>
      </c>
      <c r="AL35" s="190">
        <v>10917076.51</v>
      </c>
      <c r="AM35" s="190">
        <v>7476846.1299999999</v>
      </c>
      <c r="AN35" s="190">
        <v>329333.23</v>
      </c>
      <c r="AO35" s="190">
        <v>2316117.4700000002</v>
      </c>
      <c r="AP35" s="190">
        <v>3428206.81</v>
      </c>
      <c r="AQ35" s="190">
        <v>1875838.48</v>
      </c>
      <c r="AR35" s="190">
        <v>225511.75</v>
      </c>
      <c r="AS35" s="190">
        <v>18000582.690000001</v>
      </c>
      <c r="AT35" s="190">
        <v>17579695.129999999</v>
      </c>
      <c r="AU35" s="190">
        <v>17139481.129999999</v>
      </c>
      <c r="AV35" s="190">
        <v>189039.48</v>
      </c>
      <c r="AW35" s="190">
        <v>12058478.65</v>
      </c>
      <c r="AX35" s="190">
        <v>11445404.189999999</v>
      </c>
      <c r="AY35" s="190">
        <v>1857503.38</v>
      </c>
      <c r="AZ35" s="190">
        <v>227426.84</v>
      </c>
      <c r="BA35" s="190">
        <v>32052052.940000001</v>
      </c>
      <c r="BB35" s="190">
        <v>7204016.0899999999</v>
      </c>
      <c r="BC35" s="190">
        <v>6538295.3099999996</v>
      </c>
      <c r="BD35" s="190">
        <v>5156343.03</v>
      </c>
      <c r="BE35" s="190">
        <v>0</v>
      </c>
    </row>
    <row r="36" spans="1:57" x14ac:dyDescent="0.25">
      <c r="A36" s="190" t="s">
        <v>251</v>
      </c>
      <c r="B36" s="190">
        <v>24775387.379999999</v>
      </c>
      <c r="C36" s="190">
        <v>13607994.439999999</v>
      </c>
      <c r="D36" s="190">
        <v>0</v>
      </c>
      <c r="E36" s="190">
        <v>16329034.560000001</v>
      </c>
      <c r="F36" s="190">
        <v>5043414.63</v>
      </c>
      <c r="G36" s="190">
        <v>5043414.63</v>
      </c>
      <c r="H36" s="190">
        <v>0</v>
      </c>
      <c r="I36" s="190">
        <v>0</v>
      </c>
      <c r="J36" s="190">
        <v>0</v>
      </c>
      <c r="K36" s="190">
        <v>0</v>
      </c>
      <c r="L36" s="190">
        <v>0</v>
      </c>
      <c r="M36" s="190">
        <v>0</v>
      </c>
      <c r="N36" s="190">
        <v>0</v>
      </c>
      <c r="O36" s="190">
        <v>0</v>
      </c>
      <c r="P36" s="190">
        <v>0</v>
      </c>
      <c r="Q36" s="190">
        <v>741442.46</v>
      </c>
      <c r="R36" s="190">
        <v>0</v>
      </c>
      <c r="S36" s="190">
        <v>0</v>
      </c>
      <c r="T36" s="190">
        <v>0</v>
      </c>
      <c r="U36" s="190">
        <v>1002574.59</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2263668.08</v>
      </c>
      <c r="AL36" s="190">
        <v>0</v>
      </c>
      <c r="AM36" s="190">
        <v>0</v>
      </c>
      <c r="AN36" s="190">
        <v>0</v>
      </c>
      <c r="AO36" s="190">
        <v>1501374.19</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row>
    <row r="37" spans="1:57" x14ac:dyDescent="0.25">
      <c r="A37" s="190" t="s">
        <v>252</v>
      </c>
      <c r="B37" s="190">
        <v>724427249</v>
      </c>
      <c r="C37" s="190">
        <v>305540880.76999998</v>
      </c>
      <c r="D37" s="190">
        <v>52603131.229999997</v>
      </c>
      <c r="E37" s="190">
        <v>536792418.74000001</v>
      </c>
      <c r="F37" s="190">
        <v>76952789</v>
      </c>
      <c r="G37" s="190">
        <v>41407789</v>
      </c>
      <c r="H37" s="190">
        <v>16813485.699999999</v>
      </c>
      <c r="I37" s="190">
        <v>107569147.09999999</v>
      </c>
      <c r="J37" s="190">
        <v>76440296.590000004</v>
      </c>
      <c r="K37" s="190">
        <v>47899020.479999997</v>
      </c>
      <c r="L37" s="190">
        <v>4158313.53</v>
      </c>
      <c r="M37" s="190">
        <v>87626503.310000002</v>
      </c>
      <c r="N37" s="190">
        <v>38777549.060000002</v>
      </c>
      <c r="O37" s="190">
        <v>0</v>
      </c>
      <c r="P37" s="190">
        <v>0</v>
      </c>
      <c r="Q37" s="190">
        <v>11591258</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1181300.67</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4219000</v>
      </c>
      <c r="BB37" s="190">
        <v>-250000</v>
      </c>
      <c r="BC37" s="190">
        <v>0</v>
      </c>
      <c r="BD37" s="190">
        <v>0</v>
      </c>
      <c r="BE37" s="190">
        <v>0</v>
      </c>
    </row>
    <row r="38" spans="1:57" x14ac:dyDescent="0.25">
      <c r="A38" s="190" t="s">
        <v>253</v>
      </c>
      <c r="B38" s="190">
        <v>3187613092.2399998</v>
      </c>
      <c r="C38" s="190">
        <v>2107435216.0599999</v>
      </c>
      <c r="D38" s="190">
        <v>925795320.49000001</v>
      </c>
      <c r="E38" s="190">
        <v>1871988624.55</v>
      </c>
      <c r="F38" s="190">
        <v>968209509.85000002</v>
      </c>
      <c r="G38" s="190">
        <v>466913004.64999998</v>
      </c>
      <c r="H38" s="190">
        <v>215369969.44</v>
      </c>
      <c r="I38" s="190">
        <v>711256268.11000001</v>
      </c>
      <c r="J38" s="190">
        <v>391437822.44999999</v>
      </c>
      <c r="K38" s="190">
        <v>224906723.97999999</v>
      </c>
      <c r="L38" s="190">
        <v>67132431.400000006</v>
      </c>
      <c r="M38" s="190">
        <v>342740337.76999998</v>
      </c>
      <c r="N38" s="190">
        <v>185345901.03999999</v>
      </c>
      <c r="O38" s="190">
        <v>135286724.72999999</v>
      </c>
      <c r="P38" s="190">
        <v>116088785.81999999</v>
      </c>
      <c r="Q38" s="190">
        <v>316720432.13</v>
      </c>
      <c r="R38" s="190">
        <v>163560719.84</v>
      </c>
      <c r="S38" s="190">
        <v>86228937.620000005</v>
      </c>
      <c r="T38" s="190">
        <v>53529041.729999997</v>
      </c>
      <c r="U38" s="190">
        <v>90259891.030000001</v>
      </c>
      <c r="V38" s="190">
        <v>56640807.890000001</v>
      </c>
      <c r="W38" s="190">
        <v>52488141.219999999</v>
      </c>
      <c r="X38" s="190">
        <v>3321320.12</v>
      </c>
      <c r="Y38" s="190">
        <v>56199711.960000001</v>
      </c>
      <c r="Z38" s="190">
        <v>28818577.16</v>
      </c>
      <c r="AA38" s="190">
        <v>28465132.539999999</v>
      </c>
      <c r="AB38" s="190">
        <v>333605.88</v>
      </c>
      <c r="AC38" s="190">
        <v>14470583.390000001</v>
      </c>
      <c r="AD38" s="190">
        <v>13951998.609999999</v>
      </c>
      <c r="AE38" s="190">
        <v>12495694.449999999</v>
      </c>
      <c r="AF38" s="190">
        <v>4038408.33</v>
      </c>
      <c r="AG38" s="190">
        <v>43780206.619999997</v>
      </c>
      <c r="AH38" s="190">
        <v>28438221.510000002</v>
      </c>
      <c r="AI38" s="190">
        <v>33121462.609999999</v>
      </c>
      <c r="AJ38" s="190">
        <v>369425.05</v>
      </c>
      <c r="AK38" s="190">
        <v>22361535.329999998</v>
      </c>
      <c r="AL38" s="190">
        <v>16917076.510000002</v>
      </c>
      <c r="AM38" s="190">
        <v>10976846.130000001</v>
      </c>
      <c r="AN38" s="190">
        <v>2829333.23</v>
      </c>
      <c r="AO38" s="190">
        <v>22816117.469999999</v>
      </c>
      <c r="AP38" s="190">
        <v>11428206.810000001</v>
      </c>
      <c r="AQ38" s="190">
        <v>9875838.4800000004</v>
      </c>
      <c r="AR38" s="190">
        <v>225511.75</v>
      </c>
      <c r="AS38" s="190">
        <v>45000582.689999998</v>
      </c>
      <c r="AT38" s="190">
        <v>42579695.130000003</v>
      </c>
      <c r="AU38" s="190">
        <v>32139481.129999999</v>
      </c>
      <c r="AV38" s="190">
        <v>189039.48</v>
      </c>
      <c r="AW38" s="190">
        <v>24058478.649999999</v>
      </c>
      <c r="AX38" s="190">
        <v>21445404.190000001</v>
      </c>
      <c r="AY38" s="190">
        <v>1857503.38</v>
      </c>
      <c r="AZ38" s="190">
        <v>227426.84</v>
      </c>
      <c r="BA38" s="190">
        <v>56971052.939999998</v>
      </c>
      <c r="BB38" s="190">
        <v>27654016.09</v>
      </c>
      <c r="BC38" s="190">
        <v>16438295.310000001</v>
      </c>
      <c r="BD38" s="190">
        <v>11556343.029999999</v>
      </c>
      <c r="BE38" s="190">
        <v>0</v>
      </c>
    </row>
    <row r="39" spans="1:57" x14ac:dyDescent="0.25">
      <c r="A39" s="190" t="s">
        <v>254</v>
      </c>
      <c r="B39" s="190">
        <v>1259878368.0899999</v>
      </c>
      <c r="C39" s="190">
        <v>1441879667.46</v>
      </c>
      <c r="D39" s="190">
        <v>973605513.38</v>
      </c>
      <c r="E39" s="190">
        <v>1558857108.1900001</v>
      </c>
      <c r="F39" s="190">
        <v>1181934391.51</v>
      </c>
      <c r="G39" s="190">
        <v>1083383383.8199999</v>
      </c>
      <c r="H39" s="190">
        <v>365980504.49000001</v>
      </c>
      <c r="I39" s="190">
        <v>450821899.88999999</v>
      </c>
      <c r="J39" s="190">
        <v>394384177.55000001</v>
      </c>
      <c r="K39" s="190">
        <v>54693276.020000003</v>
      </c>
      <c r="L39" s="190">
        <v>87817568.599999994</v>
      </c>
      <c r="M39" s="190">
        <v>1767169651.1300001</v>
      </c>
      <c r="N39" s="190">
        <v>1583294087.8599999</v>
      </c>
      <c r="O39" s="190">
        <v>-50286724.729999997</v>
      </c>
      <c r="P39" s="190">
        <v>-81088785.819999993</v>
      </c>
      <c r="Q39" s="190">
        <v>-130720432.13</v>
      </c>
      <c r="R39" s="190">
        <v>-23560719.84</v>
      </c>
      <c r="S39" s="190">
        <v>-6228937.6200000001</v>
      </c>
      <c r="T39" s="190">
        <v>6470958.2699999996</v>
      </c>
      <c r="U39" s="190">
        <v>69740108.969999999</v>
      </c>
      <c r="V39" s="190">
        <v>-51640807.890000001</v>
      </c>
      <c r="W39" s="190">
        <v>-52488141.219999999</v>
      </c>
      <c r="X39" s="190">
        <v>-3321320.12</v>
      </c>
      <c r="Y39" s="190">
        <v>29800288.039999999</v>
      </c>
      <c r="Z39" s="190">
        <v>1181422.8400000001</v>
      </c>
      <c r="AA39" s="190">
        <v>1534867.46</v>
      </c>
      <c r="AB39" s="190">
        <v>2666394.12</v>
      </c>
      <c r="AC39" s="190">
        <v>5529416.6100000003</v>
      </c>
      <c r="AD39" s="190">
        <v>6048001.3899999997</v>
      </c>
      <c r="AE39" s="190">
        <v>7504305.5499999998</v>
      </c>
      <c r="AF39" s="190">
        <v>-1038408.33</v>
      </c>
      <c r="AG39" s="190">
        <v>-31780206.620000001</v>
      </c>
      <c r="AH39" s="190">
        <v>-28438221.510000002</v>
      </c>
      <c r="AI39" s="190">
        <v>-26121462.609999999</v>
      </c>
      <c r="AJ39" s="190">
        <v>2630574.9500000002</v>
      </c>
      <c r="AK39" s="190">
        <v>-2361535.33</v>
      </c>
      <c r="AL39" s="190">
        <v>-1917076.51</v>
      </c>
      <c r="AM39" s="190">
        <v>4023153.87</v>
      </c>
      <c r="AN39" s="190">
        <v>-2829333.23</v>
      </c>
      <c r="AO39" s="190">
        <v>833882.53</v>
      </c>
      <c r="AP39" s="190">
        <v>-278206.81</v>
      </c>
      <c r="AQ39" s="190">
        <v>4774161.5199999996</v>
      </c>
      <c r="AR39" s="190">
        <v>-225511.75</v>
      </c>
      <c r="AS39" s="190">
        <v>-19750582.690000001</v>
      </c>
      <c r="AT39" s="190">
        <v>-18579695.129999999</v>
      </c>
      <c r="AU39" s="190">
        <v>-12139481.130000001</v>
      </c>
      <c r="AV39" s="190">
        <v>4810960.5199999996</v>
      </c>
      <c r="AW39" s="190">
        <v>-7058478.6500000004</v>
      </c>
      <c r="AX39" s="190">
        <v>-9445404.1899999995</v>
      </c>
      <c r="AY39" s="190">
        <v>142496.62</v>
      </c>
      <c r="AZ39" s="190">
        <v>-227426.84</v>
      </c>
      <c r="BA39" s="190">
        <v>112844770.83</v>
      </c>
      <c r="BB39" s="190">
        <v>138621807.68000001</v>
      </c>
      <c r="BC39" s="190">
        <v>144377528.46000001</v>
      </c>
      <c r="BD39" s="190">
        <v>-9756343.0299999993</v>
      </c>
      <c r="BE39" s="190">
        <v>0</v>
      </c>
    </row>
    <row r="40" spans="1:57" x14ac:dyDescent="0.25">
      <c r="A40" s="190" t="s">
        <v>255</v>
      </c>
      <c r="B40" s="190">
        <v>514747.49</v>
      </c>
      <c r="C40" s="190">
        <v>84321.53</v>
      </c>
      <c r="D40" s="190">
        <v>-409022.48</v>
      </c>
      <c r="E40" s="190">
        <v>-7252.5</v>
      </c>
      <c r="F40" s="190">
        <v>-517814.59</v>
      </c>
      <c r="G40" s="190">
        <v>-290884.03000000003</v>
      </c>
      <c r="H40" s="190">
        <v>-81890.53</v>
      </c>
      <c r="I40" s="190">
        <v>64.239999999999995</v>
      </c>
      <c r="J40" s="190">
        <v>26.69</v>
      </c>
      <c r="K40" s="190">
        <v>19.940000000000001</v>
      </c>
      <c r="L40" s="190">
        <v>0</v>
      </c>
      <c r="M40" s="190">
        <v>54.24</v>
      </c>
      <c r="N40" s="190">
        <v>0.96</v>
      </c>
      <c r="O40" s="190">
        <v>0</v>
      </c>
      <c r="P40" s="190">
        <v>0</v>
      </c>
      <c r="Q40" s="190">
        <v>1210972.56</v>
      </c>
      <c r="R40" s="190">
        <v>0</v>
      </c>
      <c r="S40" s="190">
        <v>0</v>
      </c>
      <c r="T40" s="190">
        <v>0</v>
      </c>
      <c r="U40" s="190">
        <v>-8420353.3100000005</v>
      </c>
      <c r="V40" s="190">
        <v>0</v>
      </c>
      <c r="W40" s="190">
        <v>0</v>
      </c>
      <c r="X40" s="190">
        <v>0</v>
      </c>
      <c r="Y40" s="190">
        <v>-1123093.2</v>
      </c>
      <c r="Z40" s="190">
        <v>0</v>
      </c>
      <c r="AA40" s="190">
        <v>0</v>
      </c>
      <c r="AB40" s="190">
        <v>0</v>
      </c>
      <c r="AC40" s="190">
        <v>-2530486.14</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-88132.99</v>
      </c>
      <c r="AY40" s="190">
        <v>-52102.93</v>
      </c>
      <c r="AZ40" s="190">
        <v>-49909.13</v>
      </c>
      <c r="BA40" s="190">
        <v>-405957.9</v>
      </c>
      <c r="BB40" s="190">
        <v>-99129.37</v>
      </c>
      <c r="BC40" s="190">
        <v>-97628.77</v>
      </c>
      <c r="BD40" s="190">
        <v>-9856</v>
      </c>
      <c r="BE40" s="190">
        <v>0</v>
      </c>
    </row>
    <row r="41" spans="1:57" x14ac:dyDescent="0.25">
      <c r="A41" s="190" t="s">
        <v>256</v>
      </c>
      <c r="B41" s="190">
        <v>-1168085345.7</v>
      </c>
      <c r="C41" s="190">
        <v>-881924973.46000004</v>
      </c>
      <c r="D41" s="190">
        <v>201497467.83000001</v>
      </c>
      <c r="E41" s="190">
        <v>989434995.96000004</v>
      </c>
      <c r="F41" s="190">
        <v>-69502720.590000004</v>
      </c>
      <c r="G41" s="190">
        <v>246983592.84</v>
      </c>
      <c r="H41" s="190">
        <v>-36907490.560000002</v>
      </c>
      <c r="I41" s="190">
        <v>-3417208.16</v>
      </c>
      <c r="J41" s="190">
        <v>-478105164.99000001</v>
      </c>
      <c r="K41" s="190">
        <v>-612453992.27999997</v>
      </c>
      <c r="L41" s="190">
        <v>-238178794.50999999</v>
      </c>
      <c r="M41" s="190">
        <v>528054837.36000001</v>
      </c>
      <c r="N41" s="190">
        <v>74115327.319999993</v>
      </c>
      <c r="O41" s="190">
        <v>-119670016.61</v>
      </c>
      <c r="P41" s="190">
        <v>-74472262.099999994</v>
      </c>
      <c r="Q41" s="190">
        <v>-124658100.79000001</v>
      </c>
      <c r="R41" s="190">
        <v>-132672338.02</v>
      </c>
      <c r="S41" s="190">
        <v>-163818921.22999999</v>
      </c>
      <c r="T41" s="190">
        <v>-40738426.189999998</v>
      </c>
      <c r="U41" s="190">
        <v>-17387430.620000001</v>
      </c>
      <c r="V41" s="190">
        <v>-89704398.719999999</v>
      </c>
      <c r="W41" s="190">
        <v>-110653712.90000001</v>
      </c>
      <c r="X41" s="190">
        <v>-13201179.710000001</v>
      </c>
      <c r="Y41" s="190">
        <v>77504474.75</v>
      </c>
      <c r="Z41" s="190">
        <v>27433951.77</v>
      </c>
      <c r="AA41" s="190">
        <v>-47299340.200000003</v>
      </c>
      <c r="AB41" s="190">
        <v>8942102.7400000002</v>
      </c>
      <c r="AC41" s="190">
        <v>9154798.2400000002</v>
      </c>
      <c r="AD41" s="190">
        <v>-4315385.8499999996</v>
      </c>
      <c r="AE41" s="190">
        <v>-48699001.299999997</v>
      </c>
      <c r="AF41" s="190">
        <v>-28475790.510000002</v>
      </c>
      <c r="AG41" s="190">
        <v>-67529215.159999996</v>
      </c>
      <c r="AH41" s="190">
        <v>-62044630.130000003</v>
      </c>
      <c r="AI41" s="190">
        <v>-24492196.899999999</v>
      </c>
      <c r="AJ41" s="190">
        <v>22074487.079999998</v>
      </c>
      <c r="AK41" s="190">
        <v>35894097.119999997</v>
      </c>
      <c r="AL41" s="190">
        <v>11606114.449999999</v>
      </c>
      <c r="AM41" s="190">
        <v>13306497.74</v>
      </c>
      <c r="AN41" s="190">
        <v>11034753.92</v>
      </c>
      <c r="AO41" s="190">
        <v>17771538.539999999</v>
      </c>
      <c r="AP41" s="190">
        <v>18620812.34</v>
      </c>
      <c r="AQ41" s="190">
        <v>2712227.32</v>
      </c>
      <c r="AR41" s="190">
        <v>19468328.5</v>
      </c>
      <c r="AS41" s="190">
        <v>3316540.56</v>
      </c>
      <c r="AT41" s="190">
        <v>26053465.789999999</v>
      </c>
      <c r="AU41" s="190">
        <v>18173026.550000001</v>
      </c>
      <c r="AV41" s="190">
        <v>19764936.23</v>
      </c>
      <c r="AW41" s="190">
        <v>-4402706.4800000004</v>
      </c>
      <c r="AX41" s="190">
        <v>-11167625.289999999</v>
      </c>
      <c r="AY41" s="190">
        <v>-570351.09</v>
      </c>
      <c r="AZ41" s="190">
        <v>-853641.97</v>
      </c>
      <c r="BA41" s="190">
        <v>135514642.50999999</v>
      </c>
      <c r="BB41" s="190">
        <v>150877465.68000001</v>
      </c>
      <c r="BC41" s="190">
        <v>147859858.78999999</v>
      </c>
      <c r="BD41" s="190">
        <v>-5682225.1699999999</v>
      </c>
      <c r="BE41" s="190">
        <v>0</v>
      </c>
    </row>
    <row r="42" spans="1:57" x14ac:dyDescent="0.25">
      <c r="A42" s="190" t="s">
        <v>257</v>
      </c>
      <c r="B42" s="190">
        <v>2390117639.6900001</v>
      </c>
      <c r="C42" s="190">
        <v>2366472479.2800002</v>
      </c>
      <c r="D42" s="190">
        <v>2366473079.2800002</v>
      </c>
      <c r="E42" s="190">
        <v>1377037483.3199999</v>
      </c>
      <c r="F42" s="190">
        <v>1101435360.3800001</v>
      </c>
      <c r="G42" s="190">
        <v>1101435360.3800001</v>
      </c>
      <c r="H42" s="190">
        <v>1100551144.73</v>
      </c>
      <c r="I42" s="190">
        <v>1104852568.54</v>
      </c>
      <c r="J42" s="190">
        <v>1104852568.54</v>
      </c>
      <c r="K42" s="190">
        <v>1104852568.54</v>
      </c>
      <c r="L42" s="190">
        <v>1105736784.1800001</v>
      </c>
      <c r="M42" s="190">
        <v>576797731.17999995</v>
      </c>
      <c r="N42" s="190">
        <v>577386076.94000006</v>
      </c>
      <c r="O42" s="190">
        <v>169798023.02000001</v>
      </c>
      <c r="P42" s="190">
        <v>169798023.02000001</v>
      </c>
      <c r="Q42" s="190">
        <v>294456123.81</v>
      </c>
      <c r="R42" s="190">
        <v>294456123.81</v>
      </c>
      <c r="S42" s="190">
        <v>294456123.81</v>
      </c>
      <c r="T42" s="190">
        <v>294456123.81</v>
      </c>
      <c r="U42" s="190">
        <v>311843554.43000001</v>
      </c>
      <c r="V42" s="190">
        <v>265277602.33000001</v>
      </c>
      <c r="W42" s="190">
        <v>265277602.33000001</v>
      </c>
      <c r="X42" s="190">
        <v>265277602.33000001</v>
      </c>
      <c r="Y42" s="190">
        <v>187773127.58000001</v>
      </c>
      <c r="Z42" s="190">
        <v>187773127.58000001</v>
      </c>
      <c r="AA42" s="190">
        <v>187773127.58000001</v>
      </c>
      <c r="AB42" s="190">
        <v>187773127.58000001</v>
      </c>
      <c r="AC42" s="190">
        <v>178618329.34</v>
      </c>
      <c r="AD42" s="190">
        <v>178618329.34</v>
      </c>
      <c r="AE42" s="190">
        <v>178618329.34</v>
      </c>
      <c r="AF42" s="190">
        <v>181809329.34</v>
      </c>
      <c r="AG42" s="190">
        <v>246147544.5</v>
      </c>
      <c r="AH42" s="190">
        <v>253549386.53</v>
      </c>
      <c r="AI42" s="190">
        <v>246147544.5</v>
      </c>
      <c r="AJ42" s="190">
        <v>246147544.5</v>
      </c>
      <c r="AK42" s="190">
        <v>210253447.38</v>
      </c>
      <c r="AL42" s="190">
        <v>210253447.38</v>
      </c>
      <c r="AM42" s="190">
        <v>210253447.38</v>
      </c>
      <c r="AN42" s="190">
        <v>212310105.34999999</v>
      </c>
      <c r="AO42" s="190">
        <v>192481908.84</v>
      </c>
      <c r="AP42" s="190">
        <v>179075613.38999999</v>
      </c>
      <c r="AQ42" s="190">
        <v>192481908.84</v>
      </c>
      <c r="AR42" s="190">
        <v>193271908.84</v>
      </c>
      <c r="AS42" s="190">
        <v>189165368.28</v>
      </c>
      <c r="AT42" s="190">
        <v>189165368.28</v>
      </c>
      <c r="AU42" s="190">
        <v>189165368.28</v>
      </c>
      <c r="AV42" s="190">
        <v>191685368.28</v>
      </c>
      <c r="AW42" s="190">
        <v>193568074.75999999</v>
      </c>
      <c r="AX42" s="190">
        <v>193568074.75999999</v>
      </c>
      <c r="AY42" s="190">
        <v>193568074.75999999</v>
      </c>
      <c r="AZ42" s="190">
        <v>193568074.75999999</v>
      </c>
      <c r="BA42" s="190">
        <v>58053432.25</v>
      </c>
      <c r="BB42" s="190">
        <v>58053432.25</v>
      </c>
      <c r="BC42" s="190">
        <v>58053432.25</v>
      </c>
      <c r="BD42" s="190">
        <v>63735657.420000002</v>
      </c>
      <c r="BE42" s="190">
        <v>0</v>
      </c>
    </row>
    <row r="43" spans="1:57" x14ac:dyDescent="0.25">
      <c r="A43" s="190" t="s">
        <v>258</v>
      </c>
      <c r="B43" s="190">
        <v>1222032293.99</v>
      </c>
      <c r="C43" s="190">
        <v>1484547505.8199999</v>
      </c>
      <c r="D43" s="190">
        <v>2567970547.1100001</v>
      </c>
      <c r="E43" s="190">
        <v>2366472479.2800002</v>
      </c>
      <c r="F43" s="190">
        <v>1031932639.79</v>
      </c>
      <c r="G43" s="190">
        <v>1348418953.22</v>
      </c>
      <c r="H43" s="190">
        <v>1063643654.17</v>
      </c>
      <c r="I43" s="190">
        <v>1101435360.3800001</v>
      </c>
      <c r="J43" s="190">
        <v>626747403.54999995</v>
      </c>
      <c r="K43" s="190">
        <v>492398576.25999999</v>
      </c>
      <c r="L43" s="190">
        <v>867557989.66999996</v>
      </c>
      <c r="M43" s="190">
        <v>1104852568.54</v>
      </c>
      <c r="N43" s="190">
        <v>651501404.25999999</v>
      </c>
      <c r="O43" s="190">
        <v>50128006.409999996</v>
      </c>
      <c r="P43" s="190">
        <v>95325760.920000002</v>
      </c>
      <c r="Q43" s="190">
        <v>169798023.02000001</v>
      </c>
      <c r="R43" s="190">
        <v>161783785.78999999</v>
      </c>
      <c r="S43" s="190">
        <v>130637202.58</v>
      </c>
      <c r="T43" s="190">
        <v>253717697.62</v>
      </c>
      <c r="U43" s="190">
        <v>294456123.81</v>
      </c>
      <c r="V43" s="190">
        <v>175573203.61000001</v>
      </c>
      <c r="W43" s="190">
        <v>154623889.43000001</v>
      </c>
      <c r="X43" s="190">
        <v>252076422.62</v>
      </c>
      <c r="Y43" s="190">
        <v>265277602.33000001</v>
      </c>
      <c r="Z43" s="190">
        <v>215207079.34999999</v>
      </c>
      <c r="AA43" s="190">
        <v>140473787.38</v>
      </c>
      <c r="AB43" s="190">
        <v>196715230.31999999</v>
      </c>
      <c r="AC43" s="190">
        <v>187773127.58000001</v>
      </c>
      <c r="AD43" s="190">
        <v>174302943.49000001</v>
      </c>
      <c r="AE43" s="190">
        <v>129919328.04000001</v>
      </c>
      <c r="AF43" s="190">
        <v>153333538.83000001</v>
      </c>
      <c r="AG43" s="190">
        <v>178618329.34</v>
      </c>
      <c r="AH43" s="190">
        <v>191504756.40000001</v>
      </c>
      <c r="AI43" s="190">
        <v>221655347.59999999</v>
      </c>
      <c r="AJ43" s="190">
        <v>268222031.58000001</v>
      </c>
      <c r="AK43" s="190">
        <v>246147544.5</v>
      </c>
      <c r="AL43" s="190">
        <v>221859561.83000001</v>
      </c>
      <c r="AM43" s="190">
        <v>223559945.12</v>
      </c>
      <c r="AN43" s="190">
        <v>223344859.27000001</v>
      </c>
      <c r="AO43" s="190">
        <v>210253447.38</v>
      </c>
      <c r="AP43" s="190">
        <v>197696425.72999999</v>
      </c>
      <c r="AQ43" s="190">
        <v>195194136.16</v>
      </c>
      <c r="AR43" s="190">
        <v>212740237.34</v>
      </c>
      <c r="AS43" s="190">
        <v>192481908.84</v>
      </c>
      <c r="AT43" s="190">
        <v>215218834.06999999</v>
      </c>
      <c r="AU43" s="190">
        <v>207338394.83000001</v>
      </c>
      <c r="AV43" s="190">
        <v>211450304.50999999</v>
      </c>
      <c r="AW43" s="190">
        <v>189165368.28</v>
      </c>
      <c r="AX43" s="190">
        <v>182400449.47</v>
      </c>
      <c r="AY43" s="190">
        <v>192997723.66999999</v>
      </c>
      <c r="AZ43" s="190">
        <v>192714432.78999999</v>
      </c>
      <c r="BA43" s="190">
        <v>193568074.75999999</v>
      </c>
      <c r="BB43" s="190">
        <v>208930897.93000001</v>
      </c>
      <c r="BC43" s="190">
        <v>205913291.03999999</v>
      </c>
      <c r="BD43" s="190">
        <v>58053432.25</v>
      </c>
      <c r="BE43" s="190">
        <v>0</v>
      </c>
    </row>
    <row r="44" spans="1:57" x14ac:dyDescent="0.25">
      <c r="A44" s="190" t="s">
        <v>259</v>
      </c>
    </row>
    <row r="45" spans="1:57" x14ac:dyDescent="0.25">
      <c r="A45" s="190" t="s">
        <v>260</v>
      </c>
      <c r="B45" s="190">
        <v>0</v>
      </c>
      <c r="C45" s="190">
        <v>221051282.88999999</v>
      </c>
      <c r="D45" s="190">
        <v>0</v>
      </c>
      <c r="E45" s="190">
        <v>694326195.20000005</v>
      </c>
      <c r="F45" s="190">
        <v>0</v>
      </c>
      <c r="G45" s="190">
        <v>36527686.520000003</v>
      </c>
      <c r="H45" s="190">
        <v>0</v>
      </c>
      <c r="I45" s="190">
        <v>378515483.68000001</v>
      </c>
      <c r="J45" s="190">
        <v>0</v>
      </c>
      <c r="K45" s="190">
        <v>-21860446.84</v>
      </c>
      <c r="L45" s="190">
        <v>0</v>
      </c>
      <c r="M45" s="190">
        <v>286160233.19</v>
      </c>
      <c r="N45" s="190">
        <v>0</v>
      </c>
      <c r="O45" s="190">
        <v>10130656.43</v>
      </c>
      <c r="P45" s="190">
        <v>0</v>
      </c>
      <c r="Q45" s="190">
        <v>45093481.509999998</v>
      </c>
      <c r="R45" s="190">
        <v>0</v>
      </c>
      <c r="S45" s="190">
        <v>11225828.630000001</v>
      </c>
      <c r="T45" s="190">
        <v>0</v>
      </c>
      <c r="U45" s="190">
        <v>-45169482.289999999</v>
      </c>
      <c r="V45" s="190">
        <v>0</v>
      </c>
      <c r="W45" s="190">
        <v>8480617.3100000005</v>
      </c>
      <c r="X45" s="190">
        <v>0</v>
      </c>
      <c r="Y45" s="190">
        <v>58877702.759999998</v>
      </c>
      <c r="Z45" s="190">
        <v>0</v>
      </c>
      <c r="AA45" s="190">
        <v>8343822.9500000002</v>
      </c>
      <c r="AB45" s="190">
        <v>0</v>
      </c>
      <c r="AC45" s="190">
        <v>58324839.75</v>
      </c>
      <c r="AD45" s="190">
        <v>0</v>
      </c>
      <c r="AE45" s="190">
        <v>7504657.2999999998</v>
      </c>
      <c r="AF45" s="190">
        <v>0</v>
      </c>
      <c r="AG45" s="190">
        <v>24376002.670000002</v>
      </c>
      <c r="AH45" s="190">
        <v>0</v>
      </c>
      <c r="AI45" s="190">
        <v>5750465.3300000001</v>
      </c>
      <c r="AJ45" s="190">
        <v>0</v>
      </c>
      <c r="AK45" s="190">
        <v>17416030.960000001</v>
      </c>
      <c r="AL45" s="190">
        <v>0</v>
      </c>
      <c r="AM45" s="190">
        <v>4247313.34</v>
      </c>
      <c r="AN45" s="190">
        <v>0</v>
      </c>
      <c r="AO45" s="190">
        <v>13812249.279999999</v>
      </c>
      <c r="AP45" s="190">
        <v>0</v>
      </c>
      <c r="AQ45" s="190">
        <v>4374064.3600000003</v>
      </c>
      <c r="AR45" s="190">
        <v>0</v>
      </c>
      <c r="AS45" s="190">
        <v>26911995.609999999</v>
      </c>
      <c r="AT45" s="190">
        <v>0</v>
      </c>
      <c r="AU45" s="190">
        <v>7442870.0300000003</v>
      </c>
      <c r="AV45" s="190">
        <v>0</v>
      </c>
      <c r="AW45" s="190">
        <v>27963222.629999999</v>
      </c>
      <c r="AX45" s="190">
        <v>0</v>
      </c>
      <c r="AY45" s="190">
        <v>0</v>
      </c>
      <c r="AZ45" s="190">
        <v>0</v>
      </c>
      <c r="BA45" s="190">
        <v>22698755.120000001</v>
      </c>
      <c r="BB45" s="190">
        <v>15792503.220000001</v>
      </c>
      <c r="BC45" s="190">
        <v>3092908.56</v>
      </c>
      <c r="BD45" s="190">
        <v>20520965.34</v>
      </c>
      <c r="BE45" s="190">
        <v>0</v>
      </c>
    </row>
    <row r="46" spans="1:57"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1498190.96</v>
      </c>
      <c r="BB46" s="190">
        <v>1355502.46</v>
      </c>
      <c r="BC46" s="190">
        <v>720478.38</v>
      </c>
      <c r="BD46" s="190">
        <v>1955622.63</v>
      </c>
      <c r="BE46" s="190">
        <v>0</v>
      </c>
    </row>
    <row r="47" spans="1:57"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row>
    <row r="48" spans="1:57" x14ac:dyDescent="0.25">
      <c r="A48" s="190" t="s">
        <v>262</v>
      </c>
      <c r="B48" s="190">
        <v>0</v>
      </c>
      <c r="C48" s="190">
        <v>5006130.08</v>
      </c>
      <c r="D48" s="190">
        <v>0</v>
      </c>
      <c r="E48" s="190">
        <v>17753750.18</v>
      </c>
      <c r="F48" s="190">
        <v>0</v>
      </c>
      <c r="G48" s="190">
        <v>9052580.5099999998</v>
      </c>
      <c r="H48" s="190">
        <v>0</v>
      </c>
      <c r="I48" s="190">
        <v>6030144.29</v>
      </c>
      <c r="J48" s="190">
        <v>0</v>
      </c>
      <c r="K48" s="190">
        <v>1409999.82</v>
      </c>
      <c r="L48" s="190">
        <v>0</v>
      </c>
      <c r="M48" s="190">
        <v>2015855.42</v>
      </c>
      <c r="N48" s="190">
        <v>0</v>
      </c>
      <c r="O48" s="190">
        <v>2298283.84</v>
      </c>
      <c r="P48" s="190">
        <v>0</v>
      </c>
      <c r="Q48" s="190">
        <v>17882149.25</v>
      </c>
      <c r="R48" s="190">
        <v>0</v>
      </c>
      <c r="S48" s="190">
        <v>-632888.44999999995</v>
      </c>
      <c r="T48" s="190">
        <v>0</v>
      </c>
      <c r="U48" s="190">
        <v>92404460.180000007</v>
      </c>
      <c r="V48" s="190">
        <v>0</v>
      </c>
      <c r="W48" s="190">
        <v>-2957452.54</v>
      </c>
      <c r="X48" s="190">
        <v>0</v>
      </c>
      <c r="Y48" s="190">
        <v>3955385.3</v>
      </c>
      <c r="Z48" s="190">
        <v>0</v>
      </c>
      <c r="AA48" s="190">
        <v>1869700.4</v>
      </c>
      <c r="AB48" s="190">
        <v>0</v>
      </c>
      <c r="AC48" s="190">
        <v>4268461.83</v>
      </c>
      <c r="AD48" s="190">
        <v>0</v>
      </c>
      <c r="AE48" s="190">
        <v>4088140.79</v>
      </c>
      <c r="AF48" s="190">
        <v>0</v>
      </c>
      <c r="AG48" s="190">
        <v>191297.45</v>
      </c>
      <c r="AH48" s="190">
        <v>0</v>
      </c>
      <c r="AI48" s="190">
        <v>606605.75</v>
      </c>
      <c r="AJ48" s="190">
        <v>0</v>
      </c>
      <c r="AK48" s="190">
        <v>2097034.57</v>
      </c>
      <c r="AL48" s="190">
        <v>0</v>
      </c>
      <c r="AM48" s="190">
        <v>-763064.65</v>
      </c>
      <c r="AN48" s="190">
        <v>0</v>
      </c>
      <c r="AO48" s="190">
        <v>-401552.42</v>
      </c>
      <c r="AP48" s="190">
        <v>0</v>
      </c>
      <c r="AQ48" s="190">
        <v>-1095416.8400000001</v>
      </c>
      <c r="AR48" s="190">
        <v>0</v>
      </c>
      <c r="AS48" s="190">
        <v>2113419.54</v>
      </c>
      <c r="AT48" s="190">
        <v>0</v>
      </c>
      <c r="AU48" s="190">
        <v>-45554.71</v>
      </c>
      <c r="AV48" s="190">
        <v>0</v>
      </c>
      <c r="AW48" s="190">
        <v>1083571.67</v>
      </c>
      <c r="AX48" s="190">
        <v>0</v>
      </c>
      <c r="AY48" s="190">
        <v>0</v>
      </c>
      <c r="AZ48" s="190">
        <v>0</v>
      </c>
      <c r="BA48" s="190">
        <v>-1655054.47</v>
      </c>
      <c r="BB48" s="190">
        <v>-678845.06</v>
      </c>
      <c r="BC48" s="190">
        <v>-2176514.36</v>
      </c>
      <c r="BD48" s="190">
        <v>1211301.76</v>
      </c>
      <c r="BE48" s="190">
        <v>0</v>
      </c>
    </row>
    <row r="49" spans="1:57" x14ac:dyDescent="0.25">
      <c r="A49" s="190" t="s">
        <v>263</v>
      </c>
      <c r="B49" s="190">
        <v>0</v>
      </c>
      <c r="C49" s="190">
        <v>138418377.38999999</v>
      </c>
      <c r="D49" s="190">
        <v>0</v>
      </c>
      <c r="E49" s="190">
        <v>209282298.00999999</v>
      </c>
      <c r="F49" s="190">
        <v>0</v>
      </c>
      <c r="G49" s="190">
        <v>73760572.890000001</v>
      </c>
      <c r="H49" s="190">
        <v>0</v>
      </c>
      <c r="I49" s="190">
        <v>108874131.90000001</v>
      </c>
      <c r="J49" s="190">
        <v>0</v>
      </c>
      <c r="K49" s="190">
        <v>50867459.140000001</v>
      </c>
      <c r="L49" s="190">
        <v>0</v>
      </c>
      <c r="M49" s="190">
        <v>75408286.25</v>
      </c>
      <c r="N49" s="190">
        <v>0</v>
      </c>
      <c r="O49" s="190">
        <v>5798043.4800000004</v>
      </c>
      <c r="P49" s="190">
        <v>0</v>
      </c>
      <c r="Q49" s="190">
        <v>14129958.48</v>
      </c>
      <c r="R49" s="190">
        <v>0</v>
      </c>
      <c r="S49" s="190">
        <v>7173480.4699999997</v>
      </c>
      <c r="T49" s="190">
        <v>0</v>
      </c>
      <c r="U49" s="190">
        <v>14831348.48</v>
      </c>
      <c r="V49" s="190">
        <v>0</v>
      </c>
      <c r="W49" s="190">
        <v>5710946.6299999999</v>
      </c>
      <c r="X49" s="190">
        <v>0</v>
      </c>
      <c r="Y49" s="190">
        <v>11638710.630000001</v>
      </c>
      <c r="Z49" s="190">
        <v>0</v>
      </c>
      <c r="AA49" s="190">
        <v>5966957.9500000002</v>
      </c>
      <c r="AB49" s="190">
        <v>0</v>
      </c>
      <c r="AC49" s="190">
        <v>11299530.359999999</v>
      </c>
      <c r="AD49" s="190">
        <v>0</v>
      </c>
      <c r="AE49" s="190">
        <v>5629272.9299999997</v>
      </c>
      <c r="AF49" s="190">
        <v>0</v>
      </c>
      <c r="AG49" s="190">
        <v>11144292.689999999</v>
      </c>
      <c r="AH49" s="190">
        <v>0</v>
      </c>
      <c r="AI49" s="190">
        <v>5540404.1399999997</v>
      </c>
      <c r="AJ49" s="190">
        <v>0</v>
      </c>
      <c r="AK49" s="190">
        <v>12075392.859999999</v>
      </c>
      <c r="AL49" s="190">
        <v>0</v>
      </c>
      <c r="AM49" s="190">
        <v>5970464.9400000004</v>
      </c>
      <c r="AN49" s="190">
        <v>0</v>
      </c>
      <c r="AO49" s="190">
        <v>12762872.439999999</v>
      </c>
      <c r="AP49" s="190">
        <v>0</v>
      </c>
      <c r="AQ49" s="190">
        <v>6692623.8499999996</v>
      </c>
      <c r="AR49" s="190">
        <v>0</v>
      </c>
      <c r="AS49" s="190">
        <v>13822854.84</v>
      </c>
      <c r="AT49" s="190">
        <v>0</v>
      </c>
      <c r="AU49" s="190">
        <v>6857883.5999999996</v>
      </c>
      <c r="AV49" s="190">
        <v>0</v>
      </c>
      <c r="AW49" s="190">
        <v>11839273.16</v>
      </c>
      <c r="AX49" s="190">
        <v>0</v>
      </c>
      <c r="AY49" s="190">
        <v>0</v>
      </c>
      <c r="AZ49" s="190">
        <v>0</v>
      </c>
      <c r="BA49" s="190">
        <v>10613587.960000001</v>
      </c>
      <c r="BB49" s="190">
        <v>7810030.1100000003</v>
      </c>
      <c r="BC49" s="190">
        <v>5720562.71</v>
      </c>
      <c r="BD49" s="190">
        <v>11051484.050000001</v>
      </c>
      <c r="BE49" s="190">
        <v>0</v>
      </c>
    </row>
    <row r="50" spans="1:57" x14ac:dyDescent="0.25">
      <c r="A50" s="190" t="s">
        <v>264</v>
      </c>
      <c r="B50" s="190">
        <v>0</v>
      </c>
      <c r="C50" s="190">
        <v>3352526.44</v>
      </c>
      <c r="D50" s="190">
        <v>0</v>
      </c>
      <c r="E50" s="190">
        <v>3950619.18</v>
      </c>
      <c r="F50" s="190">
        <v>0</v>
      </c>
      <c r="G50" s="190">
        <v>1192053.3400000001</v>
      </c>
      <c r="H50" s="190">
        <v>0</v>
      </c>
      <c r="I50" s="190">
        <v>2107000.9</v>
      </c>
      <c r="J50" s="190">
        <v>0</v>
      </c>
      <c r="K50" s="190">
        <v>994719.05</v>
      </c>
      <c r="L50" s="190">
        <v>0</v>
      </c>
      <c r="M50" s="190">
        <v>1839999.16</v>
      </c>
      <c r="N50" s="190">
        <v>0</v>
      </c>
      <c r="O50" s="190">
        <v>419911.99</v>
      </c>
      <c r="P50" s="190">
        <v>0</v>
      </c>
      <c r="Q50" s="190">
        <v>830438.88</v>
      </c>
      <c r="R50" s="190">
        <v>0</v>
      </c>
      <c r="S50" s="190">
        <v>415219.44</v>
      </c>
      <c r="T50" s="190">
        <v>0</v>
      </c>
      <c r="U50" s="190">
        <v>821226.75</v>
      </c>
      <c r="V50" s="190">
        <v>0</v>
      </c>
      <c r="W50" s="190">
        <v>415219.34</v>
      </c>
      <c r="X50" s="190">
        <v>0</v>
      </c>
      <c r="Y50" s="190">
        <v>1047758.88</v>
      </c>
      <c r="Z50" s="190">
        <v>0</v>
      </c>
      <c r="AA50" s="190">
        <v>545659.43999999994</v>
      </c>
      <c r="AB50" s="190">
        <v>0</v>
      </c>
      <c r="AC50" s="190">
        <v>985963.74</v>
      </c>
      <c r="AD50" s="190">
        <v>0</v>
      </c>
      <c r="AE50" s="190">
        <v>440244.3</v>
      </c>
      <c r="AF50" s="190">
        <v>0</v>
      </c>
      <c r="AG50" s="190">
        <v>668865.04</v>
      </c>
      <c r="AH50" s="190">
        <v>0</v>
      </c>
      <c r="AI50" s="190">
        <v>968345.88</v>
      </c>
      <c r="AJ50" s="190">
        <v>0</v>
      </c>
      <c r="AK50" s="190">
        <v>894538.33</v>
      </c>
      <c r="AL50" s="190">
        <v>0</v>
      </c>
      <c r="AM50" s="190">
        <v>436037.2</v>
      </c>
      <c r="AN50" s="190">
        <v>0</v>
      </c>
      <c r="AO50" s="190">
        <v>890498.67</v>
      </c>
      <c r="AP50" s="190">
        <v>0</v>
      </c>
      <c r="AQ50" s="190">
        <v>444117.27</v>
      </c>
      <c r="AR50" s="190">
        <v>0</v>
      </c>
      <c r="AS50" s="190">
        <v>932084.82</v>
      </c>
      <c r="AT50" s="190">
        <v>0</v>
      </c>
      <c r="AU50" s="190">
        <v>463378.68</v>
      </c>
      <c r="AV50" s="190">
        <v>0</v>
      </c>
      <c r="AW50" s="190">
        <v>958053.88</v>
      </c>
      <c r="AX50" s="190">
        <v>0</v>
      </c>
      <c r="AY50" s="190">
        <v>0</v>
      </c>
      <c r="AZ50" s="190">
        <v>0</v>
      </c>
      <c r="BA50" s="190">
        <v>958053.88</v>
      </c>
      <c r="BB50" s="190">
        <v>707916.64</v>
      </c>
      <c r="BC50" s="190">
        <v>474305.26</v>
      </c>
      <c r="BD50" s="190">
        <v>751311.67</v>
      </c>
      <c r="BE50" s="190">
        <v>0</v>
      </c>
    </row>
    <row r="51" spans="1:57" x14ac:dyDescent="0.25">
      <c r="A51" s="190" t="s">
        <v>265</v>
      </c>
      <c r="B51" s="190">
        <v>0</v>
      </c>
      <c r="C51" s="190">
        <v>112627938.36</v>
      </c>
      <c r="D51" s="190">
        <v>0</v>
      </c>
      <c r="E51" s="190">
        <v>193846580.61000001</v>
      </c>
      <c r="F51" s="190">
        <v>0</v>
      </c>
      <c r="G51" s="190">
        <v>72216669.159999996</v>
      </c>
      <c r="H51" s="190">
        <v>0</v>
      </c>
      <c r="I51" s="190">
        <v>107048261.22</v>
      </c>
      <c r="J51" s="190">
        <v>0</v>
      </c>
      <c r="K51" s="190">
        <v>45569031.82</v>
      </c>
      <c r="L51" s="190">
        <v>0</v>
      </c>
      <c r="M51" s="190">
        <v>72749835.430000007</v>
      </c>
      <c r="N51" s="190">
        <v>0</v>
      </c>
      <c r="O51" s="190">
        <v>534957.74</v>
      </c>
      <c r="P51" s="190">
        <v>0</v>
      </c>
      <c r="Q51" s="190">
        <v>1455644.74</v>
      </c>
      <c r="R51" s="190">
        <v>0</v>
      </c>
      <c r="S51" s="190">
        <v>358464.09</v>
      </c>
      <c r="T51" s="190">
        <v>0</v>
      </c>
      <c r="U51" s="190">
        <v>440413.74</v>
      </c>
      <c r="V51" s="190">
        <v>0</v>
      </c>
      <c r="W51" s="190">
        <v>142074</v>
      </c>
      <c r="X51" s="190">
        <v>0</v>
      </c>
      <c r="Y51" s="190">
        <v>356046.77</v>
      </c>
      <c r="Z51" s="190">
        <v>0</v>
      </c>
      <c r="AA51" s="190">
        <v>94133.119999999995</v>
      </c>
      <c r="AB51" s="190">
        <v>0</v>
      </c>
      <c r="AC51" s="190">
        <v>606080.80000000005</v>
      </c>
      <c r="AD51" s="190">
        <v>0</v>
      </c>
      <c r="AE51" s="190">
        <v>65551.3</v>
      </c>
      <c r="AF51" s="190">
        <v>0</v>
      </c>
      <c r="AG51" s="190">
        <v>0</v>
      </c>
      <c r="AH51" s="190">
        <v>0</v>
      </c>
      <c r="AI51" s="190">
        <v>0</v>
      </c>
      <c r="AJ51" s="190">
        <v>0</v>
      </c>
      <c r="AK51" s="190">
        <v>0</v>
      </c>
      <c r="AL51" s="190">
        <v>0</v>
      </c>
      <c r="AM51" s="190">
        <v>0</v>
      </c>
      <c r="AN51" s="190">
        <v>0</v>
      </c>
      <c r="AO51" s="190">
        <v>0</v>
      </c>
      <c r="AP51" s="190">
        <v>0</v>
      </c>
      <c r="AQ51" s="190">
        <v>0</v>
      </c>
      <c r="AR51" s="190">
        <v>0</v>
      </c>
      <c r="AS51" s="190">
        <v>12290.36</v>
      </c>
      <c r="AT51" s="190">
        <v>0</v>
      </c>
      <c r="AU51" s="190">
        <v>12290.36</v>
      </c>
      <c r="AV51" s="190">
        <v>0</v>
      </c>
      <c r="AW51" s="190">
        <v>190914.35</v>
      </c>
      <c r="AX51" s="190">
        <v>0</v>
      </c>
      <c r="AY51" s="190">
        <v>0</v>
      </c>
      <c r="AZ51" s="190">
        <v>0</v>
      </c>
      <c r="BA51" s="190">
        <v>340759.29</v>
      </c>
      <c r="BB51" s="190">
        <v>208920.73</v>
      </c>
      <c r="BC51" s="190">
        <v>170872.77</v>
      </c>
      <c r="BD51" s="190">
        <v>447597.02</v>
      </c>
      <c r="BE51" s="190">
        <v>0</v>
      </c>
    </row>
    <row r="52" spans="1:57"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158060.07</v>
      </c>
      <c r="BB52" s="190">
        <v>97738.559999999998</v>
      </c>
      <c r="BC52" s="190">
        <v>178141.19</v>
      </c>
      <c r="BD52" s="190">
        <v>12069.83</v>
      </c>
      <c r="BE52" s="190">
        <v>0</v>
      </c>
    </row>
    <row r="53" spans="1:57"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223169.63</v>
      </c>
      <c r="BC53" s="190">
        <v>-15854.28</v>
      </c>
      <c r="BD53" s="190">
        <v>0</v>
      </c>
      <c r="BE53" s="190">
        <v>0</v>
      </c>
    </row>
    <row r="54" spans="1:57" x14ac:dyDescent="0.25">
      <c r="A54" s="190" t="s">
        <v>268</v>
      </c>
      <c r="B54" s="190">
        <v>0</v>
      </c>
      <c r="C54" s="190">
        <v>391120.28</v>
      </c>
      <c r="D54" s="190">
        <v>0</v>
      </c>
      <c r="E54" s="190">
        <v>610803.46</v>
      </c>
      <c r="F54" s="190">
        <v>0</v>
      </c>
      <c r="G54" s="190">
        <v>455628.15</v>
      </c>
      <c r="H54" s="190">
        <v>0</v>
      </c>
      <c r="I54" s="190">
        <v>572403.73</v>
      </c>
      <c r="J54" s="190">
        <v>0</v>
      </c>
      <c r="K54" s="190">
        <v>17731.310000000001</v>
      </c>
      <c r="L54" s="190">
        <v>0</v>
      </c>
      <c r="M54" s="190">
        <v>294172.09000000003</v>
      </c>
      <c r="N54" s="190">
        <v>0</v>
      </c>
      <c r="O54" s="190">
        <v>-493485.37</v>
      </c>
      <c r="P54" s="190">
        <v>0</v>
      </c>
      <c r="Q54" s="190">
        <v>1810478.16</v>
      </c>
      <c r="R54" s="190">
        <v>0</v>
      </c>
      <c r="S54" s="190">
        <v>-13800</v>
      </c>
      <c r="T54" s="190">
        <v>0</v>
      </c>
      <c r="U54" s="190">
        <v>32652.54</v>
      </c>
      <c r="V54" s="190">
        <v>0</v>
      </c>
      <c r="W54" s="190">
        <v>0</v>
      </c>
      <c r="X54" s="190">
        <v>0</v>
      </c>
      <c r="Y54" s="190">
        <v>-135618.15</v>
      </c>
      <c r="Z54" s="190">
        <v>0</v>
      </c>
      <c r="AA54" s="190">
        <v>-140821.79999999999</v>
      </c>
      <c r="AB54" s="190">
        <v>0</v>
      </c>
      <c r="AC54" s="190">
        <v>-809235.78</v>
      </c>
      <c r="AD54" s="190">
        <v>0</v>
      </c>
      <c r="AE54" s="190">
        <v>-521519.5</v>
      </c>
      <c r="AF54" s="190">
        <v>0</v>
      </c>
      <c r="AG54" s="190">
        <v>-48148.52</v>
      </c>
      <c r="AH54" s="190">
        <v>0</v>
      </c>
      <c r="AI54" s="190">
        <v>-609025.31999999995</v>
      </c>
      <c r="AJ54" s="190">
        <v>0</v>
      </c>
      <c r="AK54" s="190">
        <v>7053.63</v>
      </c>
      <c r="AL54" s="190">
        <v>0</v>
      </c>
      <c r="AM54" s="190">
        <v>-74784.19</v>
      </c>
      <c r="AN54" s="190">
        <v>0</v>
      </c>
      <c r="AO54" s="190">
        <v>5557.09</v>
      </c>
      <c r="AP54" s="190">
        <v>0</v>
      </c>
      <c r="AQ54" s="190">
        <v>192552.25</v>
      </c>
      <c r="AR54" s="190">
        <v>0</v>
      </c>
      <c r="AS54" s="190">
        <v>-1509789.73</v>
      </c>
      <c r="AT54" s="190">
        <v>0</v>
      </c>
      <c r="AU54" s="190">
        <v>-774444.16</v>
      </c>
      <c r="AV54" s="190">
        <v>0</v>
      </c>
      <c r="AW54" s="190">
        <v>97068.04</v>
      </c>
      <c r="AX54" s="190">
        <v>0</v>
      </c>
      <c r="AY54" s="190">
        <v>0</v>
      </c>
      <c r="AZ54" s="190">
        <v>0</v>
      </c>
      <c r="BA54" s="190">
        <v>-67381.09</v>
      </c>
      <c r="BB54" s="190">
        <v>58500.84</v>
      </c>
      <c r="BC54" s="190">
        <v>14154.34</v>
      </c>
      <c r="BD54" s="190">
        <v>-296477.02</v>
      </c>
      <c r="BE54" s="190">
        <v>0</v>
      </c>
    </row>
    <row r="55" spans="1:57" x14ac:dyDescent="0.25">
      <c r="A55" s="190" t="s">
        <v>269</v>
      </c>
      <c r="B55" s="190">
        <v>0</v>
      </c>
      <c r="C55" s="190">
        <v>535012.02</v>
      </c>
      <c r="D55" s="190">
        <v>0</v>
      </c>
      <c r="E55" s="190">
        <v>2541666.4</v>
      </c>
      <c r="F55" s="190">
        <v>0</v>
      </c>
      <c r="G55" s="190">
        <v>0</v>
      </c>
      <c r="H55" s="190">
        <v>0</v>
      </c>
      <c r="I55" s="190">
        <v>301347.15000000002</v>
      </c>
      <c r="J55" s="190">
        <v>0</v>
      </c>
      <c r="K55" s="190">
        <v>0</v>
      </c>
      <c r="L55" s="190">
        <v>0</v>
      </c>
      <c r="M55" s="190">
        <v>0</v>
      </c>
      <c r="N55" s="190">
        <v>0</v>
      </c>
      <c r="O55" s="190">
        <v>0</v>
      </c>
      <c r="P55" s="190">
        <v>0</v>
      </c>
      <c r="Q55" s="190">
        <v>0</v>
      </c>
      <c r="R55" s="190">
        <v>0</v>
      </c>
      <c r="S55" s="190">
        <v>97068.64</v>
      </c>
      <c r="T55" s="190">
        <v>0</v>
      </c>
      <c r="U55" s="190">
        <v>0</v>
      </c>
      <c r="V55" s="190">
        <v>0</v>
      </c>
      <c r="W55" s="190">
        <v>-18765.16</v>
      </c>
      <c r="X55" s="190">
        <v>0</v>
      </c>
      <c r="Y55" s="190">
        <v>0</v>
      </c>
      <c r="Z55" s="190">
        <v>0</v>
      </c>
      <c r="AA55" s="190">
        <v>0</v>
      </c>
      <c r="AB55" s="190">
        <v>0</v>
      </c>
      <c r="AC55" s="190">
        <v>0</v>
      </c>
      <c r="AD55" s="190">
        <v>0</v>
      </c>
      <c r="AE55" s="190">
        <v>-48688.71</v>
      </c>
      <c r="AF55" s="190">
        <v>0</v>
      </c>
      <c r="AG55" s="190">
        <v>295218.21999999997</v>
      </c>
      <c r="AH55" s="190">
        <v>0</v>
      </c>
      <c r="AI55" s="190">
        <v>256138.49</v>
      </c>
      <c r="AJ55" s="190">
        <v>0</v>
      </c>
      <c r="AK55" s="190">
        <v>2182832.2999999998</v>
      </c>
      <c r="AL55" s="190">
        <v>0</v>
      </c>
      <c r="AM55" s="190">
        <v>0</v>
      </c>
      <c r="AN55" s="190">
        <v>0</v>
      </c>
      <c r="AO55" s="190">
        <v>0</v>
      </c>
      <c r="AP55" s="190">
        <v>0</v>
      </c>
      <c r="AQ55" s="190">
        <v>11475</v>
      </c>
      <c r="AR55" s="190">
        <v>0</v>
      </c>
      <c r="AS55" s="190">
        <v>0</v>
      </c>
      <c r="AT55" s="190">
        <v>0</v>
      </c>
      <c r="AU55" s="190">
        <v>0</v>
      </c>
      <c r="AV55" s="190">
        <v>0</v>
      </c>
      <c r="AW55" s="190">
        <v>0</v>
      </c>
      <c r="AX55" s="190">
        <v>0</v>
      </c>
      <c r="AY55" s="190">
        <v>0</v>
      </c>
      <c r="AZ55" s="190">
        <v>0</v>
      </c>
      <c r="BA55" s="190">
        <v>0</v>
      </c>
      <c r="BB55" s="190">
        <v>0</v>
      </c>
      <c r="BC55" s="190">
        <v>0</v>
      </c>
      <c r="BD55" s="190">
        <v>0</v>
      </c>
      <c r="BE55" s="190">
        <v>0</v>
      </c>
    </row>
    <row r="56" spans="1:57" x14ac:dyDescent="0.25">
      <c r="A56" s="190" t="s">
        <v>270</v>
      </c>
      <c r="B56" s="190">
        <v>0</v>
      </c>
      <c r="C56" s="190">
        <v>0</v>
      </c>
      <c r="D56" s="190">
        <v>0</v>
      </c>
      <c r="E56" s="190">
        <v>0</v>
      </c>
      <c r="F56" s="190">
        <v>0</v>
      </c>
      <c r="G56" s="190">
        <v>0</v>
      </c>
      <c r="H56" s="190">
        <v>0</v>
      </c>
      <c r="I56" s="190">
        <v>0</v>
      </c>
      <c r="J56" s="190">
        <v>0</v>
      </c>
      <c r="K56" s="190">
        <v>0</v>
      </c>
      <c r="L56" s="190">
        <v>0</v>
      </c>
      <c r="M56" s="190">
        <v>31438.3</v>
      </c>
      <c r="N56" s="190">
        <v>0</v>
      </c>
      <c r="O56" s="190">
        <v>0</v>
      </c>
      <c r="P56" s="190">
        <v>0</v>
      </c>
      <c r="Q56" s="190">
        <v>197777.8</v>
      </c>
      <c r="R56" s="190">
        <v>0</v>
      </c>
      <c r="S56" s="190">
        <v>0</v>
      </c>
      <c r="T56" s="190">
        <v>0</v>
      </c>
      <c r="U56" s="190">
        <v>197777.8</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row>
    <row r="57" spans="1:57"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row>
    <row r="58" spans="1:57"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row>
    <row r="59" spans="1:57" x14ac:dyDescent="0.25">
      <c r="A59" s="190" t="s">
        <v>197</v>
      </c>
      <c r="B59" s="190">
        <v>0</v>
      </c>
      <c r="C59" s="190">
        <v>105655911.03</v>
      </c>
      <c r="D59" s="190">
        <v>0</v>
      </c>
      <c r="E59" s="190">
        <v>112252750.40000001</v>
      </c>
      <c r="F59" s="190">
        <v>0</v>
      </c>
      <c r="G59" s="190">
        <v>41359287.890000001</v>
      </c>
      <c r="H59" s="190">
        <v>0</v>
      </c>
      <c r="I59" s="190">
        <v>42939793.909999996</v>
      </c>
      <c r="J59" s="190">
        <v>0</v>
      </c>
      <c r="K59" s="190">
        <v>16978863.460000001</v>
      </c>
      <c r="L59" s="190">
        <v>0</v>
      </c>
      <c r="M59" s="190">
        <v>21329372.579999998</v>
      </c>
      <c r="N59" s="190">
        <v>0</v>
      </c>
      <c r="O59" s="190">
        <v>2546961.34</v>
      </c>
      <c r="P59" s="190">
        <v>0</v>
      </c>
      <c r="Q59" s="190">
        <v>10091140.869999999</v>
      </c>
      <c r="R59" s="190">
        <v>0</v>
      </c>
      <c r="S59" s="190">
        <v>7124217.21</v>
      </c>
      <c r="T59" s="190">
        <v>0</v>
      </c>
      <c r="U59" s="190">
        <v>11675528.15</v>
      </c>
      <c r="V59" s="190">
        <v>0</v>
      </c>
      <c r="W59" s="190">
        <v>635566.63</v>
      </c>
      <c r="X59" s="190">
        <v>0</v>
      </c>
      <c r="Y59" s="190">
        <v>2252068.75</v>
      </c>
      <c r="Z59" s="190">
        <v>0</v>
      </c>
      <c r="AA59" s="190">
        <v>863759.59</v>
      </c>
      <c r="AB59" s="190">
        <v>0</v>
      </c>
      <c r="AC59" s="190">
        <v>3709793.53</v>
      </c>
      <c r="AD59" s="190">
        <v>0</v>
      </c>
      <c r="AE59" s="190">
        <v>361812.04</v>
      </c>
      <c r="AF59" s="190">
        <v>0</v>
      </c>
      <c r="AG59" s="190">
        <v>633568.52</v>
      </c>
      <c r="AH59" s="190">
        <v>0</v>
      </c>
      <c r="AI59" s="190">
        <v>537345.77</v>
      </c>
      <c r="AJ59" s="190">
        <v>0</v>
      </c>
      <c r="AK59" s="190">
        <v>972867.25</v>
      </c>
      <c r="AL59" s="190">
        <v>0</v>
      </c>
      <c r="AM59" s="190">
        <v>315632.39</v>
      </c>
      <c r="AN59" s="190">
        <v>0</v>
      </c>
      <c r="AO59" s="190">
        <v>814743.29</v>
      </c>
      <c r="AP59" s="190">
        <v>0</v>
      </c>
      <c r="AQ59" s="190">
        <v>529233.46</v>
      </c>
      <c r="AR59" s="190">
        <v>0</v>
      </c>
      <c r="AS59" s="190">
        <v>912885.25</v>
      </c>
      <c r="AT59" s="190">
        <v>0</v>
      </c>
      <c r="AU59" s="190">
        <v>558886.57999999996</v>
      </c>
      <c r="AV59" s="190">
        <v>0</v>
      </c>
      <c r="AW59" s="190">
        <v>545524.36</v>
      </c>
      <c r="AX59" s="190">
        <v>0</v>
      </c>
      <c r="AY59" s="190">
        <v>0</v>
      </c>
      <c r="AZ59" s="190">
        <v>0</v>
      </c>
      <c r="BA59" s="190">
        <v>581666.52</v>
      </c>
      <c r="BB59" s="190">
        <v>796144.18</v>
      </c>
      <c r="BC59" s="190">
        <v>294537.05</v>
      </c>
      <c r="BD59" s="190">
        <v>396266.32</v>
      </c>
      <c r="BE59" s="190">
        <v>0</v>
      </c>
    </row>
    <row r="60" spans="1:57" x14ac:dyDescent="0.25">
      <c r="A60" s="190" t="s">
        <v>273</v>
      </c>
      <c r="B60" s="190">
        <v>0</v>
      </c>
      <c r="C60" s="190">
        <v>-108795080.48</v>
      </c>
      <c r="D60" s="190">
        <v>0</v>
      </c>
      <c r="E60" s="190">
        <v>-60501175.509999998</v>
      </c>
      <c r="F60" s="190">
        <v>0</v>
      </c>
      <c r="G60" s="190">
        <v>-14140176.439999999</v>
      </c>
      <c r="H60" s="190">
        <v>0</v>
      </c>
      <c r="I60" s="190">
        <v>-37118871.789999999</v>
      </c>
      <c r="J60" s="190">
        <v>0</v>
      </c>
      <c r="K60" s="190">
        <v>-4793543.42</v>
      </c>
      <c r="L60" s="190">
        <v>0</v>
      </c>
      <c r="M60" s="190">
        <v>-53570772.770000003</v>
      </c>
      <c r="N60" s="190">
        <v>0</v>
      </c>
      <c r="O60" s="190">
        <v>-510825.22</v>
      </c>
      <c r="P60" s="190">
        <v>0</v>
      </c>
      <c r="Q60" s="190">
        <v>-1630758.64</v>
      </c>
      <c r="R60" s="190">
        <v>0</v>
      </c>
      <c r="S60" s="190">
        <v>-79976.25</v>
      </c>
      <c r="T60" s="190">
        <v>0</v>
      </c>
      <c r="U60" s="190">
        <v>21413.46</v>
      </c>
      <c r="V60" s="190">
        <v>0</v>
      </c>
      <c r="W60" s="190">
        <v>13976.22</v>
      </c>
      <c r="X60" s="190">
        <v>0</v>
      </c>
      <c r="Y60" s="190">
        <v>-12574.73</v>
      </c>
      <c r="Z60" s="190">
        <v>0</v>
      </c>
      <c r="AA60" s="190">
        <v>-22099.75</v>
      </c>
      <c r="AB60" s="190">
        <v>0</v>
      </c>
      <c r="AC60" s="190">
        <v>-28836.82</v>
      </c>
      <c r="AD60" s="190">
        <v>0</v>
      </c>
      <c r="AE60" s="190">
        <v>-20072.96</v>
      </c>
      <c r="AF60" s="190">
        <v>0</v>
      </c>
      <c r="AG60" s="190">
        <v>-5182.87</v>
      </c>
      <c r="AH60" s="190">
        <v>0</v>
      </c>
      <c r="AI60" s="190">
        <v>-78133.38</v>
      </c>
      <c r="AJ60" s="190">
        <v>0</v>
      </c>
      <c r="AK60" s="190">
        <v>66558.8</v>
      </c>
      <c r="AL60" s="190">
        <v>0</v>
      </c>
      <c r="AM60" s="190">
        <v>-27931.33</v>
      </c>
      <c r="AN60" s="190">
        <v>0</v>
      </c>
      <c r="AO60" s="190">
        <v>604372.03</v>
      </c>
      <c r="AP60" s="190">
        <v>0</v>
      </c>
      <c r="AQ60" s="190">
        <v>-58437.919999999998</v>
      </c>
      <c r="AR60" s="190">
        <v>0</v>
      </c>
      <c r="AS60" s="190">
        <v>-579741.18000000005</v>
      </c>
      <c r="AT60" s="190">
        <v>0</v>
      </c>
      <c r="AU60" s="190">
        <v>-239413.97</v>
      </c>
      <c r="AV60" s="190">
        <v>0</v>
      </c>
      <c r="AW60" s="190">
        <v>-55520.68</v>
      </c>
      <c r="AX60" s="190">
        <v>0</v>
      </c>
      <c r="AY60" s="190">
        <v>0</v>
      </c>
      <c r="AZ60" s="190">
        <v>0</v>
      </c>
      <c r="BA60" s="190">
        <v>502573.18</v>
      </c>
      <c r="BB60" s="190">
        <v>309881.87</v>
      </c>
      <c r="BC60" s="190">
        <v>338013.04</v>
      </c>
      <c r="BD60" s="190">
        <v>554236.79</v>
      </c>
      <c r="BE60" s="190">
        <v>0</v>
      </c>
    </row>
    <row r="61" spans="1:57" x14ac:dyDescent="0.25">
      <c r="A61" s="190" t="s">
        <v>274</v>
      </c>
      <c r="B61" s="190">
        <v>0</v>
      </c>
      <c r="C61" s="190">
        <v>-17610082.539999999</v>
      </c>
      <c r="D61" s="190">
        <v>0</v>
      </c>
      <c r="E61" s="190">
        <v>-17276432.550000001</v>
      </c>
      <c r="F61" s="190">
        <v>0</v>
      </c>
      <c r="G61" s="190">
        <v>-15465427.689999999</v>
      </c>
      <c r="H61" s="190">
        <v>0</v>
      </c>
      <c r="I61" s="190">
        <v>2016798.94</v>
      </c>
      <c r="J61" s="190">
        <v>0</v>
      </c>
      <c r="K61" s="190">
        <v>-12257948.68</v>
      </c>
      <c r="L61" s="190">
        <v>0</v>
      </c>
      <c r="M61" s="190">
        <v>5532204.7400000002</v>
      </c>
      <c r="N61" s="190">
        <v>0</v>
      </c>
      <c r="O61" s="190">
        <v>-277646.84999999998</v>
      </c>
      <c r="P61" s="190">
        <v>0</v>
      </c>
      <c r="Q61" s="190">
        <v>-1019310.05</v>
      </c>
      <c r="R61" s="190">
        <v>0</v>
      </c>
      <c r="S61" s="190">
        <v>-435152.48</v>
      </c>
      <c r="T61" s="190">
        <v>0</v>
      </c>
      <c r="U61" s="190">
        <v>4453549</v>
      </c>
      <c r="V61" s="190">
        <v>0</v>
      </c>
      <c r="W61" s="190">
        <v>619619.16</v>
      </c>
      <c r="X61" s="190">
        <v>0</v>
      </c>
      <c r="Y61" s="190">
        <v>-4757879.8099999996</v>
      </c>
      <c r="Z61" s="190">
        <v>0</v>
      </c>
      <c r="AA61" s="190">
        <v>-3753773.02</v>
      </c>
      <c r="AB61" s="190">
        <v>0</v>
      </c>
      <c r="AC61" s="190">
        <v>-477483.07</v>
      </c>
      <c r="AD61" s="190">
        <v>0</v>
      </c>
      <c r="AE61" s="190">
        <v>-115562.32</v>
      </c>
      <c r="AF61" s="190">
        <v>0</v>
      </c>
      <c r="AG61" s="190">
        <v>119395.16</v>
      </c>
      <c r="AH61" s="190">
        <v>0</v>
      </c>
      <c r="AI61" s="190">
        <v>-22243.43</v>
      </c>
      <c r="AJ61" s="190">
        <v>0</v>
      </c>
      <c r="AK61" s="190">
        <v>68285.990000000005</v>
      </c>
      <c r="AL61" s="190">
        <v>0</v>
      </c>
      <c r="AM61" s="190">
        <v>-12607.42</v>
      </c>
      <c r="AN61" s="190">
        <v>0</v>
      </c>
      <c r="AO61" s="190">
        <v>74631.13</v>
      </c>
      <c r="AP61" s="190">
        <v>0</v>
      </c>
      <c r="AQ61" s="190">
        <v>-152460.5</v>
      </c>
      <c r="AR61" s="190">
        <v>0</v>
      </c>
      <c r="AS61" s="190">
        <v>341078.77</v>
      </c>
      <c r="AT61" s="190">
        <v>0</v>
      </c>
      <c r="AU61" s="190">
        <v>358528.71</v>
      </c>
      <c r="AV61" s="190">
        <v>0</v>
      </c>
      <c r="AW61" s="190">
        <v>-281698.02</v>
      </c>
      <c r="AX61" s="190">
        <v>0</v>
      </c>
      <c r="AY61" s="190">
        <v>0</v>
      </c>
      <c r="AZ61" s="190">
        <v>0</v>
      </c>
      <c r="BA61" s="190">
        <v>0</v>
      </c>
      <c r="BB61" s="190">
        <v>0</v>
      </c>
      <c r="BC61" s="190">
        <v>0</v>
      </c>
      <c r="BD61" s="190">
        <v>0</v>
      </c>
      <c r="BE61" s="190">
        <v>0</v>
      </c>
    </row>
    <row r="62" spans="1:57" x14ac:dyDescent="0.25">
      <c r="A62" s="190" t="s">
        <v>275</v>
      </c>
      <c r="B62" s="190">
        <v>0</v>
      </c>
      <c r="C62" s="190">
        <v>21067808.800000001</v>
      </c>
      <c r="D62" s="190">
        <v>0</v>
      </c>
      <c r="E62" s="190">
        <v>9170840.3599999994</v>
      </c>
      <c r="F62" s="190">
        <v>0</v>
      </c>
      <c r="G62" s="190">
        <v>3775967.77</v>
      </c>
      <c r="H62" s="190">
        <v>0</v>
      </c>
      <c r="I62" s="190">
        <v>9822841.8000000007</v>
      </c>
      <c r="J62" s="190">
        <v>0</v>
      </c>
      <c r="K62" s="190">
        <v>275554.78999999998</v>
      </c>
      <c r="L62" s="190">
        <v>0</v>
      </c>
      <c r="M62" s="190">
        <v>738196.32</v>
      </c>
      <c r="N62" s="190">
        <v>0</v>
      </c>
      <c r="O62" s="190">
        <v>0</v>
      </c>
      <c r="P62" s="190">
        <v>0</v>
      </c>
      <c r="Q62" s="190">
        <v>-50093.07</v>
      </c>
      <c r="R62" s="190">
        <v>0</v>
      </c>
      <c r="S62" s="190">
        <v>0</v>
      </c>
      <c r="T62" s="190">
        <v>0</v>
      </c>
      <c r="U62" s="190">
        <v>-8826.16</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-28307.23</v>
      </c>
      <c r="AT62" s="190">
        <v>0</v>
      </c>
      <c r="AU62" s="190">
        <v>0</v>
      </c>
      <c r="AV62" s="190">
        <v>0</v>
      </c>
      <c r="AW62" s="190">
        <v>-202.25</v>
      </c>
      <c r="AX62" s="190">
        <v>0</v>
      </c>
      <c r="AY62" s="190">
        <v>0</v>
      </c>
      <c r="AZ62" s="190">
        <v>0</v>
      </c>
      <c r="BA62" s="190">
        <v>0</v>
      </c>
      <c r="BB62" s="190">
        <v>0</v>
      </c>
      <c r="BC62" s="190">
        <v>0</v>
      </c>
      <c r="BD62" s="190">
        <v>0</v>
      </c>
      <c r="BE62" s="190">
        <v>0</v>
      </c>
    </row>
    <row r="63" spans="1:57" x14ac:dyDescent="0.25">
      <c r="A63" s="190" t="s">
        <v>276</v>
      </c>
      <c r="B63" s="190">
        <v>0</v>
      </c>
      <c r="C63" s="190">
        <v>-7455265.3799999999</v>
      </c>
      <c r="D63" s="190">
        <v>0</v>
      </c>
      <c r="E63" s="190">
        <v>-16340721.439999999</v>
      </c>
      <c r="F63" s="190">
        <v>0</v>
      </c>
      <c r="G63" s="190">
        <v>-2500964.0299999998</v>
      </c>
      <c r="H63" s="190">
        <v>0</v>
      </c>
      <c r="I63" s="190">
        <v>-16022812.939999999</v>
      </c>
      <c r="J63" s="190">
        <v>0</v>
      </c>
      <c r="K63" s="190">
        <v>-8871049.5800000001</v>
      </c>
      <c r="L63" s="190">
        <v>0</v>
      </c>
      <c r="M63" s="190">
        <v>-9130576.3000000007</v>
      </c>
      <c r="N63" s="190">
        <v>0</v>
      </c>
      <c r="O63" s="190">
        <v>-45233935.689999998</v>
      </c>
      <c r="P63" s="190">
        <v>0</v>
      </c>
      <c r="Q63" s="190">
        <v>-3098718.26</v>
      </c>
      <c r="R63" s="190">
        <v>0</v>
      </c>
      <c r="S63" s="190">
        <v>-70733379.640000001</v>
      </c>
      <c r="T63" s="190">
        <v>0</v>
      </c>
      <c r="U63" s="190">
        <v>4754045.01</v>
      </c>
      <c r="V63" s="190">
        <v>0</v>
      </c>
      <c r="W63" s="190">
        <v>-93370710.150000006</v>
      </c>
      <c r="X63" s="190">
        <v>0</v>
      </c>
      <c r="Y63" s="190">
        <v>-2550958.6</v>
      </c>
      <c r="Z63" s="190">
        <v>0</v>
      </c>
      <c r="AA63" s="190">
        <v>-43954322.75</v>
      </c>
      <c r="AB63" s="190">
        <v>0</v>
      </c>
      <c r="AC63" s="190">
        <v>4863335.04</v>
      </c>
      <c r="AD63" s="190">
        <v>0</v>
      </c>
      <c r="AE63" s="190">
        <v>-20297060.5</v>
      </c>
      <c r="AF63" s="190">
        <v>0</v>
      </c>
      <c r="AG63" s="190">
        <v>-28772914.25</v>
      </c>
      <c r="AH63" s="190">
        <v>0</v>
      </c>
      <c r="AI63" s="190">
        <v>-24979393.030000001</v>
      </c>
      <c r="AJ63" s="190">
        <v>0</v>
      </c>
      <c r="AK63" s="190">
        <v>-16375741.66</v>
      </c>
      <c r="AL63" s="190">
        <v>0</v>
      </c>
      <c r="AM63" s="190">
        <v>-30626138.829999998</v>
      </c>
      <c r="AN63" s="190">
        <v>0</v>
      </c>
      <c r="AO63" s="190">
        <v>-2672446.58</v>
      </c>
      <c r="AP63" s="190">
        <v>0</v>
      </c>
      <c r="AQ63" s="190">
        <v>-5843064.1200000001</v>
      </c>
      <c r="AR63" s="190">
        <v>0</v>
      </c>
      <c r="AS63" s="190">
        <v>3954625.48</v>
      </c>
      <c r="AT63" s="190">
        <v>0</v>
      </c>
      <c r="AU63" s="190">
        <v>2243709.2200000002</v>
      </c>
      <c r="AV63" s="190">
        <v>0</v>
      </c>
      <c r="AW63" s="190">
        <v>-2459988.23</v>
      </c>
      <c r="AX63" s="190">
        <v>0</v>
      </c>
      <c r="AY63" s="190">
        <v>0</v>
      </c>
      <c r="AZ63" s="190">
        <v>0</v>
      </c>
      <c r="BA63" s="190">
        <v>-78416.429999999993</v>
      </c>
      <c r="BB63" s="190">
        <v>3375190.81</v>
      </c>
      <c r="BC63" s="190">
        <v>-15871180.460000001</v>
      </c>
      <c r="BD63" s="190">
        <v>6172159.3300000001</v>
      </c>
      <c r="BE63" s="190">
        <v>0</v>
      </c>
    </row>
    <row r="64" spans="1:57" x14ac:dyDescent="0.25">
      <c r="A64" s="190" t="s">
        <v>277</v>
      </c>
      <c r="B64" s="190">
        <v>0</v>
      </c>
      <c r="C64" s="190">
        <v>-526719729.95999998</v>
      </c>
      <c r="D64" s="190">
        <v>0</v>
      </c>
      <c r="E64" s="190">
        <v>-367475637.76999998</v>
      </c>
      <c r="F64" s="190">
        <v>0</v>
      </c>
      <c r="G64" s="190">
        <v>-347539056.38</v>
      </c>
      <c r="H64" s="190">
        <v>0</v>
      </c>
      <c r="I64" s="190">
        <v>-277619546.69999999</v>
      </c>
      <c r="J64" s="190">
        <v>0</v>
      </c>
      <c r="K64" s="190">
        <v>-213009390.53999999</v>
      </c>
      <c r="L64" s="190">
        <v>0</v>
      </c>
      <c r="M64" s="190">
        <v>-254484286.72</v>
      </c>
      <c r="N64" s="190">
        <v>0</v>
      </c>
      <c r="O64" s="190">
        <v>-8250435.4800000004</v>
      </c>
      <c r="P64" s="190">
        <v>0</v>
      </c>
      <c r="Q64" s="190">
        <v>-17666481.34</v>
      </c>
      <c r="R64" s="190">
        <v>0</v>
      </c>
      <c r="S64" s="190">
        <v>-9691702.4700000007</v>
      </c>
      <c r="T64" s="190">
        <v>0</v>
      </c>
      <c r="U64" s="190">
        <v>-45567629.460000001</v>
      </c>
      <c r="V64" s="190">
        <v>0</v>
      </c>
      <c r="W64" s="190">
        <v>35324458.840000004</v>
      </c>
      <c r="X64" s="190">
        <v>0</v>
      </c>
      <c r="Y64" s="190">
        <v>-14267394.42</v>
      </c>
      <c r="Z64" s="190">
        <v>0</v>
      </c>
      <c r="AA64" s="190">
        <v>-15353668.060000001</v>
      </c>
      <c r="AB64" s="190">
        <v>0</v>
      </c>
      <c r="AC64" s="190">
        <v>-43573714.509999998</v>
      </c>
      <c r="AD64" s="190">
        <v>0</v>
      </c>
      <c r="AE64" s="190">
        <v>-53187005.710000001</v>
      </c>
      <c r="AF64" s="190">
        <v>0</v>
      </c>
      <c r="AG64" s="190">
        <v>7672173.5</v>
      </c>
      <c r="AH64" s="190">
        <v>0</v>
      </c>
      <c r="AI64" s="190">
        <v>-3041231.78</v>
      </c>
      <c r="AJ64" s="190">
        <v>0</v>
      </c>
      <c r="AK64" s="190">
        <v>-1381109.45</v>
      </c>
      <c r="AL64" s="190">
        <v>0</v>
      </c>
      <c r="AM64" s="190">
        <v>10401400.390000001</v>
      </c>
      <c r="AN64" s="190">
        <v>0</v>
      </c>
      <c r="AO64" s="190">
        <v>13442587.050000001</v>
      </c>
      <c r="AP64" s="190">
        <v>0</v>
      </c>
      <c r="AQ64" s="190">
        <v>14547409.67</v>
      </c>
      <c r="AR64" s="190">
        <v>0</v>
      </c>
      <c r="AS64" s="190">
        <v>-21899592.460000001</v>
      </c>
      <c r="AT64" s="190">
        <v>0</v>
      </c>
      <c r="AU64" s="190">
        <v>-1787341.19</v>
      </c>
      <c r="AV64" s="190">
        <v>0</v>
      </c>
      <c r="AW64" s="190">
        <v>-14478848.02</v>
      </c>
      <c r="AX64" s="190">
        <v>0</v>
      </c>
      <c r="AY64" s="190">
        <v>0</v>
      </c>
      <c r="AZ64" s="190">
        <v>0</v>
      </c>
      <c r="BA64" s="190">
        <v>24635760.149999999</v>
      </c>
      <c r="BB64" s="190">
        <v>920905.25</v>
      </c>
      <c r="BC64" s="190">
        <v>22108033.289999999</v>
      </c>
      <c r="BD64" s="190">
        <v>-8502417.6699999999</v>
      </c>
      <c r="BE64" s="190">
        <v>0</v>
      </c>
    </row>
    <row r="65" spans="1:57" x14ac:dyDescent="0.25">
      <c r="A65" s="190" t="s">
        <v>278</v>
      </c>
      <c r="B65" s="190">
        <v>0</v>
      </c>
      <c r="C65" s="190">
        <v>-190207716.72999999</v>
      </c>
      <c r="D65" s="190">
        <v>0</v>
      </c>
      <c r="E65" s="190">
        <v>662390515.23000002</v>
      </c>
      <c r="F65" s="190">
        <v>0</v>
      </c>
      <c r="G65" s="190">
        <v>63512944.82</v>
      </c>
      <c r="H65" s="190">
        <v>0</v>
      </c>
      <c r="I65" s="190">
        <v>379614592.94999999</v>
      </c>
      <c r="J65" s="190">
        <v>0</v>
      </c>
      <c r="K65" s="190">
        <v>126328259.11</v>
      </c>
      <c r="L65" s="190">
        <v>0</v>
      </c>
      <c r="M65" s="190">
        <v>180925444.38999999</v>
      </c>
      <c r="N65" s="190">
        <v>0</v>
      </c>
      <c r="O65" s="190">
        <v>-56300477.409999996</v>
      </c>
      <c r="P65" s="190">
        <v>0</v>
      </c>
      <c r="Q65" s="190">
        <v>-37309762.119999997</v>
      </c>
      <c r="R65" s="190">
        <v>0</v>
      </c>
      <c r="S65" s="190">
        <v>-46370201.310000002</v>
      </c>
      <c r="T65" s="190">
        <v>0</v>
      </c>
      <c r="U65" s="190">
        <v>-12726136.550000001</v>
      </c>
      <c r="V65" s="190">
        <v>0</v>
      </c>
      <c r="W65" s="190">
        <v>1957436.59</v>
      </c>
      <c r="X65" s="190">
        <v>0</v>
      </c>
      <c r="Y65" s="190">
        <v>10290410.9</v>
      </c>
      <c r="Z65" s="190">
        <v>0</v>
      </c>
      <c r="AA65" s="190">
        <v>1753368.95</v>
      </c>
      <c r="AB65" s="190">
        <v>0</v>
      </c>
      <c r="AC65" s="190">
        <v>24837343.59</v>
      </c>
      <c r="AD65" s="190">
        <v>0</v>
      </c>
      <c r="AE65" s="190">
        <v>42198505.5</v>
      </c>
      <c r="AF65" s="190">
        <v>0</v>
      </c>
      <c r="AG65" s="190">
        <v>-8879409.8100000005</v>
      </c>
      <c r="AH65" s="190">
        <v>0</v>
      </c>
      <c r="AI65" s="190">
        <v>18226819.600000001</v>
      </c>
      <c r="AJ65" s="190">
        <v>0</v>
      </c>
      <c r="AK65" s="190">
        <v>22477671.469999999</v>
      </c>
      <c r="AL65" s="190">
        <v>0</v>
      </c>
      <c r="AM65" s="190">
        <v>20008503.75</v>
      </c>
      <c r="AN65" s="190">
        <v>0</v>
      </c>
      <c r="AO65" s="190">
        <v>-14249334.949999999</v>
      </c>
      <c r="AP65" s="190">
        <v>0</v>
      </c>
      <c r="AQ65" s="190">
        <v>-19122122.789999999</v>
      </c>
      <c r="AR65" s="190">
        <v>0</v>
      </c>
      <c r="AS65" s="190">
        <v>2287228.67</v>
      </c>
      <c r="AT65" s="190">
        <v>0</v>
      </c>
      <c r="AU65" s="190">
        <v>14851206.220000001</v>
      </c>
      <c r="AV65" s="190">
        <v>0</v>
      </c>
      <c r="AW65" s="190">
        <v>1071909.45</v>
      </c>
      <c r="AX65" s="190">
        <v>0</v>
      </c>
      <c r="AY65" s="190">
        <v>0</v>
      </c>
      <c r="AZ65" s="190">
        <v>0</v>
      </c>
      <c r="BA65" s="190">
        <v>-11622575.49</v>
      </c>
      <c r="BB65" s="190">
        <v>-4680036.4400000004</v>
      </c>
      <c r="BC65" s="190">
        <v>-1327094.98</v>
      </c>
      <c r="BD65" s="190">
        <v>7439209.6200000001</v>
      </c>
      <c r="BE65" s="190">
        <v>0</v>
      </c>
    </row>
    <row r="66" spans="1:57"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row>
    <row r="67" spans="1:57"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row>
    <row r="68" spans="1:57"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-435000</v>
      </c>
      <c r="P68" s="190">
        <v>0</v>
      </c>
      <c r="Q68" s="190">
        <v>-870000</v>
      </c>
      <c r="R68" s="190">
        <v>0</v>
      </c>
      <c r="S68" s="190">
        <v>0</v>
      </c>
      <c r="T68" s="190">
        <v>0</v>
      </c>
      <c r="U68" s="190">
        <v>0</v>
      </c>
      <c r="V68" s="190">
        <v>0</v>
      </c>
      <c r="W68" s="190">
        <v>0</v>
      </c>
      <c r="X68" s="190">
        <v>0</v>
      </c>
      <c r="Y68" s="190">
        <v>0</v>
      </c>
      <c r="Z68" s="190">
        <v>0</v>
      </c>
      <c r="AA68" s="190">
        <v>0</v>
      </c>
      <c r="AB68" s="190">
        <v>0</v>
      </c>
      <c r="AC68" s="190">
        <v>-577760.39</v>
      </c>
      <c r="AD68" s="190">
        <v>0</v>
      </c>
      <c r="AE68" s="190">
        <v>-87000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719905.34</v>
      </c>
      <c r="BB68" s="190">
        <v>173076.81</v>
      </c>
      <c r="BC68" s="190">
        <v>171576.21</v>
      </c>
      <c r="BD68" s="190">
        <v>355537.91999999998</v>
      </c>
      <c r="BE68" s="190">
        <v>0</v>
      </c>
    </row>
    <row r="69" spans="1:57" x14ac:dyDescent="0.25">
      <c r="A69" s="190" t="s">
        <v>282</v>
      </c>
      <c r="B69" s="190">
        <v>0</v>
      </c>
      <c r="C69" s="190">
        <v>-242681767.80000001</v>
      </c>
      <c r="D69" s="190">
        <v>0</v>
      </c>
      <c r="E69" s="190">
        <v>1444532051.76</v>
      </c>
      <c r="F69" s="190">
        <v>0</v>
      </c>
      <c r="G69" s="190">
        <v>-77792233.489999995</v>
      </c>
      <c r="H69" s="190">
        <v>0</v>
      </c>
      <c r="I69" s="190">
        <v>707081569.03999996</v>
      </c>
      <c r="J69" s="190">
        <v>0</v>
      </c>
      <c r="K69" s="190">
        <v>-18350760.559999999</v>
      </c>
      <c r="L69" s="190">
        <v>0</v>
      </c>
      <c r="M69" s="190">
        <v>329839402.07999998</v>
      </c>
      <c r="N69" s="190">
        <v>0</v>
      </c>
      <c r="O69" s="190">
        <v>-89772991.200000003</v>
      </c>
      <c r="P69" s="190">
        <v>0</v>
      </c>
      <c r="Q69" s="190">
        <v>29845946.210000001</v>
      </c>
      <c r="R69" s="190">
        <v>0</v>
      </c>
      <c r="S69" s="190">
        <v>-101562822.12</v>
      </c>
      <c r="T69" s="190">
        <v>0</v>
      </c>
      <c r="U69" s="190">
        <v>26160340.649999999</v>
      </c>
      <c r="V69" s="190">
        <v>0</v>
      </c>
      <c r="W69" s="190">
        <v>-43047013.130000003</v>
      </c>
      <c r="X69" s="190">
        <v>0</v>
      </c>
      <c r="Y69" s="190">
        <v>66693658.280000001</v>
      </c>
      <c r="Z69" s="190">
        <v>0</v>
      </c>
      <c r="AA69" s="190">
        <v>-43787282.979999997</v>
      </c>
      <c r="AB69" s="190">
        <v>0</v>
      </c>
      <c r="AC69" s="190">
        <v>63428318.07</v>
      </c>
      <c r="AD69" s="190">
        <v>0</v>
      </c>
      <c r="AE69" s="190">
        <v>-13988725.539999999</v>
      </c>
      <c r="AF69" s="190">
        <v>0</v>
      </c>
      <c r="AG69" s="190">
        <v>7395157.7999999998</v>
      </c>
      <c r="AH69" s="190">
        <v>0</v>
      </c>
      <c r="AI69" s="190">
        <v>3156098.02</v>
      </c>
      <c r="AJ69" s="190">
        <v>0</v>
      </c>
      <c r="AK69" s="190">
        <v>40501415.049999997</v>
      </c>
      <c r="AL69" s="190">
        <v>0</v>
      </c>
      <c r="AM69" s="190">
        <v>9874825.5899999999</v>
      </c>
      <c r="AN69" s="190">
        <v>0</v>
      </c>
      <c r="AO69" s="190">
        <v>25084177.030000001</v>
      </c>
      <c r="AP69" s="190">
        <v>0</v>
      </c>
      <c r="AQ69" s="190">
        <v>519973.69</v>
      </c>
      <c r="AR69" s="190">
        <v>0</v>
      </c>
      <c r="AS69" s="190">
        <v>27271032.739999998</v>
      </c>
      <c r="AT69" s="190">
        <v>0</v>
      </c>
      <c r="AU69" s="190">
        <v>29941999.370000001</v>
      </c>
      <c r="AV69" s="190">
        <v>0</v>
      </c>
      <c r="AW69" s="190">
        <v>26473280.34</v>
      </c>
      <c r="AX69" s="190">
        <v>0</v>
      </c>
      <c r="AY69" s="190">
        <v>0</v>
      </c>
      <c r="AZ69" s="190">
        <v>0</v>
      </c>
      <c r="BA69" s="190">
        <v>49283884.990000002</v>
      </c>
      <c r="BB69" s="190">
        <v>26470599.609999999</v>
      </c>
      <c r="BC69" s="190">
        <v>13892938.720000001</v>
      </c>
      <c r="BD69" s="190">
        <v>42068867.590000004</v>
      </c>
      <c r="BE69" s="190">
        <v>0</v>
      </c>
    </row>
    <row r="70" spans="1:57"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row>
    <row r="71" spans="1:57"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row>
    <row r="72" spans="1:57" x14ac:dyDescent="0.25">
      <c r="A72" s="190" t="s">
        <v>285</v>
      </c>
      <c r="B72" s="190">
        <v>0</v>
      </c>
      <c r="C72" s="190">
        <v>0</v>
      </c>
      <c r="D72" s="190">
        <v>0</v>
      </c>
      <c r="E72" s="190">
        <v>0</v>
      </c>
      <c r="F72" s="190">
        <v>0</v>
      </c>
      <c r="G72" s="190">
        <v>0</v>
      </c>
      <c r="H72" s="190">
        <v>0</v>
      </c>
      <c r="I72" s="190">
        <v>0</v>
      </c>
      <c r="J72" s="190">
        <v>0</v>
      </c>
      <c r="K72" s="190">
        <v>0</v>
      </c>
      <c r="L72" s="190">
        <v>0</v>
      </c>
      <c r="M72" s="190">
        <v>47913873.829999998</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row>
    <row r="73" spans="1:57" x14ac:dyDescent="0.25">
      <c r="A73" s="190" t="s">
        <v>286</v>
      </c>
      <c r="B73" s="190">
        <v>0</v>
      </c>
      <c r="C73" s="190">
        <v>1484547505.8199999</v>
      </c>
      <c r="D73" s="190">
        <v>0</v>
      </c>
      <c r="E73" s="190">
        <v>2366472479.2800002</v>
      </c>
      <c r="F73" s="190">
        <v>0</v>
      </c>
      <c r="G73" s="190">
        <v>1348418953.22</v>
      </c>
      <c r="H73" s="190">
        <v>0</v>
      </c>
      <c r="I73" s="190">
        <v>1101435360.3800001</v>
      </c>
      <c r="J73" s="190">
        <v>0</v>
      </c>
      <c r="K73" s="190">
        <v>492398576.25999999</v>
      </c>
      <c r="L73" s="190">
        <v>0</v>
      </c>
      <c r="M73" s="190">
        <v>1104852568.54</v>
      </c>
      <c r="N73" s="190">
        <v>0</v>
      </c>
      <c r="O73" s="190">
        <v>50128006.409999996</v>
      </c>
      <c r="P73" s="190">
        <v>0</v>
      </c>
      <c r="Q73" s="190">
        <v>169798023.02000001</v>
      </c>
      <c r="R73" s="190">
        <v>0</v>
      </c>
      <c r="S73" s="190">
        <v>130637202.58</v>
      </c>
      <c r="T73" s="190">
        <v>0</v>
      </c>
      <c r="U73" s="190">
        <v>294456123.81</v>
      </c>
      <c r="V73" s="190">
        <v>0</v>
      </c>
      <c r="W73" s="190">
        <v>154623889.43000001</v>
      </c>
      <c r="X73" s="190">
        <v>0</v>
      </c>
      <c r="Y73" s="190">
        <v>265277602.33000001</v>
      </c>
      <c r="Z73" s="190">
        <v>0</v>
      </c>
      <c r="AA73" s="190">
        <v>140473787.38</v>
      </c>
      <c r="AB73" s="190">
        <v>0</v>
      </c>
      <c r="AC73" s="190">
        <v>187773127.58000001</v>
      </c>
      <c r="AD73" s="190">
        <v>0</v>
      </c>
      <c r="AE73" s="190">
        <v>129919328.04000001</v>
      </c>
      <c r="AF73" s="190">
        <v>0</v>
      </c>
      <c r="AG73" s="190">
        <v>178618329.34</v>
      </c>
      <c r="AH73" s="190">
        <v>0</v>
      </c>
      <c r="AI73" s="190">
        <v>221655347.59999999</v>
      </c>
      <c r="AJ73" s="190">
        <v>268222031.58000001</v>
      </c>
      <c r="AK73" s="190">
        <v>246147544.5</v>
      </c>
      <c r="AL73" s="190">
        <v>221859561.83000001</v>
      </c>
      <c r="AM73" s="190">
        <v>223559945.12</v>
      </c>
      <c r="AN73" s="190">
        <v>223344859.27000001</v>
      </c>
      <c r="AO73" s="190">
        <v>210253447.38</v>
      </c>
      <c r="AP73" s="190">
        <v>197696425.72999999</v>
      </c>
      <c r="AQ73" s="190">
        <v>195194136.16</v>
      </c>
      <c r="AR73" s="190">
        <v>212740237.34</v>
      </c>
      <c r="AS73" s="190">
        <v>192481908.84</v>
      </c>
      <c r="AT73" s="190">
        <v>215218834.06999999</v>
      </c>
      <c r="AU73" s="190">
        <v>207338394.83000001</v>
      </c>
      <c r="AV73" s="190">
        <v>211450304.50999999</v>
      </c>
      <c r="AW73" s="190">
        <v>189165368.28</v>
      </c>
      <c r="AX73" s="190">
        <v>182400449.47</v>
      </c>
      <c r="AY73" s="190">
        <v>192997723.66999999</v>
      </c>
      <c r="AZ73" s="190">
        <v>192714432.78999999</v>
      </c>
      <c r="BA73" s="190">
        <v>193568074.75999999</v>
      </c>
      <c r="BB73" s="190">
        <v>208930897.93000001</v>
      </c>
      <c r="BC73" s="190">
        <v>205913291.03999999</v>
      </c>
      <c r="BD73" s="190">
        <v>58053432.25</v>
      </c>
      <c r="BE73" s="190">
        <v>0</v>
      </c>
    </row>
    <row r="74" spans="1:57" x14ac:dyDescent="0.25">
      <c r="A74" s="190" t="s">
        <v>287</v>
      </c>
      <c r="B74" s="190">
        <v>0</v>
      </c>
      <c r="C74" s="190">
        <v>2366472479.2800002</v>
      </c>
      <c r="D74" s="190">
        <v>0</v>
      </c>
      <c r="E74" s="190">
        <v>1377037483.3199999</v>
      </c>
      <c r="F74" s="190">
        <v>0</v>
      </c>
      <c r="G74" s="190">
        <v>1101435360.3800001</v>
      </c>
      <c r="H74" s="190">
        <v>0</v>
      </c>
      <c r="I74" s="190">
        <v>1104852568.54</v>
      </c>
      <c r="J74" s="190">
        <v>0</v>
      </c>
      <c r="K74" s="190">
        <v>1104852568.54</v>
      </c>
      <c r="L74" s="190">
        <v>0</v>
      </c>
      <c r="M74" s="190">
        <v>576797731.17999995</v>
      </c>
      <c r="N74" s="190">
        <v>0</v>
      </c>
      <c r="O74" s="190">
        <v>169798023.02000001</v>
      </c>
      <c r="P74" s="190">
        <v>0</v>
      </c>
      <c r="Q74" s="190">
        <v>294456123.81</v>
      </c>
      <c r="R74" s="190">
        <v>0</v>
      </c>
      <c r="S74" s="190">
        <v>294456123.81</v>
      </c>
      <c r="T74" s="190">
        <v>0</v>
      </c>
      <c r="U74" s="190">
        <v>311843554.43000001</v>
      </c>
      <c r="V74" s="190">
        <v>0</v>
      </c>
      <c r="W74" s="190">
        <v>265277602.33000001</v>
      </c>
      <c r="X74" s="190">
        <v>0</v>
      </c>
      <c r="Y74" s="190">
        <v>187773127.58000001</v>
      </c>
      <c r="Z74" s="190">
        <v>0</v>
      </c>
      <c r="AA74" s="190">
        <v>187773127.58000001</v>
      </c>
      <c r="AB74" s="190">
        <v>0</v>
      </c>
      <c r="AC74" s="190">
        <v>178618329.34</v>
      </c>
      <c r="AD74" s="190">
        <v>0</v>
      </c>
      <c r="AE74" s="190">
        <v>178618329.34</v>
      </c>
      <c r="AF74" s="190">
        <v>0</v>
      </c>
      <c r="AG74" s="190">
        <v>246147544.5</v>
      </c>
      <c r="AH74" s="190">
        <v>0</v>
      </c>
      <c r="AI74" s="190">
        <v>246147544.5</v>
      </c>
      <c r="AJ74" s="190">
        <v>246147544.5</v>
      </c>
      <c r="AK74" s="190">
        <v>210253447.38</v>
      </c>
      <c r="AL74" s="190">
        <v>210253447.38</v>
      </c>
      <c r="AM74" s="190">
        <v>210253447.38</v>
      </c>
      <c r="AN74" s="190">
        <v>212310105.34999999</v>
      </c>
      <c r="AO74" s="190">
        <v>192481908.84</v>
      </c>
      <c r="AP74" s="190">
        <v>179075613.38999999</v>
      </c>
      <c r="AQ74" s="190">
        <v>192481908.84</v>
      </c>
      <c r="AR74" s="190">
        <v>193271908.84</v>
      </c>
      <c r="AS74" s="190">
        <v>189165368.28</v>
      </c>
      <c r="AT74" s="190">
        <v>189165368.28</v>
      </c>
      <c r="AU74" s="190">
        <v>191685368.28</v>
      </c>
      <c r="AV74" s="190">
        <v>191685368.28</v>
      </c>
      <c r="AW74" s="190">
        <v>193568074.75999999</v>
      </c>
      <c r="AX74" s="190">
        <v>193568074.75999999</v>
      </c>
      <c r="AY74" s="190">
        <v>193568074.75999999</v>
      </c>
      <c r="AZ74" s="190">
        <v>193568074.75999999</v>
      </c>
      <c r="BA74" s="190">
        <v>58053432.25</v>
      </c>
      <c r="BB74" s="190">
        <v>58053432.25</v>
      </c>
      <c r="BC74" s="190">
        <v>58053432.25</v>
      </c>
      <c r="BD74" s="190">
        <v>63735657.420000002</v>
      </c>
      <c r="BE74" s="190">
        <v>0</v>
      </c>
    </row>
    <row r="75" spans="1:57"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2520000</v>
      </c>
      <c r="AV75" s="190">
        <v>0</v>
      </c>
      <c r="AW75" s="190">
        <v>0</v>
      </c>
      <c r="AX75" s="190">
        <v>0</v>
      </c>
      <c r="AY75" s="190">
        <v>0</v>
      </c>
      <c r="AZ75" s="190">
        <v>0</v>
      </c>
      <c r="BA75" s="190">
        <v>0</v>
      </c>
      <c r="BB75" s="190">
        <v>0</v>
      </c>
      <c r="BC75" s="190">
        <v>0</v>
      </c>
      <c r="BD75" s="190">
        <v>0</v>
      </c>
      <c r="BE75" s="190">
        <v>0</v>
      </c>
    </row>
    <row r="76" spans="1:57"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row>
    <row r="77" spans="1:57" x14ac:dyDescent="0.25">
      <c r="A77" s="190" t="s">
        <v>290</v>
      </c>
      <c r="B77" s="190">
        <v>0</v>
      </c>
      <c r="C77" s="190">
        <v>-881924973.46000004</v>
      </c>
      <c r="D77" s="190">
        <v>0</v>
      </c>
      <c r="E77" s="190">
        <v>989434995.96000004</v>
      </c>
      <c r="F77" s="190">
        <v>0</v>
      </c>
      <c r="G77" s="190">
        <v>246983592.84</v>
      </c>
      <c r="H77" s="190">
        <v>0</v>
      </c>
      <c r="I77" s="190">
        <v>-3417208.16</v>
      </c>
      <c r="J77" s="190">
        <v>0</v>
      </c>
      <c r="K77" s="190">
        <v>-612453992.27999997</v>
      </c>
      <c r="L77" s="190">
        <v>0</v>
      </c>
      <c r="M77" s="190">
        <v>528054837.36000001</v>
      </c>
      <c r="N77" s="190">
        <v>0</v>
      </c>
      <c r="O77" s="190">
        <v>-119670016.61</v>
      </c>
      <c r="P77" s="190">
        <v>0</v>
      </c>
      <c r="Q77" s="190">
        <v>-124658100.79000001</v>
      </c>
      <c r="R77" s="190">
        <v>0</v>
      </c>
      <c r="S77" s="190">
        <v>-163818921.22999999</v>
      </c>
      <c r="T77" s="190">
        <v>0</v>
      </c>
      <c r="U77" s="190">
        <v>-17387430.620000001</v>
      </c>
      <c r="V77" s="190">
        <v>0</v>
      </c>
      <c r="W77" s="190">
        <v>-110653712.90000001</v>
      </c>
      <c r="X77" s="190">
        <v>0</v>
      </c>
      <c r="Y77" s="190">
        <v>77504474.75</v>
      </c>
      <c r="Z77" s="190">
        <v>0</v>
      </c>
      <c r="AA77" s="190">
        <v>-47299340.200000003</v>
      </c>
      <c r="AB77" s="190">
        <v>0</v>
      </c>
      <c r="AC77" s="190">
        <v>9154798.2400000002</v>
      </c>
      <c r="AD77" s="190">
        <v>0</v>
      </c>
      <c r="AE77" s="190">
        <v>-48699001.299999997</v>
      </c>
      <c r="AF77" s="190">
        <v>0</v>
      </c>
      <c r="AG77" s="190">
        <v>-67529215.159999996</v>
      </c>
      <c r="AH77" s="190">
        <v>0</v>
      </c>
      <c r="AI77" s="190">
        <v>-24492196.899999999</v>
      </c>
      <c r="AJ77" s="190">
        <v>22074487.079999998</v>
      </c>
      <c r="AK77" s="190">
        <v>35894097.119999997</v>
      </c>
      <c r="AL77" s="190">
        <v>11606114.449999999</v>
      </c>
      <c r="AM77" s="190">
        <v>13306497.74</v>
      </c>
      <c r="AN77" s="190">
        <v>11034753.92</v>
      </c>
      <c r="AO77" s="190">
        <v>17771538.539999999</v>
      </c>
      <c r="AP77" s="190">
        <v>18620812.34</v>
      </c>
      <c r="AQ77" s="190">
        <v>2712227.32</v>
      </c>
      <c r="AR77" s="190">
        <v>19468328.5</v>
      </c>
      <c r="AS77" s="190">
        <v>3316540.56</v>
      </c>
      <c r="AT77" s="190">
        <v>26053465.789999999</v>
      </c>
      <c r="AU77" s="190">
        <v>18173026.550000001</v>
      </c>
      <c r="AV77" s="190">
        <v>19764936.23</v>
      </c>
      <c r="AW77" s="190">
        <v>-4402706.4800000004</v>
      </c>
      <c r="AX77" s="190">
        <v>-11167625.289999999</v>
      </c>
      <c r="AY77" s="190">
        <v>-570351.09</v>
      </c>
      <c r="AZ77" s="190">
        <v>-853641.97</v>
      </c>
      <c r="BA77" s="190">
        <v>135514642.50999999</v>
      </c>
      <c r="BB77" s="190">
        <v>150877465.68000001</v>
      </c>
      <c r="BC77" s="190">
        <v>147859858.78999999</v>
      </c>
      <c r="BD77" s="190">
        <v>-5682225.1699999999</v>
      </c>
      <c r="BE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73"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2" width="19.33203125" hidden="1" customWidth="1"/>
    <col min="13" max="13" width="19.33203125" bestFit="1" customWidth="1"/>
    <col min="14" max="14" width="19.33203125" hidden="1" customWidth="1"/>
    <col min="15" max="16" width="17.77734375" hidden="1" customWidth="1"/>
    <col min="17" max="17" width="17.77734375" bestFit="1" customWidth="1"/>
    <col min="18" max="20" width="19" hidden="1" customWidth="1"/>
    <col min="21" max="21" width="19" bestFit="1" customWidth="1"/>
    <col min="22" max="24" width="17.77734375" hidden="1" customWidth="1"/>
    <col min="25" max="25" width="17.77734375" bestFit="1" customWidth="1"/>
    <col min="26" max="28" width="17.77734375" hidden="1" customWidth="1"/>
    <col min="29" max="29" width="17.77734375" bestFit="1" customWidth="1"/>
    <col min="30" max="31" width="17.77734375" hidden="1" customWidth="1"/>
    <col min="32" max="32" width="17.21875" hidden="1" customWidth="1"/>
    <col min="33" max="33" width="17.21875" bestFit="1" customWidth="1"/>
    <col min="34" max="35" width="17.21875" hidden="1" customWidth="1"/>
    <col min="36" max="36" width="17.77734375" hidden="1" customWidth="1"/>
    <col min="37" max="37" width="17.77734375" bestFit="1" customWidth="1"/>
    <col min="38" max="39" width="17.77734375" hidden="1" customWidth="1"/>
    <col min="40" max="40" width="17.21875" hidden="1" customWidth="1"/>
    <col min="41" max="41" width="17.77734375" bestFit="1" customWidth="1"/>
    <col min="42" max="44" width="17.77734375" hidden="1" customWidth="1"/>
    <col min="45" max="45" width="17.77734375" bestFit="1" customWidth="1"/>
    <col min="46" max="48" width="17.77734375" hidden="1" customWidth="1"/>
    <col min="49" max="49" width="17.77734375" bestFit="1" customWidth="1"/>
    <col min="50" max="52" width="17.77734375" hidden="1" customWidth="1"/>
    <col min="53" max="53" width="17.77734375" bestFit="1" customWidth="1"/>
    <col min="54" max="55" width="17.77734375" hidden="1" customWidth="1"/>
    <col min="56" max="57" width="17.77734375" bestFit="1" customWidth="1"/>
    <col min="58" max="58" width="17.21875" bestFit="1" customWidth="1"/>
    <col min="59" max="59" width="9.5546875" hidden="1" customWidth="1"/>
    <col min="60" max="84" width="19.33203125" bestFit="1" customWidth="1"/>
    <col min="85" max="87" width="17.21875" bestFit="1" customWidth="1"/>
    <col min="88" max="89" width="16.109375" bestFit="1" customWidth="1"/>
    <col min="90" max="90" width="7.109375" bestFit="1" customWidth="1"/>
  </cols>
  <sheetData>
    <row r="1" spans="1:90" s="41" customFormat="1" x14ac:dyDescent="0.25">
      <c r="A1" s="41">
        <v>2044</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20031231</v>
      </c>
      <c r="BF1" s="190">
        <v>20021231</v>
      </c>
      <c r="BG1" s="190">
        <v>19700101</v>
      </c>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1191801693.99</v>
      </c>
      <c r="C4" s="190">
        <v>1514778105.8199999</v>
      </c>
      <c r="D4" s="190">
        <v>2567970547.1100001</v>
      </c>
      <c r="E4" s="190">
        <v>2366473079.2800002</v>
      </c>
      <c r="F4" s="190">
        <v>1031932639.79</v>
      </c>
      <c r="G4" s="190">
        <v>1348418953.22</v>
      </c>
      <c r="H4" s="190">
        <v>1063643654.17</v>
      </c>
      <c r="I4" s="190">
        <v>1101435360.3800001</v>
      </c>
      <c r="J4" s="190">
        <v>626747403.54999995</v>
      </c>
      <c r="K4" s="190">
        <v>492398576.25999999</v>
      </c>
      <c r="L4" s="190">
        <v>867557989.66999996</v>
      </c>
      <c r="M4" s="190">
        <v>1105736784.1800001</v>
      </c>
      <c r="N4" s="190">
        <v>651501404.25999999</v>
      </c>
      <c r="O4" s="190">
        <v>51928006.409999996</v>
      </c>
      <c r="P4" s="190">
        <v>96937965.609999999</v>
      </c>
      <c r="Q4" s="190">
        <v>172298023.02000001</v>
      </c>
      <c r="R4" s="190">
        <v>177418574.88</v>
      </c>
      <c r="S4" s="190">
        <v>136787202.58000001</v>
      </c>
      <c r="T4" s="190">
        <v>264717697.62</v>
      </c>
      <c r="U4" s="190">
        <v>318456123.81</v>
      </c>
      <c r="V4" s="190">
        <v>187527203.61000001</v>
      </c>
      <c r="W4" s="190">
        <v>161587106.22999999</v>
      </c>
      <c r="X4" s="190">
        <v>258828221.09999999</v>
      </c>
      <c r="Y4" s="190">
        <v>273071428.81</v>
      </c>
      <c r="Z4" s="190">
        <v>219568805.50999999</v>
      </c>
      <c r="AA4" s="190">
        <v>144102594.61000001</v>
      </c>
      <c r="AB4" s="190">
        <v>198415230.31999999</v>
      </c>
      <c r="AC4" s="190">
        <v>190073127.58000001</v>
      </c>
      <c r="AD4" s="190">
        <v>175802943.49000001</v>
      </c>
      <c r="AE4" s="190">
        <v>131719328.04000001</v>
      </c>
      <c r="AF4" s="190">
        <v>160544538.83000001</v>
      </c>
      <c r="AG4" s="190">
        <v>190309329.34</v>
      </c>
      <c r="AH4" s="190">
        <v>203775756.40000001</v>
      </c>
      <c r="AI4" s="190">
        <v>226965347.59999999</v>
      </c>
      <c r="AJ4" s="190">
        <v>272319141.45999998</v>
      </c>
      <c r="AK4" s="190">
        <v>256396044.5</v>
      </c>
      <c r="AL4" s="190">
        <v>238798061.83000001</v>
      </c>
      <c r="AM4" s="190">
        <v>232329945.12</v>
      </c>
      <c r="AN4" s="190">
        <v>225344859.27000001</v>
      </c>
      <c r="AO4" s="190">
        <v>213100105.34999999</v>
      </c>
      <c r="AP4" s="190">
        <v>199696425.72999999</v>
      </c>
      <c r="AQ4" s="190">
        <v>197194136.16</v>
      </c>
      <c r="AR4" s="190">
        <v>213530237.34</v>
      </c>
      <c r="AS4" s="190">
        <v>193271908.84</v>
      </c>
      <c r="AT4" s="190">
        <v>215218834.06999999</v>
      </c>
      <c r="AU4" s="190">
        <v>207338394.83000001</v>
      </c>
      <c r="AV4" s="190">
        <v>211450304.50999999</v>
      </c>
      <c r="AW4" s="190">
        <v>191685368.28</v>
      </c>
      <c r="AX4" s="190">
        <v>182400449.47</v>
      </c>
      <c r="AY4" s="190">
        <v>192997723.66999999</v>
      </c>
      <c r="AZ4" s="190">
        <v>192714432.78999999</v>
      </c>
      <c r="BA4" s="190">
        <v>193568074.75999999</v>
      </c>
      <c r="BB4" s="190">
        <v>208930897.93000001</v>
      </c>
      <c r="BC4" s="190">
        <v>205913291.03999999</v>
      </c>
      <c r="BD4" s="190">
        <v>58053432.25</v>
      </c>
      <c r="BE4" s="190">
        <v>63735657.420000002</v>
      </c>
      <c r="BF4" s="190">
        <v>50449967.939999998</v>
      </c>
      <c r="BG4" s="190">
        <v>0</v>
      </c>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197777.8</v>
      </c>
      <c r="T5" s="190">
        <v>197777.8</v>
      </c>
      <c r="U5" s="190">
        <v>197777.8</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184756346.63</v>
      </c>
      <c r="P7" s="190">
        <v>160201780.5</v>
      </c>
      <c r="Q7" s="190">
        <v>178879051.33000001</v>
      </c>
      <c r="R7" s="190">
        <v>165172901.06</v>
      </c>
      <c r="S7" s="190">
        <v>157309737.75</v>
      </c>
      <c r="T7" s="190">
        <v>149582032.47999999</v>
      </c>
      <c r="U7" s="190">
        <v>110341583.68000001</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866867910.70000005</v>
      </c>
      <c r="C8" s="190">
        <v>788261910.70000005</v>
      </c>
      <c r="D8" s="190">
        <v>691041801.70000005</v>
      </c>
      <c r="E8" s="190">
        <v>576626206.70000005</v>
      </c>
      <c r="F8" s="190">
        <v>454910725.69999999</v>
      </c>
      <c r="G8" s="190">
        <v>348692119.31999999</v>
      </c>
      <c r="H8" s="190">
        <v>269078649.86000001</v>
      </c>
      <c r="I8" s="190">
        <v>238745329.86000001</v>
      </c>
      <c r="J8" s="190">
        <v>1191853465.1600001</v>
      </c>
      <c r="K8" s="190">
        <v>1155114465.1600001</v>
      </c>
      <c r="L8" s="190">
        <v>1082805925.7</v>
      </c>
      <c r="M8" s="190">
        <v>1070865925.7</v>
      </c>
      <c r="N8" s="190">
        <v>1046235000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3625785.27</v>
      </c>
      <c r="P10" s="190">
        <v>3714279.6</v>
      </c>
      <c r="Q10" s="190">
        <v>3802773.93</v>
      </c>
      <c r="R10" s="190">
        <v>5475049.3099999996</v>
      </c>
      <c r="S10" s="190">
        <v>5563543.6399999997</v>
      </c>
      <c r="T10" s="190">
        <v>5652037.9699999997</v>
      </c>
      <c r="U10" s="190">
        <v>5740532.2999999998</v>
      </c>
      <c r="V10" s="190">
        <v>5829026.6299999999</v>
      </c>
      <c r="W10" s="190">
        <v>5917520.96</v>
      </c>
      <c r="X10" s="190">
        <v>6006015.29</v>
      </c>
      <c r="Y10" s="190">
        <v>6094509.6200000001</v>
      </c>
      <c r="Z10" s="190">
        <v>6183003.9500000002</v>
      </c>
      <c r="AA10" s="190">
        <v>6271498.2800000003</v>
      </c>
      <c r="AB10" s="190">
        <v>6359992.6100000003</v>
      </c>
      <c r="AC10" s="190">
        <v>6448486.9400000004</v>
      </c>
      <c r="AD10" s="190">
        <v>6536981.2699999996</v>
      </c>
      <c r="AE10" s="190">
        <v>6625475.5999999996</v>
      </c>
      <c r="AF10" s="190">
        <v>6713969.9299999997</v>
      </c>
      <c r="AG10" s="190">
        <v>6802464.2599999998</v>
      </c>
      <c r="AH10" s="190">
        <v>6890958.5899999999</v>
      </c>
      <c r="AI10" s="190">
        <v>7014281.0999999996</v>
      </c>
      <c r="AJ10" s="190">
        <v>7081379.0199999996</v>
      </c>
      <c r="AK10" s="190">
        <v>7185863.5599999996</v>
      </c>
      <c r="AL10" s="190">
        <v>7290348.0999999996</v>
      </c>
      <c r="AM10" s="190">
        <v>7422914.6500000004</v>
      </c>
      <c r="AN10" s="190">
        <v>7772818.8700000001</v>
      </c>
      <c r="AO10" s="190">
        <v>7772818.8700000001</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29321.06</v>
      </c>
      <c r="AG11" s="190">
        <v>29321.06</v>
      </c>
      <c r="AH11" s="190">
        <v>0</v>
      </c>
      <c r="AI11" s="190">
        <v>0</v>
      </c>
      <c r="AJ11" s="190">
        <v>0</v>
      </c>
      <c r="AK11" s="190">
        <v>0</v>
      </c>
      <c r="AL11" s="190">
        <v>0</v>
      </c>
      <c r="AM11" s="190">
        <v>51068.67</v>
      </c>
      <c r="AN11" s="190">
        <v>0</v>
      </c>
      <c r="AO11" s="190">
        <v>0</v>
      </c>
      <c r="AP11" s="190">
        <v>0</v>
      </c>
      <c r="AQ11" s="190">
        <v>0</v>
      </c>
      <c r="AR11" s="190">
        <v>0</v>
      </c>
      <c r="AS11" s="190">
        <v>0</v>
      </c>
      <c r="AT11" s="190">
        <v>0</v>
      </c>
      <c r="AU11" s="190">
        <v>0</v>
      </c>
      <c r="AV11" s="190">
        <v>0</v>
      </c>
      <c r="AW11" s="190">
        <v>0</v>
      </c>
      <c r="AX11" s="190">
        <v>178154.93</v>
      </c>
      <c r="AY11" s="190">
        <v>178154.93</v>
      </c>
      <c r="AZ11" s="190">
        <v>225368.23</v>
      </c>
      <c r="BA11" s="190">
        <v>0</v>
      </c>
      <c r="BB11" s="190">
        <v>0</v>
      </c>
      <c r="BC11" s="190">
        <v>0</v>
      </c>
      <c r="BD11" s="190">
        <v>0</v>
      </c>
      <c r="BE11" s="190">
        <v>0</v>
      </c>
      <c r="BF11" s="190">
        <v>0</v>
      </c>
      <c r="BG11" s="190">
        <v>0</v>
      </c>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609249.98</v>
      </c>
      <c r="P13" s="190">
        <v>560858.18999999994</v>
      </c>
      <c r="Q13" s="190">
        <v>1050504.72</v>
      </c>
      <c r="R13" s="190">
        <v>343246.87</v>
      </c>
      <c r="S13" s="190">
        <v>98590.63</v>
      </c>
      <c r="T13" s="190">
        <v>911049.45</v>
      </c>
      <c r="U13" s="190">
        <v>432952.09</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2058669604.6900001</v>
      </c>
      <c r="C17" s="33">
        <f t="shared" ref="C17:BN17" si="0">SUM(C4:C13)</f>
        <v>2303040016.52</v>
      </c>
      <c r="D17" s="33">
        <f t="shared" si="0"/>
        <v>3259012348.8100004</v>
      </c>
      <c r="E17" s="33">
        <f t="shared" si="0"/>
        <v>2943099285.9800005</v>
      </c>
      <c r="F17" s="33">
        <f t="shared" si="0"/>
        <v>1486843365.49</v>
      </c>
      <c r="G17" s="33">
        <f t="shared" si="0"/>
        <v>1697111072.54</v>
      </c>
      <c r="H17" s="33">
        <f t="shared" si="0"/>
        <v>1332722304.03</v>
      </c>
      <c r="I17" s="33">
        <f t="shared" si="0"/>
        <v>1340180690.2400002</v>
      </c>
      <c r="J17" s="33">
        <f t="shared" si="0"/>
        <v>1818600868.71</v>
      </c>
      <c r="K17" s="33">
        <f t="shared" si="0"/>
        <v>1647513041.4200001</v>
      </c>
      <c r="L17" s="33">
        <f t="shared" si="0"/>
        <v>1950363915.3699999</v>
      </c>
      <c r="M17" s="33">
        <f t="shared" si="0"/>
        <v>2176602709.8800001</v>
      </c>
      <c r="N17" s="33">
        <f t="shared" si="0"/>
        <v>1697736404.26</v>
      </c>
      <c r="O17" s="33">
        <f t="shared" si="0"/>
        <v>240919388.28999999</v>
      </c>
      <c r="P17" s="33">
        <f t="shared" si="0"/>
        <v>261414883.90000001</v>
      </c>
      <c r="Q17" s="33">
        <f t="shared" si="0"/>
        <v>356030353.00000006</v>
      </c>
      <c r="R17" s="33">
        <f t="shared" si="0"/>
        <v>348409772.12</v>
      </c>
      <c r="S17" s="33">
        <f t="shared" si="0"/>
        <v>299956852.39999998</v>
      </c>
      <c r="T17" s="33">
        <f t="shared" si="0"/>
        <v>421060595.31999999</v>
      </c>
      <c r="U17" s="33">
        <f t="shared" si="0"/>
        <v>435168969.68000001</v>
      </c>
      <c r="V17" s="33">
        <f t="shared" si="0"/>
        <v>193356230.24000001</v>
      </c>
      <c r="W17" s="33">
        <f t="shared" si="0"/>
        <v>167504627.19</v>
      </c>
      <c r="X17" s="33">
        <f t="shared" si="0"/>
        <v>264834236.38999999</v>
      </c>
      <c r="Y17" s="33">
        <f t="shared" si="0"/>
        <v>279165938.43000001</v>
      </c>
      <c r="Z17" s="33">
        <f t="shared" si="0"/>
        <v>225751809.45999998</v>
      </c>
      <c r="AA17" s="33">
        <f t="shared" si="0"/>
        <v>150374092.89000002</v>
      </c>
      <c r="AB17" s="33">
        <f t="shared" si="0"/>
        <v>204775222.93000001</v>
      </c>
      <c r="AC17" s="33">
        <f t="shared" si="0"/>
        <v>196521614.52000001</v>
      </c>
      <c r="AD17" s="33">
        <f t="shared" si="0"/>
        <v>182339924.76000002</v>
      </c>
      <c r="AE17" s="33">
        <f t="shared" si="0"/>
        <v>138344803.64000002</v>
      </c>
      <c r="AF17" s="33">
        <f t="shared" si="0"/>
        <v>167287829.82000002</v>
      </c>
      <c r="AG17" s="33">
        <f t="shared" si="0"/>
        <v>197141114.66</v>
      </c>
      <c r="AH17" s="33">
        <f t="shared" si="0"/>
        <v>210666714.99000001</v>
      </c>
      <c r="AI17" s="33">
        <f t="shared" si="0"/>
        <v>233979628.69999999</v>
      </c>
      <c r="AJ17" s="33">
        <f t="shared" si="0"/>
        <v>279400520.47999996</v>
      </c>
      <c r="AK17" s="33">
        <f t="shared" si="0"/>
        <v>263581908.06</v>
      </c>
      <c r="AL17" s="33">
        <f t="shared" si="0"/>
        <v>246088409.93000001</v>
      </c>
      <c r="AM17" s="33">
        <f t="shared" si="0"/>
        <v>239803928.44</v>
      </c>
      <c r="AN17" s="33">
        <f t="shared" si="0"/>
        <v>233117678.14000002</v>
      </c>
      <c r="AO17" s="33">
        <f t="shared" si="0"/>
        <v>220872924.22</v>
      </c>
      <c r="AP17" s="33">
        <f t="shared" si="0"/>
        <v>199696425.72999999</v>
      </c>
      <c r="AQ17" s="33">
        <f t="shared" si="0"/>
        <v>197194136.16</v>
      </c>
      <c r="AR17" s="33">
        <f t="shared" si="0"/>
        <v>213530237.34</v>
      </c>
      <c r="AS17" s="33">
        <f t="shared" si="0"/>
        <v>193271908.84</v>
      </c>
      <c r="AT17" s="33">
        <f t="shared" si="0"/>
        <v>215218834.06999999</v>
      </c>
      <c r="AU17" s="33">
        <f t="shared" si="0"/>
        <v>207338394.83000001</v>
      </c>
      <c r="AV17" s="33">
        <f t="shared" si="0"/>
        <v>211450304.50999999</v>
      </c>
      <c r="AW17" s="33">
        <f t="shared" si="0"/>
        <v>191685368.28</v>
      </c>
      <c r="AX17" s="33">
        <f t="shared" si="0"/>
        <v>182578604.40000001</v>
      </c>
      <c r="AY17" s="33">
        <f t="shared" si="0"/>
        <v>193175878.59999999</v>
      </c>
      <c r="AZ17" s="33">
        <f t="shared" si="0"/>
        <v>192939801.01999998</v>
      </c>
      <c r="BA17" s="33">
        <f t="shared" si="0"/>
        <v>193568074.75999999</v>
      </c>
      <c r="BB17" s="33">
        <f t="shared" si="0"/>
        <v>208930897.93000001</v>
      </c>
      <c r="BC17" s="33">
        <f t="shared" si="0"/>
        <v>205913291.03999999</v>
      </c>
      <c r="BD17" s="33">
        <f t="shared" si="0"/>
        <v>58053432.25</v>
      </c>
      <c r="BE17" s="33">
        <f t="shared" si="0"/>
        <v>63735657.420000002</v>
      </c>
      <c r="BF17" s="33">
        <f t="shared" si="0"/>
        <v>50449967.939999998</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65772093.530000001</v>
      </c>
      <c r="C19" s="190">
        <v>39624314.729999997</v>
      </c>
      <c r="D19" s="190">
        <v>30750776.850000001</v>
      </c>
      <c r="E19" s="190">
        <v>31322043.289999999</v>
      </c>
      <c r="F19" s="190">
        <v>1068683008.58</v>
      </c>
      <c r="G19" s="190">
        <v>1050837392.97</v>
      </c>
      <c r="H19" s="190">
        <v>1044092745.36</v>
      </c>
      <c r="I19" s="190">
        <v>1061182445</v>
      </c>
      <c r="J19" s="190">
        <v>123759708.87</v>
      </c>
      <c r="K19" s="190">
        <v>28246919.280000001</v>
      </c>
      <c r="L19" s="190">
        <v>43253333.289999999</v>
      </c>
      <c r="M19" s="190">
        <v>39954303.869999997</v>
      </c>
      <c r="N19" s="190">
        <v>77905231.219999999</v>
      </c>
      <c r="O19" s="190">
        <v>2916125.61</v>
      </c>
      <c r="P19" s="190">
        <v>2785149</v>
      </c>
      <c r="Q19" s="190">
        <v>2761283.73</v>
      </c>
      <c r="R19" s="190">
        <v>2827707.96</v>
      </c>
      <c r="S19" s="190">
        <v>2805769.23</v>
      </c>
      <c r="T19" s="190">
        <v>2750616.9</v>
      </c>
      <c r="U19" s="190">
        <v>2725792.98</v>
      </c>
      <c r="V19" s="190">
        <v>2735605.26</v>
      </c>
      <c r="W19" s="190">
        <v>2733230.21</v>
      </c>
      <c r="X19" s="190">
        <v>2730474.45</v>
      </c>
      <c r="Y19" s="190">
        <v>2747206.44</v>
      </c>
      <c r="Z19" s="190">
        <v>2754439.95</v>
      </c>
      <c r="AA19" s="190">
        <v>2756731.44</v>
      </c>
      <c r="AB19" s="190">
        <v>2692966.02</v>
      </c>
      <c r="AC19" s="190">
        <v>2734631.71</v>
      </c>
      <c r="AD19" s="190">
        <v>2713514.46</v>
      </c>
      <c r="AE19" s="190">
        <v>2725867.85</v>
      </c>
      <c r="AF19" s="190">
        <v>2716832.36</v>
      </c>
      <c r="AG19" s="190">
        <v>2705794.89</v>
      </c>
      <c r="AH19" s="190">
        <v>2811608.99</v>
      </c>
      <c r="AI19" s="190">
        <v>2810299.45</v>
      </c>
      <c r="AJ19" s="190">
        <v>2279723.42</v>
      </c>
      <c r="AK19" s="190">
        <v>2729933.08</v>
      </c>
      <c r="AL19" s="190">
        <v>2799194.23</v>
      </c>
      <c r="AM19" s="190">
        <v>2773354.54</v>
      </c>
      <c r="AN19" s="190">
        <v>2791132.97</v>
      </c>
      <c r="AO19" s="190">
        <v>2796491.88</v>
      </c>
      <c r="AP19" s="190">
        <v>6837123.4500000002</v>
      </c>
      <c r="AQ19" s="190">
        <v>6915037.2999999998</v>
      </c>
      <c r="AR19" s="190">
        <v>3288006.45</v>
      </c>
      <c r="AS19" s="190">
        <v>3187552.81</v>
      </c>
      <c r="AT19" s="190">
        <v>3130487.03</v>
      </c>
      <c r="AU19" s="190">
        <v>3044051.32</v>
      </c>
      <c r="AV19" s="190">
        <v>3971947.84</v>
      </c>
      <c r="AW19" s="190">
        <v>4152812.54</v>
      </c>
      <c r="AX19" s="190">
        <v>3793242.87</v>
      </c>
      <c r="AY19" s="190">
        <v>4564992.99</v>
      </c>
      <c r="AZ19" s="190">
        <v>5104126.8600000003</v>
      </c>
      <c r="BA19" s="190">
        <v>5298474.76</v>
      </c>
      <c r="BB19" s="190">
        <v>3732981.37</v>
      </c>
      <c r="BC19" s="190">
        <v>3704850.2</v>
      </c>
      <c r="BD19" s="190">
        <v>215328.24</v>
      </c>
      <c r="BE19" s="190">
        <v>-118094.19</v>
      </c>
      <c r="BF19" s="190">
        <v>4294054.37</v>
      </c>
      <c r="BG19" s="190">
        <v>0</v>
      </c>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435636</v>
      </c>
      <c r="C22" s="190">
        <v>419136</v>
      </c>
      <c r="D22" s="190">
        <v>750572</v>
      </c>
      <c r="E22" s="190">
        <v>1161270</v>
      </c>
      <c r="F22" s="190">
        <v>30000</v>
      </c>
      <c r="G22" s="190">
        <v>260000</v>
      </c>
      <c r="H22" s="190">
        <v>110000</v>
      </c>
      <c r="I22" s="190">
        <v>185000</v>
      </c>
      <c r="J22" s="190">
        <v>100000</v>
      </c>
      <c r="K22" s="190">
        <v>120000</v>
      </c>
      <c r="L22" s="190">
        <v>1610486.95</v>
      </c>
      <c r="M22" s="190">
        <v>160000</v>
      </c>
      <c r="N22" s="190">
        <v>50000</v>
      </c>
      <c r="O22" s="190">
        <v>0</v>
      </c>
      <c r="P22" s="190">
        <v>0</v>
      </c>
      <c r="Q22" s="190">
        <v>400000</v>
      </c>
      <c r="R22" s="190">
        <v>553000</v>
      </c>
      <c r="S22" s="190">
        <v>1045000</v>
      </c>
      <c r="T22" s="190">
        <v>475000</v>
      </c>
      <c r="U22" s="190">
        <v>3395000</v>
      </c>
      <c r="V22" s="190">
        <v>784177.3</v>
      </c>
      <c r="W22" s="190">
        <v>300000</v>
      </c>
      <c r="X22" s="190">
        <v>300000</v>
      </c>
      <c r="Y22" s="190">
        <v>300000</v>
      </c>
      <c r="Z22" s="190">
        <v>170000</v>
      </c>
      <c r="AA22" s="190">
        <v>1000000</v>
      </c>
      <c r="AB22" s="190">
        <v>350000</v>
      </c>
      <c r="AC22" s="190">
        <v>800000</v>
      </c>
      <c r="AD22" s="190">
        <v>400000</v>
      </c>
      <c r="AE22" s="190">
        <v>0</v>
      </c>
      <c r="AF22" s="190">
        <v>0</v>
      </c>
      <c r="AG22" s="190">
        <v>0</v>
      </c>
      <c r="AH22" s="190">
        <v>0</v>
      </c>
      <c r="AI22" s="190">
        <v>0</v>
      </c>
      <c r="AJ22" s="190">
        <v>10000</v>
      </c>
      <c r="AK22" s="190">
        <v>0</v>
      </c>
      <c r="AL22" s="190">
        <v>0</v>
      </c>
      <c r="AM22" s="190">
        <v>0</v>
      </c>
      <c r="AN22" s="190">
        <v>0</v>
      </c>
      <c r="AO22" s="190">
        <v>0</v>
      </c>
      <c r="AP22" s="190">
        <v>0</v>
      </c>
      <c r="AQ22" s="190">
        <v>0</v>
      </c>
      <c r="AR22" s="190">
        <v>100000</v>
      </c>
      <c r="AS22" s="190">
        <v>0</v>
      </c>
      <c r="AT22" s="190">
        <v>0</v>
      </c>
      <c r="AU22" s="190">
        <v>0</v>
      </c>
      <c r="AV22" s="190">
        <v>0</v>
      </c>
      <c r="AW22" s="190">
        <v>0</v>
      </c>
      <c r="AX22" s="190">
        <v>0</v>
      </c>
      <c r="AY22" s="190">
        <v>0</v>
      </c>
      <c r="AZ22" s="190">
        <v>0</v>
      </c>
      <c r="BA22" s="190">
        <v>0</v>
      </c>
      <c r="BB22" s="190">
        <v>0</v>
      </c>
      <c r="BC22" s="190">
        <v>0</v>
      </c>
      <c r="BD22" s="190">
        <v>75115.929999999993</v>
      </c>
      <c r="BE22" s="190">
        <v>0</v>
      </c>
      <c r="BF22" s="190">
        <v>0</v>
      </c>
      <c r="BG22" s="190">
        <v>0</v>
      </c>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2452781796.79</v>
      </c>
      <c r="C23" s="190">
        <v>1998650718.96</v>
      </c>
      <c r="D23" s="190">
        <v>1238611108.0999999</v>
      </c>
      <c r="E23" s="190">
        <v>1406439385.79</v>
      </c>
      <c r="F23" s="190">
        <v>1382560703.76</v>
      </c>
      <c r="G23" s="190">
        <v>1091461123.6300001</v>
      </c>
      <c r="H23" s="190">
        <v>732981659.46000004</v>
      </c>
      <c r="I23" s="190">
        <v>866765725.25999999</v>
      </c>
      <c r="J23" s="190">
        <v>892112084.55999994</v>
      </c>
      <c r="K23" s="190">
        <v>733291575.13</v>
      </c>
      <c r="L23" s="190">
        <v>463132653.05000001</v>
      </c>
      <c r="M23" s="190">
        <v>537576765.78999996</v>
      </c>
      <c r="N23" s="190">
        <v>572491878.53999996</v>
      </c>
      <c r="O23" s="190">
        <v>77766402.230000004</v>
      </c>
      <c r="P23" s="190">
        <v>24986177.09</v>
      </c>
      <c r="Q23" s="190">
        <v>55991607.020000003</v>
      </c>
      <c r="R23" s="190">
        <v>103699950.59999999</v>
      </c>
      <c r="S23" s="190">
        <v>56030354.979999997</v>
      </c>
      <c r="T23" s="190">
        <v>27083271.309999999</v>
      </c>
      <c r="U23" s="190">
        <v>63551740.390000001</v>
      </c>
      <c r="V23" s="190">
        <v>70073099.400000006</v>
      </c>
      <c r="W23" s="190">
        <v>49518009.359999999</v>
      </c>
      <c r="X23" s="190">
        <v>62904796.369999997</v>
      </c>
      <c r="Y23" s="190">
        <v>91124816.849999994</v>
      </c>
      <c r="Z23" s="190">
        <v>70663625.920000002</v>
      </c>
      <c r="AA23" s="190">
        <v>81308313.819999993</v>
      </c>
      <c r="AB23" s="190">
        <v>68675601.519999996</v>
      </c>
      <c r="AC23" s="190">
        <v>72822885.599999994</v>
      </c>
      <c r="AD23" s="190">
        <v>92637389.120000005</v>
      </c>
      <c r="AE23" s="190">
        <v>77575964.700000003</v>
      </c>
      <c r="AF23" s="190">
        <v>38892517.630000003</v>
      </c>
      <c r="AG23" s="190">
        <v>23478158.84</v>
      </c>
      <c r="AH23" s="190">
        <v>49605822.189999998</v>
      </c>
      <c r="AI23" s="190">
        <v>34541188.020000003</v>
      </c>
      <c r="AJ23" s="190">
        <v>12443503.119999999</v>
      </c>
      <c r="AK23" s="190">
        <v>30874543.440000001</v>
      </c>
      <c r="AL23" s="190">
        <v>13796683.93</v>
      </c>
      <c r="AM23" s="190">
        <v>19761903.260000002</v>
      </c>
      <c r="AN23" s="190">
        <v>26849917.760000002</v>
      </c>
      <c r="AO23" s="190">
        <v>33668704.340000004</v>
      </c>
      <c r="AP23" s="190">
        <v>44720648.079999998</v>
      </c>
      <c r="AQ23" s="190">
        <v>29965607.030000001</v>
      </c>
      <c r="AR23" s="190">
        <v>25460336.43</v>
      </c>
      <c r="AS23" s="190">
        <v>46846699.950000003</v>
      </c>
      <c r="AT23" s="190">
        <v>31478740.129999999</v>
      </c>
      <c r="AU23" s="190">
        <v>26692156.530000001</v>
      </c>
      <c r="AV23" s="190">
        <v>40603230.25</v>
      </c>
      <c r="AW23" s="190">
        <v>25808404.370000001</v>
      </c>
      <c r="AX23" s="190">
        <v>42492325.399999999</v>
      </c>
      <c r="AY23" s="190">
        <v>37862551.159999996</v>
      </c>
      <c r="AZ23" s="190">
        <v>36063716.170000002</v>
      </c>
      <c r="BA23" s="190">
        <v>14825433.17</v>
      </c>
      <c r="BB23" s="190">
        <v>46427850.770000003</v>
      </c>
      <c r="BC23" s="190">
        <v>22673672.18</v>
      </c>
      <c r="BD23" s="190">
        <v>48590263.229999997</v>
      </c>
      <c r="BE23" s="190">
        <v>27189833.82</v>
      </c>
      <c r="BF23" s="190">
        <v>27302377.09</v>
      </c>
      <c r="BG23" s="190">
        <v>0</v>
      </c>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205655247.97999999</v>
      </c>
      <c r="C24" s="190">
        <v>187484056.63999999</v>
      </c>
      <c r="D24" s="190">
        <v>115941458.8</v>
      </c>
      <c r="E24" s="190">
        <v>117838408.17</v>
      </c>
      <c r="F24" s="190">
        <v>78094173.340000004</v>
      </c>
      <c r="G24" s="190">
        <v>120195775.48999999</v>
      </c>
      <c r="H24" s="190">
        <v>54354945.850000001</v>
      </c>
      <c r="I24" s="190">
        <v>70362498.569999993</v>
      </c>
      <c r="J24" s="190">
        <v>94380336.340000004</v>
      </c>
      <c r="K24" s="190">
        <v>96105228.230000004</v>
      </c>
      <c r="L24" s="190">
        <v>115737628.06999999</v>
      </c>
      <c r="M24" s="190">
        <v>75279601.239999995</v>
      </c>
      <c r="N24" s="190">
        <v>69298225.420000002</v>
      </c>
      <c r="O24" s="190">
        <v>32181895.16</v>
      </c>
      <c r="P24" s="190">
        <v>30579448.030000001</v>
      </c>
      <c r="Q24" s="190">
        <v>5385868.1299999999</v>
      </c>
      <c r="R24" s="190">
        <v>10694065.5</v>
      </c>
      <c r="S24" s="190">
        <v>25283051</v>
      </c>
      <c r="T24" s="190">
        <v>27427923.969999999</v>
      </c>
      <c r="U24" s="190">
        <v>14533902.949999999</v>
      </c>
      <c r="V24" s="190">
        <v>4958586.1100000003</v>
      </c>
      <c r="W24" s="190">
        <v>15986296.76</v>
      </c>
      <c r="X24" s="190">
        <v>18765011.489999998</v>
      </c>
      <c r="Y24" s="190">
        <v>10442351.4</v>
      </c>
      <c r="Z24" s="190">
        <v>14779805.960000001</v>
      </c>
      <c r="AA24" s="190">
        <v>15845440.619999999</v>
      </c>
      <c r="AB24" s="190">
        <v>18436070.670000002</v>
      </c>
      <c r="AC24" s="190">
        <v>12031640.27</v>
      </c>
      <c r="AD24" s="190">
        <v>50521600.829999998</v>
      </c>
      <c r="AE24" s="190">
        <v>31744337.25</v>
      </c>
      <c r="AF24" s="190">
        <v>11313147</v>
      </c>
      <c r="AG24" s="190">
        <v>30534767.600000001</v>
      </c>
      <c r="AH24" s="190">
        <v>7272820.2400000002</v>
      </c>
      <c r="AI24" s="190">
        <v>5223446.6500000004</v>
      </c>
      <c r="AJ24" s="190">
        <v>20296283.77</v>
      </c>
      <c r="AK24" s="190">
        <v>6193033.1799999997</v>
      </c>
      <c r="AL24" s="190">
        <v>32523561.539999999</v>
      </c>
      <c r="AM24" s="190">
        <v>13349773.77</v>
      </c>
      <c r="AN24" s="190">
        <v>10947807.02</v>
      </c>
      <c r="AO24" s="190">
        <v>11829216.119999999</v>
      </c>
      <c r="AP24" s="190">
        <v>12025790.84</v>
      </c>
      <c r="AQ24" s="190">
        <v>12452544.220000001</v>
      </c>
      <c r="AR24" s="190">
        <v>4860058.7</v>
      </c>
      <c r="AS24" s="190">
        <v>4011937.46</v>
      </c>
      <c r="AT24" s="190">
        <v>3668720.08</v>
      </c>
      <c r="AU24" s="190">
        <v>3111615.51</v>
      </c>
      <c r="AV24" s="190">
        <v>1915814.12</v>
      </c>
      <c r="AW24" s="190">
        <v>1380900.74</v>
      </c>
      <c r="AX24" s="190">
        <v>2537195.88</v>
      </c>
      <c r="AY24" s="190">
        <v>3708518.52</v>
      </c>
      <c r="AZ24" s="190">
        <v>3667686.22</v>
      </c>
      <c r="BA24" s="190">
        <v>4300562.71</v>
      </c>
      <c r="BB24" s="190">
        <v>9147183.1999999993</v>
      </c>
      <c r="BC24" s="190">
        <v>10781506.140000001</v>
      </c>
      <c r="BD24" s="190">
        <v>9556187.5700000003</v>
      </c>
      <c r="BE24" s="190">
        <v>2453244.7799999998</v>
      </c>
      <c r="BF24" s="190">
        <v>9718293.4800000004</v>
      </c>
      <c r="BG24" s="190">
        <v>0</v>
      </c>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380547166.99000001</v>
      </c>
      <c r="C25" s="190">
        <v>298699417.5</v>
      </c>
      <c r="D25" s="190">
        <v>286841177.01999998</v>
      </c>
      <c r="E25" s="190">
        <v>268717228.06999999</v>
      </c>
      <c r="F25" s="190">
        <v>282132483.94999999</v>
      </c>
      <c r="G25" s="190">
        <v>239892019.43000001</v>
      </c>
      <c r="H25" s="190">
        <v>280040506.20999998</v>
      </c>
      <c r="I25" s="190">
        <v>158413442.18000001</v>
      </c>
      <c r="J25" s="190">
        <v>278188701.02999997</v>
      </c>
      <c r="K25" s="190">
        <v>264173861.44</v>
      </c>
      <c r="L25" s="190">
        <v>193514894.83000001</v>
      </c>
      <c r="M25" s="190">
        <v>154219296.59</v>
      </c>
      <c r="N25" s="190">
        <v>149193565.66</v>
      </c>
      <c r="O25" s="190">
        <v>5550373.6600000001</v>
      </c>
      <c r="P25" s="190">
        <v>5610776.3700000001</v>
      </c>
      <c r="Q25" s="190">
        <v>2430717.69</v>
      </c>
      <c r="R25" s="190">
        <v>1899033.92</v>
      </c>
      <c r="S25" s="190">
        <v>640488.49</v>
      </c>
      <c r="T25" s="190">
        <v>5252874.5599999996</v>
      </c>
      <c r="U25" s="190">
        <v>4260132.79</v>
      </c>
      <c r="V25" s="190">
        <v>909956.3</v>
      </c>
      <c r="W25" s="190">
        <v>994844.27</v>
      </c>
      <c r="X25" s="190">
        <v>1010305.23</v>
      </c>
      <c r="Y25" s="190">
        <v>808551.71</v>
      </c>
      <c r="Z25" s="190">
        <v>859468.13</v>
      </c>
      <c r="AA25" s="190">
        <v>2899553.25</v>
      </c>
      <c r="AB25" s="190">
        <v>941897.47</v>
      </c>
      <c r="AC25" s="190">
        <v>5472751.8499999996</v>
      </c>
      <c r="AD25" s="190">
        <v>476459.85</v>
      </c>
      <c r="AE25" s="190">
        <v>5698168.2699999996</v>
      </c>
      <c r="AF25" s="190">
        <v>2789855.98</v>
      </c>
      <c r="AG25" s="190">
        <v>2466009.8199999998</v>
      </c>
      <c r="AH25" s="190">
        <v>1088833.78</v>
      </c>
      <c r="AI25" s="190">
        <v>2073043.38</v>
      </c>
      <c r="AJ25" s="190">
        <v>2255933.7200000002</v>
      </c>
      <c r="AK25" s="190">
        <v>972513.44</v>
      </c>
      <c r="AL25" s="190">
        <v>5409097.2699999996</v>
      </c>
      <c r="AM25" s="190">
        <v>3875047.42</v>
      </c>
      <c r="AN25" s="190">
        <v>1285804.93</v>
      </c>
      <c r="AO25" s="190">
        <v>442786.93</v>
      </c>
      <c r="AP25" s="190">
        <v>1338209.3</v>
      </c>
      <c r="AQ25" s="190">
        <v>1737839.2</v>
      </c>
      <c r="AR25" s="190">
        <v>4543279.79</v>
      </c>
      <c r="AS25" s="190">
        <v>2690717.88</v>
      </c>
      <c r="AT25" s="190">
        <v>178870.85</v>
      </c>
      <c r="AU25" s="190">
        <v>2589542.2400000002</v>
      </c>
      <c r="AV25" s="190">
        <v>1569513.24</v>
      </c>
      <c r="AW25" s="190">
        <v>1165548.25</v>
      </c>
      <c r="AX25" s="190">
        <v>443943.82</v>
      </c>
      <c r="AY25" s="190">
        <v>412936.85</v>
      </c>
      <c r="AZ25" s="190">
        <v>825320.46</v>
      </c>
      <c r="BA25" s="190">
        <v>626381</v>
      </c>
      <c r="BB25" s="190">
        <v>1633748.72</v>
      </c>
      <c r="BC25" s="190">
        <v>1533208.71</v>
      </c>
      <c r="BD25" s="190">
        <v>2683270.0099999998</v>
      </c>
      <c r="BE25" s="190">
        <v>2559793.0299999998</v>
      </c>
      <c r="BF25" s="190">
        <v>1498218.93</v>
      </c>
      <c r="BG25" s="190">
        <v>0</v>
      </c>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116358485.63</v>
      </c>
      <c r="C26" s="190">
        <v>99433276.140000001</v>
      </c>
      <c r="D26" s="190">
        <v>79443853.439999998</v>
      </c>
      <c r="E26" s="190">
        <v>83122825.379999995</v>
      </c>
      <c r="F26" s="190">
        <v>57044480.520000003</v>
      </c>
      <c r="G26" s="190">
        <v>47677538.25</v>
      </c>
      <c r="H26" s="190">
        <v>42037934.75</v>
      </c>
      <c r="I26" s="190">
        <v>45176574.219999999</v>
      </c>
      <c r="J26" s="190">
        <v>35656710.659999996</v>
      </c>
      <c r="K26" s="190">
        <v>33530235.5</v>
      </c>
      <c r="L26" s="190">
        <v>27238144.920000002</v>
      </c>
      <c r="M26" s="190">
        <v>24659185.920000002</v>
      </c>
      <c r="N26" s="190">
        <v>22346972.960000001</v>
      </c>
      <c r="O26" s="190">
        <v>109159582.8</v>
      </c>
      <c r="P26" s="190">
        <v>61386202.329999998</v>
      </c>
      <c r="Q26" s="190">
        <v>63925647.109999999</v>
      </c>
      <c r="R26" s="190">
        <v>92353987.709999993</v>
      </c>
      <c r="S26" s="190">
        <v>133361516.81</v>
      </c>
      <c r="T26" s="190">
        <v>104384431.04000001</v>
      </c>
      <c r="U26" s="190">
        <v>62509537.659999996</v>
      </c>
      <c r="V26" s="190">
        <v>158966574.78</v>
      </c>
      <c r="W26" s="190">
        <v>167468495.16999999</v>
      </c>
      <c r="X26" s="190">
        <v>87593585.530000001</v>
      </c>
      <c r="Y26" s="190">
        <v>72802442.879999995</v>
      </c>
      <c r="Z26" s="190">
        <v>92138960</v>
      </c>
      <c r="AA26" s="190">
        <v>115508017.56999999</v>
      </c>
      <c r="AB26" s="190">
        <v>60115616.479999997</v>
      </c>
      <c r="AC26" s="190">
        <v>71546826.420000002</v>
      </c>
      <c r="AD26" s="190">
        <v>62131807.420000002</v>
      </c>
      <c r="AE26" s="190">
        <v>96753622.599999994</v>
      </c>
      <c r="AF26" s="190">
        <v>69318999.340000004</v>
      </c>
      <c r="AG26" s="190">
        <v>76456562.099999994</v>
      </c>
      <c r="AH26" s="190">
        <v>94632916.969999999</v>
      </c>
      <c r="AI26" s="190">
        <v>72866244.739999995</v>
      </c>
      <c r="AJ26" s="190">
        <v>27259415.440000001</v>
      </c>
      <c r="AK26" s="190">
        <v>47683647.850000001</v>
      </c>
      <c r="AL26" s="190">
        <v>52860796.130000003</v>
      </c>
      <c r="AM26" s="190">
        <v>61402419.630000003</v>
      </c>
      <c r="AN26" s="190">
        <v>30557835.559999999</v>
      </c>
      <c r="AO26" s="190">
        <v>30776280.800000001</v>
      </c>
      <c r="AP26" s="190">
        <v>28090756.77</v>
      </c>
      <c r="AQ26" s="190">
        <v>34583447.020000003</v>
      </c>
      <c r="AR26" s="190">
        <v>17230602.039999999</v>
      </c>
      <c r="AS26" s="190">
        <v>28740382.899999999</v>
      </c>
      <c r="AT26" s="190">
        <v>33475989.190000001</v>
      </c>
      <c r="AU26" s="190">
        <v>30898126.359999999</v>
      </c>
      <c r="AV26" s="190">
        <v>21656172.489999998</v>
      </c>
      <c r="AW26" s="190">
        <v>33090922.789999999</v>
      </c>
      <c r="AX26" s="190">
        <v>30714967.23</v>
      </c>
      <c r="AY26" s="190">
        <v>18836904.050000001</v>
      </c>
      <c r="AZ26" s="190">
        <v>35092418.810000002</v>
      </c>
      <c r="BA26" s="190">
        <v>30391921.16</v>
      </c>
      <c r="BB26" s="190">
        <v>28510636.18</v>
      </c>
      <c r="BC26" s="190">
        <v>47757007.450000003</v>
      </c>
      <c r="BD26" s="190">
        <v>33694407.719999999</v>
      </c>
      <c r="BE26" s="190">
        <v>35593268.740000002</v>
      </c>
      <c r="BF26" s="190">
        <v>7556921.7800000003</v>
      </c>
      <c r="BG26" s="190">
        <v>0</v>
      </c>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632025445.87</v>
      </c>
      <c r="C27" s="190">
        <v>588533729.27999997</v>
      </c>
      <c r="D27" s="190">
        <v>164370731.55000001</v>
      </c>
      <c r="E27" s="190">
        <v>172134942.22</v>
      </c>
      <c r="F27" s="190">
        <v>134430714.78</v>
      </c>
      <c r="G27" s="190">
        <v>95984539.25</v>
      </c>
      <c r="H27" s="190">
        <v>70321616.799999997</v>
      </c>
      <c r="I27" s="190">
        <v>61606309.829999998</v>
      </c>
      <c r="J27" s="190">
        <v>45548751.369999997</v>
      </c>
      <c r="K27" s="190">
        <v>25133826.18</v>
      </c>
      <c r="L27" s="190">
        <v>6732397.1100000003</v>
      </c>
      <c r="M27" s="190">
        <v>2016495.85</v>
      </c>
      <c r="N27" s="190">
        <v>0</v>
      </c>
      <c r="O27" s="190">
        <v>44187697.100000001</v>
      </c>
      <c r="P27" s="190">
        <v>47510633.359999999</v>
      </c>
      <c r="Q27" s="190">
        <v>43976741.700000003</v>
      </c>
      <c r="R27" s="190">
        <v>50000000</v>
      </c>
      <c r="S27" s="190">
        <v>50000000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548955185.17999995</v>
      </c>
      <c r="C28" s="190">
        <v>402084073.25</v>
      </c>
      <c r="D28" s="190">
        <v>347796663.51999998</v>
      </c>
      <c r="E28" s="190">
        <v>336998843.51999998</v>
      </c>
      <c r="F28" s="190">
        <v>327011727.57999998</v>
      </c>
      <c r="G28" s="190">
        <v>236583543.13999999</v>
      </c>
      <c r="H28" s="190">
        <v>253095551.25</v>
      </c>
      <c r="I28" s="190">
        <v>156196848.97</v>
      </c>
      <c r="J28" s="190">
        <v>145432950.69</v>
      </c>
      <c r="K28" s="190">
        <v>106851481.65000001</v>
      </c>
      <c r="L28" s="190">
        <v>56295049.780000001</v>
      </c>
      <c r="M28" s="190">
        <v>2750288.89</v>
      </c>
      <c r="N28" s="190">
        <v>115000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260331956.47</v>
      </c>
      <c r="C29" s="190">
        <v>205997970.28</v>
      </c>
      <c r="D29" s="190">
        <v>177373542.25999999</v>
      </c>
      <c r="E29" s="190">
        <v>173774268.93000001</v>
      </c>
      <c r="F29" s="190">
        <v>157325070.16999999</v>
      </c>
      <c r="G29" s="190">
        <v>103466956.17</v>
      </c>
      <c r="H29" s="190">
        <v>103146956.17</v>
      </c>
      <c r="I29" s="190">
        <v>66653965.689999998</v>
      </c>
      <c r="J29" s="190">
        <v>60099427.630000003</v>
      </c>
      <c r="K29" s="190">
        <v>20796472.699999999</v>
      </c>
      <c r="L29" s="190">
        <v>2555443.58</v>
      </c>
      <c r="M29" s="190">
        <v>1463066.67</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4597090920.9100008</v>
      </c>
      <c r="C33" s="35">
        <f t="shared" ref="C33:BN33" si="2">SUM(C22:C29)</f>
        <v>3781302378.0499997</v>
      </c>
      <c r="D33" s="35">
        <f t="shared" si="2"/>
        <v>2411129106.6899996</v>
      </c>
      <c r="E33" s="35">
        <f t="shared" si="2"/>
        <v>2560187172.0799994</v>
      </c>
      <c r="F33" s="35">
        <f t="shared" si="2"/>
        <v>2418629354.0999999</v>
      </c>
      <c r="G33" s="35">
        <f t="shared" si="2"/>
        <v>1935521495.3600001</v>
      </c>
      <c r="H33" s="35">
        <f t="shared" si="2"/>
        <v>1536089170.49</v>
      </c>
      <c r="I33" s="35">
        <f t="shared" si="2"/>
        <v>1425360364.72</v>
      </c>
      <c r="J33" s="35">
        <f t="shared" si="2"/>
        <v>1551518962.28</v>
      </c>
      <c r="K33" s="35">
        <f t="shared" si="2"/>
        <v>1280002680.8300002</v>
      </c>
      <c r="L33" s="35">
        <f t="shared" si="2"/>
        <v>866816698.28999996</v>
      </c>
      <c r="M33" s="35">
        <f t="shared" si="2"/>
        <v>798124700.94999993</v>
      </c>
      <c r="N33" s="35">
        <f t="shared" si="2"/>
        <v>813495642.57999992</v>
      </c>
      <c r="O33" s="35">
        <f t="shared" si="2"/>
        <v>268845950.94999999</v>
      </c>
      <c r="P33" s="35">
        <f t="shared" si="2"/>
        <v>170073237.18000001</v>
      </c>
      <c r="Q33" s="35">
        <f t="shared" si="2"/>
        <v>172110581.65000001</v>
      </c>
      <c r="R33" s="35">
        <f t="shared" si="2"/>
        <v>259200037.72999999</v>
      </c>
      <c r="S33" s="35">
        <f t="shared" si="2"/>
        <v>266360411.27999997</v>
      </c>
      <c r="T33" s="35">
        <f t="shared" si="2"/>
        <v>164623500.88</v>
      </c>
      <c r="U33" s="35">
        <f t="shared" si="2"/>
        <v>148250313.79000002</v>
      </c>
      <c r="V33" s="35">
        <f t="shared" si="2"/>
        <v>235692393.88999999</v>
      </c>
      <c r="W33" s="35">
        <f t="shared" si="2"/>
        <v>234267645.56</v>
      </c>
      <c r="X33" s="35">
        <f t="shared" si="2"/>
        <v>170573698.62</v>
      </c>
      <c r="Y33" s="35">
        <f t="shared" si="2"/>
        <v>175478162.83999997</v>
      </c>
      <c r="Z33" s="35">
        <f t="shared" si="2"/>
        <v>178611860.00999999</v>
      </c>
      <c r="AA33" s="35">
        <f t="shared" si="2"/>
        <v>216561325.25999999</v>
      </c>
      <c r="AB33" s="35">
        <f t="shared" si="2"/>
        <v>148519186.13999999</v>
      </c>
      <c r="AC33" s="35">
        <f t="shared" si="2"/>
        <v>162674104.13999999</v>
      </c>
      <c r="AD33" s="35">
        <f t="shared" si="2"/>
        <v>206167257.21999997</v>
      </c>
      <c r="AE33" s="35">
        <f t="shared" si="2"/>
        <v>211772092.81999999</v>
      </c>
      <c r="AF33" s="35">
        <f t="shared" si="2"/>
        <v>122314519.95</v>
      </c>
      <c r="AG33" s="35">
        <f t="shared" si="2"/>
        <v>132935498.35999998</v>
      </c>
      <c r="AH33" s="35">
        <f t="shared" si="2"/>
        <v>152600393.18000001</v>
      </c>
      <c r="AI33" s="35">
        <f t="shared" si="2"/>
        <v>114703922.78999999</v>
      </c>
      <c r="AJ33" s="35">
        <f t="shared" si="2"/>
        <v>62265136.049999997</v>
      </c>
      <c r="AK33" s="35">
        <f t="shared" si="2"/>
        <v>85723737.909999996</v>
      </c>
      <c r="AL33" s="35">
        <f t="shared" si="2"/>
        <v>104590138.87</v>
      </c>
      <c r="AM33" s="35">
        <f t="shared" si="2"/>
        <v>98389144.080000013</v>
      </c>
      <c r="AN33" s="35">
        <f t="shared" si="2"/>
        <v>69641365.269999996</v>
      </c>
      <c r="AO33" s="35">
        <f t="shared" si="2"/>
        <v>76716988.189999998</v>
      </c>
      <c r="AP33" s="35">
        <f t="shared" si="2"/>
        <v>86175404.989999995</v>
      </c>
      <c r="AQ33" s="35">
        <f t="shared" si="2"/>
        <v>78739437.469999999</v>
      </c>
      <c r="AR33" s="35">
        <f t="shared" si="2"/>
        <v>52194276.960000001</v>
      </c>
      <c r="AS33" s="35">
        <f t="shared" si="2"/>
        <v>82289738.189999998</v>
      </c>
      <c r="AT33" s="35">
        <f t="shared" si="2"/>
        <v>68802320.25</v>
      </c>
      <c r="AU33" s="35">
        <f t="shared" si="2"/>
        <v>63291440.640000001</v>
      </c>
      <c r="AV33" s="35">
        <f t="shared" si="2"/>
        <v>65744730.099999994</v>
      </c>
      <c r="AW33" s="35">
        <f t="shared" si="2"/>
        <v>61445776.149999999</v>
      </c>
      <c r="AX33" s="35">
        <f t="shared" si="2"/>
        <v>76188432.329999998</v>
      </c>
      <c r="AY33" s="35">
        <f t="shared" si="2"/>
        <v>60820910.579999998</v>
      </c>
      <c r="AZ33" s="35">
        <f t="shared" si="2"/>
        <v>75649141.659999996</v>
      </c>
      <c r="BA33" s="35">
        <f t="shared" si="2"/>
        <v>50144298.039999999</v>
      </c>
      <c r="BB33" s="35">
        <f t="shared" si="2"/>
        <v>85719418.870000005</v>
      </c>
      <c r="BC33" s="35">
        <f t="shared" si="2"/>
        <v>82745394.480000004</v>
      </c>
      <c r="BD33" s="35">
        <f t="shared" si="2"/>
        <v>94599244.459999993</v>
      </c>
      <c r="BE33" s="35">
        <f t="shared" si="2"/>
        <v>67796140.370000005</v>
      </c>
      <c r="BF33" s="35">
        <f t="shared" si="2"/>
        <v>46075811.280000001</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0</v>
      </c>
      <c r="D35" s="190">
        <v>0</v>
      </c>
      <c r="E35" s="190">
        <v>0</v>
      </c>
      <c r="F35" s="190">
        <v>0</v>
      </c>
      <c r="G35" s="190">
        <v>0</v>
      </c>
      <c r="H35" s="190">
        <v>0</v>
      </c>
      <c r="I35" s="190">
        <v>0</v>
      </c>
      <c r="J35" s="190">
        <v>0</v>
      </c>
      <c r="K35" s="190">
        <v>0</v>
      </c>
      <c r="L35" s="190">
        <v>0</v>
      </c>
      <c r="M35" s="190">
        <v>1662750</v>
      </c>
      <c r="N35" s="190">
        <v>7246750</v>
      </c>
      <c r="O35" s="190">
        <v>6490000</v>
      </c>
      <c r="P35" s="190">
        <v>9068000</v>
      </c>
      <c r="Q35" s="190">
        <v>6500000</v>
      </c>
      <c r="R35" s="190">
        <v>17616000</v>
      </c>
      <c r="S35" s="190">
        <v>22079888</v>
      </c>
      <c r="T35" s="190">
        <v>24390000</v>
      </c>
      <c r="U35" s="190">
        <v>28000000</v>
      </c>
      <c r="V35" s="190">
        <v>29725000</v>
      </c>
      <c r="W35" s="190">
        <v>19122971.850000001</v>
      </c>
      <c r="X35" s="190">
        <v>14566798.33</v>
      </c>
      <c r="Y35" s="190">
        <v>21593826.48</v>
      </c>
      <c r="Z35" s="190">
        <v>17350000</v>
      </c>
      <c r="AA35" s="190">
        <v>7000000</v>
      </c>
      <c r="AB35" s="190">
        <v>7740000</v>
      </c>
      <c r="AC35" s="190">
        <v>11500000</v>
      </c>
      <c r="AD35" s="190">
        <v>7500000</v>
      </c>
      <c r="AE35" s="190">
        <v>8500000</v>
      </c>
      <c r="AF35" s="190">
        <v>11700000</v>
      </c>
      <c r="AG35" s="190">
        <v>20500000</v>
      </c>
      <c r="AH35" s="190">
        <v>11900000</v>
      </c>
      <c r="AI35" s="190">
        <v>9250000</v>
      </c>
      <c r="AJ35" s="190">
        <v>9150000</v>
      </c>
      <c r="AK35" s="190">
        <v>16968500</v>
      </c>
      <c r="AL35" s="190">
        <v>25698500</v>
      </c>
      <c r="AM35" s="190">
        <v>14730000</v>
      </c>
      <c r="AN35" s="190">
        <v>9600000</v>
      </c>
      <c r="AO35" s="190">
        <v>14450000</v>
      </c>
      <c r="AP35" s="190">
        <v>11750000</v>
      </c>
      <c r="AQ35" s="190">
        <v>9850000</v>
      </c>
      <c r="AR35" s="190">
        <v>8050000</v>
      </c>
      <c r="AS35" s="190">
        <v>9950000</v>
      </c>
      <c r="AT35" s="190">
        <v>5750000</v>
      </c>
      <c r="AU35" s="190">
        <v>5450000</v>
      </c>
      <c r="AV35" s="190">
        <v>3000000</v>
      </c>
      <c r="AW35" s="190">
        <v>614000</v>
      </c>
      <c r="AX35" s="190">
        <v>4164000</v>
      </c>
      <c r="AY35" s="190">
        <v>790000</v>
      </c>
      <c r="AZ35" s="190">
        <v>2555757.15</v>
      </c>
      <c r="BA35" s="190">
        <v>0</v>
      </c>
      <c r="BB35" s="190">
        <v>523748.57</v>
      </c>
      <c r="BC35" s="190">
        <v>0</v>
      </c>
      <c r="BD35" s="190">
        <v>0</v>
      </c>
      <c r="BE35" s="190">
        <v>0</v>
      </c>
      <c r="BF35" s="190">
        <v>0</v>
      </c>
      <c r="BG35" s="190">
        <v>0</v>
      </c>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719144772.33000004</v>
      </c>
      <c r="D36" s="190">
        <v>438021740.69999999</v>
      </c>
      <c r="E36" s="190">
        <v>590952409.02999997</v>
      </c>
      <c r="F36" s="190">
        <v>420717212.63999999</v>
      </c>
      <c r="G36" s="190">
        <v>355045260.31999999</v>
      </c>
      <c r="H36" s="190">
        <v>276725425.16000003</v>
      </c>
      <c r="I36" s="190">
        <v>274661108.88999999</v>
      </c>
      <c r="J36" s="190">
        <v>264969059.75999999</v>
      </c>
      <c r="K36" s="190">
        <v>219164534.77000001</v>
      </c>
      <c r="L36" s="190">
        <v>174873470.75999999</v>
      </c>
      <c r="M36" s="190">
        <v>153152617.44999999</v>
      </c>
      <c r="N36" s="190">
        <v>170294197.38</v>
      </c>
      <c r="O36" s="190">
        <v>61464803.390000001</v>
      </c>
      <c r="P36" s="190">
        <v>44382981.07</v>
      </c>
      <c r="Q36" s="190">
        <v>57311665.329999998</v>
      </c>
      <c r="R36" s="190">
        <v>58860470.009999998</v>
      </c>
      <c r="S36" s="190">
        <v>57498301.210000001</v>
      </c>
      <c r="T36" s="190">
        <v>64275715.899999999</v>
      </c>
      <c r="U36" s="190">
        <v>52021605.149999999</v>
      </c>
      <c r="V36" s="190">
        <v>89998605.120000005</v>
      </c>
      <c r="W36" s="190">
        <v>93996600.700000003</v>
      </c>
      <c r="X36" s="190">
        <v>80805845</v>
      </c>
      <c r="Y36" s="190">
        <v>73738737.129999995</v>
      </c>
      <c r="Z36" s="190">
        <v>75813599.909999996</v>
      </c>
      <c r="AA36" s="190">
        <v>86969620.799999997</v>
      </c>
      <c r="AB36" s="190">
        <v>78910856.409999996</v>
      </c>
      <c r="AC36" s="190">
        <v>64267706.060000002</v>
      </c>
      <c r="AD36" s="190">
        <v>85206873.819999993</v>
      </c>
      <c r="AE36" s="190">
        <v>87770217.900000006</v>
      </c>
      <c r="AF36" s="190">
        <v>29280770.350000001</v>
      </c>
      <c r="AG36" s="190">
        <v>27965529.579999998</v>
      </c>
      <c r="AH36" s="190">
        <v>68104462.969999999</v>
      </c>
      <c r="AI36" s="190">
        <v>64667820.340000004</v>
      </c>
      <c r="AJ36" s="190">
        <v>26852770.699999999</v>
      </c>
      <c r="AK36" s="190">
        <v>37550009.729999997</v>
      </c>
      <c r="AL36" s="190">
        <v>44335996.710000001</v>
      </c>
      <c r="AM36" s="190">
        <v>48421784.130000003</v>
      </c>
      <c r="AN36" s="190">
        <v>25923930.079999998</v>
      </c>
      <c r="AO36" s="190">
        <v>24462653.670000002</v>
      </c>
      <c r="AP36" s="190">
        <v>28629297.07</v>
      </c>
      <c r="AQ36" s="190">
        <v>31389599.920000002</v>
      </c>
      <c r="AR36" s="190">
        <v>24450361.699999999</v>
      </c>
      <c r="AS36" s="190">
        <v>33294240.359999999</v>
      </c>
      <c r="AT36" s="190">
        <v>50773872.93</v>
      </c>
      <c r="AU36" s="190">
        <v>49723131.109999999</v>
      </c>
      <c r="AV36" s="190">
        <v>42807991.520000003</v>
      </c>
      <c r="AW36" s="190">
        <v>36082969.539999999</v>
      </c>
      <c r="AX36" s="190">
        <v>45254738.920000002</v>
      </c>
      <c r="AY36" s="190">
        <v>42095419.649999999</v>
      </c>
      <c r="AZ36" s="190">
        <v>41377772.939999998</v>
      </c>
      <c r="BA36" s="190">
        <v>33428238.359999999</v>
      </c>
      <c r="BB36" s="190">
        <v>46661527.619999997</v>
      </c>
      <c r="BC36" s="190">
        <v>53264412.649999999</v>
      </c>
      <c r="BD36" s="190">
        <v>53140287.170000002</v>
      </c>
      <c r="BE36" s="190">
        <v>53164373.960000001</v>
      </c>
      <c r="BF36" s="190">
        <v>19464598.530000001</v>
      </c>
      <c r="BG36" s="190">
        <v>0</v>
      </c>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1154504537.29</v>
      </c>
      <c r="C37" s="190">
        <v>1086243801.24</v>
      </c>
      <c r="D37" s="190">
        <v>821283179.55999994</v>
      </c>
      <c r="E37" s="190">
        <v>1092924806.8099999</v>
      </c>
      <c r="F37" s="190">
        <v>646724335.00999999</v>
      </c>
      <c r="G37" s="190">
        <v>526685016.52999997</v>
      </c>
      <c r="H37" s="190">
        <v>436276020.44</v>
      </c>
      <c r="I37" s="190">
        <v>455584584.02999997</v>
      </c>
      <c r="J37" s="190">
        <v>233697811.90000001</v>
      </c>
      <c r="K37" s="190">
        <v>172507753.86000001</v>
      </c>
      <c r="L37" s="190">
        <v>180636548.66999999</v>
      </c>
      <c r="M37" s="190">
        <v>204488955.44999999</v>
      </c>
      <c r="N37" s="190">
        <v>116879820.31</v>
      </c>
      <c r="O37" s="190">
        <v>4129043.04</v>
      </c>
      <c r="P37" s="190">
        <v>1009635.72</v>
      </c>
      <c r="Q37" s="190">
        <v>3157904.64</v>
      </c>
      <c r="R37" s="190">
        <v>4869967.3600000003</v>
      </c>
      <c r="S37" s="190">
        <v>3083451.45</v>
      </c>
      <c r="T37" s="190">
        <v>4671916.6500000004</v>
      </c>
      <c r="U37" s="190">
        <v>6232978.25</v>
      </c>
      <c r="V37" s="190">
        <v>5307445.41</v>
      </c>
      <c r="W37" s="190">
        <v>8399799.8399999999</v>
      </c>
      <c r="X37" s="190">
        <v>5587700.6799999997</v>
      </c>
      <c r="Y37" s="190">
        <v>4422084.1399999997</v>
      </c>
      <c r="Z37" s="190">
        <v>4721693.3899999997</v>
      </c>
      <c r="AA37" s="190">
        <v>4052188.92</v>
      </c>
      <c r="AB37" s="190">
        <v>2713380.5</v>
      </c>
      <c r="AC37" s="190">
        <v>3396939.31</v>
      </c>
      <c r="AD37" s="190">
        <v>2438403.02</v>
      </c>
      <c r="AE37" s="190">
        <v>1590964.9</v>
      </c>
      <c r="AF37" s="190">
        <v>4969009</v>
      </c>
      <c r="AG37" s="190">
        <v>7954076.6200000001</v>
      </c>
      <c r="AH37" s="190">
        <v>9141994.5399999991</v>
      </c>
      <c r="AI37" s="190">
        <v>4458600.9000000004</v>
      </c>
      <c r="AJ37" s="190">
        <v>6748124.4699999997</v>
      </c>
      <c r="AK37" s="190">
        <v>6874042.7699999996</v>
      </c>
      <c r="AL37" s="190">
        <v>2041353.6</v>
      </c>
      <c r="AM37" s="190">
        <v>1457271.85</v>
      </c>
      <c r="AN37" s="190">
        <v>1478295.53</v>
      </c>
      <c r="AO37" s="190">
        <v>2293476.7000000002</v>
      </c>
      <c r="AP37" s="190">
        <v>5101477.03</v>
      </c>
      <c r="AQ37" s="190">
        <v>2627288.7799999998</v>
      </c>
      <c r="AR37" s="190">
        <v>3648460.77</v>
      </c>
      <c r="AS37" s="190">
        <v>3289433.04</v>
      </c>
      <c r="AT37" s="190">
        <v>2310019.92</v>
      </c>
      <c r="AU37" s="190">
        <v>1648896.34</v>
      </c>
      <c r="AV37" s="190">
        <v>2892265.89</v>
      </c>
      <c r="AW37" s="190">
        <v>1082386.71</v>
      </c>
      <c r="AX37" s="190">
        <v>3244149.8</v>
      </c>
      <c r="AY37" s="190">
        <v>4065927.43</v>
      </c>
      <c r="AZ37" s="190">
        <v>5200008.1399999997</v>
      </c>
      <c r="BA37" s="190">
        <v>3477374.52</v>
      </c>
      <c r="BB37" s="190">
        <v>9269252.0800000001</v>
      </c>
      <c r="BC37" s="190">
        <v>8261947.4800000004</v>
      </c>
      <c r="BD37" s="190">
        <v>11615365.77</v>
      </c>
      <c r="BE37" s="190">
        <v>1484019.31</v>
      </c>
      <c r="BF37" s="190">
        <v>4285776.2699999996</v>
      </c>
      <c r="BG37" s="190">
        <v>0</v>
      </c>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410343794.18000001</v>
      </c>
      <c r="C39" s="190">
        <v>392643356.31999999</v>
      </c>
      <c r="D39" s="190">
        <v>245877952.91999999</v>
      </c>
      <c r="E39" s="190">
        <v>414858780.87</v>
      </c>
      <c r="F39" s="190">
        <v>207199360.25999999</v>
      </c>
      <c r="G39" s="190">
        <v>164810778.56</v>
      </c>
      <c r="H39" s="190">
        <v>95997468.859999999</v>
      </c>
      <c r="I39" s="190">
        <v>156452196.28</v>
      </c>
      <c r="J39" s="190">
        <v>88746608.489999995</v>
      </c>
      <c r="K39" s="190">
        <v>68200589.25</v>
      </c>
      <c r="L39" s="190">
        <v>49593314.890000001</v>
      </c>
      <c r="M39" s="190">
        <v>64899428.399999999</v>
      </c>
      <c r="N39" s="190">
        <v>51490982.93</v>
      </c>
      <c r="O39" s="190">
        <v>12567227.84</v>
      </c>
      <c r="P39" s="190">
        <v>11783248.27</v>
      </c>
      <c r="Q39" s="190">
        <v>21546833.039999999</v>
      </c>
      <c r="R39" s="190">
        <v>14216784.83</v>
      </c>
      <c r="S39" s="190">
        <v>12802805.83</v>
      </c>
      <c r="T39" s="190">
        <v>12363693.689999999</v>
      </c>
      <c r="U39" s="190">
        <v>19210335.899999999</v>
      </c>
      <c r="V39" s="190">
        <v>15455895.029999999</v>
      </c>
      <c r="W39" s="190">
        <v>14789689.560000001</v>
      </c>
      <c r="X39" s="190">
        <v>14186620.560000001</v>
      </c>
      <c r="Y39" s="190">
        <v>19139061.66</v>
      </c>
      <c r="Z39" s="190">
        <v>16964271.57</v>
      </c>
      <c r="AA39" s="190">
        <v>17141161.460000001</v>
      </c>
      <c r="AB39" s="190">
        <v>15423406.98</v>
      </c>
      <c r="AC39" s="190">
        <v>20760704.449999999</v>
      </c>
      <c r="AD39" s="190">
        <v>17970149.300000001</v>
      </c>
      <c r="AE39" s="190">
        <v>17065543.18</v>
      </c>
      <c r="AF39" s="190">
        <v>16390298.58</v>
      </c>
      <c r="AG39" s="190">
        <v>18713089.510000002</v>
      </c>
      <c r="AH39" s="190">
        <v>18646176.469999999</v>
      </c>
      <c r="AI39" s="190">
        <v>18168702.129999999</v>
      </c>
      <c r="AJ39" s="190">
        <v>17354148.170000002</v>
      </c>
      <c r="AK39" s="190">
        <v>19063830.809999999</v>
      </c>
      <c r="AL39" s="190">
        <v>18790379.640000001</v>
      </c>
      <c r="AM39" s="190">
        <v>18320387.350000001</v>
      </c>
      <c r="AN39" s="190">
        <v>18252151.170000002</v>
      </c>
      <c r="AO39" s="190">
        <v>18976534.949999999</v>
      </c>
      <c r="AP39" s="190">
        <v>19246617.719999999</v>
      </c>
      <c r="AQ39" s="190">
        <v>18718395.219999999</v>
      </c>
      <c r="AR39" s="190">
        <v>22139924.800000001</v>
      </c>
      <c r="AS39" s="190">
        <v>24857051.010000002</v>
      </c>
      <c r="AT39" s="190">
        <v>19652319.93</v>
      </c>
      <c r="AU39" s="190">
        <v>24814476.309999999</v>
      </c>
      <c r="AV39" s="190">
        <v>22609396.149999999</v>
      </c>
      <c r="AW39" s="190">
        <v>29711522.370000001</v>
      </c>
      <c r="AX39" s="190">
        <v>18916399.899999999</v>
      </c>
      <c r="AY39" s="190">
        <v>19284438.010000002</v>
      </c>
      <c r="AZ39" s="190">
        <v>17794031.210000001</v>
      </c>
      <c r="BA39" s="190">
        <v>18243029.010000002</v>
      </c>
      <c r="BB39" s="190">
        <v>20320077.57</v>
      </c>
      <c r="BC39" s="190">
        <v>19728872.760000002</v>
      </c>
      <c r="BD39" s="190">
        <v>21957340.23</v>
      </c>
      <c r="BE39" s="190">
        <v>20883150.73</v>
      </c>
      <c r="BF39" s="190">
        <v>27951416.710000001</v>
      </c>
      <c r="BG39" s="190">
        <v>0</v>
      </c>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92382359.170000002</v>
      </c>
      <c r="C40" s="190">
        <v>84295835.079999998</v>
      </c>
      <c r="D40" s="190">
        <v>42052517.640000001</v>
      </c>
      <c r="E40" s="190">
        <v>109092086.63</v>
      </c>
      <c r="F40" s="190">
        <v>63663528.960000001</v>
      </c>
      <c r="G40" s="190">
        <v>34437185.460000001</v>
      </c>
      <c r="H40" s="190">
        <v>22333313.43</v>
      </c>
      <c r="I40" s="190">
        <v>74751775.209999993</v>
      </c>
      <c r="J40" s="190">
        <v>31297826.920000002</v>
      </c>
      <c r="K40" s="190">
        <v>13227462.18</v>
      </c>
      <c r="L40" s="190">
        <v>13228415.039999999</v>
      </c>
      <c r="M40" s="190">
        <v>51279893.280000001</v>
      </c>
      <c r="N40" s="190">
        <v>16938454.710000001</v>
      </c>
      <c r="O40" s="190">
        <v>18481326.420000002</v>
      </c>
      <c r="P40" s="190">
        <v>9492859.6999999993</v>
      </c>
      <c r="Q40" s="190">
        <v>8488025.7799999993</v>
      </c>
      <c r="R40" s="190">
        <v>-6436499.4500000002</v>
      </c>
      <c r="S40" s="190">
        <v>-28949438.219999999</v>
      </c>
      <c r="T40" s="190">
        <v>-21844660.350000001</v>
      </c>
      <c r="U40" s="190">
        <v>-10663918.24</v>
      </c>
      <c r="V40" s="190">
        <v>-22931431.59</v>
      </c>
      <c r="W40" s="190">
        <v>-28493549.870000001</v>
      </c>
      <c r="X40" s="190">
        <v>-20302070.59</v>
      </c>
      <c r="Y40" s="190">
        <v>-12451888.85</v>
      </c>
      <c r="Z40" s="190">
        <v>-6375365.8799999999</v>
      </c>
      <c r="AA40" s="190">
        <v>-13749800.51</v>
      </c>
      <c r="AB40" s="190">
        <v>-8398483.4399999995</v>
      </c>
      <c r="AC40" s="190">
        <v>-708888.44</v>
      </c>
      <c r="AD40" s="190">
        <v>-2920187.07</v>
      </c>
      <c r="AE40" s="190">
        <v>-5546837.6799999997</v>
      </c>
      <c r="AF40" s="190">
        <v>-3508500.03</v>
      </c>
      <c r="AG40" s="190">
        <v>-7223305.5499999998</v>
      </c>
      <c r="AH40" s="190">
        <v>-6218723.96</v>
      </c>
      <c r="AI40" s="190">
        <v>-1274624.6200000001</v>
      </c>
      <c r="AJ40" s="190">
        <v>3456811.95</v>
      </c>
      <c r="AK40" s="190">
        <v>-555373.49</v>
      </c>
      <c r="AL40" s="190">
        <v>-2451839.6800000002</v>
      </c>
      <c r="AM40" s="190">
        <v>-2749821.85</v>
      </c>
      <c r="AN40" s="190">
        <v>1286209.3999999999</v>
      </c>
      <c r="AO40" s="190">
        <v>-1757013.43</v>
      </c>
      <c r="AP40" s="190">
        <v>1135276.18</v>
      </c>
      <c r="AQ40" s="190">
        <v>-306719.84000000003</v>
      </c>
      <c r="AR40" s="190">
        <v>1425331.72</v>
      </c>
      <c r="AS40" s="190">
        <v>2072870.44</v>
      </c>
      <c r="AT40" s="190">
        <v>23272.14</v>
      </c>
      <c r="AU40" s="190">
        <v>-437273.09</v>
      </c>
      <c r="AV40" s="190">
        <v>3046427.94</v>
      </c>
      <c r="AW40" s="190">
        <v>1109337.7</v>
      </c>
      <c r="AX40" s="190">
        <v>1786690.53</v>
      </c>
      <c r="AY40" s="190">
        <v>1911434.78</v>
      </c>
      <c r="AZ40" s="190">
        <v>714106.04</v>
      </c>
      <c r="BA40" s="190">
        <v>953387.01</v>
      </c>
      <c r="BB40" s="190">
        <v>2607915.17</v>
      </c>
      <c r="BC40" s="190">
        <v>136977.07999999999</v>
      </c>
      <c r="BD40" s="190">
        <v>3873008.1</v>
      </c>
      <c r="BE40" s="190">
        <v>976065.75</v>
      </c>
      <c r="BF40" s="190">
        <v>977448.6</v>
      </c>
      <c r="BG40" s="190">
        <v>0</v>
      </c>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449585987.73000002</v>
      </c>
      <c r="C41" s="190">
        <v>371526655.02999997</v>
      </c>
      <c r="D41" s="190">
        <v>215973936.09999999</v>
      </c>
      <c r="E41" s="190">
        <v>263827313.40000001</v>
      </c>
      <c r="F41" s="190">
        <v>254177792.37</v>
      </c>
      <c r="G41" s="190">
        <v>173516780.97999999</v>
      </c>
      <c r="H41" s="190">
        <v>120394733.25</v>
      </c>
      <c r="I41" s="190">
        <v>146725809.34</v>
      </c>
      <c r="J41" s="190">
        <v>196945070.41999999</v>
      </c>
      <c r="K41" s="190">
        <v>165925985.59</v>
      </c>
      <c r="L41" s="190">
        <v>95650348.219999999</v>
      </c>
      <c r="M41" s="190">
        <v>95945997.950000003</v>
      </c>
      <c r="N41" s="190">
        <v>138630009.75999999</v>
      </c>
      <c r="O41" s="190">
        <v>30025747.66</v>
      </c>
      <c r="P41" s="190">
        <v>16366409.390000001</v>
      </c>
      <c r="Q41" s="190">
        <v>17820519.870000001</v>
      </c>
      <c r="R41" s="190">
        <v>21641210.109999999</v>
      </c>
      <c r="S41" s="190">
        <v>20014831.309999999</v>
      </c>
      <c r="T41" s="190">
        <v>19672761.57</v>
      </c>
      <c r="U41" s="190">
        <v>21555031.800000001</v>
      </c>
      <c r="V41" s="190">
        <v>21746661.440000001</v>
      </c>
      <c r="W41" s="190">
        <v>15518110.76</v>
      </c>
      <c r="X41" s="190">
        <v>16886809.510000002</v>
      </c>
      <c r="Y41" s="190">
        <v>23791396.02</v>
      </c>
      <c r="Z41" s="190">
        <v>28245667.440000001</v>
      </c>
      <c r="AA41" s="190">
        <v>27917134.32</v>
      </c>
      <c r="AB41" s="190">
        <v>21969371.859999999</v>
      </c>
      <c r="AC41" s="190">
        <v>33921732.649999999</v>
      </c>
      <c r="AD41" s="190">
        <v>5489784.7599999998</v>
      </c>
      <c r="AE41" s="190">
        <v>5412437.4400000004</v>
      </c>
      <c r="AF41" s="190">
        <v>9984227.5700000003</v>
      </c>
      <c r="AG41" s="190">
        <v>9984304.4399999995</v>
      </c>
      <c r="AH41" s="190">
        <v>7483511.9000000004</v>
      </c>
      <c r="AI41" s="190">
        <v>8002491.7699999996</v>
      </c>
      <c r="AJ41" s="190">
        <v>6360797.8499999996</v>
      </c>
      <c r="AK41" s="190">
        <v>8004144.5</v>
      </c>
      <c r="AL41" s="190">
        <v>8829427.2100000009</v>
      </c>
      <c r="AM41" s="190">
        <v>10372096.02</v>
      </c>
      <c r="AN41" s="190">
        <v>8355114.75</v>
      </c>
      <c r="AO41" s="190">
        <v>4425941.1900000004</v>
      </c>
      <c r="AP41" s="190">
        <v>7083635.25</v>
      </c>
      <c r="AQ41" s="190">
        <v>6310699.1200000001</v>
      </c>
      <c r="AR41" s="190">
        <v>6142423.3799999999</v>
      </c>
      <c r="AS41" s="190">
        <v>4984681.5199999996</v>
      </c>
      <c r="AT41" s="190">
        <v>12913806.07</v>
      </c>
      <c r="AU41" s="190">
        <v>9782239.7799999993</v>
      </c>
      <c r="AV41" s="190">
        <v>11906220.050000001</v>
      </c>
      <c r="AW41" s="190">
        <v>6763042.4900000002</v>
      </c>
      <c r="AX41" s="190">
        <v>16910712.82</v>
      </c>
      <c r="AY41" s="190">
        <v>20464153.600000001</v>
      </c>
      <c r="AZ41" s="190">
        <v>26879874.460000001</v>
      </c>
      <c r="BA41" s="190">
        <v>19729984.050000001</v>
      </c>
      <c r="BB41" s="190">
        <v>15939824.35</v>
      </c>
      <c r="BC41" s="190">
        <v>20188289.02</v>
      </c>
      <c r="BD41" s="190">
        <v>17818550.960000001</v>
      </c>
      <c r="BE41" s="190">
        <v>6256313.8300000001</v>
      </c>
      <c r="BF41" s="190">
        <v>10629776.34</v>
      </c>
      <c r="BG41" s="190">
        <v>0</v>
      </c>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1026900</v>
      </c>
      <c r="P42" s="190">
        <v>1026900</v>
      </c>
      <c r="Q42" s="190">
        <v>1096900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16095000</v>
      </c>
      <c r="P43" s="190">
        <v>16312500</v>
      </c>
      <c r="Q43" s="190">
        <v>16530000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800000</v>
      </c>
      <c r="D44" s="190">
        <v>800000</v>
      </c>
      <c r="E44" s="190">
        <v>800000</v>
      </c>
      <c r="F44" s="190">
        <v>1400000</v>
      </c>
      <c r="G44" s="190">
        <v>1400000</v>
      </c>
      <c r="H44" s="190">
        <v>1400000</v>
      </c>
      <c r="I44" s="190">
        <v>1400000</v>
      </c>
      <c r="J44" s="190">
        <v>1400000</v>
      </c>
      <c r="K44" s="190">
        <v>1400000</v>
      </c>
      <c r="L44" s="190">
        <v>1400000</v>
      </c>
      <c r="M44" s="190">
        <v>1400000</v>
      </c>
      <c r="N44" s="190">
        <v>0</v>
      </c>
      <c r="O44" s="190">
        <v>0</v>
      </c>
      <c r="P44" s="190">
        <v>0</v>
      </c>
      <c r="Q44" s="190">
        <v>0</v>
      </c>
      <c r="R44" s="190">
        <v>0</v>
      </c>
      <c r="S44" s="190">
        <v>1000000</v>
      </c>
      <c r="T44" s="190">
        <v>0</v>
      </c>
      <c r="U44" s="190">
        <v>500000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400000000</v>
      </c>
      <c r="F45" s="190">
        <v>400000000</v>
      </c>
      <c r="G45" s="190">
        <v>400000000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250000</v>
      </c>
      <c r="BC45" s="190">
        <v>0</v>
      </c>
      <c r="BD45" s="190">
        <v>0</v>
      </c>
      <c r="BE45" s="190">
        <v>0</v>
      </c>
      <c r="BF45" s="190">
        <v>0</v>
      </c>
      <c r="BG45" s="190">
        <v>0</v>
      </c>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2106816678.3700001</v>
      </c>
      <c r="C49" s="35">
        <f>SUM(C35:C41)+SUM(C43:C45)</f>
        <v>2654654420</v>
      </c>
      <c r="D49" s="35">
        <f>SUM(D35:D41)+SUM(D43:D45)</f>
        <v>1764009326.9200001</v>
      </c>
      <c r="E49" s="35">
        <f>SUM(E35:E45)</f>
        <v>2872455396.7400002</v>
      </c>
      <c r="F49" s="35">
        <f t="shared" ref="F49:BQ49" si="4">SUM(F35:F45)</f>
        <v>1993882229.2399998</v>
      </c>
      <c r="G49" s="35">
        <f t="shared" si="4"/>
        <v>1655895021.8499999</v>
      </c>
      <c r="H49" s="35">
        <f t="shared" si="4"/>
        <v>953126961.13999999</v>
      </c>
      <c r="I49" s="35">
        <f t="shared" si="4"/>
        <v>1109575473.75</v>
      </c>
      <c r="J49" s="35">
        <f t="shared" si="4"/>
        <v>817056377.48999989</v>
      </c>
      <c r="K49" s="35">
        <f t="shared" si="4"/>
        <v>640426325.64999998</v>
      </c>
      <c r="L49" s="35">
        <f t="shared" si="4"/>
        <v>515382097.57999992</v>
      </c>
      <c r="M49" s="35">
        <f t="shared" si="4"/>
        <v>572829642.52999997</v>
      </c>
      <c r="N49" s="35">
        <f t="shared" si="4"/>
        <v>501480215.08999997</v>
      </c>
      <c r="O49" s="35">
        <f t="shared" si="4"/>
        <v>150280048.35000002</v>
      </c>
      <c r="P49" s="35">
        <f t="shared" si="4"/>
        <v>109442534.15000001</v>
      </c>
      <c r="Q49" s="35">
        <f t="shared" si="4"/>
        <v>132451848.66</v>
      </c>
      <c r="R49" s="35">
        <f t="shared" si="4"/>
        <v>110767932.85999998</v>
      </c>
      <c r="S49" s="35">
        <f t="shared" si="4"/>
        <v>87529839.580000013</v>
      </c>
      <c r="T49" s="35">
        <f t="shared" si="4"/>
        <v>103529427.46000001</v>
      </c>
      <c r="U49" s="35">
        <f t="shared" si="4"/>
        <v>116856032.86000001</v>
      </c>
      <c r="V49" s="35">
        <f t="shared" si="4"/>
        <v>139302175.41</v>
      </c>
      <c r="W49" s="35">
        <f t="shared" si="4"/>
        <v>123333622.84000002</v>
      </c>
      <c r="X49" s="35">
        <f t="shared" si="4"/>
        <v>111731703.48999999</v>
      </c>
      <c r="Y49" s="35">
        <f t="shared" si="4"/>
        <v>130233216.58</v>
      </c>
      <c r="Z49" s="35">
        <f t="shared" si="4"/>
        <v>136719866.43000001</v>
      </c>
      <c r="AA49" s="35">
        <f t="shared" si="4"/>
        <v>129330304.99000001</v>
      </c>
      <c r="AB49" s="35">
        <f t="shared" si="4"/>
        <v>118358532.31</v>
      </c>
      <c r="AC49" s="35">
        <f t="shared" si="4"/>
        <v>133138194.03</v>
      </c>
      <c r="AD49" s="35">
        <f t="shared" si="4"/>
        <v>115685023.83</v>
      </c>
      <c r="AE49" s="35">
        <f t="shared" si="4"/>
        <v>114792325.74000001</v>
      </c>
      <c r="AF49" s="35">
        <f t="shared" si="4"/>
        <v>68815805.469999999</v>
      </c>
      <c r="AG49" s="35">
        <f t="shared" si="4"/>
        <v>77893694.599999994</v>
      </c>
      <c r="AH49" s="35">
        <f t="shared" si="4"/>
        <v>109057421.92</v>
      </c>
      <c r="AI49" s="35">
        <f t="shared" si="4"/>
        <v>103272990.52</v>
      </c>
      <c r="AJ49" s="35">
        <f t="shared" si="4"/>
        <v>69922653.140000001</v>
      </c>
      <c r="AK49" s="35">
        <f t="shared" si="4"/>
        <v>87905154.320000008</v>
      </c>
      <c r="AL49" s="35">
        <f t="shared" si="4"/>
        <v>97243817.479999989</v>
      </c>
      <c r="AM49" s="35">
        <f t="shared" si="4"/>
        <v>90551717.500000015</v>
      </c>
      <c r="AN49" s="35">
        <f t="shared" si="4"/>
        <v>64895700.93</v>
      </c>
      <c r="AO49" s="35">
        <f t="shared" si="4"/>
        <v>62851593.080000006</v>
      </c>
      <c r="AP49" s="35">
        <f t="shared" si="4"/>
        <v>72946303.25</v>
      </c>
      <c r="AQ49" s="35">
        <f t="shared" si="4"/>
        <v>68589263.200000003</v>
      </c>
      <c r="AR49" s="35">
        <f t="shared" si="4"/>
        <v>65856502.369999997</v>
      </c>
      <c r="AS49" s="35">
        <f t="shared" si="4"/>
        <v>78448276.36999999</v>
      </c>
      <c r="AT49" s="35">
        <f t="shared" si="4"/>
        <v>91423290.99000001</v>
      </c>
      <c r="AU49" s="35">
        <f t="shared" si="4"/>
        <v>90981470.450000003</v>
      </c>
      <c r="AV49" s="35">
        <f t="shared" si="4"/>
        <v>86262301.549999997</v>
      </c>
      <c r="AW49" s="35">
        <f t="shared" si="4"/>
        <v>75363258.810000002</v>
      </c>
      <c r="AX49" s="35">
        <f t="shared" si="4"/>
        <v>90276691.969999999</v>
      </c>
      <c r="AY49" s="35">
        <f t="shared" si="4"/>
        <v>88611373.469999999</v>
      </c>
      <c r="AZ49" s="35">
        <f t="shared" si="4"/>
        <v>94521549.939999998</v>
      </c>
      <c r="BA49" s="35">
        <f t="shared" si="4"/>
        <v>75832012.950000003</v>
      </c>
      <c r="BB49" s="35">
        <f t="shared" si="4"/>
        <v>95572345.359999999</v>
      </c>
      <c r="BC49" s="35">
        <f t="shared" si="4"/>
        <v>101580498.98999999</v>
      </c>
      <c r="BD49" s="35">
        <f t="shared" si="4"/>
        <v>108404552.22999999</v>
      </c>
      <c r="BE49" s="35">
        <f t="shared" si="4"/>
        <v>82763923.579999998</v>
      </c>
      <c r="BF49" s="35">
        <f t="shared" si="4"/>
        <v>63309016.450000003</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2490274242.5400009</v>
      </c>
      <c r="C50" s="36">
        <f t="shared" ref="C50:BN50" si="6">C33-C49</f>
        <v>1126647958.0499997</v>
      </c>
      <c r="D50" s="36">
        <f t="shared" si="6"/>
        <v>647119779.7699995</v>
      </c>
      <c r="E50" s="36">
        <f t="shared" si="6"/>
        <v>-312268224.6600008</v>
      </c>
      <c r="F50" s="36">
        <f t="shared" si="6"/>
        <v>424747124.86000013</v>
      </c>
      <c r="G50" s="36">
        <f t="shared" si="6"/>
        <v>279626473.51000023</v>
      </c>
      <c r="H50" s="36">
        <f t="shared" si="6"/>
        <v>582962209.35000002</v>
      </c>
      <c r="I50" s="36">
        <f t="shared" si="6"/>
        <v>315784890.97000003</v>
      </c>
      <c r="J50" s="36">
        <f t="shared" si="6"/>
        <v>734462584.79000008</v>
      </c>
      <c r="K50" s="36">
        <f t="shared" si="6"/>
        <v>639576355.18000019</v>
      </c>
      <c r="L50" s="36">
        <f t="shared" si="6"/>
        <v>351434600.71000004</v>
      </c>
      <c r="M50" s="36">
        <f t="shared" si="6"/>
        <v>225295058.41999996</v>
      </c>
      <c r="N50" s="36">
        <f t="shared" si="6"/>
        <v>312015427.48999995</v>
      </c>
      <c r="O50" s="36">
        <f t="shared" si="6"/>
        <v>118565902.59999996</v>
      </c>
      <c r="P50" s="36">
        <f t="shared" si="6"/>
        <v>60630703.030000001</v>
      </c>
      <c r="Q50" s="36">
        <f t="shared" si="6"/>
        <v>39658732.99000001</v>
      </c>
      <c r="R50" s="36">
        <f t="shared" si="6"/>
        <v>148432104.87</v>
      </c>
      <c r="S50" s="36">
        <f t="shared" si="6"/>
        <v>178830571.69999996</v>
      </c>
      <c r="T50" s="36">
        <f t="shared" si="6"/>
        <v>61094073.419999987</v>
      </c>
      <c r="U50" s="36">
        <f t="shared" si="6"/>
        <v>31394280.930000007</v>
      </c>
      <c r="V50" s="36">
        <f t="shared" si="6"/>
        <v>96390218.479999989</v>
      </c>
      <c r="W50" s="36">
        <f t="shared" si="6"/>
        <v>110934022.71999998</v>
      </c>
      <c r="X50" s="36">
        <f t="shared" si="6"/>
        <v>58841995.13000001</v>
      </c>
      <c r="Y50" s="36">
        <f t="shared" si="6"/>
        <v>45244946.259999976</v>
      </c>
      <c r="Z50" s="36">
        <f t="shared" si="6"/>
        <v>41891993.579999983</v>
      </c>
      <c r="AA50" s="36">
        <f t="shared" si="6"/>
        <v>87231020.269999981</v>
      </c>
      <c r="AB50" s="36">
        <f t="shared" si="6"/>
        <v>30160653.829999983</v>
      </c>
      <c r="AC50" s="36">
        <f t="shared" si="6"/>
        <v>29535910.109999985</v>
      </c>
      <c r="AD50" s="36">
        <f t="shared" si="6"/>
        <v>90482233.389999971</v>
      </c>
      <c r="AE50" s="36">
        <f t="shared" si="6"/>
        <v>96979767.079999983</v>
      </c>
      <c r="AF50" s="36">
        <f t="shared" si="6"/>
        <v>53498714.480000004</v>
      </c>
      <c r="AG50" s="36">
        <f t="shared" si="6"/>
        <v>55041803.75999999</v>
      </c>
      <c r="AH50" s="36">
        <f t="shared" si="6"/>
        <v>43542971.260000005</v>
      </c>
      <c r="AI50" s="36">
        <f t="shared" si="6"/>
        <v>11430932.269999996</v>
      </c>
      <c r="AJ50" s="36">
        <f t="shared" si="6"/>
        <v>-7657517.0900000036</v>
      </c>
      <c r="AK50" s="36">
        <f t="shared" si="6"/>
        <v>-2181416.4100000113</v>
      </c>
      <c r="AL50" s="36">
        <f t="shared" si="6"/>
        <v>7346321.3900000155</v>
      </c>
      <c r="AM50" s="36">
        <f t="shared" si="6"/>
        <v>7837426.5799999982</v>
      </c>
      <c r="AN50" s="36">
        <f t="shared" si="6"/>
        <v>4745664.3399999961</v>
      </c>
      <c r="AO50" s="36">
        <f t="shared" si="6"/>
        <v>13865395.109999992</v>
      </c>
      <c r="AP50" s="36">
        <f t="shared" si="6"/>
        <v>13229101.739999995</v>
      </c>
      <c r="AQ50" s="36">
        <f t="shared" si="6"/>
        <v>10150174.269999996</v>
      </c>
      <c r="AR50" s="36">
        <f t="shared" si="6"/>
        <v>-13662225.409999996</v>
      </c>
      <c r="AS50" s="36">
        <f t="shared" si="6"/>
        <v>3841461.8200000077</v>
      </c>
      <c r="AT50" s="36">
        <f t="shared" si="6"/>
        <v>-22620970.74000001</v>
      </c>
      <c r="AU50" s="36">
        <f t="shared" si="6"/>
        <v>-27690029.810000002</v>
      </c>
      <c r="AV50" s="36">
        <f t="shared" si="6"/>
        <v>-20517571.450000003</v>
      </c>
      <c r="AW50" s="36">
        <f t="shared" si="6"/>
        <v>-13917482.660000004</v>
      </c>
      <c r="AX50" s="36">
        <f t="shared" si="6"/>
        <v>-14088259.640000001</v>
      </c>
      <c r="AY50" s="36">
        <f t="shared" si="6"/>
        <v>-27790462.890000001</v>
      </c>
      <c r="AZ50" s="36">
        <f t="shared" si="6"/>
        <v>-18872408.280000001</v>
      </c>
      <c r="BA50" s="36">
        <f t="shared" si="6"/>
        <v>-25687714.910000004</v>
      </c>
      <c r="BB50" s="36">
        <f t="shared" si="6"/>
        <v>-9852926.4899999946</v>
      </c>
      <c r="BC50" s="36">
        <f t="shared" si="6"/>
        <v>-18835104.50999999</v>
      </c>
      <c r="BD50" s="36">
        <f t="shared" si="6"/>
        <v>-13805307.769999996</v>
      </c>
      <c r="BE50" s="36">
        <f t="shared" si="6"/>
        <v>-14967783.209999993</v>
      </c>
      <c r="BF50" s="36">
        <f t="shared" si="6"/>
        <v>-17233205.170000002</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2410246278.0100002</v>
      </c>
      <c r="C52" s="190">
        <v>2315312072.6500001</v>
      </c>
      <c r="D52" s="190">
        <v>1843565316.6300001</v>
      </c>
      <c r="E52" s="190">
        <v>1808726761.47</v>
      </c>
      <c r="F52" s="190">
        <v>1321298357.1400001</v>
      </c>
      <c r="G52" s="190">
        <v>1119790051.77</v>
      </c>
      <c r="H52" s="190">
        <v>973643001.10000002</v>
      </c>
      <c r="I52" s="190">
        <v>937188164.47000003</v>
      </c>
      <c r="J52" s="190">
        <v>834578078.26999998</v>
      </c>
      <c r="K52" s="190">
        <v>772629534.74000001</v>
      </c>
      <c r="L52" s="190">
        <v>639717992.72000003</v>
      </c>
      <c r="M52" s="190">
        <v>624270621.21000004</v>
      </c>
      <c r="N52" s="190">
        <v>548512113.38</v>
      </c>
      <c r="O52" s="190">
        <v>105739088.01000001</v>
      </c>
      <c r="P52" s="190">
        <v>107021970.59999999</v>
      </c>
      <c r="Q52" s="190">
        <v>109353799.56</v>
      </c>
      <c r="R52" s="190">
        <v>124914582.86</v>
      </c>
      <c r="S52" s="190">
        <v>128618179.91</v>
      </c>
      <c r="T52" s="190">
        <v>131836608.39</v>
      </c>
      <c r="U52" s="190">
        <v>134528661.02000001</v>
      </c>
      <c r="V52" s="190">
        <v>225485732.38999999</v>
      </c>
      <c r="W52" s="190">
        <v>71837700.840000004</v>
      </c>
      <c r="X52" s="190">
        <v>73954009.260000005</v>
      </c>
      <c r="Y52" s="190">
        <v>68644677.290000007</v>
      </c>
      <c r="Z52" s="190">
        <v>70505573.069999993</v>
      </c>
      <c r="AA52" s="190">
        <v>72929809.629999995</v>
      </c>
      <c r="AB52" s="190">
        <v>76249289.349999994</v>
      </c>
      <c r="AC52" s="190">
        <v>78863507.109999999</v>
      </c>
      <c r="AD52" s="190">
        <v>91220429.010000005</v>
      </c>
      <c r="AE52" s="190">
        <v>81654078.569999993</v>
      </c>
      <c r="AF52" s="190">
        <v>83582103.200000003</v>
      </c>
      <c r="AG52" s="190">
        <v>71142828.819999993</v>
      </c>
      <c r="AH52" s="190">
        <v>70651228.430000007</v>
      </c>
      <c r="AI52" s="190">
        <v>72615053.879999995</v>
      </c>
      <c r="AJ52" s="190">
        <v>74034135.370000005</v>
      </c>
      <c r="AK52" s="190">
        <v>76691788.629999995</v>
      </c>
      <c r="AL52" s="190">
        <v>80171220.379999995</v>
      </c>
      <c r="AM52" s="190">
        <v>82844383.959999993</v>
      </c>
      <c r="AN52" s="190">
        <v>85219311.060000002</v>
      </c>
      <c r="AO52" s="190">
        <v>87798678.769999996</v>
      </c>
      <c r="AP52" s="190">
        <v>97221758.420000002</v>
      </c>
      <c r="AQ52" s="190">
        <v>100107448.90000001</v>
      </c>
      <c r="AR52" s="190">
        <v>105545297.15000001</v>
      </c>
      <c r="AS52" s="190">
        <v>108959292.11</v>
      </c>
      <c r="AT52" s="190">
        <v>107562404.90000001</v>
      </c>
      <c r="AU52" s="190">
        <v>111350961.84999999</v>
      </c>
      <c r="AV52" s="190">
        <v>112430179.5</v>
      </c>
      <c r="AW52" s="190">
        <v>115471019.20999999</v>
      </c>
      <c r="AX52" s="190">
        <v>102018433.22</v>
      </c>
      <c r="AY52" s="190">
        <v>101147452.47</v>
      </c>
      <c r="AZ52" s="190">
        <v>103004116.77</v>
      </c>
      <c r="BA52" s="190">
        <v>104720818.37</v>
      </c>
      <c r="BB52" s="190">
        <v>92125532.340000004</v>
      </c>
      <c r="BC52" s="190">
        <v>90055706.709999993</v>
      </c>
      <c r="BD52" s="190">
        <v>96738278.030000001</v>
      </c>
      <c r="BE52" s="190">
        <v>84203748.209999993</v>
      </c>
      <c r="BF52" s="190">
        <v>71196967.909999996</v>
      </c>
      <c r="BG52" s="190">
        <v>0</v>
      </c>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84059606.129999995</v>
      </c>
      <c r="C53" s="190">
        <v>64174476.32</v>
      </c>
      <c r="D53" s="190">
        <v>109874040.51000001</v>
      </c>
      <c r="E53" s="190">
        <v>86580880.549999997</v>
      </c>
      <c r="F53" s="190">
        <v>118534163.42</v>
      </c>
      <c r="G53" s="190">
        <v>113990648.06999999</v>
      </c>
      <c r="H53" s="190">
        <v>67715996.980000004</v>
      </c>
      <c r="I53" s="190">
        <v>50307909.130000003</v>
      </c>
      <c r="J53" s="190">
        <v>66836269.710000001</v>
      </c>
      <c r="K53" s="190">
        <v>57719469.490000002</v>
      </c>
      <c r="L53" s="190">
        <v>63765929.75</v>
      </c>
      <c r="M53" s="190">
        <v>64095829.43</v>
      </c>
      <c r="N53" s="190">
        <v>51975949.509999998</v>
      </c>
      <c r="O53" s="190">
        <v>0</v>
      </c>
      <c r="P53" s="190">
        <v>1013325</v>
      </c>
      <c r="Q53" s="190">
        <v>0</v>
      </c>
      <c r="R53" s="190">
        <v>4358025.1500000004</v>
      </c>
      <c r="S53" s="190">
        <v>4358025.1500000004</v>
      </c>
      <c r="T53" s="190">
        <v>830690.47</v>
      </c>
      <c r="U53" s="190">
        <v>0</v>
      </c>
      <c r="V53" s="190">
        <v>25979.3</v>
      </c>
      <c r="W53" s="190">
        <v>143002291.38</v>
      </c>
      <c r="X53" s="190">
        <v>139899562.30000001</v>
      </c>
      <c r="Y53" s="190">
        <v>142404148.69</v>
      </c>
      <c r="Z53" s="190">
        <v>88183905.590000004</v>
      </c>
      <c r="AA53" s="190">
        <v>87620430.579999998</v>
      </c>
      <c r="AB53" s="190">
        <v>87388092.239999995</v>
      </c>
      <c r="AC53" s="190">
        <v>85646742.239999995</v>
      </c>
      <c r="AD53" s="190">
        <v>1222110.3700000001</v>
      </c>
      <c r="AE53" s="190">
        <v>25531029</v>
      </c>
      <c r="AF53" s="190">
        <v>9851529</v>
      </c>
      <c r="AG53" s="190">
        <v>8090529</v>
      </c>
      <c r="AH53" s="190">
        <v>0</v>
      </c>
      <c r="AI53" s="190">
        <v>0</v>
      </c>
      <c r="AJ53" s="190">
        <v>0</v>
      </c>
      <c r="AK53" s="190">
        <v>0</v>
      </c>
      <c r="AL53" s="190">
        <v>0</v>
      </c>
      <c r="AM53" s="190">
        <v>0</v>
      </c>
      <c r="AN53" s="190">
        <v>0</v>
      </c>
      <c r="AO53" s="190">
        <v>0</v>
      </c>
      <c r="AP53" s="190">
        <v>1469160</v>
      </c>
      <c r="AQ53" s="190">
        <v>1469160</v>
      </c>
      <c r="AR53" s="190">
        <v>1469160</v>
      </c>
      <c r="AS53" s="190">
        <v>0</v>
      </c>
      <c r="AT53" s="190">
        <v>0</v>
      </c>
      <c r="AU53" s="190">
        <v>190880</v>
      </c>
      <c r="AV53" s="190">
        <v>190880</v>
      </c>
      <c r="AW53" s="190">
        <v>190880</v>
      </c>
      <c r="AX53" s="190">
        <v>13669307.609999999</v>
      </c>
      <c r="AY53" s="190">
        <v>11031680</v>
      </c>
      <c r="AZ53" s="190">
        <v>779101.05</v>
      </c>
      <c r="BA53" s="190">
        <v>84601.05</v>
      </c>
      <c r="BB53" s="190">
        <v>4443193.09</v>
      </c>
      <c r="BC53" s="190">
        <v>4876000</v>
      </c>
      <c r="BD53" s="190">
        <v>0</v>
      </c>
      <c r="BE53" s="190">
        <v>1355266.33</v>
      </c>
      <c r="BF53" s="190">
        <v>1547935.78</v>
      </c>
      <c r="BG53" s="190">
        <v>0</v>
      </c>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32000</v>
      </c>
      <c r="BC55" s="190">
        <v>0</v>
      </c>
      <c r="BD55" s="190">
        <v>0</v>
      </c>
      <c r="BE55" s="190">
        <v>0</v>
      </c>
      <c r="BF55" s="190">
        <v>0</v>
      </c>
      <c r="BG55" s="190">
        <v>0</v>
      </c>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157938798.09999999</v>
      </c>
      <c r="C58" s="190">
        <v>151244799.06</v>
      </c>
      <c r="D58" s="190">
        <v>135004802.55000001</v>
      </c>
      <c r="E58" s="190">
        <v>137885873.52000001</v>
      </c>
      <c r="F58" s="190">
        <v>28582869.510000002</v>
      </c>
      <c r="G58" s="190">
        <v>26958709.91</v>
      </c>
      <c r="H58" s="190">
        <v>25480965.449999999</v>
      </c>
      <c r="I58" s="190">
        <v>25862058.609999999</v>
      </c>
      <c r="J58" s="190">
        <v>13448709.52</v>
      </c>
      <c r="K58" s="190">
        <v>13163920.67</v>
      </c>
      <c r="L58" s="190">
        <v>13021499.880000001</v>
      </c>
      <c r="M58" s="190">
        <v>12664653.48</v>
      </c>
      <c r="N58" s="190">
        <v>12790114</v>
      </c>
      <c r="O58" s="190">
        <v>34987024.579999998</v>
      </c>
      <c r="P58" s="190">
        <v>35197449.829999998</v>
      </c>
      <c r="Q58" s="190">
        <v>35350625.890000001</v>
      </c>
      <c r="R58" s="190">
        <v>35558235.609999999</v>
      </c>
      <c r="S58" s="190">
        <v>36265845.329999998</v>
      </c>
      <c r="T58" s="190">
        <v>36473455.049999997</v>
      </c>
      <c r="U58" s="190">
        <v>36681064.770000003</v>
      </c>
      <c r="V58" s="190">
        <v>36379462.460000001</v>
      </c>
      <c r="W58" s="190">
        <v>36587072.18</v>
      </c>
      <c r="X58" s="190">
        <v>36794681.899999999</v>
      </c>
      <c r="Y58" s="190">
        <v>37002291.520000003</v>
      </c>
      <c r="Z58" s="190">
        <v>37231591.240000002</v>
      </c>
      <c r="AA58" s="190">
        <v>37504390.960000001</v>
      </c>
      <c r="AB58" s="190">
        <v>37777190.68</v>
      </c>
      <c r="AC58" s="190">
        <v>38050050.399999999</v>
      </c>
      <c r="AD58" s="190">
        <v>38322910.109999999</v>
      </c>
      <c r="AE58" s="190">
        <v>38595769.840000004</v>
      </c>
      <c r="AF58" s="190">
        <v>38868629.549999997</v>
      </c>
      <c r="AG58" s="190">
        <v>17940984.140000001</v>
      </c>
      <c r="AH58" s="190">
        <v>18108368.719999999</v>
      </c>
      <c r="AI58" s="190">
        <v>18260253.300000001</v>
      </c>
      <c r="AJ58" s="190">
        <v>18443137.879999999</v>
      </c>
      <c r="AK58" s="190">
        <v>18609849.18</v>
      </c>
      <c r="AL58" s="190">
        <v>19492112.039999999</v>
      </c>
      <c r="AM58" s="190">
        <v>19687100.309999999</v>
      </c>
      <c r="AN58" s="190">
        <v>19900512.84</v>
      </c>
      <c r="AO58" s="190">
        <v>20123137.510000002</v>
      </c>
      <c r="AP58" s="190">
        <v>20342854.210000001</v>
      </c>
      <c r="AQ58" s="190">
        <v>20569518.91</v>
      </c>
      <c r="AR58" s="190">
        <v>21588124.98</v>
      </c>
      <c r="AS58" s="190">
        <v>21820913.059999999</v>
      </c>
      <c r="AT58" s="190">
        <v>22616860.48</v>
      </c>
      <c r="AU58" s="190">
        <v>22859281.780000001</v>
      </c>
      <c r="AV58" s="190">
        <v>23089790.66</v>
      </c>
      <c r="AW58" s="190">
        <v>23322660.460000001</v>
      </c>
      <c r="AX58" s="190">
        <v>23995784.789999999</v>
      </c>
      <c r="AY58" s="190">
        <v>24246548.25</v>
      </c>
      <c r="AZ58" s="190">
        <v>24041200.879999999</v>
      </c>
      <c r="BA58" s="190">
        <v>24280714.34</v>
      </c>
      <c r="BB58" s="190">
        <v>24530851.579999998</v>
      </c>
      <c r="BC58" s="190">
        <v>24764462.960000001</v>
      </c>
      <c r="BD58" s="190">
        <v>25238768.219999999</v>
      </c>
      <c r="BE58" s="190">
        <v>10484416.890000001</v>
      </c>
      <c r="BF58" s="190">
        <v>5798533.1100000003</v>
      </c>
      <c r="BG58" s="190">
        <v>0</v>
      </c>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24056.6</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4596697421.5699997</v>
      </c>
      <c r="C60" s="190">
        <v>4540466235.4700003</v>
      </c>
      <c r="D60" s="190">
        <v>4058541621.6100001</v>
      </c>
      <c r="E60" s="190">
        <v>4045550972.4299998</v>
      </c>
      <c r="F60" s="190">
        <v>1045852003.49</v>
      </c>
      <c r="G60" s="190">
        <v>870699739.72000003</v>
      </c>
      <c r="H60" s="190">
        <v>722121477.36000001</v>
      </c>
      <c r="I60" s="190">
        <v>709575043.62</v>
      </c>
      <c r="J60" s="190">
        <v>499748454.42000002</v>
      </c>
      <c r="K60" s="190">
        <v>474260065.75999999</v>
      </c>
      <c r="L60" s="190">
        <v>417249139.39999998</v>
      </c>
      <c r="M60" s="190">
        <v>417249139.39999998</v>
      </c>
      <c r="N60" s="190">
        <v>367254530.99000001</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242985.79</v>
      </c>
      <c r="AM60" s="190">
        <v>242985.79</v>
      </c>
      <c r="AN60" s="190">
        <v>242985.79</v>
      </c>
      <c r="AO60" s="190">
        <v>242985.79</v>
      </c>
      <c r="AP60" s="190">
        <v>242985.79</v>
      </c>
      <c r="AQ60" s="190">
        <v>242985.79</v>
      </c>
      <c r="AR60" s="190">
        <v>242985.79</v>
      </c>
      <c r="AS60" s="190">
        <v>242985.79</v>
      </c>
      <c r="AT60" s="190">
        <v>242985.79</v>
      </c>
      <c r="AU60" s="190">
        <v>242985.79</v>
      </c>
      <c r="AV60" s="190">
        <v>0</v>
      </c>
      <c r="AW60" s="190">
        <v>242985.79</v>
      </c>
      <c r="AX60" s="190">
        <v>0</v>
      </c>
      <c r="AY60" s="190">
        <v>0</v>
      </c>
      <c r="AZ60" s="190">
        <v>0</v>
      </c>
      <c r="BA60" s="190">
        <v>0</v>
      </c>
      <c r="BB60" s="190">
        <v>0</v>
      </c>
      <c r="BC60" s="190">
        <v>0</v>
      </c>
      <c r="BD60" s="190">
        <v>0</v>
      </c>
      <c r="BE60" s="190">
        <v>0</v>
      </c>
      <c r="BF60" s="190">
        <v>0</v>
      </c>
      <c r="BG60" s="190">
        <v>0</v>
      </c>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773122769.79999995</v>
      </c>
      <c r="C61" s="190">
        <v>783943909.92999995</v>
      </c>
      <c r="D61" s="190">
        <v>643415759.03999996</v>
      </c>
      <c r="E61" s="190">
        <v>656199140.10000002</v>
      </c>
      <c r="F61" s="190">
        <v>416772358.72000003</v>
      </c>
      <c r="G61" s="190">
        <v>374762614.91000003</v>
      </c>
      <c r="H61" s="190">
        <v>346995799.00999999</v>
      </c>
      <c r="I61" s="190">
        <v>360789263.17000002</v>
      </c>
      <c r="J61" s="190">
        <v>340639328.95999998</v>
      </c>
      <c r="K61" s="190">
        <v>314458256.73000002</v>
      </c>
      <c r="L61" s="190">
        <v>285274465.14999998</v>
      </c>
      <c r="M61" s="190">
        <v>284440506.01999998</v>
      </c>
      <c r="N61" s="190">
        <v>269124811.12</v>
      </c>
      <c r="O61" s="190">
        <v>7944906.6699999999</v>
      </c>
      <c r="P61" s="190">
        <v>5906005.7800000003</v>
      </c>
      <c r="Q61" s="190">
        <v>6009930.3399999999</v>
      </c>
      <c r="R61" s="190">
        <v>661867.43000000005</v>
      </c>
      <c r="S61" s="190">
        <v>1291962.3700000001</v>
      </c>
      <c r="T61" s="190">
        <v>1489720.45</v>
      </c>
      <c r="U61" s="190">
        <v>1650426.46</v>
      </c>
      <c r="V61" s="190">
        <v>1584408.29</v>
      </c>
      <c r="W61" s="190">
        <v>861626</v>
      </c>
      <c r="X61" s="190">
        <v>932663</v>
      </c>
      <c r="Y61" s="190">
        <v>1003700</v>
      </c>
      <c r="Z61" s="190">
        <v>1098704.93</v>
      </c>
      <c r="AA61" s="190">
        <v>1193709.8600000001</v>
      </c>
      <c r="AB61" s="190">
        <v>1216806</v>
      </c>
      <c r="AC61" s="190">
        <v>1287842.98</v>
      </c>
      <c r="AD61" s="190">
        <v>1098676.71</v>
      </c>
      <c r="AE61" s="190">
        <v>1159951.8600000001</v>
      </c>
      <c r="AF61" s="190">
        <v>351992.07</v>
      </c>
      <c r="AG61" s="190">
        <v>0</v>
      </c>
      <c r="AH61" s="190">
        <v>0</v>
      </c>
      <c r="AI61" s="190">
        <v>0</v>
      </c>
      <c r="AJ61" s="190">
        <v>0</v>
      </c>
      <c r="AK61" s="190">
        <v>0</v>
      </c>
      <c r="AL61" s="190">
        <v>0</v>
      </c>
      <c r="AM61" s="190">
        <v>0</v>
      </c>
      <c r="AN61" s="190">
        <v>0</v>
      </c>
      <c r="AO61" s="190">
        <v>0</v>
      </c>
      <c r="AP61" s="190">
        <v>0</v>
      </c>
      <c r="AQ61" s="190">
        <v>0</v>
      </c>
      <c r="AR61" s="190">
        <v>1069269.7</v>
      </c>
      <c r="AS61" s="190">
        <v>0</v>
      </c>
      <c r="AT61" s="190">
        <v>269643.62</v>
      </c>
      <c r="AU61" s="190">
        <v>0</v>
      </c>
      <c r="AV61" s="190">
        <v>0</v>
      </c>
      <c r="AW61" s="190">
        <v>12290.36</v>
      </c>
      <c r="AX61" s="190">
        <v>30728.81</v>
      </c>
      <c r="AY61" s="190">
        <v>68659.75</v>
      </c>
      <c r="AZ61" s="190">
        <v>146956.78</v>
      </c>
      <c r="BA61" s="190">
        <v>203204.71</v>
      </c>
      <c r="BB61" s="190">
        <v>335043.27</v>
      </c>
      <c r="BC61" s="190">
        <v>373091.23</v>
      </c>
      <c r="BD61" s="190">
        <v>543964</v>
      </c>
      <c r="BE61" s="190">
        <v>991561.02</v>
      </c>
      <c r="BF61" s="190">
        <v>1406163.94</v>
      </c>
      <c r="BG61" s="190">
        <v>0</v>
      </c>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99434329.469999999</v>
      </c>
      <c r="C62" s="190">
        <v>97240476.909999996</v>
      </c>
      <c r="D62" s="190">
        <v>114911918.39</v>
      </c>
      <c r="E62" s="190">
        <v>77347441.689999998</v>
      </c>
      <c r="F62" s="190">
        <v>59028774.950000003</v>
      </c>
      <c r="G62" s="190">
        <v>55604453.380000003</v>
      </c>
      <c r="H62" s="190">
        <v>66807974.159999996</v>
      </c>
      <c r="I62" s="190">
        <v>38388437.299999997</v>
      </c>
      <c r="J62" s="190">
        <v>42939676.799999997</v>
      </c>
      <c r="K62" s="190">
        <v>51989400.469999999</v>
      </c>
      <c r="L62" s="190">
        <v>73433521.069999993</v>
      </c>
      <c r="M62" s="190">
        <v>39731451.789999999</v>
      </c>
      <c r="N62" s="190">
        <v>51921398.890000001</v>
      </c>
      <c r="O62" s="190">
        <v>2264941.0699999998</v>
      </c>
      <c r="P62" s="190">
        <v>1515496.39</v>
      </c>
      <c r="Q62" s="190">
        <v>1987294.22</v>
      </c>
      <c r="R62" s="190">
        <v>2855919.02</v>
      </c>
      <c r="S62" s="190">
        <v>1403136.65</v>
      </c>
      <c r="T62" s="190">
        <v>264292.14</v>
      </c>
      <c r="U62" s="190">
        <v>967984.17</v>
      </c>
      <c r="V62" s="190">
        <v>5257006.2</v>
      </c>
      <c r="W62" s="190">
        <v>4801691.34</v>
      </c>
      <c r="X62" s="190">
        <v>5406597.2999999998</v>
      </c>
      <c r="Y62" s="190">
        <v>5421310.5099999998</v>
      </c>
      <c r="Z62" s="190">
        <v>4417203.72</v>
      </c>
      <c r="AA62" s="190">
        <v>4417203.72</v>
      </c>
      <c r="AB62" s="190">
        <v>672266.38</v>
      </c>
      <c r="AC62" s="190">
        <v>663430.69999999995</v>
      </c>
      <c r="AD62" s="190">
        <v>303495.55</v>
      </c>
      <c r="AE62" s="190">
        <v>301509.95</v>
      </c>
      <c r="AF62" s="190">
        <v>287446.88</v>
      </c>
      <c r="AG62" s="190">
        <v>185947.63</v>
      </c>
      <c r="AH62" s="190">
        <v>534430.61</v>
      </c>
      <c r="AI62" s="190">
        <v>327586.21999999997</v>
      </c>
      <c r="AJ62" s="190">
        <v>60728.86</v>
      </c>
      <c r="AK62" s="190">
        <v>305342.78999999998</v>
      </c>
      <c r="AL62" s="190">
        <v>405232.72</v>
      </c>
      <c r="AM62" s="190">
        <v>386236.2</v>
      </c>
      <c r="AN62" s="190">
        <v>389199.74</v>
      </c>
      <c r="AO62" s="190">
        <v>373628.78</v>
      </c>
      <c r="AP62" s="190">
        <v>477794.82</v>
      </c>
      <c r="AQ62" s="190">
        <v>600720.41</v>
      </c>
      <c r="AR62" s="190">
        <v>448259.91</v>
      </c>
      <c r="AS62" s="190">
        <v>448259.91</v>
      </c>
      <c r="AT62" s="190">
        <v>443775.13</v>
      </c>
      <c r="AU62" s="190">
        <v>423503.43</v>
      </c>
      <c r="AV62" s="190">
        <v>903809.24</v>
      </c>
      <c r="AW62" s="190">
        <v>789338.68</v>
      </c>
      <c r="AX62" s="190">
        <v>0</v>
      </c>
      <c r="AY62" s="190">
        <v>0</v>
      </c>
      <c r="AZ62" s="190">
        <v>0</v>
      </c>
      <c r="BA62" s="190">
        <v>0</v>
      </c>
      <c r="BB62" s="190">
        <v>0</v>
      </c>
      <c r="BC62" s="190">
        <v>0</v>
      </c>
      <c r="BD62" s="190">
        <v>0</v>
      </c>
      <c r="BE62" s="190">
        <v>0</v>
      </c>
      <c r="BF62" s="190">
        <v>0</v>
      </c>
      <c r="BG62" s="190">
        <v>0</v>
      </c>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37977104.520000003</v>
      </c>
      <c r="C63" s="190">
        <v>39730803.890000001</v>
      </c>
      <c r="D63" s="190">
        <v>20871923.73</v>
      </c>
      <c r="E63" s="190">
        <v>18662995.09</v>
      </c>
      <c r="F63" s="190">
        <v>19918853.199999999</v>
      </c>
      <c r="G63" s="190">
        <v>14885174.109999999</v>
      </c>
      <c r="H63" s="190">
        <v>11135043.470000001</v>
      </c>
      <c r="I63" s="190">
        <v>11109206.34</v>
      </c>
      <c r="J63" s="190">
        <v>3287796.74</v>
      </c>
      <c r="K63" s="190">
        <v>1561919.33</v>
      </c>
      <c r="L63" s="190">
        <v>1251641.93</v>
      </c>
      <c r="M63" s="190">
        <v>1286364.54</v>
      </c>
      <c r="N63" s="190">
        <v>449319.15</v>
      </c>
      <c r="O63" s="190">
        <v>0</v>
      </c>
      <c r="P63" s="190">
        <v>0</v>
      </c>
      <c r="Q63" s="190">
        <v>0</v>
      </c>
      <c r="R63" s="190">
        <v>50143.37</v>
      </c>
      <c r="S63" s="190">
        <v>50093.07</v>
      </c>
      <c r="T63" s="190">
        <v>50093.07</v>
      </c>
      <c r="U63" s="190">
        <v>50093.07</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21000.69</v>
      </c>
      <c r="AU63" s="190">
        <v>21000.69</v>
      </c>
      <c r="AV63" s="190">
        <v>30768.3</v>
      </c>
      <c r="AW63" s="190">
        <v>28307.23</v>
      </c>
      <c r="AX63" s="190">
        <v>0</v>
      </c>
      <c r="AY63" s="190">
        <v>0</v>
      </c>
      <c r="AZ63" s="190">
        <v>0</v>
      </c>
      <c r="BA63" s="190">
        <v>0</v>
      </c>
      <c r="BB63" s="190">
        <v>0</v>
      </c>
      <c r="BC63" s="190">
        <v>0</v>
      </c>
      <c r="BD63" s="190">
        <v>0</v>
      </c>
      <c r="BE63" s="190">
        <v>0</v>
      </c>
      <c r="BF63" s="190">
        <v>0</v>
      </c>
      <c r="BG63" s="190">
        <v>0</v>
      </c>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289342154.98000002</v>
      </c>
      <c r="C64" s="190">
        <v>564771517.58000004</v>
      </c>
      <c r="D64" s="190">
        <v>148866345.41</v>
      </c>
      <c r="E64" s="190">
        <v>132573929.23999999</v>
      </c>
      <c r="F64" s="190">
        <v>117802671.14</v>
      </c>
      <c r="G64" s="190">
        <v>127002556.39</v>
      </c>
      <c r="H64" s="190">
        <v>75635509.969999999</v>
      </c>
      <c r="I64" s="190">
        <v>40782714.409999996</v>
      </c>
      <c r="J64" s="190">
        <v>21972107.079999998</v>
      </c>
      <c r="K64" s="190">
        <v>43832519.950000003</v>
      </c>
      <c r="L64" s="190">
        <v>28316947.550000001</v>
      </c>
      <c r="M64" s="190">
        <v>23812543.91</v>
      </c>
      <c r="N64" s="190">
        <v>39652590.229999997</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8372864253.54</v>
      </c>
      <c r="C68" s="36">
        <f t="shared" ref="C68:BN68" si="8">SUM(C52:C64)-2*C63</f>
        <v>8477422684.0300007</v>
      </c>
      <c r="D68" s="36">
        <f t="shared" si="8"/>
        <v>7033307880.4099998</v>
      </c>
      <c r="E68" s="36">
        <f t="shared" si="8"/>
        <v>6926202003.9099989</v>
      </c>
      <c r="F68" s="36">
        <f t="shared" si="8"/>
        <v>3087952345.1700001</v>
      </c>
      <c r="G68" s="36">
        <f t="shared" si="8"/>
        <v>2673923600.0400004</v>
      </c>
      <c r="H68" s="36">
        <f t="shared" si="8"/>
        <v>2267265680.5599995</v>
      </c>
      <c r="I68" s="36">
        <f t="shared" si="8"/>
        <v>2151784384.3699999</v>
      </c>
      <c r="J68" s="36">
        <f t="shared" si="8"/>
        <v>1816874828.02</v>
      </c>
      <c r="K68" s="36">
        <f t="shared" si="8"/>
        <v>1726491248.4799998</v>
      </c>
      <c r="L68" s="36">
        <f t="shared" si="8"/>
        <v>1519527853.5900002</v>
      </c>
      <c r="M68" s="36">
        <f t="shared" si="8"/>
        <v>1464978380.7</v>
      </c>
      <c r="N68" s="36">
        <f t="shared" si="8"/>
        <v>1340782188.9700003</v>
      </c>
      <c r="O68" s="36">
        <f t="shared" si="8"/>
        <v>150935960.32999998</v>
      </c>
      <c r="P68" s="36">
        <f t="shared" si="8"/>
        <v>150654247.59999999</v>
      </c>
      <c r="Q68" s="36">
        <f t="shared" si="8"/>
        <v>152701650.00999999</v>
      </c>
      <c r="R68" s="36">
        <f t="shared" si="8"/>
        <v>168298486.70000002</v>
      </c>
      <c r="S68" s="36">
        <f t="shared" si="8"/>
        <v>171911112.94</v>
      </c>
      <c r="T68" s="36">
        <f t="shared" si="8"/>
        <v>170844673.42999998</v>
      </c>
      <c r="U68" s="36">
        <f t="shared" si="8"/>
        <v>173778043.35000002</v>
      </c>
      <c r="V68" s="36">
        <f t="shared" si="8"/>
        <v>268732588.63999999</v>
      </c>
      <c r="W68" s="36">
        <f t="shared" si="8"/>
        <v>257090381.74000001</v>
      </c>
      <c r="X68" s="36">
        <f t="shared" si="8"/>
        <v>256987513.76000002</v>
      </c>
      <c r="Y68" s="36">
        <f t="shared" si="8"/>
        <v>254476128.01000002</v>
      </c>
      <c r="Z68" s="36">
        <f t="shared" si="8"/>
        <v>201436978.55000001</v>
      </c>
      <c r="AA68" s="36">
        <f t="shared" si="8"/>
        <v>203665544.75</v>
      </c>
      <c r="AB68" s="36">
        <f t="shared" si="8"/>
        <v>203303644.64999998</v>
      </c>
      <c r="AC68" s="36">
        <f t="shared" si="8"/>
        <v>204511573.42999998</v>
      </c>
      <c r="AD68" s="36">
        <f t="shared" si="8"/>
        <v>132167621.75</v>
      </c>
      <c r="AE68" s="36">
        <f t="shared" si="8"/>
        <v>147242339.22</v>
      </c>
      <c r="AF68" s="36">
        <f t="shared" si="8"/>
        <v>132941700.69999999</v>
      </c>
      <c r="AG68" s="36">
        <f t="shared" si="8"/>
        <v>97360289.589999989</v>
      </c>
      <c r="AH68" s="36">
        <f t="shared" si="8"/>
        <v>89294027.760000005</v>
      </c>
      <c r="AI68" s="36">
        <f t="shared" si="8"/>
        <v>91202893.399999991</v>
      </c>
      <c r="AJ68" s="36">
        <f t="shared" si="8"/>
        <v>92538002.109999999</v>
      </c>
      <c r="AK68" s="36">
        <f t="shared" si="8"/>
        <v>95606980.600000009</v>
      </c>
      <c r="AL68" s="36">
        <f t="shared" si="8"/>
        <v>100311550.92999999</v>
      </c>
      <c r="AM68" s="36">
        <f t="shared" si="8"/>
        <v>103160706.26000001</v>
      </c>
      <c r="AN68" s="36">
        <f t="shared" si="8"/>
        <v>105752009.43000001</v>
      </c>
      <c r="AO68" s="36">
        <f t="shared" si="8"/>
        <v>108538430.85000001</v>
      </c>
      <c r="AP68" s="36">
        <f t="shared" si="8"/>
        <v>119754553.23999999</v>
      </c>
      <c r="AQ68" s="36">
        <f t="shared" si="8"/>
        <v>122989834.01000001</v>
      </c>
      <c r="AR68" s="36">
        <f t="shared" si="8"/>
        <v>130363097.53000002</v>
      </c>
      <c r="AS68" s="36">
        <f t="shared" si="8"/>
        <v>131471450.87</v>
      </c>
      <c r="AT68" s="36">
        <f t="shared" si="8"/>
        <v>131114669.23000002</v>
      </c>
      <c r="AU68" s="36">
        <f t="shared" si="8"/>
        <v>135046612.16</v>
      </c>
      <c r="AV68" s="36">
        <f t="shared" si="8"/>
        <v>136583891.10000002</v>
      </c>
      <c r="AW68" s="36">
        <f t="shared" si="8"/>
        <v>140000867.26999998</v>
      </c>
      <c r="AX68" s="36">
        <f t="shared" si="8"/>
        <v>139714254.43000001</v>
      </c>
      <c r="AY68" s="36">
        <f t="shared" si="8"/>
        <v>136494340.47</v>
      </c>
      <c r="AZ68" s="36">
        <f t="shared" si="8"/>
        <v>127971375.47999999</v>
      </c>
      <c r="BA68" s="36">
        <f t="shared" si="8"/>
        <v>129289338.47</v>
      </c>
      <c r="BB68" s="36">
        <f t="shared" si="8"/>
        <v>121466620.28</v>
      </c>
      <c r="BC68" s="36">
        <f t="shared" si="8"/>
        <v>120069260.89999999</v>
      </c>
      <c r="BD68" s="36">
        <f t="shared" si="8"/>
        <v>122521010.25</v>
      </c>
      <c r="BE68" s="36">
        <f t="shared" si="8"/>
        <v>97034992.449999988</v>
      </c>
      <c r="BF68" s="36">
        <f t="shared" si="8"/>
        <v>79949600.739999995</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10863138496.080002</v>
      </c>
      <c r="C69" s="33">
        <f t="shared" ref="C69:BN69" si="10">C50+C68</f>
        <v>9604070642.0799999</v>
      </c>
      <c r="D69" s="33">
        <f t="shared" si="10"/>
        <v>7680427660.1799994</v>
      </c>
      <c r="E69" s="33">
        <f t="shared" si="10"/>
        <v>6613933779.2499981</v>
      </c>
      <c r="F69" s="33">
        <f t="shared" si="10"/>
        <v>3512699470.0300002</v>
      </c>
      <c r="G69" s="33">
        <f t="shared" si="10"/>
        <v>2953550073.5500007</v>
      </c>
      <c r="H69" s="33">
        <f t="shared" si="10"/>
        <v>2850227889.9099994</v>
      </c>
      <c r="I69" s="33">
        <f t="shared" si="10"/>
        <v>2467569275.3400002</v>
      </c>
      <c r="J69" s="33">
        <f t="shared" si="10"/>
        <v>2551337412.8099999</v>
      </c>
      <c r="K69" s="33">
        <f t="shared" si="10"/>
        <v>2366067603.6599998</v>
      </c>
      <c r="L69" s="33">
        <f t="shared" si="10"/>
        <v>1870962454.3000002</v>
      </c>
      <c r="M69" s="33">
        <f t="shared" si="10"/>
        <v>1690273439.1199999</v>
      </c>
      <c r="N69" s="33">
        <f t="shared" si="10"/>
        <v>1652797616.4600003</v>
      </c>
      <c r="O69" s="33">
        <f t="shared" si="10"/>
        <v>269501862.92999995</v>
      </c>
      <c r="P69" s="33">
        <f t="shared" si="10"/>
        <v>211284950.63</v>
      </c>
      <c r="Q69" s="33">
        <f t="shared" si="10"/>
        <v>192360383</v>
      </c>
      <c r="R69" s="33">
        <f t="shared" si="10"/>
        <v>316730591.57000005</v>
      </c>
      <c r="S69" s="33">
        <f t="shared" si="10"/>
        <v>350741684.63999999</v>
      </c>
      <c r="T69" s="33">
        <f t="shared" si="10"/>
        <v>231938746.84999996</v>
      </c>
      <c r="U69" s="33">
        <f t="shared" si="10"/>
        <v>205172324.28000003</v>
      </c>
      <c r="V69" s="33">
        <f t="shared" si="10"/>
        <v>365122807.12</v>
      </c>
      <c r="W69" s="33">
        <f t="shared" si="10"/>
        <v>368024404.45999998</v>
      </c>
      <c r="X69" s="33">
        <f t="shared" si="10"/>
        <v>315829508.89000005</v>
      </c>
      <c r="Y69" s="33">
        <f t="shared" si="10"/>
        <v>299721074.26999998</v>
      </c>
      <c r="Z69" s="33">
        <f t="shared" si="10"/>
        <v>243328972.13</v>
      </c>
      <c r="AA69" s="33">
        <f t="shared" si="10"/>
        <v>290896565.01999998</v>
      </c>
      <c r="AB69" s="33">
        <f t="shared" si="10"/>
        <v>233464298.47999996</v>
      </c>
      <c r="AC69" s="33">
        <f t="shared" si="10"/>
        <v>234047483.53999996</v>
      </c>
      <c r="AD69" s="33">
        <f t="shared" si="10"/>
        <v>222649855.13999999</v>
      </c>
      <c r="AE69" s="33">
        <f t="shared" si="10"/>
        <v>244222106.29999998</v>
      </c>
      <c r="AF69" s="33">
        <f t="shared" si="10"/>
        <v>186440415.18000001</v>
      </c>
      <c r="AG69" s="33">
        <f t="shared" si="10"/>
        <v>152402093.34999996</v>
      </c>
      <c r="AH69" s="33">
        <f t="shared" si="10"/>
        <v>132836999.02000001</v>
      </c>
      <c r="AI69" s="33">
        <f t="shared" si="10"/>
        <v>102633825.66999999</v>
      </c>
      <c r="AJ69" s="33">
        <f t="shared" si="10"/>
        <v>84880485.019999996</v>
      </c>
      <c r="AK69" s="33">
        <f t="shared" si="10"/>
        <v>93425564.189999998</v>
      </c>
      <c r="AL69" s="33">
        <f t="shared" si="10"/>
        <v>107657872.32000001</v>
      </c>
      <c r="AM69" s="33">
        <f t="shared" si="10"/>
        <v>110998132.84</v>
      </c>
      <c r="AN69" s="33">
        <f t="shared" si="10"/>
        <v>110497673.77000001</v>
      </c>
      <c r="AO69" s="33">
        <f t="shared" si="10"/>
        <v>122403825.96000001</v>
      </c>
      <c r="AP69" s="33">
        <f t="shared" si="10"/>
        <v>132983654.97999999</v>
      </c>
      <c r="AQ69" s="33">
        <f t="shared" si="10"/>
        <v>133140008.28</v>
      </c>
      <c r="AR69" s="33">
        <f t="shared" si="10"/>
        <v>116700872.12000002</v>
      </c>
      <c r="AS69" s="33">
        <f t="shared" si="10"/>
        <v>135312912.69</v>
      </c>
      <c r="AT69" s="33">
        <f t="shared" si="10"/>
        <v>108493698.49000001</v>
      </c>
      <c r="AU69" s="33">
        <f t="shared" si="10"/>
        <v>107356582.34999999</v>
      </c>
      <c r="AV69" s="33">
        <f t="shared" si="10"/>
        <v>116066319.65000002</v>
      </c>
      <c r="AW69" s="33">
        <f t="shared" si="10"/>
        <v>126083384.60999998</v>
      </c>
      <c r="AX69" s="33">
        <f t="shared" si="10"/>
        <v>125625994.79000001</v>
      </c>
      <c r="AY69" s="33">
        <f t="shared" si="10"/>
        <v>108703877.58</v>
      </c>
      <c r="AZ69" s="33">
        <f t="shared" si="10"/>
        <v>109098967.19999999</v>
      </c>
      <c r="BA69" s="33">
        <f t="shared" si="10"/>
        <v>103601623.56</v>
      </c>
      <c r="BB69" s="33">
        <f t="shared" si="10"/>
        <v>111613693.79000001</v>
      </c>
      <c r="BC69" s="33">
        <f t="shared" si="10"/>
        <v>101234156.39</v>
      </c>
      <c r="BD69" s="33">
        <f t="shared" si="10"/>
        <v>108715702.48</v>
      </c>
      <c r="BE69" s="33">
        <f t="shared" si="10"/>
        <v>82067209.239999995</v>
      </c>
      <c r="BF69" s="33">
        <f t="shared" si="10"/>
        <v>62716395.569999993</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12987580194.300001</v>
      </c>
      <c r="C70" s="37">
        <f t="shared" ref="C70:BN70" si="12">C17+C19+C69</f>
        <v>11946734973.33</v>
      </c>
      <c r="D70" s="37">
        <f t="shared" si="12"/>
        <v>10970190785.84</v>
      </c>
      <c r="E70" s="37">
        <f t="shared" si="12"/>
        <v>9588355108.5199986</v>
      </c>
      <c r="F70" s="37">
        <f t="shared" si="12"/>
        <v>6068225844.1000004</v>
      </c>
      <c r="G70" s="37">
        <f t="shared" si="12"/>
        <v>5701498539.0600014</v>
      </c>
      <c r="H70" s="37">
        <f t="shared" si="12"/>
        <v>5227042939.2999992</v>
      </c>
      <c r="I70" s="37">
        <f t="shared" si="12"/>
        <v>4868932410.5799999</v>
      </c>
      <c r="J70" s="37">
        <f t="shared" si="12"/>
        <v>4493697990.3899994</v>
      </c>
      <c r="K70" s="37">
        <f t="shared" si="12"/>
        <v>4041827564.3599997</v>
      </c>
      <c r="L70" s="37">
        <f t="shared" si="12"/>
        <v>3864579702.96</v>
      </c>
      <c r="M70" s="37">
        <f t="shared" si="12"/>
        <v>3906830452.8699999</v>
      </c>
      <c r="N70" s="37">
        <f t="shared" si="12"/>
        <v>3428439251.9400005</v>
      </c>
      <c r="O70" s="37">
        <f t="shared" si="12"/>
        <v>513337376.82999992</v>
      </c>
      <c r="P70" s="37">
        <f t="shared" si="12"/>
        <v>475484983.52999997</v>
      </c>
      <c r="Q70" s="37">
        <f t="shared" si="12"/>
        <v>551152019.73000002</v>
      </c>
      <c r="R70" s="37">
        <f t="shared" si="12"/>
        <v>667968071.6500001</v>
      </c>
      <c r="S70" s="37">
        <f t="shared" si="12"/>
        <v>653504306.26999998</v>
      </c>
      <c r="T70" s="37">
        <f t="shared" si="12"/>
        <v>655749959.06999993</v>
      </c>
      <c r="U70" s="37">
        <f t="shared" si="12"/>
        <v>643067086.94000006</v>
      </c>
      <c r="V70" s="37">
        <f t="shared" si="12"/>
        <v>561214642.62</v>
      </c>
      <c r="W70" s="37">
        <f t="shared" si="12"/>
        <v>538262261.86000001</v>
      </c>
      <c r="X70" s="37">
        <f t="shared" si="12"/>
        <v>583394219.73000002</v>
      </c>
      <c r="Y70" s="37">
        <f t="shared" si="12"/>
        <v>581634219.13999999</v>
      </c>
      <c r="Z70" s="37">
        <f t="shared" si="12"/>
        <v>471835221.53999996</v>
      </c>
      <c r="AA70" s="37">
        <f t="shared" si="12"/>
        <v>444027389.35000002</v>
      </c>
      <c r="AB70" s="37">
        <f t="shared" si="12"/>
        <v>440932487.42999995</v>
      </c>
      <c r="AC70" s="37">
        <f t="shared" si="12"/>
        <v>433303729.76999998</v>
      </c>
      <c r="AD70" s="37">
        <f t="shared" si="12"/>
        <v>407703294.36000001</v>
      </c>
      <c r="AE70" s="37">
        <f t="shared" si="12"/>
        <v>385292777.78999996</v>
      </c>
      <c r="AF70" s="37">
        <f t="shared" si="12"/>
        <v>356445077.36000001</v>
      </c>
      <c r="AG70" s="37">
        <f t="shared" si="12"/>
        <v>352249002.89999998</v>
      </c>
      <c r="AH70" s="37">
        <f t="shared" si="12"/>
        <v>346315323</v>
      </c>
      <c r="AI70" s="37">
        <f t="shared" si="12"/>
        <v>339423753.81999993</v>
      </c>
      <c r="AJ70" s="37">
        <f t="shared" si="12"/>
        <v>366560728.91999996</v>
      </c>
      <c r="AK70" s="37">
        <f t="shared" si="12"/>
        <v>359737405.33000004</v>
      </c>
      <c r="AL70" s="37">
        <f t="shared" si="12"/>
        <v>356545476.48000002</v>
      </c>
      <c r="AM70" s="37">
        <f t="shared" si="12"/>
        <v>353575415.81999999</v>
      </c>
      <c r="AN70" s="37">
        <f t="shared" si="12"/>
        <v>346406484.88</v>
      </c>
      <c r="AO70" s="37">
        <f t="shared" si="12"/>
        <v>346073242.06</v>
      </c>
      <c r="AP70" s="37">
        <f t="shared" si="12"/>
        <v>339517204.15999997</v>
      </c>
      <c r="AQ70" s="37">
        <f t="shared" si="12"/>
        <v>337249181.74000001</v>
      </c>
      <c r="AR70" s="37">
        <f t="shared" si="12"/>
        <v>333519115.91000003</v>
      </c>
      <c r="AS70" s="37">
        <f t="shared" si="12"/>
        <v>331772374.34000003</v>
      </c>
      <c r="AT70" s="37">
        <f t="shared" si="12"/>
        <v>326843019.59000003</v>
      </c>
      <c r="AU70" s="37">
        <f t="shared" si="12"/>
        <v>317739028.5</v>
      </c>
      <c r="AV70" s="37">
        <f t="shared" si="12"/>
        <v>331488572</v>
      </c>
      <c r="AW70" s="37">
        <f t="shared" si="12"/>
        <v>321921565.42999995</v>
      </c>
      <c r="AX70" s="37">
        <f t="shared" si="12"/>
        <v>311997842.06</v>
      </c>
      <c r="AY70" s="37">
        <f t="shared" si="12"/>
        <v>306444749.17000002</v>
      </c>
      <c r="AZ70" s="37">
        <f t="shared" si="12"/>
        <v>307142895.07999998</v>
      </c>
      <c r="BA70" s="37">
        <f t="shared" si="12"/>
        <v>302468173.07999998</v>
      </c>
      <c r="BB70" s="37">
        <f t="shared" si="12"/>
        <v>324277573.09000003</v>
      </c>
      <c r="BC70" s="37">
        <f t="shared" si="12"/>
        <v>310852297.63</v>
      </c>
      <c r="BD70" s="37">
        <f t="shared" si="12"/>
        <v>166984462.97</v>
      </c>
      <c r="BE70" s="37">
        <f t="shared" si="12"/>
        <v>145684772.47</v>
      </c>
      <c r="BF70" s="37">
        <f t="shared" si="12"/>
        <v>117460417.88</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1587771274.52</v>
      </c>
      <c r="F72" s="28">
        <f t="shared" ref="F72:BQ72" si="14">SUM(F73:F77)</f>
        <v>1316384375.6600001</v>
      </c>
      <c r="G72" s="28">
        <f t="shared" si="14"/>
        <v>1266217843.97</v>
      </c>
      <c r="H72" s="28">
        <f t="shared" si="14"/>
        <v>1315622928.47</v>
      </c>
      <c r="I72" s="28">
        <f t="shared" si="14"/>
        <v>988673986.13000011</v>
      </c>
      <c r="J72" s="28">
        <f t="shared" si="14"/>
        <v>948778018.99000001</v>
      </c>
      <c r="K72" s="28">
        <f t="shared" si="14"/>
        <v>675854418.39999998</v>
      </c>
      <c r="L72" s="28">
        <f t="shared" si="14"/>
        <v>639190330.73000002</v>
      </c>
      <c r="M72" s="28">
        <f t="shared" si="14"/>
        <v>544149414.96000004</v>
      </c>
      <c r="N72" s="28">
        <f t="shared" si="14"/>
        <v>388075646.63999999</v>
      </c>
      <c r="O72" s="28">
        <f t="shared" si="14"/>
        <v>52000000</v>
      </c>
      <c r="P72" s="28">
        <f t="shared" si="14"/>
        <v>2022123.98</v>
      </c>
      <c r="Q72" s="28">
        <f t="shared" si="14"/>
        <v>80005299.329999998</v>
      </c>
      <c r="R72" s="28">
        <f t="shared" si="14"/>
        <v>162000000</v>
      </c>
      <c r="S72" s="28">
        <f t="shared" si="14"/>
        <v>186000000</v>
      </c>
      <c r="T72" s="28">
        <f t="shared" si="14"/>
        <v>185000000</v>
      </c>
      <c r="U72" s="28">
        <f t="shared" si="14"/>
        <v>176000000</v>
      </c>
      <c r="V72" s="28">
        <f t="shared" si="14"/>
        <v>14000000</v>
      </c>
      <c r="W72" s="28">
        <f t="shared" si="14"/>
        <v>18000000</v>
      </c>
      <c r="X72" s="28">
        <f t="shared" si="14"/>
        <v>21000000</v>
      </c>
      <c r="Y72" s="28">
        <f t="shared" si="14"/>
        <v>24000000</v>
      </c>
      <c r="Z72" s="28">
        <f t="shared" si="14"/>
        <v>16000000</v>
      </c>
      <c r="AA72" s="28">
        <f t="shared" si="14"/>
        <v>16000000</v>
      </c>
      <c r="AB72" s="28">
        <f t="shared" si="14"/>
        <v>23000000</v>
      </c>
      <c r="AC72" s="28">
        <f t="shared" si="14"/>
        <v>20018790.41</v>
      </c>
      <c r="AD72" s="28">
        <f t="shared" si="14"/>
        <v>20000000</v>
      </c>
      <c r="AE72" s="28">
        <f t="shared" si="14"/>
        <v>10000000</v>
      </c>
      <c r="AF72" s="28">
        <f t="shared" si="14"/>
        <v>3048799.73</v>
      </c>
      <c r="AG72" s="28">
        <f t="shared" si="14"/>
        <v>4048799.73</v>
      </c>
      <c r="AH72" s="28">
        <f t="shared" si="14"/>
        <v>5000000</v>
      </c>
      <c r="AI72" s="28">
        <f t="shared" si="14"/>
        <v>7000000</v>
      </c>
      <c r="AJ72" s="28">
        <f t="shared" si="14"/>
        <v>23000000</v>
      </c>
      <c r="AK72" s="28">
        <f t="shared" si="14"/>
        <v>20000000</v>
      </c>
      <c r="AL72" s="28">
        <f t="shared" si="14"/>
        <v>20000000</v>
      </c>
      <c r="AM72" s="28">
        <f t="shared" si="14"/>
        <v>22500000</v>
      </c>
      <c r="AN72" s="28">
        <f t="shared" si="14"/>
        <v>8500000</v>
      </c>
      <c r="AO72" s="28">
        <f t="shared" si="14"/>
        <v>11000000</v>
      </c>
      <c r="AP72" s="28">
        <f t="shared" si="14"/>
        <v>11000000</v>
      </c>
      <c r="AQ72" s="28">
        <f t="shared" si="14"/>
        <v>14500000</v>
      </c>
      <c r="AR72" s="28">
        <f t="shared" si="14"/>
        <v>12000000</v>
      </c>
      <c r="AS72" s="28">
        <f t="shared" si="14"/>
        <v>12000000</v>
      </c>
      <c r="AT72" s="28">
        <f t="shared" si="14"/>
        <v>14000000</v>
      </c>
      <c r="AU72" s="28">
        <f t="shared" si="14"/>
        <v>20000000</v>
      </c>
      <c r="AV72" s="28">
        <f t="shared" si="14"/>
        <v>20151625</v>
      </c>
      <c r="AW72" s="28">
        <f t="shared" si="14"/>
        <v>15000000</v>
      </c>
      <c r="AX72" s="28">
        <f t="shared" si="14"/>
        <v>12000000</v>
      </c>
      <c r="AY72" s="28">
        <f t="shared" si="14"/>
        <v>12000000</v>
      </c>
      <c r="AZ72" s="28">
        <f t="shared" si="14"/>
        <v>10000000</v>
      </c>
      <c r="BA72" s="28">
        <f t="shared" si="14"/>
        <v>10000000</v>
      </c>
      <c r="BB72" s="28">
        <f t="shared" si="14"/>
        <v>10000000</v>
      </c>
      <c r="BC72" s="28">
        <f t="shared" si="14"/>
        <v>11800000</v>
      </c>
      <c r="BD72" s="28">
        <f t="shared" si="14"/>
        <v>10700000</v>
      </c>
      <c r="BE72" s="28">
        <f t="shared" si="14"/>
        <v>11300000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2463059015.0500002</v>
      </c>
      <c r="C73" s="190">
        <v>2304398052.0300002</v>
      </c>
      <c r="D73" s="190">
        <v>1721734400</v>
      </c>
      <c r="E73" s="190">
        <v>1144429300</v>
      </c>
      <c r="F73" s="190">
        <v>910000000</v>
      </c>
      <c r="G73" s="190">
        <v>945000000</v>
      </c>
      <c r="H73" s="190">
        <v>1035000000</v>
      </c>
      <c r="I73" s="190">
        <v>830000000</v>
      </c>
      <c r="J73" s="190">
        <v>842000000</v>
      </c>
      <c r="K73" s="190">
        <v>595000000</v>
      </c>
      <c r="L73" s="190">
        <v>578500000</v>
      </c>
      <c r="M73" s="190">
        <v>478500000</v>
      </c>
      <c r="N73" s="190">
        <v>332900000</v>
      </c>
      <c r="O73" s="190">
        <v>50000000</v>
      </c>
      <c r="P73" s="190">
        <v>0</v>
      </c>
      <c r="Q73" s="190">
        <v>80000000</v>
      </c>
      <c r="R73" s="190">
        <v>162000000</v>
      </c>
      <c r="S73" s="190">
        <v>186000000</v>
      </c>
      <c r="T73" s="190">
        <v>165000000</v>
      </c>
      <c r="U73" s="190">
        <v>156000000</v>
      </c>
      <c r="V73" s="190">
        <v>6000000</v>
      </c>
      <c r="W73" s="190">
        <v>10000000</v>
      </c>
      <c r="X73" s="190">
        <v>13000000</v>
      </c>
      <c r="Y73" s="190">
        <v>16000000</v>
      </c>
      <c r="Z73" s="190">
        <v>16000000</v>
      </c>
      <c r="AA73" s="190">
        <v>16000000</v>
      </c>
      <c r="AB73" s="190">
        <v>23000000</v>
      </c>
      <c r="AC73" s="190">
        <v>20000000</v>
      </c>
      <c r="AD73" s="190">
        <v>20000000</v>
      </c>
      <c r="AE73" s="190">
        <v>10000000</v>
      </c>
      <c r="AF73" s="190">
        <v>3000000</v>
      </c>
      <c r="AG73" s="190">
        <v>4000000</v>
      </c>
      <c r="AH73" s="190">
        <v>5000000</v>
      </c>
      <c r="AI73" s="190">
        <v>7000000</v>
      </c>
      <c r="AJ73" s="190">
        <v>23000000</v>
      </c>
      <c r="AK73" s="190">
        <v>20000000</v>
      </c>
      <c r="AL73" s="190">
        <v>20000000</v>
      </c>
      <c r="AM73" s="190">
        <v>22500000</v>
      </c>
      <c r="AN73" s="190">
        <v>8500000</v>
      </c>
      <c r="AO73" s="190">
        <v>11000000</v>
      </c>
      <c r="AP73" s="190">
        <v>11000000</v>
      </c>
      <c r="AQ73" s="190">
        <v>14500000</v>
      </c>
      <c r="AR73" s="190">
        <v>12000000</v>
      </c>
      <c r="AS73" s="190">
        <v>12000000</v>
      </c>
      <c r="AT73" s="190">
        <v>14000000</v>
      </c>
      <c r="AU73" s="190">
        <v>20000000</v>
      </c>
      <c r="AV73" s="190">
        <v>20000000</v>
      </c>
      <c r="AW73" s="190">
        <v>15000000</v>
      </c>
      <c r="AX73" s="190">
        <v>12000000</v>
      </c>
      <c r="AY73" s="190">
        <v>12000000</v>
      </c>
      <c r="AZ73" s="190">
        <v>10000000</v>
      </c>
      <c r="BA73" s="190">
        <v>10000000</v>
      </c>
      <c r="BB73" s="190">
        <v>10000000</v>
      </c>
      <c r="BC73" s="190">
        <v>11800000</v>
      </c>
      <c r="BD73" s="190">
        <v>10700000</v>
      </c>
      <c r="BE73" s="190">
        <v>11300000</v>
      </c>
      <c r="BF73" s="190">
        <v>0</v>
      </c>
      <c r="BG73" s="190">
        <v>0</v>
      </c>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21710241.640000001</v>
      </c>
      <c r="D74" s="190">
        <v>34521103.68</v>
      </c>
      <c r="E74" s="190">
        <v>34571686.479999997</v>
      </c>
      <c r="F74" s="190">
        <v>20761522.449999999</v>
      </c>
      <c r="G74" s="190">
        <v>8321447.4800000004</v>
      </c>
      <c r="H74" s="190">
        <v>2253263.31</v>
      </c>
      <c r="I74" s="190">
        <v>1950490.82</v>
      </c>
      <c r="J74" s="190">
        <v>1251335.03</v>
      </c>
      <c r="K74" s="190">
        <v>935563.65</v>
      </c>
      <c r="L74" s="190">
        <v>821847.92</v>
      </c>
      <c r="M74" s="190">
        <v>810416.35</v>
      </c>
      <c r="N74" s="190">
        <v>700000</v>
      </c>
      <c r="O74" s="190">
        <v>0</v>
      </c>
      <c r="P74" s="190">
        <v>22123.98</v>
      </c>
      <c r="Q74" s="190">
        <v>5299.33</v>
      </c>
      <c r="R74" s="190">
        <v>0</v>
      </c>
      <c r="S74" s="190">
        <v>0</v>
      </c>
      <c r="T74" s="190">
        <v>0</v>
      </c>
      <c r="U74" s="190">
        <v>0</v>
      </c>
      <c r="V74" s="190">
        <v>0</v>
      </c>
      <c r="W74" s="190">
        <v>0</v>
      </c>
      <c r="X74" s="190">
        <v>0</v>
      </c>
      <c r="Y74" s="190">
        <v>0</v>
      </c>
      <c r="Z74" s="190">
        <v>0</v>
      </c>
      <c r="AA74" s="190">
        <v>0</v>
      </c>
      <c r="AB74" s="190">
        <v>0</v>
      </c>
      <c r="AC74" s="190">
        <v>18790.41</v>
      </c>
      <c r="AD74" s="190">
        <v>0</v>
      </c>
      <c r="AE74" s="190">
        <v>0</v>
      </c>
      <c r="AF74" s="190">
        <v>48799.73</v>
      </c>
      <c r="AG74" s="190">
        <v>48799.73</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151625</v>
      </c>
      <c r="AW74" s="190">
        <v>0</v>
      </c>
      <c r="AX74" s="190">
        <v>0</v>
      </c>
      <c r="AY74" s="190">
        <v>0</v>
      </c>
      <c r="AZ74" s="190">
        <v>0</v>
      </c>
      <c r="BA74" s="190">
        <v>0</v>
      </c>
      <c r="BB74" s="190">
        <v>0</v>
      </c>
      <c r="BC74" s="190">
        <v>0</v>
      </c>
      <c r="BD74" s="190">
        <v>0</v>
      </c>
      <c r="BE74" s="190">
        <v>0</v>
      </c>
      <c r="BF74" s="190">
        <v>0</v>
      </c>
      <c r="BG74" s="190">
        <v>0</v>
      </c>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599433114.51999998</v>
      </c>
      <c r="C76" s="190">
        <v>649691077.27999997</v>
      </c>
      <c r="D76" s="190">
        <v>548587032.95000005</v>
      </c>
      <c r="E76" s="190">
        <v>408770288.04000002</v>
      </c>
      <c r="F76" s="190">
        <v>385622853.20999998</v>
      </c>
      <c r="G76" s="190">
        <v>312896396.49000001</v>
      </c>
      <c r="H76" s="190">
        <v>278369665.16000003</v>
      </c>
      <c r="I76" s="190">
        <v>156723495.31</v>
      </c>
      <c r="J76" s="190">
        <v>105526683.95999999</v>
      </c>
      <c r="K76" s="190">
        <v>79918854.75</v>
      </c>
      <c r="L76" s="190">
        <v>59868482.810000002</v>
      </c>
      <c r="M76" s="190">
        <v>64838998.609999999</v>
      </c>
      <c r="N76" s="190">
        <v>54475646.640000001</v>
      </c>
      <c r="O76" s="190">
        <v>2000000</v>
      </c>
      <c r="P76" s="190">
        <v>2000000</v>
      </c>
      <c r="Q76" s="190">
        <v>0</v>
      </c>
      <c r="R76" s="190">
        <v>0</v>
      </c>
      <c r="S76" s="190">
        <v>0</v>
      </c>
      <c r="T76" s="190">
        <v>20000000</v>
      </c>
      <c r="U76" s="190">
        <v>20000000</v>
      </c>
      <c r="V76" s="190">
        <v>8000000</v>
      </c>
      <c r="W76" s="190">
        <v>8000000</v>
      </c>
      <c r="X76" s="190">
        <v>8000000</v>
      </c>
      <c r="Y76" s="190">
        <v>8000000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1091867893.8699999</v>
      </c>
      <c r="F81" s="28">
        <f t="shared" ref="F81:BQ81" si="16">SUM(F82:F85)</f>
        <v>911540029.73000002</v>
      </c>
      <c r="G81" s="28">
        <f t="shared" si="16"/>
        <v>830724190.50999999</v>
      </c>
      <c r="H81" s="28">
        <f t="shared" si="16"/>
        <v>433517497.26999998</v>
      </c>
      <c r="I81" s="28">
        <f t="shared" si="16"/>
        <v>295424156.00999999</v>
      </c>
      <c r="J81" s="28">
        <f t="shared" si="16"/>
        <v>207769804.49000001</v>
      </c>
      <c r="K81" s="28">
        <f t="shared" si="16"/>
        <v>109862172.38</v>
      </c>
      <c r="L81" s="28">
        <f t="shared" si="16"/>
        <v>115187847.72</v>
      </c>
      <c r="M81" s="28">
        <f t="shared" si="16"/>
        <v>120302910.97999999</v>
      </c>
      <c r="N81" s="28">
        <f t="shared" si="16"/>
        <v>87763275.109999999</v>
      </c>
      <c r="O81" s="28">
        <f t="shared" si="16"/>
        <v>20000000</v>
      </c>
      <c r="P81" s="28">
        <f t="shared" si="16"/>
        <v>20000000</v>
      </c>
      <c r="Q81" s="28">
        <f t="shared" si="16"/>
        <v>22000000</v>
      </c>
      <c r="R81" s="28">
        <f t="shared" si="16"/>
        <v>38747500</v>
      </c>
      <c r="S81" s="28">
        <f t="shared" si="16"/>
        <v>38965000</v>
      </c>
      <c r="T81" s="28">
        <f t="shared" si="16"/>
        <v>39400000</v>
      </c>
      <c r="U81" s="28">
        <f t="shared" si="16"/>
        <v>39400000</v>
      </c>
      <c r="V81" s="28">
        <f t="shared" si="16"/>
        <v>69400000</v>
      </c>
      <c r="W81" s="28">
        <f t="shared" si="16"/>
        <v>69400000</v>
      </c>
      <c r="X81" s="28">
        <f t="shared" si="16"/>
        <v>69400000</v>
      </c>
      <c r="Y81" s="28">
        <f t="shared" si="16"/>
        <v>69400000</v>
      </c>
      <c r="Z81" s="28">
        <f t="shared" si="16"/>
        <v>47400000</v>
      </c>
      <c r="AA81" s="28">
        <f t="shared" si="16"/>
        <v>47400000</v>
      </c>
      <c r="AB81" s="28">
        <f t="shared" si="16"/>
        <v>17400000</v>
      </c>
      <c r="AC81" s="28">
        <f t="shared" si="16"/>
        <v>17400000</v>
      </c>
      <c r="AD81" s="28">
        <f t="shared" si="16"/>
        <v>18337760.390000001</v>
      </c>
      <c r="AE81" s="28">
        <f t="shared" si="16"/>
        <v>28250760.390000001</v>
      </c>
      <c r="AF81" s="28">
        <f t="shared" si="16"/>
        <v>577760.39</v>
      </c>
      <c r="AG81" s="28">
        <f t="shared" si="16"/>
        <v>577760.39</v>
      </c>
      <c r="AH81" s="28">
        <f t="shared" si="16"/>
        <v>577760.39</v>
      </c>
      <c r="AI81" s="28">
        <f t="shared" si="16"/>
        <v>577760.39</v>
      </c>
      <c r="AJ81" s="28">
        <f t="shared" si="16"/>
        <v>1057760.3899999999</v>
      </c>
      <c r="AK81" s="28">
        <f t="shared" si="16"/>
        <v>1057760.3899999999</v>
      </c>
      <c r="AL81" s="28">
        <f t="shared" si="16"/>
        <v>2142258.16</v>
      </c>
      <c r="AM81" s="28">
        <f t="shared" si="16"/>
        <v>2177034.16</v>
      </c>
      <c r="AN81" s="28">
        <f t="shared" si="16"/>
        <v>3260960</v>
      </c>
      <c r="AO81" s="28">
        <f t="shared" si="16"/>
        <v>3260960</v>
      </c>
      <c r="AP81" s="28">
        <f t="shared" si="16"/>
        <v>480000</v>
      </c>
      <c r="AQ81" s="28">
        <f t="shared" si="16"/>
        <v>480000</v>
      </c>
      <c r="AR81" s="28">
        <f t="shared" si="16"/>
        <v>1647552.46</v>
      </c>
      <c r="AS81" s="28">
        <f t="shared" si="16"/>
        <v>1647552.46</v>
      </c>
      <c r="AT81" s="28">
        <f t="shared" si="16"/>
        <v>1167552.46</v>
      </c>
      <c r="AU81" s="28">
        <f t="shared" si="16"/>
        <v>1167552.46</v>
      </c>
      <c r="AV81" s="28">
        <f t="shared" si="16"/>
        <v>1167552.46</v>
      </c>
      <c r="AW81" s="28">
        <f t="shared" si="16"/>
        <v>1167552.46</v>
      </c>
      <c r="AX81" s="28">
        <f t="shared" si="16"/>
        <v>1167552.46</v>
      </c>
      <c r="AY81" s="28">
        <f t="shared" si="16"/>
        <v>1167552.46</v>
      </c>
      <c r="AZ81" s="28">
        <f t="shared" si="16"/>
        <v>1167552.46</v>
      </c>
      <c r="BA81" s="28">
        <f t="shared" si="16"/>
        <v>1167552.46</v>
      </c>
      <c r="BB81" s="28">
        <f t="shared" si="16"/>
        <v>1167552.46</v>
      </c>
      <c r="BC81" s="28">
        <f t="shared" si="16"/>
        <v>1167552.46</v>
      </c>
      <c r="BD81" s="28">
        <f t="shared" si="16"/>
        <v>1167552.46</v>
      </c>
      <c r="BE81" s="28">
        <f t="shared" si="16"/>
        <v>1167552.46</v>
      </c>
      <c r="BF81" s="28">
        <f t="shared" si="16"/>
        <v>1167552.46</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1213383866.0899999</v>
      </c>
      <c r="C82" s="190">
        <v>1053376196.48</v>
      </c>
      <c r="D82" s="190">
        <v>855572121.54999995</v>
      </c>
      <c r="E82" s="190">
        <v>603305502.75</v>
      </c>
      <c r="F82" s="190">
        <v>497768742.38</v>
      </c>
      <c r="G82" s="190">
        <v>392255367.37</v>
      </c>
      <c r="H82" s="190">
        <v>385804013.49000001</v>
      </c>
      <c r="I82" s="190">
        <v>245135157.19999999</v>
      </c>
      <c r="J82" s="190">
        <v>183406839.47</v>
      </c>
      <c r="K82" s="190">
        <v>89300000</v>
      </c>
      <c r="L82" s="190">
        <v>80537900</v>
      </c>
      <c r="M82" s="190">
        <v>86379900</v>
      </c>
      <c r="N82" s="190">
        <v>52934200</v>
      </c>
      <c r="O82" s="190">
        <v>20000000</v>
      </c>
      <c r="P82" s="190">
        <v>20000000</v>
      </c>
      <c r="Q82" s="190">
        <v>22000000</v>
      </c>
      <c r="R82" s="190">
        <v>22000000</v>
      </c>
      <c r="S82" s="190">
        <v>22000000</v>
      </c>
      <c r="T82" s="190">
        <v>22000000</v>
      </c>
      <c r="U82" s="190">
        <v>22000000</v>
      </c>
      <c r="V82" s="190">
        <v>52000000</v>
      </c>
      <c r="W82" s="190">
        <v>52000000</v>
      </c>
      <c r="X82" s="190">
        <v>52000000</v>
      </c>
      <c r="Y82" s="190">
        <v>52000000</v>
      </c>
      <c r="Z82" s="190">
        <v>30000000</v>
      </c>
      <c r="AA82" s="190">
        <v>30000000</v>
      </c>
      <c r="AB82" s="190">
        <v>0</v>
      </c>
      <c r="AC82" s="190">
        <v>0</v>
      </c>
      <c r="AD82" s="190">
        <v>0</v>
      </c>
      <c r="AE82" s="190">
        <v>10000000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v>0</v>
      </c>
      <c r="BD82" s="190">
        <v>0</v>
      </c>
      <c r="BE82" s="190">
        <v>0</v>
      </c>
      <c r="BF82" s="190">
        <v>0</v>
      </c>
      <c r="BG82" s="190">
        <v>0</v>
      </c>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895449541.11000001</v>
      </c>
      <c r="C83" s="190">
        <v>895037428.26999998</v>
      </c>
      <c r="D83" s="190">
        <v>894565460.17999995</v>
      </c>
      <c r="E83" s="190">
        <v>396498769.88</v>
      </c>
      <c r="F83" s="190">
        <v>396004160.23000002</v>
      </c>
      <c r="G83" s="190">
        <v>395828426.13</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141168333.19999999</v>
      </c>
      <c r="C84" s="190">
        <v>113921089.48</v>
      </c>
      <c r="D84" s="190">
        <v>101298979.3</v>
      </c>
      <c r="E84" s="190">
        <v>91850977.730000004</v>
      </c>
      <c r="F84" s="190">
        <v>17767127.120000001</v>
      </c>
      <c r="G84" s="190">
        <v>42640397.009999998</v>
      </c>
      <c r="H84" s="190">
        <v>47713483.780000001</v>
      </c>
      <c r="I84" s="190">
        <v>50288998.810000002</v>
      </c>
      <c r="J84" s="190">
        <v>24362965.02</v>
      </c>
      <c r="K84" s="190">
        <v>20562172.379999999</v>
      </c>
      <c r="L84" s="190">
        <v>34649947.719999999</v>
      </c>
      <c r="M84" s="190">
        <v>33923010.979999997</v>
      </c>
      <c r="N84" s="190">
        <v>34829075.109999999</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327723.27</v>
      </c>
      <c r="C85" s="190">
        <v>295091.34000000003</v>
      </c>
      <c r="D85" s="190">
        <v>240736.09</v>
      </c>
      <c r="E85" s="190">
        <v>212643.51</v>
      </c>
      <c r="F85" s="190">
        <v>0</v>
      </c>
      <c r="G85" s="190">
        <v>0</v>
      </c>
      <c r="H85" s="190">
        <v>0</v>
      </c>
      <c r="I85" s="190">
        <v>0</v>
      </c>
      <c r="J85" s="190">
        <v>0</v>
      </c>
      <c r="K85" s="190">
        <v>0</v>
      </c>
      <c r="L85" s="190">
        <v>0</v>
      </c>
      <c r="M85" s="190">
        <v>0</v>
      </c>
      <c r="N85" s="190">
        <v>0</v>
      </c>
      <c r="O85" s="190">
        <v>0</v>
      </c>
      <c r="P85" s="190">
        <v>0</v>
      </c>
      <c r="Q85" s="190">
        <v>0</v>
      </c>
      <c r="R85" s="190">
        <v>16747500</v>
      </c>
      <c r="S85" s="190">
        <v>16965000</v>
      </c>
      <c r="T85" s="190">
        <v>17400000</v>
      </c>
      <c r="U85" s="190">
        <v>17400000</v>
      </c>
      <c r="V85" s="190">
        <v>17400000</v>
      </c>
      <c r="W85" s="190">
        <v>17400000</v>
      </c>
      <c r="X85" s="190">
        <v>17400000</v>
      </c>
      <c r="Y85" s="190">
        <v>17400000</v>
      </c>
      <c r="Z85" s="190">
        <v>17400000</v>
      </c>
      <c r="AA85" s="190">
        <v>17400000</v>
      </c>
      <c r="AB85" s="190">
        <v>17400000</v>
      </c>
      <c r="AC85" s="190">
        <v>17400000</v>
      </c>
      <c r="AD85" s="190">
        <v>18337760.390000001</v>
      </c>
      <c r="AE85" s="190">
        <v>18250760.390000001</v>
      </c>
      <c r="AF85" s="190">
        <v>577760.39</v>
      </c>
      <c r="AG85" s="190">
        <v>577760.39</v>
      </c>
      <c r="AH85" s="190">
        <v>577760.39</v>
      </c>
      <c r="AI85" s="190">
        <v>577760.39</v>
      </c>
      <c r="AJ85" s="190">
        <v>1057760.3899999999</v>
      </c>
      <c r="AK85" s="190">
        <v>1057760.3899999999</v>
      </c>
      <c r="AL85" s="190">
        <v>2142258.16</v>
      </c>
      <c r="AM85" s="190">
        <v>2177034.16</v>
      </c>
      <c r="AN85" s="190">
        <v>3260960</v>
      </c>
      <c r="AO85" s="190">
        <v>3260960</v>
      </c>
      <c r="AP85" s="190">
        <v>480000</v>
      </c>
      <c r="AQ85" s="190">
        <v>480000</v>
      </c>
      <c r="AR85" s="190">
        <v>1647552.46</v>
      </c>
      <c r="AS85" s="190">
        <v>1647552.46</v>
      </c>
      <c r="AT85" s="190">
        <v>1167552.46</v>
      </c>
      <c r="AU85" s="190">
        <v>1167552.46</v>
      </c>
      <c r="AV85" s="190">
        <v>1167552.46</v>
      </c>
      <c r="AW85" s="190">
        <v>1167552.46</v>
      </c>
      <c r="AX85" s="190">
        <v>1167552.46</v>
      </c>
      <c r="AY85" s="190">
        <v>1167552.46</v>
      </c>
      <c r="AZ85" s="190">
        <v>1167552.46</v>
      </c>
      <c r="BA85" s="190">
        <v>1167552.46</v>
      </c>
      <c r="BB85" s="190">
        <v>1167552.46</v>
      </c>
      <c r="BC85" s="190">
        <v>1167552.46</v>
      </c>
      <c r="BD85" s="190">
        <v>1167552.46</v>
      </c>
      <c r="BE85" s="190">
        <v>1167552.46</v>
      </c>
      <c r="BF85" s="190">
        <v>1167552.46</v>
      </c>
      <c r="BG85" s="190">
        <v>0</v>
      </c>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5312821593.2399998</v>
      </c>
      <c r="C89" s="33">
        <f>SUM(C73:C85)</f>
        <v>5038429176.5199995</v>
      </c>
      <c r="D89" s="33">
        <f>SUM(D73:D85)</f>
        <v>4156519833.7500005</v>
      </c>
      <c r="E89" s="33">
        <f>E72+E81</f>
        <v>2679639168.3899999</v>
      </c>
      <c r="F89" s="33">
        <f t="shared" ref="F89:BQ89" si="18">F72+F81</f>
        <v>2227924405.3900003</v>
      </c>
      <c r="G89" s="33">
        <f t="shared" si="18"/>
        <v>2096942034.48</v>
      </c>
      <c r="H89" s="33">
        <f t="shared" si="18"/>
        <v>1749140425.74</v>
      </c>
      <c r="I89" s="33">
        <f t="shared" si="18"/>
        <v>1284098142.1400001</v>
      </c>
      <c r="J89" s="33">
        <f t="shared" si="18"/>
        <v>1156547823.48</v>
      </c>
      <c r="K89" s="33">
        <f t="shared" si="18"/>
        <v>785716590.77999997</v>
      </c>
      <c r="L89" s="33">
        <f t="shared" si="18"/>
        <v>754378178.45000005</v>
      </c>
      <c r="M89" s="33">
        <f t="shared" si="18"/>
        <v>664452325.94000006</v>
      </c>
      <c r="N89" s="33">
        <f t="shared" si="18"/>
        <v>475838921.75</v>
      </c>
      <c r="O89" s="33">
        <f t="shared" si="18"/>
        <v>72000000</v>
      </c>
      <c r="P89" s="33">
        <f t="shared" si="18"/>
        <v>22022123.98</v>
      </c>
      <c r="Q89" s="33">
        <f t="shared" si="18"/>
        <v>102005299.33</v>
      </c>
      <c r="R89" s="33">
        <f t="shared" si="18"/>
        <v>200747500</v>
      </c>
      <c r="S89" s="33">
        <f t="shared" si="18"/>
        <v>224965000</v>
      </c>
      <c r="T89" s="33">
        <f t="shared" si="18"/>
        <v>224400000</v>
      </c>
      <c r="U89" s="33">
        <f t="shared" si="18"/>
        <v>215400000</v>
      </c>
      <c r="V89" s="33">
        <f t="shared" si="18"/>
        <v>83400000</v>
      </c>
      <c r="W89" s="33">
        <f t="shared" si="18"/>
        <v>87400000</v>
      </c>
      <c r="X89" s="33">
        <f t="shared" si="18"/>
        <v>90400000</v>
      </c>
      <c r="Y89" s="33">
        <f t="shared" si="18"/>
        <v>93400000</v>
      </c>
      <c r="Z89" s="33">
        <f t="shared" si="18"/>
        <v>63400000</v>
      </c>
      <c r="AA89" s="33">
        <f t="shared" si="18"/>
        <v>63400000</v>
      </c>
      <c r="AB89" s="33">
        <f t="shared" si="18"/>
        <v>40400000</v>
      </c>
      <c r="AC89" s="33">
        <f t="shared" si="18"/>
        <v>37418790.409999996</v>
      </c>
      <c r="AD89" s="33">
        <f t="shared" si="18"/>
        <v>38337760.390000001</v>
      </c>
      <c r="AE89" s="33">
        <f t="shared" si="18"/>
        <v>38250760.390000001</v>
      </c>
      <c r="AF89" s="33">
        <f t="shared" si="18"/>
        <v>3626560.12</v>
      </c>
      <c r="AG89" s="33">
        <f t="shared" si="18"/>
        <v>4626560.12</v>
      </c>
      <c r="AH89" s="33">
        <f t="shared" si="18"/>
        <v>5577760.3899999997</v>
      </c>
      <c r="AI89" s="33">
        <f t="shared" si="18"/>
        <v>7577760.3899999997</v>
      </c>
      <c r="AJ89" s="33">
        <f t="shared" si="18"/>
        <v>24057760.390000001</v>
      </c>
      <c r="AK89" s="33">
        <f t="shared" si="18"/>
        <v>21057760.390000001</v>
      </c>
      <c r="AL89" s="33">
        <f t="shared" si="18"/>
        <v>22142258.16</v>
      </c>
      <c r="AM89" s="33">
        <f t="shared" si="18"/>
        <v>24677034.16</v>
      </c>
      <c r="AN89" s="33">
        <f t="shared" si="18"/>
        <v>11760960</v>
      </c>
      <c r="AO89" s="33">
        <f t="shared" si="18"/>
        <v>14260960</v>
      </c>
      <c r="AP89" s="33">
        <f t="shared" si="18"/>
        <v>11480000</v>
      </c>
      <c r="AQ89" s="33">
        <f t="shared" si="18"/>
        <v>14980000</v>
      </c>
      <c r="AR89" s="33">
        <f t="shared" si="18"/>
        <v>13647552.460000001</v>
      </c>
      <c r="AS89" s="33">
        <f t="shared" si="18"/>
        <v>13647552.460000001</v>
      </c>
      <c r="AT89" s="33">
        <f t="shared" si="18"/>
        <v>15167552.460000001</v>
      </c>
      <c r="AU89" s="33">
        <f t="shared" si="18"/>
        <v>21167552.460000001</v>
      </c>
      <c r="AV89" s="33">
        <f t="shared" si="18"/>
        <v>21319177.460000001</v>
      </c>
      <c r="AW89" s="33">
        <f t="shared" si="18"/>
        <v>16167552.460000001</v>
      </c>
      <c r="AX89" s="33">
        <f t="shared" si="18"/>
        <v>13167552.460000001</v>
      </c>
      <c r="AY89" s="33">
        <f t="shared" si="18"/>
        <v>13167552.460000001</v>
      </c>
      <c r="AZ89" s="33">
        <f t="shared" si="18"/>
        <v>11167552.460000001</v>
      </c>
      <c r="BA89" s="33">
        <f t="shared" si="18"/>
        <v>11167552.460000001</v>
      </c>
      <c r="BB89" s="33">
        <f t="shared" si="18"/>
        <v>11167552.460000001</v>
      </c>
      <c r="BC89" s="33">
        <f t="shared" si="18"/>
        <v>12967552.460000001</v>
      </c>
      <c r="BD89" s="33">
        <f t="shared" si="18"/>
        <v>11867552.460000001</v>
      </c>
      <c r="BE89" s="33">
        <f t="shared" si="18"/>
        <v>12467552.460000001</v>
      </c>
      <c r="BF89" s="33">
        <f t="shared" si="18"/>
        <v>1167552.46</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3121566956</v>
      </c>
      <c r="C91" s="190">
        <v>3121566956</v>
      </c>
      <c r="D91" s="190">
        <v>2601305797</v>
      </c>
      <c r="E91" s="190">
        <v>2601305797</v>
      </c>
      <c r="F91" s="190">
        <v>2421482706</v>
      </c>
      <c r="G91" s="190">
        <v>2421482706</v>
      </c>
      <c r="H91" s="190">
        <v>2421482706</v>
      </c>
      <c r="I91" s="190">
        <v>2421482706</v>
      </c>
      <c r="J91" s="190">
        <v>2421482706</v>
      </c>
      <c r="K91" s="190">
        <v>2421482706</v>
      </c>
      <c r="L91" s="190">
        <v>1210741353</v>
      </c>
      <c r="M91" s="190">
        <v>1210741353</v>
      </c>
      <c r="N91" s="190">
        <v>1210741353</v>
      </c>
      <c r="O91" s="190">
        <v>278070000</v>
      </c>
      <c r="P91" s="190">
        <v>224250000</v>
      </c>
      <c r="Q91" s="190">
        <v>224250000</v>
      </c>
      <c r="R91" s="190">
        <v>224250000</v>
      </c>
      <c r="S91" s="190">
        <v>224250000</v>
      </c>
      <c r="T91" s="190">
        <v>224250000</v>
      </c>
      <c r="U91" s="190">
        <v>224250000</v>
      </c>
      <c r="V91" s="190">
        <v>224250000</v>
      </c>
      <c r="W91" s="190">
        <v>224250000</v>
      </c>
      <c r="X91" s="190">
        <v>224250000</v>
      </c>
      <c r="Y91" s="190">
        <v>224250000</v>
      </c>
      <c r="Z91" s="190">
        <v>224250000</v>
      </c>
      <c r="AA91" s="190">
        <v>224250000</v>
      </c>
      <c r="AB91" s="190">
        <v>224250000</v>
      </c>
      <c r="AC91" s="190">
        <v>224250000</v>
      </c>
      <c r="AD91" s="190">
        <v>224250000</v>
      </c>
      <c r="AE91" s="190">
        <v>224250000</v>
      </c>
      <c r="AF91" s="190">
        <v>162500000</v>
      </c>
      <c r="AG91" s="190">
        <v>162500000</v>
      </c>
      <c r="AH91" s="190">
        <v>162500000</v>
      </c>
      <c r="AI91" s="190">
        <v>162500000</v>
      </c>
      <c r="AJ91" s="190">
        <v>162500000</v>
      </c>
      <c r="AK91" s="190">
        <v>162500000</v>
      </c>
      <c r="AL91" s="190">
        <v>162500000</v>
      </c>
      <c r="AM91" s="190">
        <v>162500000</v>
      </c>
      <c r="AN91" s="190">
        <v>162500000</v>
      </c>
      <c r="AO91" s="190">
        <v>162500000</v>
      </c>
      <c r="AP91" s="190">
        <v>162500000</v>
      </c>
      <c r="AQ91" s="190">
        <v>162500000</v>
      </c>
      <c r="AR91" s="190">
        <v>125000000</v>
      </c>
      <c r="AS91" s="190">
        <v>125000000</v>
      </c>
      <c r="AT91" s="190">
        <v>125000000</v>
      </c>
      <c r="AU91" s="190">
        <v>125000000</v>
      </c>
      <c r="AV91" s="190">
        <v>125000000</v>
      </c>
      <c r="AW91" s="190">
        <v>125000000</v>
      </c>
      <c r="AX91" s="190">
        <v>125000000</v>
      </c>
      <c r="AY91" s="190">
        <v>125000000</v>
      </c>
      <c r="AZ91" s="190">
        <v>125000000</v>
      </c>
      <c r="BA91" s="190">
        <v>125000000</v>
      </c>
      <c r="BB91" s="190">
        <v>125000000</v>
      </c>
      <c r="BC91" s="190">
        <v>125000000</v>
      </c>
      <c r="BD91" s="190">
        <v>80000000</v>
      </c>
      <c r="BE91" s="190">
        <v>80000000</v>
      </c>
      <c r="BF91" s="190">
        <v>80000000</v>
      </c>
      <c r="BG91" s="190">
        <v>0</v>
      </c>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1383601809.54</v>
      </c>
      <c r="C92" s="190">
        <v>1694080120.8099999</v>
      </c>
      <c r="D92" s="190">
        <v>2357463089.8499999</v>
      </c>
      <c r="E92" s="190">
        <v>2357463089.8499999</v>
      </c>
      <c r="F92" s="190">
        <v>2657657.2400000002</v>
      </c>
      <c r="G92" s="190">
        <v>18483069.879999999</v>
      </c>
      <c r="H92" s="190">
        <v>21464767.030000001</v>
      </c>
      <c r="I92" s="190">
        <v>21464767.030000001</v>
      </c>
      <c r="J92" s="190">
        <v>43171134.670000002</v>
      </c>
      <c r="K92" s="190">
        <v>93159211.489999995</v>
      </c>
      <c r="L92" s="190">
        <v>1315256407.7</v>
      </c>
      <c r="M92" s="190">
        <v>1315080527.29</v>
      </c>
      <c r="N92" s="190">
        <v>1314954325.0899999</v>
      </c>
      <c r="O92" s="190">
        <v>779706.19</v>
      </c>
      <c r="P92" s="190">
        <v>776262.14</v>
      </c>
      <c r="Q92" s="190">
        <v>776262.14</v>
      </c>
      <c r="R92" s="190">
        <v>634676.97</v>
      </c>
      <c r="S92" s="190">
        <v>634676.97</v>
      </c>
      <c r="T92" s="190">
        <v>634676.97</v>
      </c>
      <c r="U92" s="190">
        <v>634676.97</v>
      </c>
      <c r="V92" s="190">
        <v>634676.97</v>
      </c>
      <c r="W92" s="190">
        <v>634676.97</v>
      </c>
      <c r="X92" s="190">
        <v>634676.97</v>
      </c>
      <c r="Y92" s="190">
        <v>634676.97</v>
      </c>
      <c r="Z92" s="190">
        <v>717404.44</v>
      </c>
      <c r="AA92" s="190">
        <v>717404.44</v>
      </c>
      <c r="AB92" s="190">
        <v>717404.44</v>
      </c>
      <c r="AC92" s="190">
        <v>717404.44</v>
      </c>
      <c r="AD92" s="190">
        <v>717404.44</v>
      </c>
      <c r="AE92" s="190">
        <v>717404.44</v>
      </c>
      <c r="AF92" s="190">
        <v>62511500.740000002</v>
      </c>
      <c r="AG92" s="190">
        <v>62467404.439999998</v>
      </c>
      <c r="AH92" s="190">
        <v>62489326.420000002</v>
      </c>
      <c r="AI92" s="190">
        <v>62489326.420000002</v>
      </c>
      <c r="AJ92" s="190">
        <v>62489326.420000002</v>
      </c>
      <c r="AK92" s="190">
        <v>62489326.420000002</v>
      </c>
      <c r="AL92" s="190">
        <v>62511500.740000002</v>
      </c>
      <c r="AM92" s="190">
        <v>62511500.740000002</v>
      </c>
      <c r="AN92" s="190">
        <v>62511500.740000002</v>
      </c>
      <c r="AO92" s="190">
        <v>62511500.740000002</v>
      </c>
      <c r="AP92" s="190">
        <v>62511500.740000002</v>
      </c>
      <c r="AQ92" s="190">
        <v>62511500.740000002</v>
      </c>
      <c r="AR92" s="190">
        <v>100011500.73999999</v>
      </c>
      <c r="AS92" s="190">
        <v>100011500.73999999</v>
      </c>
      <c r="AT92" s="190">
        <v>100011500.73999999</v>
      </c>
      <c r="AU92" s="190">
        <v>100111881.81</v>
      </c>
      <c r="AV92" s="190">
        <v>100011500.73999999</v>
      </c>
      <c r="AW92" s="190">
        <v>100011500.73999999</v>
      </c>
      <c r="AX92" s="190">
        <v>100011500.73999999</v>
      </c>
      <c r="AY92" s="190">
        <v>100011500.73999999</v>
      </c>
      <c r="AZ92" s="190">
        <v>100011500.73999999</v>
      </c>
      <c r="BA92" s="190">
        <v>100011500.73999999</v>
      </c>
      <c r="BB92" s="190">
        <v>101670500.73999999</v>
      </c>
      <c r="BC92" s="190">
        <v>101670500.73999999</v>
      </c>
      <c r="BD92" s="190">
        <v>356963.78</v>
      </c>
      <c r="BE92" s="190">
        <v>26316</v>
      </c>
      <c r="BF92" s="190">
        <v>0</v>
      </c>
      <c r="BG92" s="190">
        <v>0</v>
      </c>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1315909.32</v>
      </c>
      <c r="C94" s="190">
        <v>324405.09000000003</v>
      </c>
      <c r="D94" s="190">
        <v>-337220.78</v>
      </c>
      <c r="E94" s="190">
        <v>77933.67</v>
      </c>
      <c r="F94" s="190">
        <v>184969.12</v>
      </c>
      <c r="G94" s="190">
        <v>144145.98000000001</v>
      </c>
      <c r="H94" s="190">
        <v>190231.41</v>
      </c>
      <c r="I94" s="190">
        <v>201253.77</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38771034.850000001</v>
      </c>
      <c r="C96" s="190">
        <v>38771034.850000001</v>
      </c>
      <c r="D96" s="190">
        <v>38771034.850000001</v>
      </c>
      <c r="E96" s="190">
        <v>38771034.850000001</v>
      </c>
      <c r="F96" s="190">
        <v>1501538.02</v>
      </c>
      <c r="G96" s="190">
        <v>1501538.02</v>
      </c>
      <c r="H96" s="190">
        <v>1501538.02</v>
      </c>
      <c r="I96" s="190">
        <v>1501538.02</v>
      </c>
      <c r="J96" s="190">
        <v>417407.86</v>
      </c>
      <c r="K96" s="190">
        <v>417407.86</v>
      </c>
      <c r="L96" s="190">
        <v>417407.86</v>
      </c>
      <c r="M96" s="190">
        <v>417407.86</v>
      </c>
      <c r="N96" s="190">
        <v>0</v>
      </c>
      <c r="O96" s="190">
        <v>78693206.099999994</v>
      </c>
      <c r="P96" s="190">
        <v>78693206.099999994</v>
      </c>
      <c r="Q96" s="190">
        <v>78693206.099999994</v>
      </c>
      <c r="R96" s="190">
        <v>77869058.329999998</v>
      </c>
      <c r="S96" s="190">
        <v>77869058.329999998</v>
      </c>
      <c r="T96" s="190">
        <v>77869058.329999998</v>
      </c>
      <c r="U96" s="190">
        <v>77869058.329999998</v>
      </c>
      <c r="V96" s="190">
        <v>81065220.969999999</v>
      </c>
      <c r="W96" s="190">
        <v>81065220.969999999</v>
      </c>
      <c r="X96" s="190">
        <v>81065220.969999999</v>
      </c>
      <c r="Y96" s="190">
        <v>81065220.969999999</v>
      </c>
      <c r="Z96" s="190">
        <v>64747519.039999999</v>
      </c>
      <c r="AA96" s="190">
        <v>64747519.039999999</v>
      </c>
      <c r="AB96" s="190">
        <v>64747519.039999999</v>
      </c>
      <c r="AC96" s="190">
        <v>64747519.039999999</v>
      </c>
      <c r="AD96" s="190">
        <v>49915442.770000003</v>
      </c>
      <c r="AE96" s="190">
        <v>49915442.770000003</v>
      </c>
      <c r="AF96" s="190">
        <v>49915442.770000003</v>
      </c>
      <c r="AG96" s="190">
        <v>49915442.770000003</v>
      </c>
      <c r="AH96" s="190">
        <v>44389335.990000002</v>
      </c>
      <c r="AI96" s="190">
        <v>44389335.990000002</v>
      </c>
      <c r="AJ96" s="190">
        <v>44389335.990000002</v>
      </c>
      <c r="AK96" s="190">
        <v>44389335.990000002</v>
      </c>
      <c r="AL96" s="190">
        <v>36680152.920000002</v>
      </c>
      <c r="AM96" s="190">
        <v>36680152.920000002</v>
      </c>
      <c r="AN96" s="190">
        <v>37078267.359999999</v>
      </c>
      <c r="AO96" s="190">
        <v>36680152.920000002</v>
      </c>
      <c r="AP96" s="190">
        <v>32614728.350000001</v>
      </c>
      <c r="AQ96" s="190">
        <v>32614728.350000001</v>
      </c>
      <c r="AR96" s="190">
        <v>32614728.350000001</v>
      </c>
      <c r="AS96" s="190">
        <v>32614728.350000001</v>
      </c>
      <c r="AT96" s="190">
        <v>29496952.43</v>
      </c>
      <c r="AU96" s="190">
        <v>29496952.43</v>
      </c>
      <c r="AV96" s="190">
        <v>29496952.43</v>
      </c>
      <c r="AW96" s="190">
        <v>26189383.899999999</v>
      </c>
      <c r="AX96" s="190">
        <v>22545128.420000002</v>
      </c>
      <c r="AY96" s="190">
        <v>22545128.420000002</v>
      </c>
      <c r="AZ96" s="190">
        <v>22545128.420000002</v>
      </c>
      <c r="BA96" s="190">
        <v>22545128.420000002</v>
      </c>
      <c r="BB96" s="190">
        <v>16274034.359999999</v>
      </c>
      <c r="BC96" s="190">
        <v>16274034.359999999</v>
      </c>
      <c r="BD96" s="190">
        <v>16274034.359999999</v>
      </c>
      <c r="BE96" s="190">
        <v>10493007.5</v>
      </c>
      <c r="BF96" s="190">
        <v>5221815.25</v>
      </c>
      <c r="BG96" s="190">
        <v>0</v>
      </c>
      <c r="BH96" s="190">
        <v>567984565.94000006</v>
      </c>
      <c r="BI96" s="190">
        <v>567244885.92999995</v>
      </c>
      <c r="BJ96" s="190">
        <v>419337334.51999998</v>
      </c>
      <c r="BK96" s="190">
        <v>418925284.51999998</v>
      </c>
      <c r="BL96" s="190">
        <v>417678847.70999998</v>
      </c>
      <c r="BM96" s="190">
        <v>417678847.70999998</v>
      </c>
      <c r="BN96" s="190">
        <v>284703861.92000002</v>
      </c>
      <c r="BO96" s="190">
        <v>284703861.92000002</v>
      </c>
      <c r="BP96" s="190">
        <v>284703861.92000002</v>
      </c>
      <c r="BQ96" s="190">
        <v>284703861.92000002</v>
      </c>
      <c r="BR96" s="190">
        <v>176995325.03999999</v>
      </c>
      <c r="BS96" s="190">
        <v>175028150.86000001</v>
      </c>
      <c r="BT96" s="190">
        <v>166077140.02000001</v>
      </c>
      <c r="BU96" s="190">
        <v>163213138.47</v>
      </c>
      <c r="BV96" s="190">
        <v>163539774.94999999</v>
      </c>
      <c r="BW96" s="190">
        <v>143804245.41</v>
      </c>
      <c r="BX96" s="190">
        <v>143505737.25</v>
      </c>
      <c r="BY96" s="190">
        <v>144024016.50999999</v>
      </c>
      <c r="BZ96" s="190">
        <v>132232212.09999999</v>
      </c>
      <c r="CA96" s="190">
        <v>130443089.94</v>
      </c>
      <c r="CB96" s="190">
        <v>137978409.43000001</v>
      </c>
      <c r="CC96" s="190">
        <v>127164283.31</v>
      </c>
      <c r="CD96" s="190">
        <v>69601738.090000004</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2115221.84</v>
      </c>
      <c r="P97" s="190">
        <v>2115221.84</v>
      </c>
      <c r="Q97" s="190">
        <v>2115221.84</v>
      </c>
      <c r="R97" s="190">
        <v>1003058.14</v>
      </c>
      <c r="S97" s="190">
        <v>1003058.14</v>
      </c>
      <c r="T97" s="190">
        <v>1003058.14</v>
      </c>
      <c r="U97" s="190">
        <v>1003058.14</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1746190253.1900001</v>
      </c>
      <c r="C98" s="190">
        <v>1538442645.72</v>
      </c>
      <c r="D98" s="190">
        <v>1400587017.6800001</v>
      </c>
      <c r="E98" s="190">
        <v>1498909518.25</v>
      </c>
      <c r="F98" s="190">
        <v>1047718065.03</v>
      </c>
      <c r="G98" s="190">
        <v>860177465.91999996</v>
      </c>
      <c r="H98" s="190">
        <v>762186713.16999996</v>
      </c>
      <c r="I98" s="190">
        <v>867978788.34000003</v>
      </c>
      <c r="J98" s="190">
        <v>625528601.75999999</v>
      </c>
      <c r="K98" s="190">
        <v>507700408.41000003</v>
      </c>
      <c r="L98" s="190">
        <v>401083913.69</v>
      </c>
      <c r="M98" s="190">
        <v>530152490.18000001</v>
      </c>
      <c r="N98" s="190">
        <v>348821894.69999999</v>
      </c>
      <c r="O98" s="190">
        <v>18938058.329999998</v>
      </c>
      <c r="P98" s="190">
        <v>84468160.930000007</v>
      </c>
      <c r="Q98" s="190">
        <v>81465023.680000007</v>
      </c>
      <c r="R98" s="190">
        <v>73044166.540000007</v>
      </c>
      <c r="S98" s="190">
        <v>45169524.810000002</v>
      </c>
      <c r="T98" s="190">
        <v>49152997.460000001</v>
      </c>
      <c r="U98" s="190">
        <v>45100692.469999999</v>
      </c>
      <c r="V98" s="190">
        <v>102617063.22</v>
      </c>
      <c r="W98" s="190">
        <v>74846368.310000002</v>
      </c>
      <c r="X98" s="190">
        <v>115780770.42</v>
      </c>
      <c r="Y98" s="190">
        <v>110554963.19</v>
      </c>
      <c r="Z98" s="190">
        <v>104365210.81</v>
      </c>
      <c r="AA98" s="190">
        <v>76146276.060000002</v>
      </c>
      <c r="AB98" s="190">
        <v>94350579.209999993</v>
      </c>
      <c r="AC98" s="190">
        <v>88984907.069999993</v>
      </c>
      <c r="AD98" s="190">
        <v>76152789.579999998</v>
      </c>
      <c r="AE98" s="190">
        <v>52559084.469999999</v>
      </c>
      <c r="AF98" s="190">
        <v>57810579.07</v>
      </c>
      <c r="AG98" s="190">
        <v>53021781.399999999</v>
      </c>
      <c r="AH98" s="190">
        <v>51372191.899999999</v>
      </c>
      <c r="AI98" s="190">
        <v>40590527.740000002</v>
      </c>
      <c r="AJ98" s="190">
        <v>51786119.380000003</v>
      </c>
      <c r="AK98" s="190">
        <v>48334965.960000001</v>
      </c>
      <c r="AL98" s="190">
        <v>49736423.009999998</v>
      </c>
      <c r="AM98" s="190">
        <v>41172003.700000003</v>
      </c>
      <c r="AN98" s="190">
        <v>47387319.770000003</v>
      </c>
      <c r="AO98" s="190">
        <v>45186511.149999999</v>
      </c>
      <c r="AP98" s="190">
        <v>47100957.539999999</v>
      </c>
      <c r="AQ98" s="190">
        <v>39827300.369999997</v>
      </c>
      <c r="AR98" s="190">
        <v>38532613.390000001</v>
      </c>
      <c r="AS98" s="190">
        <v>36175812.649999999</v>
      </c>
      <c r="AT98" s="190">
        <v>35491967.979999997</v>
      </c>
      <c r="AU98" s="190">
        <v>20669473.32</v>
      </c>
      <c r="AV98" s="190">
        <v>33249579.82</v>
      </c>
      <c r="AW98" s="190">
        <v>32526706.300000001</v>
      </c>
      <c r="AX98" s="190">
        <v>30581938.989999998</v>
      </c>
      <c r="AY98" s="190">
        <v>15780506.23</v>
      </c>
      <c r="AZ98" s="190">
        <v>23389024.32</v>
      </c>
      <c r="BA98" s="190">
        <v>19678380.859999999</v>
      </c>
      <c r="BB98" s="190">
        <v>44188034.359999999</v>
      </c>
      <c r="BC98" s="190">
        <v>31488439.699999999</v>
      </c>
      <c r="BD98" s="190">
        <v>28395531.140000001</v>
      </c>
      <c r="BE98" s="190">
        <v>18137732.800000001</v>
      </c>
      <c r="BF98" s="190">
        <v>12349559.65</v>
      </c>
      <c r="BG98" s="190">
        <v>0</v>
      </c>
      <c r="BH98" s="190">
        <v>344656493.63999999</v>
      </c>
      <c r="BI98" s="190">
        <v>264614110.94</v>
      </c>
      <c r="BJ98" s="190">
        <v>363358290.55000001</v>
      </c>
      <c r="BK98" s="190">
        <v>278089580.66000003</v>
      </c>
      <c r="BL98" s="190">
        <v>133770782.09999999</v>
      </c>
      <c r="BM98" s="190">
        <v>119842474.04000001</v>
      </c>
      <c r="BN98" s="190">
        <v>257284974.88</v>
      </c>
      <c r="BO98" s="190">
        <v>170190260.5</v>
      </c>
      <c r="BP98" s="190">
        <v>105853126.12</v>
      </c>
      <c r="BQ98" s="190">
        <v>36818416.619999997</v>
      </c>
      <c r="BR98" s="190">
        <v>164751884.61000001</v>
      </c>
      <c r="BS98" s="190">
        <v>24363807.969999999</v>
      </c>
      <c r="BT98" s="190">
        <v>241854991.44</v>
      </c>
      <c r="BU98" s="190">
        <v>99358862.480000004</v>
      </c>
      <c r="BV98" s="190">
        <v>189774679.28999999</v>
      </c>
      <c r="BW98" s="190">
        <v>110559227.73</v>
      </c>
      <c r="BX98" s="190">
        <v>92578090.409999996</v>
      </c>
      <c r="BY98" s="190">
        <v>105677677.75</v>
      </c>
      <c r="BZ98" s="190">
        <v>51885677.789999999</v>
      </c>
      <c r="CA98" s="190">
        <v>42717718.460000001</v>
      </c>
      <c r="CB98" s="190">
        <v>75980140.25</v>
      </c>
      <c r="CC98" s="190">
        <v>35630191.829999998</v>
      </c>
      <c r="CD98" s="190">
        <v>91994293.900000006</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1448666.27</v>
      </c>
      <c r="D99" s="190">
        <v>5843848.2300000004</v>
      </c>
      <c r="E99" s="190">
        <v>5843848.2300000004</v>
      </c>
      <c r="F99" s="190">
        <v>910201.59</v>
      </c>
      <c r="G99" s="190">
        <v>1296543.06</v>
      </c>
      <c r="H99" s="190">
        <v>910201.59</v>
      </c>
      <c r="I99" s="190">
        <v>910201.59</v>
      </c>
      <c r="J99" s="190">
        <v>910201.59</v>
      </c>
      <c r="K99" s="190">
        <v>910201.59</v>
      </c>
      <c r="L99" s="190">
        <v>850201.59</v>
      </c>
      <c r="M99" s="190">
        <v>850201.59</v>
      </c>
      <c r="N99" s="190">
        <v>850201.59</v>
      </c>
      <c r="O99" s="190">
        <v>0</v>
      </c>
      <c r="P99" s="190">
        <v>0</v>
      </c>
      <c r="Q99" s="190">
        <v>0</v>
      </c>
      <c r="R99" s="190">
        <v>0</v>
      </c>
      <c r="S99" s="190">
        <v>1572618.4</v>
      </c>
      <c r="T99" s="190">
        <v>0</v>
      </c>
      <c r="U99" s="190">
        <v>0</v>
      </c>
      <c r="V99" s="190">
        <v>0</v>
      </c>
      <c r="W99" s="190">
        <v>0</v>
      </c>
      <c r="X99" s="190">
        <v>0</v>
      </c>
      <c r="Y99" s="190">
        <v>0</v>
      </c>
      <c r="Z99" s="190">
        <v>0</v>
      </c>
      <c r="AA99" s="190">
        <v>0</v>
      </c>
      <c r="AB99" s="190">
        <v>0</v>
      </c>
      <c r="AC99" s="190">
        <v>0</v>
      </c>
      <c r="AD99" s="190">
        <v>0</v>
      </c>
      <c r="AE99" s="190">
        <v>1186680</v>
      </c>
      <c r="AF99" s="190">
        <v>0</v>
      </c>
      <c r="AG99" s="190">
        <v>0</v>
      </c>
      <c r="AH99" s="190">
        <v>465088</v>
      </c>
      <c r="AI99" s="190">
        <v>2609088</v>
      </c>
      <c r="AJ99" s="190">
        <v>0</v>
      </c>
      <c r="AK99" s="190">
        <v>0</v>
      </c>
      <c r="AL99" s="190">
        <v>0</v>
      </c>
      <c r="AM99" s="190">
        <v>3227454.34</v>
      </c>
      <c r="AN99" s="190">
        <v>1131204.3400000001</v>
      </c>
      <c r="AO99" s="190">
        <v>1131204.3400000001</v>
      </c>
      <c r="AP99" s="190">
        <v>0</v>
      </c>
      <c r="AQ99" s="190">
        <v>0</v>
      </c>
      <c r="AR99" s="190">
        <v>0</v>
      </c>
      <c r="AS99" s="190">
        <v>1131204.3400000001</v>
      </c>
      <c r="AT99" s="190">
        <v>0</v>
      </c>
      <c r="AU99" s="190">
        <v>0</v>
      </c>
      <c r="AV99" s="190">
        <v>0</v>
      </c>
      <c r="AW99" s="190">
        <v>0</v>
      </c>
      <c r="AX99" s="190">
        <v>1189649.3700000001</v>
      </c>
      <c r="AY99" s="190">
        <v>11189649.369999999</v>
      </c>
      <c r="AZ99" s="190">
        <v>1137526.9099999999</v>
      </c>
      <c r="BA99" s="190">
        <v>1044951.98</v>
      </c>
      <c r="BB99" s="190">
        <v>1142721.53</v>
      </c>
      <c r="BC99" s="190">
        <v>1303996.18</v>
      </c>
      <c r="BD99" s="190">
        <v>4341895.58</v>
      </c>
      <c r="BE99" s="190">
        <v>0</v>
      </c>
      <c r="BF99" s="190">
        <v>0</v>
      </c>
      <c r="BG99" s="190">
        <v>0</v>
      </c>
      <c r="BH99" s="190">
        <v>19179643.98</v>
      </c>
      <c r="BI99" s="190">
        <v>16065471.57</v>
      </c>
      <c r="BJ99" s="190">
        <v>43569214.75</v>
      </c>
      <c r="BK99" s="190">
        <v>246368290.06999999</v>
      </c>
      <c r="BL99" s="190">
        <v>91578714.030000001</v>
      </c>
      <c r="BM99" s="190">
        <v>27851089.530000001</v>
      </c>
      <c r="BN99" s="190">
        <v>39662609.43</v>
      </c>
      <c r="BO99" s="190">
        <v>283532691.08999997</v>
      </c>
      <c r="BP99" s="190">
        <v>82394943.739999995</v>
      </c>
      <c r="BQ99" s="190">
        <v>94133175.359999999</v>
      </c>
      <c r="BR99" s="190">
        <v>262523853.59999999</v>
      </c>
      <c r="BS99" s="190">
        <v>175655544.66</v>
      </c>
      <c r="BT99" s="190">
        <v>172517845.40000001</v>
      </c>
      <c r="BU99" s="190">
        <v>67785291.349999994</v>
      </c>
      <c r="BV99" s="190">
        <v>51135992.259999998</v>
      </c>
      <c r="BW99" s="190">
        <v>13917863.050000001</v>
      </c>
      <c r="BX99" s="190">
        <v>0</v>
      </c>
      <c r="BY99" s="190">
        <v>0</v>
      </c>
      <c r="BZ99" s="190">
        <v>0</v>
      </c>
      <c r="CA99" s="190">
        <v>12394176.439999999</v>
      </c>
      <c r="CB99" s="190">
        <v>0</v>
      </c>
      <c r="CC99" s="190">
        <v>116006110.2</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c r="BG101" s="190"/>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6291445962.8999996</v>
      </c>
      <c r="C102" s="190">
        <v>6393185162.4700003</v>
      </c>
      <c r="D102" s="190">
        <v>6397789718.6000004</v>
      </c>
      <c r="E102" s="190">
        <v>6496527373.6199999</v>
      </c>
      <c r="F102" s="190">
        <v>3473544935.4099998</v>
      </c>
      <c r="G102" s="190">
        <v>3301788925.8000002</v>
      </c>
      <c r="H102" s="190">
        <v>3206825955.6300001</v>
      </c>
      <c r="I102" s="190">
        <v>3312629053.1599998</v>
      </c>
      <c r="J102" s="190">
        <v>3090599850.29</v>
      </c>
      <c r="K102" s="190">
        <v>3022759733.7600002</v>
      </c>
      <c r="L102" s="190">
        <v>2927499082.25</v>
      </c>
      <c r="M102" s="190">
        <v>3056391778.3299999</v>
      </c>
      <c r="N102" s="190">
        <v>2874517572.79</v>
      </c>
      <c r="O102" s="190">
        <v>378596192.45999998</v>
      </c>
      <c r="P102" s="190">
        <v>390302851.00999999</v>
      </c>
      <c r="Q102" s="190">
        <v>387299713.75999999</v>
      </c>
      <c r="R102" s="190">
        <v>376800959.98000002</v>
      </c>
      <c r="S102" s="190">
        <v>348926318.25</v>
      </c>
      <c r="T102" s="190">
        <v>352909790.89999998</v>
      </c>
      <c r="U102" s="190">
        <v>348857485.91000003</v>
      </c>
      <c r="V102" s="190">
        <v>408566961.16000003</v>
      </c>
      <c r="W102" s="190">
        <v>380796266.25</v>
      </c>
      <c r="X102" s="190">
        <v>421730668.36000001</v>
      </c>
      <c r="Y102" s="190">
        <v>416504861.13</v>
      </c>
      <c r="Z102" s="190">
        <v>394080134.29000002</v>
      </c>
      <c r="AA102" s="190">
        <v>365861199.54000002</v>
      </c>
      <c r="AB102" s="190">
        <v>384065502.69</v>
      </c>
      <c r="AC102" s="190">
        <v>378699830.55000001</v>
      </c>
      <c r="AD102" s="190">
        <v>351035636.79000002</v>
      </c>
      <c r="AE102" s="190">
        <v>327441931.68000001</v>
      </c>
      <c r="AF102" s="190">
        <v>332737522.57999998</v>
      </c>
      <c r="AG102" s="190">
        <v>327904628.61000001</v>
      </c>
      <c r="AH102" s="190">
        <v>320750854.31</v>
      </c>
      <c r="AI102" s="190">
        <v>309969190.14999998</v>
      </c>
      <c r="AJ102" s="190">
        <v>321164781.79000002</v>
      </c>
      <c r="AK102" s="190">
        <v>317713628.37</v>
      </c>
      <c r="AL102" s="190">
        <v>311428076.67000002</v>
      </c>
      <c r="AM102" s="190">
        <v>302863657.36000001</v>
      </c>
      <c r="AN102" s="190">
        <v>309477087.87</v>
      </c>
      <c r="AO102" s="190">
        <v>306878164.81</v>
      </c>
      <c r="AP102" s="190">
        <v>304727186.63</v>
      </c>
      <c r="AQ102" s="190">
        <v>297453529.45999998</v>
      </c>
      <c r="AR102" s="190">
        <v>296158842.48000002</v>
      </c>
      <c r="AS102" s="190">
        <v>293802041.74000001</v>
      </c>
      <c r="AT102" s="190">
        <v>290000421.14999998</v>
      </c>
      <c r="AU102" s="190">
        <v>275278307.56</v>
      </c>
      <c r="AV102" s="190">
        <v>287758032.99000001</v>
      </c>
      <c r="AW102" s="190">
        <v>283727590.94</v>
      </c>
      <c r="AX102" s="190">
        <v>278138568.14999998</v>
      </c>
      <c r="AY102" s="190">
        <v>263337135.38999999</v>
      </c>
      <c r="AZ102" s="190">
        <v>270945653.48000002</v>
      </c>
      <c r="BA102" s="190">
        <v>267235010.02000001</v>
      </c>
      <c r="BB102" s="190">
        <v>287132569.45999998</v>
      </c>
      <c r="BC102" s="190">
        <v>274432974.80000001</v>
      </c>
      <c r="BD102" s="190">
        <v>125026529.28</v>
      </c>
      <c r="BE102" s="190">
        <v>108657056.3</v>
      </c>
      <c r="BF102" s="190">
        <v>97571374.900000006</v>
      </c>
      <c r="BG102" s="190">
        <v>0</v>
      </c>
      <c r="BH102" s="190">
        <v>3334183281.0999999</v>
      </c>
      <c r="BI102" s="190">
        <v>3253401218.4899998</v>
      </c>
      <c r="BJ102" s="190">
        <v>3188136701.4200001</v>
      </c>
      <c r="BK102" s="190">
        <v>3102411840.3600001</v>
      </c>
      <c r="BL102" s="190">
        <v>2956796260.9899998</v>
      </c>
      <c r="BM102" s="190">
        <v>2939782965.54</v>
      </c>
      <c r="BN102" s="190">
        <v>2938700204.0999999</v>
      </c>
      <c r="BO102" s="190">
        <v>2850988639.3499999</v>
      </c>
      <c r="BP102" s="190">
        <v>2784318534.5599999</v>
      </c>
      <c r="BQ102" s="190">
        <v>2714715040.6300001</v>
      </c>
      <c r="BR102" s="190">
        <v>2728596644.7199998</v>
      </c>
      <c r="BS102" s="190">
        <v>2591080115.2800002</v>
      </c>
      <c r="BT102" s="190">
        <v>2791716742.6399999</v>
      </c>
      <c r="BU102" s="190">
        <v>2645724841.4299998</v>
      </c>
      <c r="BV102" s="190">
        <v>1347281958.8599999</v>
      </c>
      <c r="BW102" s="190">
        <v>1248311269.76</v>
      </c>
      <c r="BX102" s="190">
        <v>1229599139.29</v>
      </c>
      <c r="BY102" s="190">
        <v>1243135953.28</v>
      </c>
      <c r="BZ102" s="190">
        <v>1174616352.97</v>
      </c>
      <c r="CA102" s="190">
        <v>1161133968.48</v>
      </c>
      <c r="CB102" s="190">
        <v>1183711862.5699999</v>
      </c>
      <c r="CC102" s="190">
        <v>1077817608.03</v>
      </c>
      <c r="CD102" s="190">
        <v>1076619164.8800001</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622472300.13</v>
      </c>
      <c r="C103" s="190">
        <v>513671968.06999999</v>
      </c>
      <c r="D103" s="190">
        <v>410037385.25999999</v>
      </c>
      <c r="E103" s="190">
        <v>406344718.27999997</v>
      </c>
      <c r="F103" s="190">
        <v>365846301.70999998</v>
      </c>
      <c r="G103" s="190">
        <v>301471035.72000003</v>
      </c>
      <c r="H103" s="190">
        <v>270166356.33999997</v>
      </c>
      <c r="I103" s="190">
        <v>271295013.69</v>
      </c>
      <c r="J103" s="190">
        <v>245640115.03</v>
      </c>
      <c r="K103" s="190">
        <v>232441038.22999999</v>
      </c>
      <c r="L103" s="190">
        <v>181852240.66999999</v>
      </c>
      <c r="M103" s="190">
        <v>185136147.00999999</v>
      </c>
      <c r="N103" s="190">
        <v>77232555.810000002</v>
      </c>
      <c r="O103" s="190">
        <v>61707445.369999997</v>
      </c>
      <c r="P103" s="190">
        <v>62126269.539999999</v>
      </c>
      <c r="Q103" s="190">
        <v>60813267.640000001</v>
      </c>
      <c r="R103" s="190">
        <v>77069316.170000002</v>
      </c>
      <c r="S103" s="190">
        <v>77190074.120000005</v>
      </c>
      <c r="T103" s="190">
        <v>78440168.170000002</v>
      </c>
      <c r="U103" s="190">
        <v>77959305.530000001</v>
      </c>
      <c r="V103" s="190">
        <v>69247681.459999993</v>
      </c>
      <c r="W103" s="190">
        <v>70065995.609999999</v>
      </c>
      <c r="X103" s="190">
        <v>71263551.370000005</v>
      </c>
      <c r="Y103" s="190">
        <v>71729358.010000005</v>
      </c>
      <c r="Z103" s="190">
        <v>14355087.25</v>
      </c>
      <c r="AA103" s="190">
        <v>14766189.810000001</v>
      </c>
      <c r="AB103" s="190">
        <v>16466984.74</v>
      </c>
      <c r="AC103" s="190">
        <v>17185108.809999999</v>
      </c>
      <c r="AD103" s="190">
        <v>18329897.18</v>
      </c>
      <c r="AE103" s="190">
        <v>18413405.719999999</v>
      </c>
      <c r="AF103" s="190">
        <v>20080994.66</v>
      </c>
      <c r="AG103" s="190">
        <v>19717814.170000002</v>
      </c>
      <c r="AH103" s="190">
        <v>19521620.300000001</v>
      </c>
      <c r="AI103" s="190">
        <v>19267715.280000001</v>
      </c>
      <c r="AJ103" s="190">
        <v>21338186.739999998</v>
      </c>
      <c r="AK103" s="190">
        <v>20966016.57</v>
      </c>
      <c r="AL103" s="190">
        <v>22975141.649999999</v>
      </c>
      <c r="AM103" s="190">
        <v>22807269.960000001</v>
      </c>
      <c r="AN103" s="190">
        <v>24037232.670000002</v>
      </c>
      <c r="AO103" s="190">
        <v>23802912.91</v>
      </c>
      <c r="AP103" s="190">
        <v>23310017.530000001</v>
      </c>
      <c r="AQ103" s="190">
        <v>24815652.280000001</v>
      </c>
      <c r="AR103" s="190">
        <v>23712720.969999999</v>
      </c>
      <c r="AS103" s="190">
        <v>23191575.800000001</v>
      </c>
      <c r="AT103" s="190">
        <v>21675045.98</v>
      </c>
      <c r="AU103" s="190">
        <v>21293168.48</v>
      </c>
      <c r="AV103" s="190">
        <v>22411361.550000001</v>
      </c>
      <c r="AW103" s="190">
        <v>22026422.030000001</v>
      </c>
      <c r="AX103" s="190">
        <v>21853687.039999999</v>
      </c>
      <c r="AY103" s="190">
        <v>20826257.949999999</v>
      </c>
      <c r="AZ103" s="190">
        <v>23843523.350000001</v>
      </c>
      <c r="BA103" s="190">
        <v>23859570.48</v>
      </c>
      <c r="BB103" s="190">
        <v>25103012.460000001</v>
      </c>
      <c r="BC103" s="190">
        <v>24467988.379999999</v>
      </c>
      <c r="BD103" s="190">
        <v>26782921.43</v>
      </c>
      <c r="BE103" s="190">
        <v>36488706.530000001</v>
      </c>
      <c r="BF103" s="190">
        <v>29213843.800000001</v>
      </c>
      <c r="BG103" s="190">
        <v>0</v>
      </c>
      <c r="BH103" s="190">
        <v>1471670374.79</v>
      </c>
      <c r="BI103" s="190">
        <v>1394732453.79</v>
      </c>
      <c r="BJ103" s="190">
        <v>1300805778.96</v>
      </c>
      <c r="BK103" s="190">
        <v>1190501693.0799999</v>
      </c>
      <c r="BL103" s="190">
        <v>1333793293.0699999</v>
      </c>
      <c r="BM103" s="190">
        <v>1265998167.1800001</v>
      </c>
      <c r="BN103" s="190">
        <v>1186619907.7</v>
      </c>
      <c r="BO103" s="190">
        <v>1103039324.54</v>
      </c>
      <c r="BP103" s="190">
        <v>1204158783.23</v>
      </c>
      <c r="BQ103" s="190">
        <v>1161214127.53</v>
      </c>
      <c r="BR103" s="190">
        <v>1066774809.54</v>
      </c>
      <c r="BS103" s="190">
        <v>1008461505.29</v>
      </c>
      <c r="BT103" s="190">
        <v>938966019.15999997</v>
      </c>
      <c r="BU103" s="190">
        <v>952340253.22000003</v>
      </c>
      <c r="BV103" s="190">
        <v>843905400.62</v>
      </c>
      <c r="BW103" s="190">
        <v>860297515.53999996</v>
      </c>
      <c r="BX103" s="190">
        <v>0</v>
      </c>
      <c r="BY103" s="190">
        <v>0</v>
      </c>
      <c r="BZ103" s="190">
        <v>0</v>
      </c>
      <c r="CA103" s="190">
        <v>0</v>
      </c>
      <c r="CB103" s="190">
        <v>0</v>
      </c>
      <c r="CC103" s="190">
        <v>0</v>
      </c>
      <c r="CD103" s="190">
        <v>-21919.05</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6913918263.0299997</v>
      </c>
      <c r="C107" s="33">
        <f>C102+C103</f>
        <v>6906857130.54</v>
      </c>
      <c r="D107" s="33">
        <f>D102+D103</f>
        <v>6807827103.8600006</v>
      </c>
      <c r="E107" s="33">
        <f>E102+E103</f>
        <v>6902872091.8999996</v>
      </c>
      <c r="F107" s="33">
        <f t="shared" ref="F107:BQ107" si="20">F102+F103</f>
        <v>3839391237.1199999</v>
      </c>
      <c r="G107" s="33">
        <f t="shared" si="20"/>
        <v>3603259961.5200005</v>
      </c>
      <c r="H107" s="33">
        <f t="shared" si="20"/>
        <v>3476992311.9700003</v>
      </c>
      <c r="I107" s="33">
        <f t="shared" si="20"/>
        <v>3583924066.8499999</v>
      </c>
      <c r="J107" s="33">
        <f t="shared" si="20"/>
        <v>3336239965.3200002</v>
      </c>
      <c r="K107" s="33">
        <f t="shared" si="20"/>
        <v>3255200771.9900002</v>
      </c>
      <c r="L107" s="33">
        <f t="shared" si="20"/>
        <v>3109351322.9200001</v>
      </c>
      <c r="M107" s="33">
        <f t="shared" si="20"/>
        <v>3241527925.3400002</v>
      </c>
      <c r="N107" s="33">
        <f t="shared" si="20"/>
        <v>2951750128.5999999</v>
      </c>
      <c r="O107" s="33">
        <f t="shared" si="20"/>
        <v>440303637.82999998</v>
      </c>
      <c r="P107" s="33">
        <f t="shared" si="20"/>
        <v>452429120.55000001</v>
      </c>
      <c r="Q107" s="33">
        <f t="shared" si="20"/>
        <v>448112981.39999998</v>
      </c>
      <c r="R107" s="33">
        <f t="shared" si="20"/>
        <v>453870276.15000004</v>
      </c>
      <c r="S107" s="33">
        <f t="shared" si="20"/>
        <v>426116392.37</v>
      </c>
      <c r="T107" s="33">
        <f t="shared" si="20"/>
        <v>431349959.06999999</v>
      </c>
      <c r="U107" s="33">
        <f t="shared" si="20"/>
        <v>426816791.44000006</v>
      </c>
      <c r="V107" s="33">
        <f t="shared" si="20"/>
        <v>477814642.62</v>
      </c>
      <c r="W107" s="33">
        <f t="shared" si="20"/>
        <v>450862261.86000001</v>
      </c>
      <c r="X107" s="33">
        <f t="shared" si="20"/>
        <v>492994219.73000002</v>
      </c>
      <c r="Y107" s="33">
        <f t="shared" si="20"/>
        <v>488234219.13999999</v>
      </c>
      <c r="Z107" s="33">
        <f t="shared" si="20"/>
        <v>408435221.54000002</v>
      </c>
      <c r="AA107" s="33">
        <f t="shared" si="20"/>
        <v>380627389.35000002</v>
      </c>
      <c r="AB107" s="33">
        <f t="shared" si="20"/>
        <v>400532487.43000001</v>
      </c>
      <c r="AC107" s="33">
        <f t="shared" si="20"/>
        <v>395884939.36000001</v>
      </c>
      <c r="AD107" s="33">
        <f t="shared" si="20"/>
        <v>369365533.97000003</v>
      </c>
      <c r="AE107" s="33">
        <f t="shared" si="20"/>
        <v>345855337.39999998</v>
      </c>
      <c r="AF107" s="33">
        <f t="shared" si="20"/>
        <v>352818517.24000001</v>
      </c>
      <c r="AG107" s="33">
        <f t="shared" si="20"/>
        <v>347622442.78000003</v>
      </c>
      <c r="AH107" s="33">
        <f t="shared" si="20"/>
        <v>340272474.61000001</v>
      </c>
      <c r="AI107" s="33">
        <f t="shared" si="20"/>
        <v>329236905.42999995</v>
      </c>
      <c r="AJ107" s="33">
        <f t="shared" si="20"/>
        <v>342502968.53000003</v>
      </c>
      <c r="AK107" s="33">
        <f t="shared" si="20"/>
        <v>338679644.94</v>
      </c>
      <c r="AL107" s="33">
        <f t="shared" si="20"/>
        <v>334403218.31999999</v>
      </c>
      <c r="AM107" s="33">
        <f t="shared" si="20"/>
        <v>325670927.31999999</v>
      </c>
      <c r="AN107" s="33">
        <f t="shared" si="20"/>
        <v>333514320.54000002</v>
      </c>
      <c r="AO107" s="33">
        <f t="shared" si="20"/>
        <v>330681077.72000003</v>
      </c>
      <c r="AP107" s="33">
        <f t="shared" si="20"/>
        <v>328037204.15999997</v>
      </c>
      <c r="AQ107" s="33">
        <f t="shared" si="20"/>
        <v>322269181.74000001</v>
      </c>
      <c r="AR107" s="33">
        <f t="shared" si="20"/>
        <v>319871563.45000005</v>
      </c>
      <c r="AS107" s="33">
        <f t="shared" si="20"/>
        <v>316993617.54000002</v>
      </c>
      <c r="AT107" s="33">
        <f t="shared" si="20"/>
        <v>311675467.13</v>
      </c>
      <c r="AU107" s="33">
        <f t="shared" si="20"/>
        <v>296571476.04000002</v>
      </c>
      <c r="AV107" s="33">
        <f t="shared" si="20"/>
        <v>310169394.54000002</v>
      </c>
      <c r="AW107" s="33">
        <f t="shared" si="20"/>
        <v>305754012.97000003</v>
      </c>
      <c r="AX107" s="33">
        <f t="shared" si="20"/>
        <v>299992255.19</v>
      </c>
      <c r="AY107" s="33">
        <f t="shared" si="20"/>
        <v>284163393.33999997</v>
      </c>
      <c r="AZ107" s="33">
        <f t="shared" si="20"/>
        <v>294789176.83000004</v>
      </c>
      <c r="BA107" s="33">
        <f t="shared" si="20"/>
        <v>291094580.5</v>
      </c>
      <c r="BB107" s="33">
        <f t="shared" si="20"/>
        <v>312235581.91999996</v>
      </c>
      <c r="BC107" s="33">
        <f t="shared" si="20"/>
        <v>298900963.18000001</v>
      </c>
      <c r="BD107" s="33">
        <f t="shared" si="20"/>
        <v>151809450.71000001</v>
      </c>
      <c r="BE107" s="33">
        <f t="shared" si="20"/>
        <v>145145762.82999998</v>
      </c>
      <c r="BF107" s="33">
        <f t="shared" si="20"/>
        <v>126785218.7</v>
      </c>
      <c r="BG107" s="33">
        <f t="shared" si="20"/>
        <v>0</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12226739856.27</v>
      </c>
      <c r="C108" s="38">
        <f t="shared" ref="C108:BN108" si="22">SUM(C89+C107)</f>
        <v>11945286307.059999</v>
      </c>
      <c r="D108" s="38">
        <f t="shared" si="22"/>
        <v>10964346937.610001</v>
      </c>
      <c r="E108" s="38">
        <f>SUM(E107+E89)</f>
        <v>9582511260.289999</v>
      </c>
      <c r="F108" s="38">
        <f t="shared" si="22"/>
        <v>6067315642.5100002</v>
      </c>
      <c r="G108" s="38">
        <f t="shared" si="22"/>
        <v>5700201996</v>
      </c>
      <c r="H108" s="38">
        <f t="shared" si="22"/>
        <v>5226132737.71</v>
      </c>
      <c r="I108" s="38">
        <f t="shared" si="22"/>
        <v>4868022208.9899998</v>
      </c>
      <c r="J108" s="38">
        <f t="shared" si="22"/>
        <v>4492787788.8000002</v>
      </c>
      <c r="K108" s="38">
        <f t="shared" si="22"/>
        <v>4040917362.7700005</v>
      </c>
      <c r="L108" s="38">
        <f t="shared" si="22"/>
        <v>3863729501.3699999</v>
      </c>
      <c r="M108" s="38">
        <f t="shared" si="22"/>
        <v>3905980251.2800002</v>
      </c>
      <c r="N108" s="38">
        <f t="shared" si="22"/>
        <v>3427589050.3499999</v>
      </c>
      <c r="O108" s="38">
        <f t="shared" si="22"/>
        <v>512303637.82999998</v>
      </c>
      <c r="P108" s="38">
        <f t="shared" si="22"/>
        <v>474451244.53000003</v>
      </c>
      <c r="Q108" s="38">
        <f t="shared" si="22"/>
        <v>550118280.73000002</v>
      </c>
      <c r="R108" s="38">
        <f t="shared" si="22"/>
        <v>654617776.1500001</v>
      </c>
      <c r="S108" s="38">
        <f t="shared" si="22"/>
        <v>651081392.37</v>
      </c>
      <c r="T108" s="38">
        <f t="shared" si="22"/>
        <v>655749959.06999993</v>
      </c>
      <c r="U108" s="38">
        <f t="shared" si="22"/>
        <v>642216791.44000006</v>
      </c>
      <c r="V108" s="38">
        <f t="shared" si="22"/>
        <v>561214642.62</v>
      </c>
      <c r="W108" s="38">
        <f t="shared" si="22"/>
        <v>538262261.86000001</v>
      </c>
      <c r="X108" s="38">
        <f t="shared" si="22"/>
        <v>583394219.73000002</v>
      </c>
      <c r="Y108" s="38">
        <f t="shared" si="22"/>
        <v>581634219.13999999</v>
      </c>
      <c r="Z108" s="38">
        <f t="shared" si="22"/>
        <v>471835221.54000002</v>
      </c>
      <c r="AA108" s="38">
        <f t="shared" si="22"/>
        <v>444027389.35000002</v>
      </c>
      <c r="AB108" s="38">
        <f t="shared" si="22"/>
        <v>440932487.43000001</v>
      </c>
      <c r="AC108" s="38">
        <f t="shared" si="22"/>
        <v>433303729.76999998</v>
      </c>
      <c r="AD108" s="38">
        <f t="shared" si="22"/>
        <v>407703294.36000001</v>
      </c>
      <c r="AE108" s="38">
        <f t="shared" si="22"/>
        <v>384106097.78999996</v>
      </c>
      <c r="AF108" s="38">
        <f t="shared" si="22"/>
        <v>356445077.36000001</v>
      </c>
      <c r="AG108" s="38">
        <f t="shared" si="22"/>
        <v>352249002.90000004</v>
      </c>
      <c r="AH108" s="38">
        <f t="shared" si="22"/>
        <v>345850235</v>
      </c>
      <c r="AI108" s="38">
        <f t="shared" si="22"/>
        <v>336814665.81999993</v>
      </c>
      <c r="AJ108" s="38">
        <f t="shared" si="22"/>
        <v>366560728.92000002</v>
      </c>
      <c r="AK108" s="38">
        <f t="shared" si="22"/>
        <v>359737405.32999998</v>
      </c>
      <c r="AL108" s="38">
        <f t="shared" si="22"/>
        <v>356545476.48000002</v>
      </c>
      <c r="AM108" s="38">
        <f t="shared" si="22"/>
        <v>350347961.48000002</v>
      </c>
      <c r="AN108" s="38">
        <f t="shared" si="22"/>
        <v>345275280.54000002</v>
      </c>
      <c r="AO108" s="38">
        <f t="shared" si="22"/>
        <v>344942037.72000003</v>
      </c>
      <c r="AP108" s="38">
        <f t="shared" si="22"/>
        <v>339517204.15999997</v>
      </c>
      <c r="AQ108" s="38">
        <f t="shared" si="22"/>
        <v>337249181.74000001</v>
      </c>
      <c r="AR108" s="38">
        <f t="shared" si="22"/>
        <v>333519115.91000003</v>
      </c>
      <c r="AS108" s="38">
        <f t="shared" si="22"/>
        <v>330641170</v>
      </c>
      <c r="AT108" s="38">
        <f t="shared" si="22"/>
        <v>326843019.58999997</v>
      </c>
      <c r="AU108" s="38">
        <f t="shared" si="22"/>
        <v>317739028.5</v>
      </c>
      <c r="AV108" s="38">
        <f t="shared" si="22"/>
        <v>331488572</v>
      </c>
      <c r="AW108" s="38">
        <f t="shared" si="22"/>
        <v>321921565.43000001</v>
      </c>
      <c r="AX108" s="38">
        <f t="shared" si="22"/>
        <v>313159807.64999998</v>
      </c>
      <c r="AY108" s="38">
        <f t="shared" si="22"/>
        <v>297330945.79999995</v>
      </c>
      <c r="AZ108" s="38">
        <f t="shared" si="22"/>
        <v>305956729.29000002</v>
      </c>
      <c r="BA108" s="38">
        <f t="shared" si="22"/>
        <v>302262132.95999998</v>
      </c>
      <c r="BB108" s="38">
        <f t="shared" si="22"/>
        <v>323403134.37999994</v>
      </c>
      <c r="BC108" s="38">
        <f t="shared" si="22"/>
        <v>311868515.63999999</v>
      </c>
      <c r="BD108" s="38">
        <f t="shared" si="22"/>
        <v>163677003.17000002</v>
      </c>
      <c r="BE108" s="38">
        <f t="shared" si="22"/>
        <v>157613315.28999999</v>
      </c>
      <c r="BF108" s="38">
        <f t="shared" si="22"/>
        <v>127952771.16</v>
      </c>
      <c r="BG108" s="38">
        <f t="shared" si="22"/>
        <v>0</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Y52" sqref="Y52:BI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6" width="19.33203125" hidden="1" customWidth="1"/>
    <col min="7" max="8" width="20.21875" hidden="1" customWidth="1"/>
    <col min="9" max="9" width="19.33203125" bestFit="1" customWidth="1"/>
    <col min="10" max="12" width="20.21875" hidden="1" customWidth="1"/>
    <col min="13" max="13" width="19.33203125" bestFit="1" customWidth="1"/>
    <col min="14" max="14" width="20.21875" hidden="1" customWidth="1"/>
    <col min="15" max="16" width="19" hidden="1" customWidth="1"/>
    <col min="17" max="17" width="19" bestFit="1" customWidth="1"/>
    <col min="18" max="20" width="19" hidden="1" customWidth="1"/>
    <col min="21" max="21" width="20.21875" bestFit="1" customWidth="1"/>
    <col min="22" max="22" width="17.77734375" hidden="1" customWidth="1"/>
    <col min="23" max="24" width="19" hidden="1" customWidth="1"/>
    <col min="25" max="25" width="19" bestFit="1" customWidth="1"/>
    <col min="26" max="26" width="17.77734375" hidden="1" customWidth="1"/>
    <col min="27" max="28" width="19" hidden="1" customWidth="1"/>
    <col min="29" max="29" width="19" bestFit="1" customWidth="1"/>
    <col min="30" max="30" width="17.77734375" hidden="1" customWidth="1"/>
    <col min="31" max="32" width="19" hidden="1" customWidth="1"/>
    <col min="33" max="33" width="19" bestFit="1" customWidth="1"/>
    <col min="34" max="36" width="19" hidden="1" customWidth="1"/>
    <col min="37" max="37" width="19" bestFit="1" customWidth="1"/>
    <col min="38" max="40" width="19" hidden="1" customWidth="1"/>
    <col min="41" max="41" width="17.77734375" bestFit="1" customWidth="1"/>
    <col min="42" max="44" width="19" hidden="1" customWidth="1"/>
    <col min="45" max="45" width="19" bestFit="1" customWidth="1"/>
    <col min="46" max="46" width="17.77734375" hidden="1" customWidth="1"/>
    <col min="47" max="48" width="19" hidden="1" customWidth="1"/>
    <col min="49" max="49" width="17.77734375" bestFit="1" customWidth="1"/>
    <col min="50" max="50" width="17.77734375" hidden="1" customWidth="1"/>
    <col min="51" max="52" width="19" hidden="1" customWidth="1"/>
    <col min="53" max="53" width="17.77734375" bestFit="1" customWidth="1"/>
    <col min="54" max="54" width="17.77734375" hidden="1" customWidth="1"/>
    <col min="55" max="55" width="19" hidden="1" customWidth="1"/>
    <col min="56" max="56" width="17.77734375" hidden="1" customWidth="1"/>
    <col min="57" max="57" width="17.77734375" bestFit="1" customWidth="1"/>
    <col min="58" max="58" width="17.77734375" hidden="1" customWidth="1"/>
    <col min="59" max="59" width="16.5546875" hidden="1" customWidth="1"/>
    <col min="60" max="61" width="17.77734375" bestFit="1" customWidth="1"/>
    <col min="62" max="62" width="9.5546875" hidden="1" customWidth="1"/>
    <col min="63" max="76" width="20.21875" bestFit="1" customWidth="1"/>
    <col min="77"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5818693664.4200001</v>
      </c>
      <c r="C4" s="190">
        <v>3484839610.5900002</v>
      </c>
      <c r="D4" s="190">
        <v>1224913069.04</v>
      </c>
      <c r="E4" s="190">
        <v>6233050789.2700005</v>
      </c>
      <c r="F4" s="190">
        <v>2989216840.73</v>
      </c>
      <c r="G4" s="190">
        <v>1621362138.1800001</v>
      </c>
      <c r="H4" s="190">
        <v>554996254.27999997</v>
      </c>
      <c r="I4" s="190">
        <v>3081860748.46</v>
      </c>
      <c r="J4" s="190">
        <v>1882610155.46</v>
      </c>
      <c r="K4" s="190">
        <v>1042533326.38</v>
      </c>
      <c r="L4" s="190">
        <v>309009125.79000002</v>
      </c>
      <c r="M4" s="190">
        <v>2101482138.0899999</v>
      </c>
      <c r="N4" s="190">
        <v>1287716120.8399999</v>
      </c>
      <c r="O4" s="190">
        <v>234402082.41999999</v>
      </c>
      <c r="P4" s="190">
        <v>98884258.989999995</v>
      </c>
      <c r="Q4" s="190">
        <v>696008522.04999995</v>
      </c>
      <c r="R4" s="190">
        <v>499824845.88</v>
      </c>
      <c r="S4" s="190">
        <v>218791842.91</v>
      </c>
      <c r="T4" s="190">
        <v>80628835.340000004</v>
      </c>
      <c r="U4" s="190">
        <v>758700415.60000002</v>
      </c>
      <c r="V4" s="190">
        <v>505160617.19999999</v>
      </c>
      <c r="W4" s="190">
        <v>244045439.34</v>
      </c>
      <c r="X4" s="190">
        <v>124255763.25</v>
      </c>
      <c r="Y4" s="190">
        <v>691214660.60000002</v>
      </c>
      <c r="Z4" s="190">
        <v>479068814.31999999</v>
      </c>
      <c r="AA4" s="190">
        <v>247057637.74000001</v>
      </c>
      <c r="AB4" s="190">
        <v>129105048.27</v>
      </c>
      <c r="AC4" s="190">
        <v>776359138.99000001</v>
      </c>
      <c r="AD4" s="190">
        <v>579326555.54999995</v>
      </c>
      <c r="AE4" s="190">
        <v>304913961.62</v>
      </c>
      <c r="AF4" s="190">
        <v>129331362.36</v>
      </c>
      <c r="AG4" s="190">
        <v>554317044.60000002</v>
      </c>
      <c r="AH4" s="190">
        <v>356208895.57999998</v>
      </c>
      <c r="AI4" s="190">
        <v>184973928.56</v>
      </c>
      <c r="AJ4" s="190">
        <v>104299108.65000001</v>
      </c>
      <c r="AK4" s="190">
        <v>509839028.19</v>
      </c>
      <c r="AL4" s="190">
        <v>339390401.16000003</v>
      </c>
      <c r="AM4" s="190">
        <v>179720032.56</v>
      </c>
      <c r="AN4" s="190">
        <v>98918353.280000001</v>
      </c>
      <c r="AO4" s="190">
        <v>412981840.82999998</v>
      </c>
      <c r="AP4" s="190">
        <v>271774932.64999998</v>
      </c>
      <c r="AQ4" s="190">
        <v>163859513.34999999</v>
      </c>
      <c r="AR4" s="190">
        <v>83742016.219999999</v>
      </c>
      <c r="AS4" s="190">
        <v>566295103.17999995</v>
      </c>
      <c r="AT4" s="190">
        <v>419765060.01999998</v>
      </c>
      <c r="AU4" s="190">
        <v>242760630.49000001</v>
      </c>
      <c r="AV4" s="190">
        <v>125941160.89</v>
      </c>
      <c r="AW4" s="190">
        <v>593824099.46000004</v>
      </c>
      <c r="AX4" s="190">
        <v>439235650.68000001</v>
      </c>
      <c r="AY4" s="190">
        <v>287317133.20999998</v>
      </c>
      <c r="AZ4" s="190">
        <v>136790548.13</v>
      </c>
      <c r="BA4" s="190">
        <v>528669895.29000002</v>
      </c>
      <c r="BB4" s="190">
        <v>399564767.79000002</v>
      </c>
      <c r="BC4" s="190">
        <v>215657508.13999999</v>
      </c>
      <c r="BD4" s="190">
        <v>122796213.84</v>
      </c>
      <c r="BE4" s="190">
        <v>563658847.70000005</v>
      </c>
      <c r="BF4" s="190">
        <v>398889793.47000003</v>
      </c>
      <c r="BG4" s="190">
        <v>216854594.63</v>
      </c>
      <c r="BH4" s="190">
        <v>446927130.95999998</v>
      </c>
      <c r="BI4" s="190">
        <v>335191928.19</v>
      </c>
      <c r="BJ4" s="190">
        <v>0</v>
      </c>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3122430746.2199998</v>
      </c>
      <c r="C5" s="190">
        <v>1927203388.5</v>
      </c>
      <c r="D5" s="190">
        <v>824311041.36000001</v>
      </c>
      <c r="E5" s="190">
        <v>3305842153.46</v>
      </c>
      <c r="F5" s="190">
        <v>1607703653.8599999</v>
      </c>
      <c r="G5" s="190">
        <v>912262660.67999995</v>
      </c>
      <c r="H5" s="190">
        <v>403895644.81</v>
      </c>
      <c r="I5" s="190">
        <v>1593099881.1400001</v>
      </c>
      <c r="J5" s="190">
        <v>1054987145.26</v>
      </c>
      <c r="K5" s="190">
        <v>645996106.79999995</v>
      </c>
      <c r="L5" s="190">
        <v>287994101.57999998</v>
      </c>
      <c r="M5" s="190">
        <v>1093803294.7</v>
      </c>
      <c r="N5" s="190">
        <v>735007941.15999997</v>
      </c>
      <c r="O5" s="190">
        <v>203239821.19</v>
      </c>
      <c r="P5" s="190">
        <v>85021682.310000002</v>
      </c>
      <c r="Q5" s="190">
        <v>556375832.12</v>
      </c>
      <c r="R5" s="190">
        <v>390693544.98000002</v>
      </c>
      <c r="S5" s="190">
        <v>180750310.22</v>
      </c>
      <c r="T5" s="190">
        <v>65873397.520000003</v>
      </c>
      <c r="U5" s="190">
        <v>624264230.88999999</v>
      </c>
      <c r="V5" s="190">
        <v>411752426.16000003</v>
      </c>
      <c r="W5" s="190">
        <v>204748056.61000001</v>
      </c>
      <c r="X5" s="190">
        <v>105999396.81999999</v>
      </c>
      <c r="Y5" s="190">
        <v>552430922.80999994</v>
      </c>
      <c r="Z5" s="190">
        <v>392694832.89999998</v>
      </c>
      <c r="AA5" s="190">
        <v>209481156.28999999</v>
      </c>
      <c r="AB5" s="190">
        <v>108166229.47</v>
      </c>
      <c r="AC5" s="190">
        <v>643419400.03999996</v>
      </c>
      <c r="AD5" s="190">
        <v>499522077.79000002</v>
      </c>
      <c r="AE5" s="190">
        <v>270291582.54000002</v>
      </c>
      <c r="AF5" s="190">
        <v>113183634.31</v>
      </c>
      <c r="AG5" s="190">
        <v>487245059.11000001</v>
      </c>
      <c r="AH5" s="190">
        <v>309240439.19</v>
      </c>
      <c r="AI5" s="190">
        <v>161559143.69999999</v>
      </c>
      <c r="AJ5" s="190">
        <v>92342805.459999993</v>
      </c>
      <c r="AK5" s="190">
        <v>439583068.93000001</v>
      </c>
      <c r="AL5" s="190">
        <v>300397846.06999999</v>
      </c>
      <c r="AM5" s="190">
        <v>159877295.71000001</v>
      </c>
      <c r="AN5" s="190">
        <v>89069045.790000007</v>
      </c>
      <c r="AO5" s="190">
        <v>365088505.76999998</v>
      </c>
      <c r="AP5" s="190">
        <v>236760445.34999999</v>
      </c>
      <c r="AQ5" s="190">
        <v>147704653.58000001</v>
      </c>
      <c r="AR5" s="190">
        <v>76475808.640000001</v>
      </c>
      <c r="AS5" s="190">
        <v>501552367.08999997</v>
      </c>
      <c r="AT5" s="190">
        <v>370580841.50999999</v>
      </c>
      <c r="AU5" s="190">
        <v>219786798.90000001</v>
      </c>
      <c r="AV5" s="190">
        <v>112239155.43000001</v>
      </c>
      <c r="AW5" s="190">
        <v>525457022.52999997</v>
      </c>
      <c r="AX5" s="190">
        <v>383078442.14999998</v>
      </c>
      <c r="AY5" s="190">
        <v>258654230.25</v>
      </c>
      <c r="AZ5" s="190">
        <v>120869082.25</v>
      </c>
      <c r="BA5" s="190">
        <v>451775599.12</v>
      </c>
      <c r="BB5" s="190">
        <v>342468923.31</v>
      </c>
      <c r="BC5" s="190">
        <v>186594625.97</v>
      </c>
      <c r="BD5" s="190">
        <v>106630749.14</v>
      </c>
      <c r="BE5" s="190">
        <v>493558949.17000002</v>
      </c>
      <c r="BF5" s="190">
        <v>353278186.13999999</v>
      </c>
      <c r="BG5" s="190">
        <v>195848178.13999999</v>
      </c>
      <c r="BH5" s="190">
        <v>380728387.19</v>
      </c>
      <c r="BI5" s="190">
        <v>286706185.30000001</v>
      </c>
      <c r="BJ5" s="190">
        <v>0</v>
      </c>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2696262918.2000003</v>
      </c>
      <c r="C6" s="27">
        <f t="shared" ref="C6:BN6" si="0">C4-C5</f>
        <v>1557636222.0900002</v>
      </c>
      <c r="D6" s="27">
        <f t="shared" si="0"/>
        <v>400602027.67999995</v>
      </c>
      <c r="E6" s="27">
        <f t="shared" si="0"/>
        <v>2927208635.8100004</v>
      </c>
      <c r="F6" s="27">
        <f t="shared" si="0"/>
        <v>1381513186.8700001</v>
      </c>
      <c r="G6" s="27">
        <f t="shared" si="0"/>
        <v>709099477.50000012</v>
      </c>
      <c r="H6" s="27">
        <f t="shared" si="0"/>
        <v>151100609.46999997</v>
      </c>
      <c r="I6" s="27">
        <f t="shared" si="0"/>
        <v>1488760867.3199999</v>
      </c>
      <c r="J6" s="27">
        <f t="shared" si="0"/>
        <v>827623010.20000005</v>
      </c>
      <c r="K6" s="27">
        <f t="shared" si="0"/>
        <v>396537219.58000004</v>
      </c>
      <c r="L6" s="27">
        <f t="shared" si="0"/>
        <v>21015024.210000038</v>
      </c>
      <c r="M6" s="27">
        <f t="shared" si="0"/>
        <v>1007678843.3899999</v>
      </c>
      <c r="N6" s="27">
        <f t="shared" si="0"/>
        <v>552708179.67999995</v>
      </c>
      <c r="O6" s="27">
        <f t="shared" si="0"/>
        <v>31162261.229999989</v>
      </c>
      <c r="P6" s="27">
        <f t="shared" si="0"/>
        <v>13862576.679999992</v>
      </c>
      <c r="Q6" s="27">
        <f t="shared" si="0"/>
        <v>139632689.92999995</v>
      </c>
      <c r="R6" s="27">
        <f t="shared" si="0"/>
        <v>109131300.89999998</v>
      </c>
      <c r="S6" s="27">
        <f t="shared" si="0"/>
        <v>38041532.689999998</v>
      </c>
      <c r="T6" s="27">
        <f t="shared" si="0"/>
        <v>14755437.82</v>
      </c>
      <c r="U6" s="27">
        <f t="shared" si="0"/>
        <v>134436184.71000004</v>
      </c>
      <c r="V6" s="27">
        <f t="shared" si="0"/>
        <v>93408191.039999962</v>
      </c>
      <c r="W6" s="27">
        <f t="shared" si="0"/>
        <v>39297382.729999989</v>
      </c>
      <c r="X6" s="27">
        <f t="shared" si="0"/>
        <v>18256366.430000007</v>
      </c>
      <c r="Y6" s="27">
        <f t="shared" si="0"/>
        <v>138783737.79000008</v>
      </c>
      <c r="Z6" s="27">
        <f t="shared" si="0"/>
        <v>86373981.420000017</v>
      </c>
      <c r="AA6" s="27">
        <f t="shared" si="0"/>
        <v>37576481.450000018</v>
      </c>
      <c r="AB6" s="27">
        <f t="shared" si="0"/>
        <v>20938818.799999997</v>
      </c>
      <c r="AC6" s="27">
        <f t="shared" si="0"/>
        <v>132939738.95000005</v>
      </c>
      <c r="AD6" s="27">
        <f t="shared" si="0"/>
        <v>79804477.759999931</v>
      </c>
      <c r="AE6" s="27">
        <f t="shared" si="0"/>
        <v>34622379.079999983</v>
      </c>
      <c r="AF6" s="27">
        <f t="shared" si="0"/>
        <v>16147728.049999997</v>
      </c>
      <c r="AG6" s="27">
        <f t="shared" si="0"/>
        <v>67071985.49000001</v>
      </c>
      <c r="AH6" s="27">
        <f t="shared" si="0"/>
        <v>46968456.389999986</v>
      </c>
      <c r="AI6" s="27">
        <f t="shared" si="0"/>
        <v>23414784.860000014</v>
      </c>
      <c r="AJ6" s="27">
        <f t="shared" si="0"/>
        <v>11956303.190000013</v>
      </c>
      <c r="AK6" s="27">
        <f t="shared" si="0"/>
        <v>70255959.25999999</v>
      </c>
      <c r="AL6" s="27">
        <f t="shared" si="0"/>
        <v>38992555.090000033</v>
      </c>
      <c r="AM6" s="27">
        <f t="shared" si="0"/>
        <v>19842736.849999994</v>
      </c>
      <c r="AN6" s="27">
        <f t="shared" si="0"/>
        <v>9849307.4899999946</v>
      </c>
      <c r="AO6" s="27">
        <f t="shared" si="0"/>
        <v>47893335.060000002</v>
      </c>
      <c r="AP6" s="27">
        <f t="shared" si="0"/>
        <v>35014487.299999982</v>
      </c>
      <c r="AQ6" s="27">
        <f t="shared" si="0"/>
        <v>16154859.769999981</v>
      </c>
      <c r="AR6" s="27">
        <f t="shared" si="0"/>
        <v>7266207.5799999982</v>
      </c>
      <c r="AS6" s="27">
        <f t="shared" si="0"/>
        <v>64742736.089999974</v>
      </c>
      <c r="AT6" s="27">
        <f t="shared" si="0"/>
        <v>49184218.50999999</v>
      </c>
      <c r="AU6" s="27">
        <f t="shared" si="0"/>
        <v>22973831.590000004</v>
      </c>
      <c r="AV6" s="27">
        <f t="shared" si="0"/>
        <v>13702005.459999993</v>
      </c>
      <c r="AW6" s="27">
        <f t="shared" si="0"/>
        <v>68367076.930000067</v>
      </c>
      <c r="AX6" s="27">
        <f t="shared" si="0"/>
        <v>56157208.530000031</v>
      </c>
      <c r="AY6" s="27">
        <f t="shared" si="0"/>
        <v>28662902.959999979</v>
      </c>
      <c r="AZ6" s="27">
        <f t="shared" si="0"/>
        <v>15921465.879999995</v>
      </c>
      <c r="BA6" s="27">
        <f t="shared" si="0"/>
        <v>76894296.170000017</v>
      </c>
      <c r="BB6" s="27">
        <f t="shared" si="0"/>
        <v>57095844.480000019</v>
      </c>
      <c r="BC6" s="27">
        <f t="shared" si="0"/>
        <v>29062882.169999987</v>
      </c>
      <c r="BD6" s="27">
        <f t="shared" si="0"/>
        <v>16165464.700000003</v>
      </c>
      <c r="BE6" s="27">
        <f t="shared" si="0"/>
        <v>70099898.530000031</v>
      </c>
      <c r="BF6" s="27">
        <f t="shared" si="0"/>
        <v>45611607.330000043</v>
      </c>
      <c r="BG6" s="27">
        <f t="shared" si="0"/>
        <v>21006416.49000001</v>
      </c>
      <c r="BH6" s="27">
        <f t="shared" si="0"/>
        <v>66198743.769999981</v>
      </c>
      <c r="BI6" s="27">
        <f t="shared" si="0"/>
        <v>48485742.889999986</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46.337942392242439</v>
      </c>
      <c r="C7" s="57">
        <f t="shared" ref="C7:D7" si="2">C6/C4*100</f>
        <v>44.69750106594676</v>
      </c>
      <c r="D7" s="57">
        <f t="shared" si="2"/>
        <v>32.704527186893635</v>
      </c>
      <c r="E7" s="57">
        <f>E6/E4</f>
        <v>0.46962695071394212</v>
      </c>
      <c r="F7" s="57">
        <f t="shared" ref="F7:BQ7" si="3">F6/F4</f>
        <v>0.46216559737185853</v>
      </c>
      <c r="G7" s="57">
        <f t="shared" si="3"/>
        <v>0.43734799327186302</v>
      </c>
      <c r="H7" s="57">
        <f t="shared" si="3"/>
        <v>0.27225518785892294</v>
      </c>
      <c r="I7" s="57">
        <f t="shared" si="3"/>
        <v>0.48307207522725709</v>
      </c>
      <c r="J7" s="57">
        <f t="shared" si="3"/>
        <v>0.43961465298575175</v>
      </c>
      <c r="K7" s="57">
        <f t="shared" si="3"/>
        <v>0.38035927441945727</v>
      </c>
      <c r="L7" s="57">
        <f t="shared" si="3"/>
        <v>6.80077785931852E-2</v>
      </c>
      <c r="M7" s="57">
        <f t="shared" si="3"/>
        <v>0.4795086406520026</v>
      </c>
      <c r="N7" s="57">
        <f t="shared" si="3"/>
        <v>0.42921585801027223</v>
      </c>
      <c r="O7" s="57">
        <f t="shared" si="3"/>
        <v>0.13294361939227003</v>
      </c>
      <c r="P7" s="57">
        <f t="shared" si="3"/>
        <v>0.14018992326576357</v>
      </c>
      <c r="Q7" s="57">
        <f t="shared" si="3"/>
        <v>0.20061922448697977</v>
      </c>
      <c r="R7" s="57">
        <f t="shared" si="3"/>
        <v>0.21833908778156391</v>
      </c>
      <c r="S7" s="57">
        <f t="shared" si="3"/>
        <v>0.17387089109006856</v>
      </c>
      <c r="T7" s="57">
        <f t="shared" si="3"/>
        <v>0.18300447672074732</v>
      </c>
      <c r="U7" s="57">
        <f t="shared" si="3"/>
        <v>0.1771927126251597</v>
      </c>
      <c r="V7" s="57">
        <f t="shared" si="3"/>
        <v>0.18490790425774301</v>
      </c>
      <c r="W7" s="57">
        <f t="shared" si="3"/>
        <v>0.16102486010915179</v>
      </c>
      <c r="X7" s="57">
        <f t="shared" si="3"/>
        <v>0.14692571155245795</v>
      </c>
      <c r="Y7" s="57">
        <f t="shared" si="3"/>
        <v>0.20078239901556869</v>
      </c>
      <c r="Z7" s="57">
        <f t="shared" si="3"/>
        <v>0.18029556263769955</v>
      </c>
      <c r="AA7" s="57">
        <f t="shared" si="3"/>
        <v>0.1520960120631647</v>
      </c>
      <c r="AB7" s="57">
        <f t="shared" si="3"/>
        <v>0.16218435359870842</v>
      </c>
      <c r="AC7" s="57">
        <f t="shared" si="3"/>
        <v>0.17123484773161457</v>
      </c>
      <c r="AD7" s="57">
        <f t="shared" si="3"/>
        <v>0.13775387472827877</v>
      </c>
      <c r="AE7" s="57">
        <f t="shared" si="3"/>
        <v>0.11354802809307969</v>
      </c>
      <c r="AF7" s="57">
        <f t="shared" si="3"/>
        <v>0.12485547012991348</v>
      </c>
      <c r="AG7" s="57">
        <f t="shared" si="3"/>
        <v>0.1209993200522992</v>
      </c>
      <c r="AH7" s="57">
        <f t="shared" si="3"/>
        <v>0.13185649480629399</v>
      </c>
      <c r="AI7" s="57">
        <f t="shared" si="3"/>
        <v>0.12658424374873434</v>
      </c>
      <c r="AJ7" s="57">
        <f t="shared" si="3"/>
        <v>0.11463475905745443</v>
      </c>
      <c r="AK7" s="57">
        <f t="shared" si="3"/>
        <v>0.13780027690194391</v>
      </c>
      <c r="AL7" s="57">
        <f t="shared" si="3"/>
        <v>0.11488997613582369</v>
      </c>
      <c r="AM7" s="57">
        <f t="shared" si="3"/>
        <v>0.11040915454639395</v>
      </c>
      <c r="AN7" s="57">
        <f t="shared" si="3"/>
        <v>9.9570071310430885E-2</v>
      </c>
      <c r="AO7" s="57">
        <f t="shared" si="3"/>
        <v>0.11596959073005546</v>
      </c>
      <c r="AP7" s="57">
        <f t="shared" si="3"/>
        <v>0.12883633879910736</v>
      </c>
      <c r="AQ7" s="57">
        <f t="shared" si="3"/>
        <v>9.8589696989356893E-2</v>
      </c>
      <c r="AR7" s="57">
        <f t="shared" si="3"/>
        <v>8.6768959095883572E-2</v>
      </c>
      <c r="AS7" s="57">
        <f t="shared" si="3"/>
        <v>0.11432685136502257</v>
      </c>
      <c r="AT7" s="57">
        <f t="shared" si="3"/>
        <v>0.11717082528892847</v>
      </c>
      <c r="AU7" s="57">
        <f t="shared" si="3"/>
        <v>9.4635738684763215E-2</v>
      </c>
      <c r="AV7" s="57">
        <f t="shared" si="3"/>
        <v>0.10879688072724412</v>
      </c>
      <c r="AW7" s="57">
        <f t="shared" si="3"/>
        <v>0.11513018247688223</v>
      </c>
      <c r="AX7" s="57">
        <f t="shared" si="3"/>
        <v>0.12785211865899454</v>
      </c>
      <c r="AY7" s="57">
        <f t="shared" si="3"/>
        <v>9.9760507282558308E-2</v>
      </c>
      <c r="AZ7" s="57">
        <f t="shared" si="3"/>
        <v>0.11639302640171383</v>
      </c>
      <c r="BA7" s="57">
        <f t="shared" si="3"/>
        <v>0.14544860007173271</v>
      </c>
      <c r="BB7" s="57">
        <f t="shared" si="3"/>
        <v>0.14289509256734065</v>
      </c>
      <c r="BC7" s="57">
        <f t="shared" si="3"/>
        <v>0.13476406372614219</v>
      </c>
      <c r="BD7" s="57">
        <f t="shared" si="3"/>
        <v>0.1316446508771284</v>
      </c>
      <c r="BE7" s="57">
        <f t="shared" si="3"/>
        <v>0.12436582662729669</v>
      </c>
      <c r="BF7" s="57">
        <f t="shared" si="3"/>
        <v>0.11434638859324545</v>
      </c>
      <c r="BG7" s="57">
        <f t="shared" si="3"/>
        <v>9.6868671497790576E-2</v>
      </c>
      <c r="BH7" s="57">
        <f t="shared" si="3"/>
        <v>0.1481197698331829</v>
      </c>
      <c r="BI7" s="57">
        <f t="shared" si="3"/>
        <v>0.14465068759805086</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6396947.4299999997</v>
      </c>
      <c r="C8" s="190">
        <v>2769239.1</v>
      </c>
      <c r="D8" s="190">
        <v>581615.12</v>
      </c>
      <c r="E8" s="190">
        <v>7779361.5499999998</v>
      </c>
      <c r="F8" s="190">
        <v>609410.35</v>
      </c>
      <c r="G8" s="190">
        <v>289899.03999999998</v>
      </c>
      <c r="H8" s="190">
        <v>44951.11</v>
      </c>
      <c r="I8" s="190">
        <v>815109.12</v>
      </c>
      <c r="J8" s="190">
        <v>216155.37</v>
      </c>
      <c r="K8" s="190">
        <v>123487</v>
      </c>
      <c r="L8" s="190">
        <v>53201.64</v>
      </c>
      <c r="M8" s="190">
        <v>2354162.14</v>
      </c>
      <c r="N8" s="190">
        <v>655348.03</v>
      </c>
      <c r="O8" s="190">
        <v>2024948.34</v>
      </c>
      <c r="P8" s="190">
        <v>1401204.46</v>
      </c>
      <c r="Q8" s="190">
        <v>5794018.9400000004</v>
      </c>
      <c r="R8" s="190">
        <v>2923435.89</v>
      </c>
      <c r="S8" s="190">
        <v>2361889.4300000002</v>
      </c>
      <c r="T8" s="190">
        <v>2018220.45</v>
      </c>
      <c r="U8" s="190">
        <v>4530749.54</v>
      </c>
      <c r="V8" s="190">
        <v>1679468.93</v>
      </c>
      <c r="W8" s="190">
        <v>1661713.03</v>
      </c>
      <c r="X8" s="190">
        <v>1042669.28</v>
      </c>
      <c r="Y8" s="190">
        <v>4857444.91</v>
      </c>
      <c r="Z8" s="190">
        <v>3130687.74</v>
      </c>
      <c r="AA8" s="190">
        <v>2569636.8199999998</v>
      </c>
      <c r="AB8" s="190">
        <v>1948066.91</v>
      </c>
      <c r="AC8" s="190">
        <v>3136069.67</v>
      </c>
      <c r="AD8" s="190">
        <v>1478208</v>
      </c>
      <c r="AE8" s="190">
        <v>1290432.23</v>
      </c>
      <c r="AF8" s="190">
        <v>373720.48</v>
      </c>
      <c r="AG8" s="190">
        <v>824735.49</v>
      </c>
      <c r="AH8" s="190">
        <v>545994.86</v>
      </c>
      <c r="AI8" s="190">
        <v>536286.68000000005</v>
      </c>
      <c r="AJ8" s="190">
        <v>155584.76999999999</v>
      </c>
      <c r="AK8" s="190">
        <v>555155.07999999996</v>
      </c>
      <c r="AL8" s="190">
        <v>435891.13</v>
      </c>
      <c r="AM8" s="190">
        <v>220558.07999999999</v>
      </c>
      <c r="AN8" s="190">
        <v>127518.08</v>
      </c>
      <c r="AO8" s="190">
        <v>796320.63</v>
      </c>
      <c r="AP8" s="190">
        <v>574148.56000000006</v>
      </c>
      <c r="AQ8" s="190">
        <v>440939.33</v>
      </c>
      <c r="AR8" s="190">
        <v>340998.51</v>
      </c>
      <c r="AS8" s="190">
        <v>893734.55</v>
      </c>
      <c r="AT8" s="190">
        <v>624953.15</v>
      </c>
      <c r="AU8" s="190">
        <v>373929.53</v>
      </c>
      <c r="AV8" s="190">
        <v>65319.26</v>
      </c>
      <c r="AW8" s="190">
        <v>1130422.42</v>
      </c>
      <c r="AX8" s="190">
        <v>618176.18000000005</v>
      </c>
      <c r="AY8" s="190">
        <v>449690.21</v>
      </c>
      <c r="AZ8" s="190">
        <v>107520.55</v>
      </c>
      <c r="BA8" s="190">
        <v>488426.56</v>
      </c>
      <c r="BB8" s="190">
        <v>322468.73</v>
      </c>
      <c r="BC8" s="190">
        <v>230764.04</v>
      </c>
      <c r="BD8" s="190">
        <v>149907.04</v>
      </c>
      <c r="BE8" s="190">
        <v>559071.49</v>
      </c>
      <c r="BF8" s="190">
        <v>360289.04</v>
      </c>
      <c r="BG8" s="190">
        <v>248176.14</v>
      </c>
      <c r="BH8" s="190">
        <v>441914.22</v>
      </c>
      <c r="BI8" s="190">
        <v>497665.04</v>
      </c>
      <c r="BJ8" s="190">
        <v>0</v>
      </c>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1516097174.0899999</v>
      </c>
      <c r="C9" s="190">
        <v>967981799.66999996</v>
      </c>
      <c r="D9" s="190">
        <v>368262589.02999997</v>
      </c>
      <c r="E9" s="190">
        <v>1488121514.8800001</v>
      </c>
      <c r="F9" s="190">
        <v>787218730.94000006</v>
      </c>
      <c r="G9" s="190">
        <v>453550589.17000002</v>
      </c>
      <c r="H9" s="190">
        <v>185640586.59</v>
      </c>
      <c r="I9" s="190">
        <v>718023350.42999995</v>
      </c>
      <c r="J9" s="190">
        <v>497367843.00999999</v>
      </c>
      <c r="K9" s="190">
        <v>298292455.66000003</v>
      </c>
      <c r="L9" s="190">
        <v>123044101.31</v>
      </c>
      <c r="M9" s="190">
        <v>483963720.38999999</v>
      </c>
      <c r="N9" s="190">
        <v>342368671.48000002</v>
      </c>
      <c r="O9" s="190">
        <v>3174807.23</v>
      </c>
      <c r="P9" s="190">
        <v>1657360.64</v>
      </c>
      <c r="Q9" s="190">
        <v>10790437.960000001</v>
      </c>
      <c r="R9" s="190">
        <v>6878197.2199999997</v>
      </c>
      <c r="S9" s="190">
        <v>3407029.8</v>
      </c>
      <c r="T9" s="190">
        <v>1578821.93</v>
      </c>
      <c r="U9" s="190">
        <v>10842038.74</v>
      </c>
      <c r="V9" s="190">
        <v>6755973.3399999999</v>
      </c>
      <c r="W9" s="190">
        <v>3993292.95</v>
      </c>
      <c r="X9" s="190">
        <v>2277423.2999999998</v>
      </c>
      <c r="Y9" s="190">
        <v>10121159.449999999</v>
      </c>
      <c r="Z9" s="190">
        <v>6886421.9699999997</v>
      </c>
      <c r="AA9" s="190">
        <v>4013467.36</v>
      </c>
      <c r="AB9" s="190">
        <v>2471837.4</v>
      </c>
      <c r="AC9" s="190">
        <v>10966096.58</v>
      </c>
      <c r="AD9" s="190">
        <v>7458358.6299999999</v>
      </c>
      <c r="AE9" s="190">
        <v>4805150.51</v>
      </c>
      <c r="AF9" s="190">
        <v>2180572.61</v>
      </c>
      <c r="AG9" s="190">
        <v>9161172.6699999999</v>
      </c>
      <c r="AH9" s="190">
        <v>6073507.0999999996</v>
      </c>
      <c r="AI9" s="190">
        <v>3573572.5</v>
      </c>
      <c r="AJ9" s="190">
        <v>2031097.27</v>
      </c>
      <c r="AK9" s="190">
        <v>9233460.9000000004</v>
      </c>
      <c r="AL9" s="190">
        <v>5424458.4500000002</v>
      </c>
      <c r="AM9" s="190">
        <v>3418431.18</v>
      </c>
      <c r="AN9" s="190">
        <v>1467674.65</v>
      </c>
      <c r="AO9" s="190">
        <v>6606826.7400000002</v>
      </c>
      <c r="AP9" s="190">
        <v>4537138.16</v>
      </c>
      <c r="AQ9" s="190">
        <v>2908525.41</v>
      </c>
      <c r="AR9" s="190">
        <v>1178748.47</v>
      </c>
      <c r="AS9" s="190">
        <v>9146015.4499999993</v>
      </c>
      <c r="AT9" s="190">
        <v>7107999.21</v>
      </c>
      <c r="AU9" s="190">
        <v>4730788.82</v>
      </c>
      <c r="AV9" s="190">
        <v>3323357.19</v>
      </c>
      <c r="AW9" s="190">
        <v>8759969.5700000003</v>
      </c>
      <c r="AX9" s="190">
        <v>7647869.71</v>
      </c>
      <c r="AY9" s="190">
        <v>5471102.8799999999</v>
      </c>
      <c r="AZ9" s="190">
        <v>3569133.41</v>
      </c>
      <c r="BA9" s="190">
        <v>9783034.9000000004</v>
      </c>
      <c r="BB9" s="190">
        <v>7308959.0499999998</v>
      </c>
      <c r="BC9" s="190">
        <v>5731423.1500000004</v>
      </c>
      <c r="BD9" s="190">
        <v>4832341.4000000004</v>
      </c>
      <c r="BE9" s="190">
        <v>9200229.9100000001</v>
      </c>
      <c r="BF9" s="190">
        <v>5753790.2999999998</v>
      </c>
      <c r="BG9" s="190">
        <v>3010235.19</v>
      </c>
      <c r="BH9" s="190">
        <v>6748485.5899999999</v>
      </c>
      <c r="BI9" s="190">
        <v>3028378.55</v>
      </c>
      <c r="BJ9" s="190">
        <v>0</v>
      </c>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419210235.45999998</v>
      </c>
      <c r="C10" s="190">
        <v>268013048.78999999</v>
      </c>
      <c r="D10" s="190">
        <v>119612618.59</v>
      </c>
      <c r="E10" s="190">
        <v>463538394.62</v>
      </c>
      <c r="F10" s="190">
        <v>234548046.56999999</v>
      </c>
      <c r="G10" s="190">
        <v>153887803.25999999</v>
      </c>
      <c r="H10" s="190">
        <v>69031923.219999999</v>
      </c>
      <c r="I10" s="190">
        <v>263725741.44</v>
      </c>
      <c r="J10" s="190">
        <v>164162372.47</v>
      </c>
      <c r="K10" s="190">
        <v>109973147.16</v>
      </c>
      <c r="L10" s="190">
        <v>59134578.759999998</v>
      </c>
      <c r="M10" s="190">
        <v>195338730.59</v>
      </c>
      <c r="N10" s="190">
        <v>140259560.37</v>
      </c>
      <c r="O10" s="190">
        <v>20015563.760000002</v>
      </c>
      <c r="P10" s="190">
        <v>10229813.67</v>
      </c>
      <c r="Q10" s="190">
        <v>50180749.780000001</v>
      </c>
      <c r="R10" s="190">
        <v>31861827.140000001</v>
      </c>
      <c r="S10" s="190">
        <v>19844144.109999999</v>
      </c>
      <c r="T10" s="190">
        <v>9316399.4800000004</v>
      </c>
      <c r="U10" s="190">
        <v>44008332.509999998</v>
      </c>
      <c r="V10" s="190">
        <v>27631818.120000001</v>
      </c>
      <c r="W10" s="190">
        <v>17190247.170000002</v>
      </c>
      <c r="X10" s="190">
        <v>8164594.46</v>
      </c>
      <c r="Y10" s="190">
        <v>37359226.710000001</v>
      </c>
      <c r="Z10" s="190">
        <v>26415311.77</v>
      </c>
      <c r="AA10" s="190">
        <v>16833217.43</v>
      </c>
      <c r="AB10" s="190">
        <v>8895081.2400000002</v>
      </c>
      <c r="AC10" s="190">
        <v>35708982.93</v>
      </c>
      <c r="AD10" s="190">
        <v>22334122.620000001</v>
      </c>
      <c r="AE10" s="190">
        <v>14047428.210000001</v>
      </c>
      <c r="AF10" s="190">
        <v>6686464.3700000001</v>
      </c>
      <c r="AG10" s="190">
        <v>26126420.640000001</v>
      </c>
      <c r="AH10" s="190">
        <v>18827237.800000001</v>
      </c>
      <c r="AI10" s="190">
        <v>13329673.050000001</v>
      </c>
      <c r="AJ10" s="190">
        <v>7472893.1500000004</v>
      </c>
      <c r="AK10" s="190">
        <v>35014157.420000002</v>
      </c>
      <c r="AL10" s="190">
        <v>20352361.289999999</v>
      </c>
      <c r="AM10" s="190">
        <v>13794834.4</v>
      </c>
      <c r="AN10" s="190">
        <v>6731794.2599999998</v>
      </c>
      <c r="AO10" s="190">
        <v>24880534.25</v>
      </c>
      <c r="AP10" s="190">
        <v>15647808.710000001</v>
      </c>
      <c r="AQ10" s="190">
        <v>10731399.140000001</v>
      </c>
      <c r="AR10" s="190">
        <v>5361907.88</v>
      </c>
      <c r="AS10" s="190">
        <v>23769539.98</v>
      </c>
      <c r="AT10" s="190">
        <v>17280211.280000001</v>
      </c>
      <c r="AU10" s="190">
        <v>11657931.970000001</v>
      </c>
      <c r="AV10" s="190">
        <v>6116957.6200000001</v>
      </c>
      <c r="AW10" s="190">
        <v>23896954.370000001</v>
      </c>
      <c r="AX10" s="190">
        <v>18713339.670000002</v>
      </c>
      <c r="AY10" s="190">
        <v>12501660.880000001</v>
      </c>
      <c r="AZ10" s="190">
        <v>6415014.8200000003</v>
      </c>
      <c r="BA10" s="190">
        <v>38104606.450000003</v>
      </c>
      <c r="BB10" s="190">
        <v>28683922.649999999</v>
      </c>
      <c r="BC10" s="190">
        <v>18607387.100000001</v>
      </c>
      <c r="BD10" s="190">
        <v>8052727.5</v>
      </c>
      <c r="BE10" s="190">
        <v>31376172.039999999</v>
      </c>
      <c r="BF10" s="190">
        <v>21094998.489999998</v>
      </c>
      <c r="BG10" s="190">
        <v>13283840.18</v>
      </c>
      <c r="BH10" s="190">
        <v>31129663.550000001</v>
      </c>
      <c r="BI10" s="190">
        <v>25821544.140000001</v>
      </c>
      <c r="BJ10" s="190">
        <v>0</v>
      </c>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6951351.4900000002</v>
      </c>
      <c r="C11" s="190">
        <v>5006130.08</v>
      </c>
      <c r="D11" s="190">
        <v>-3366278.31</v>
      </c>
      <c r="E11" s="190">
        <v>17753750.18</v>
      </c>
      <c r="F11" s="190">
        <v>10380914.01</v>
      </c>
      <c r="G11" s="190">
        <v>9052580.5099999998</v>
      </c>
      <c r="H11" s="190">
        <v>476859.74</v>
      </c>
      <c r="I11" s="190">
        <v>6030144.29</v>
      </c>
      <c r="J11" s="190">
        <v>1687304.26</v>
      </c>
      <c r="K11" s="190">
        <v>1409999.82</v>
      </c>
      <c r="L11" s="190">
        <v>153299.31</v>
      </c>
      <c r="M11" s="190">
        <v>2015855.42</v>
      </c>
      <c r="N11" s="190">
        <v>442567.62</v>
      </c>
      <c r="O11" s="190">
        <v>2298283.84</v>
      </c>
      <c r="P11" s="190">
        <v>-237445.71</v>
      </c>
      <c r="Q11" s="190">
        <v>17882149.25</v>
      </c>
      <c r="R11" s="190">
        <v>3718714.17</v>
      </c>
      <c r="S11" s="190">
        <v>-632888.44999999995</v>
      </c>
      <c r="T11" s="190">
        <v>-2536966.92</v>
      </c>
      <c r="U11" s="190">
        <v>92404460.180000007</v>
      </c>
      <c r="V11" s="190">
        <v>-78269.78</v>
      </c>
      <c r="W11" s="190">
        <v>-2348794.2000000002</v>
      </c>
      <c r="X11" s="190">
        <v>-1608714.06</v>
      </c>
      <c r="Y11" s="190">
        <v>3955385.3</v>
      </c>
      <c r="Z11" s="190">
        <v>1204418.19</v>
      </c>
      <c r="AA11" s="190">
        <v>1869700.4</v>
      </c>
      <c r="AB11" s="190">
        <v>964262.7</v>
      </c>
      <c r="AC11" s="190">
        <v>4268461.83</v>
      </c>
      <c r="AD11" s="190">
        <v>4942441.79</v>
      </c>
      <c r="AE11" s="190">
        <v>4088140.79</v>
      </c>
      <c r="AF11" s="190">
        <v>1514300.31</v>
      </c>
      <c r="AG11" s="190">
        <v>191297.45</v>
      </c>
      <c r="AH11" s="190">
        <v>1519663.71</v>
      </c>
      <c r="AI11" s="190">
        <v>606605.75</v>
      </c>
      <c r="AJ11" s="190">
        <v>-568177.48</v>
      </c>
      <c r="AK11" s="190">
        <v>2097034.57</v>
      </c>
      <c r="AL11" s="190">
        <v>-221377.24</v>
      </c>
      <c r="AM11" s="190">
        <v>-763064.65</v>
      </c>
      <c r="AN11" s="190">
        <v>11143.99</v>
      </c>
      <c r="AO11" s="190">
        <v>-401552.42</v>
      </c>
      <c r="AP11" s="190">
        <v>-5901.65</v>
      </c>
      <c r="AQ11" s="190">
        <v>-1095416.8400000001</v>
      </c>
      <c r="AR11" s="190">
        <v>-898477.76</v>
      </c>
      <c r="AS11" s="190">
        <v>2113419.54</v>
      </c>
      <c r="AT11" s="190">
        <v>334853.33</v>
      </c>
      <c r="AU11" s="190">
        <v>-45554.71</v>
      </c>
      <c r="AV11" s="190">
        <v>870634.86</v>
      </c>
      <c r="AW11" s="190">
        <v>1083571.67</v>
      </c>
      <c r="AX11" s="190">
        <v>1617896.31</v>
      </c>
      <c r="AY11" s="190">
        <v>1237932.58</v>
      </c>
      <c r="AZ11" s="190">
        <v>1329640.3700000001</v>
      </c>
      <c r="BA11" s="190">
        <v>0</v>
      </c>
      <c r="BB11" s="190">
        <v>0</v>
      </c>
      <c r="BC11" s="190">
        <v>0</v>
      </c>
      <c r="BD11" s="190">
        <v>0</v>
      </c>
      <c r="BE11" s="190">
        <v>0</v>
      </c>
      <c r="BF11" s="190">
        <v>0</v>
      </c>
      <c r="BG11" s="190">
        <v>0</v>
      </c>
      <c r="BH11" s="190">
        <v>0</v>
      </c>
      <c r="BI11" s="190">
        <v>0</v>
      </c>
      <c r="BJ11" s="190">
        <v>0</v>
      </c>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15808834.189999999</v>
      </c>
      <c r="F12" s="29">
        <f t="shared" si="5"/>
        <v>0</v>
      </c>
      <c r="G12" s="29">
        <f t="shared" si="5"/>
        <v>0</v>
      </c>
      <c r="H12" s="29">
        <f t="shared" si="5"/>
        <v>0</v>
      </c>
      <c r="I12" s="29">
        <f t="shared" si="5"/>
        <v>7971177.2000000002</v>
      </c>
      <c r="J12" s="29">
        <f t="shared" si="5"/>
        <v>0</v>
      </c>
      <c r="K12" s="29">
        <f t="shared" si="5"/>
        <v>0</v>
      </c>
      <c r="L12" s="29">
        <f t="shared" si="5"/>
        <v>0</v>
      </c>
      <c r="M12" s="29">
        <f t="shared" si="5"/>
        <v>5588159.7599999998</v>
      </c>
      <c r="N12" s="29">
        <f t="shared" si="5"/>
        <v>0</v>
      </c>
      <c r="O12" s="29">
        <f t="shared" si="5"/>
        <v>0</v>
      </c>
      <c r="P12" s="29">
        <f t="shared" si="5"/>
        <v>0</v>
      </c>
      <c r="Q12" s="29">
        <f t="shared" si="5"/>
        <v>379153.81</v>
      </c>
      <c r="R12" s="29">
        <f t="shared" si="5"/>
        <v>0</v>
      </c>
      <c r="S12" s="29">
        <f t="shared" si="5"/>
        <v>0</v>
      </c>
      <c r="T12" s="29">
        <f t="shared" si="5"/>
        <v>0</v>
      </c>
      <c r="U12" s="29">
        <f t="shared" si="5"/>
        <v>526932.43999999994</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5641612.3200000003</v>
      </c>
      <c r="C13" s="190">
        <v>4159943.87</v>
      </c>
      <c r="D13" s="190">
        <v>1545271.62</v>
      </c>
      <c r="E13" s="190">
        <v>4053650.32</v>
      </c>
      <c r="F13" s="190">
        <v>1690423.39</v>
      </c>
      <c r="G13" s="190">
        <v>883436.21</v>
      </c>
      <c r="H13" s="190">
        <v>118338.04</v>
      </c>
      <c r="I13" s="190">
        <v>4040605.88</v>
      </c>
      <c r="J13" s="190">
        <v>2650283.89</v>
      </c>
      <c r="K13" s="190">
        <v>2149202.7000000002</v>
      </c>
      <c r="L13" s="190">
        <v>613124.75</v>
      </c>
      <c r="M13" s="190">
        <v>1652435.75</v>
      </c>
      <c r="N13" s="190">
        <v>2806220.26</v>
      </c>
      <c r="O13" s="190">
        <v>2390861.0299999998</v>
      </c>
      <c r="P13" s="190">
        <v>733578.7</v>
      </c>
      <c r="Q13" s="190">
        <v>2587167.2200000002</v>
      </c>
      <c r="R13" s="190">
        <v>1197369.44</v>
      </c>
      <c r="S13" s="190">
        <v>676555.58</v>
      </c>
      <c r="T13" s="190">
        <v>12701.22</v>
      </c>
      <c r="U13" s="190">
        <v>317177.03999999998</v>
      </c>
      <c r="V13" s="190">
        <v>206515.61</v>
      </c>
      <c r="W13" s="190">
        <v>90792.07</v>
      </c>
      <c r="X13" s="190">
        <v>5230.75</v>
      </c>
      <c r="Y13" s="190">
        <v>262083.13</v>
      </c>
      <c r="Z13" s="190">
        <v>148195.75</v>
      </c>
      <c r="AA13" s="190">
        <v>141483.79999999999</v>
      </c>
      <c r="AB13" s="190">
        <v>662</v>
      </c>
      <c r="AC13" s="190">
        <v>2273643.7000000002</v>
      </c>
      <c r="AD13" s="190">
        <v>753360.73</v>
      </c>
      <c r="AE13" s="190">
        <v>765538.02</v>
      </c>
      <c r="AF13" s="190">
        <v>634280.15</v>
      </c>
      <c r="AG13" s="190">
        <v>1286549.06</v>
      </c>
      <c r="AH13" s="190">
        <v>1153489.05</v>
      </c>
      <c r="AI13" s="190">
        <v>886377.71</v>
      </c>
      <c r="AJ13" s="190">
        <v>308196.3</v>
      </c>
      <c r="AK13" s="190">
        <v>4164366.51</v>
      </c>
      <c r="AL13" s="190">
        <v>2170454.63</v>
      </c>
      <c r="AM13" s="190">
        <v>1397890.75</v>
      </c>
      <c r="AN13" s="190">
        <v>196796.83</v>
      </c>
      <c r="AO13" s="190">
        <v>3528854.93</v>
      </c>
      <c r="AP13" s="190">
        <v>920428.48</v>
      </c>
      <c r="AQ13" s="190">
        <v>679790.48</v>
      </c>
      <c r="AR13" s="190">
        <v>569527.85</v>
      </c>
      <c r="AS13" s="190">
        <v>2817430.69</v>
      </c>
      <c r="AT13" s="190">
        <v>2143229.63</v>
      </c>
      <c r="AU13" s="190">
        <v>1643661.55</v>
      </c>
      <c r="AV13" s="190">
        <v>9476.2999999999993</v>
      </c>
      <c r="AW13" s="190">
        <v>882177.15</v>
      </c>
      <c r="AX13" s="190">
        <v>82838.11</v>
      </c>
      <c r="AY13" s="190">
        <v>68318.289999999994</v>
      </c>
      <c r="AZ13" s="190">
        <v>601</v>
      </c>
      <c r="BA13" s="190">
        <v>282364.5</v>
      </c>
      <c r="BB13" s="190">
        <v>161832.84</v>
      </c>
      <c r="BC13" s="190">
        <v>155346.78</v>
      </c>
      <c r="BD13" s="190">
        <v>6831.91</v>
      </c>
      <c r="BE13" s="190">
        <v>566216.30000000005</v>
      </c>
      <c r="BF13" s="190">
        <v>230455.49</v>
      </c>
      <c r="BG13" s="190">
        <v>62022.92</v>
      </c>
      <c r="BH13" s="190">
        <v>254790.39</v>
      </c>
      <c r="BI13" s="190">
        <v>135880.97</v>
      </c>
      <c r="BJ13" s="190">
        <v>0</v>
      </c>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9374115.8699999992</v>
      </c>
      <c r="C14" s="190">
        <v>2896888.45</v>
      </c>
      <c r="D14" s="190">
        <v>253118.96</v>
      </c>
      <c r="E14" s="190">
        <v>6309766.5099999998</v>
      </c>
      <c r="F14" s="190">
        <v>1579627.18</v>
      </c>
      <c r="G14" s="190">
        <v>1358745.42</v>
      </c>
      <c r="H14" s="190">
        <v>123239.79</v>
      </c>
      <c r="I14" s="190">
        <v>2023069.88</v>
      </c>
      <c r="J14" s="190">
        <v>249156.28</v>
      </c>
      <c r="K14" s="190">
        <v>214191.23</v>
      </c>
      <c r="L14" s="190">
        <v>190593.63</v>
      </c>
      <c r="M14" s="190">
        <v>424442.64</v>
      </c>
      <c r="N14" s="190">
        <v>241562.99</v>
      </c>
      <c r="O14" s="190">
        <v>507281.67</v>
      </c>
      <c r="P14" s="190">
        <v>94563.08</v>
      </c>
      <c r="Q14" s="190">
        <v>3089740.84</v>
      </c>
      <c r="R14" s="190">
        <v>13757034.609999999</v>
      </c>
      <c r="S14" s="190">
        <v>405826.76</v>
      </c>
      <c r="T14" s="190">
        <v>205571.72</v>
      </c>
      <c r="U14" s="190">
        <v>1139879.78</v>
      </c>
      <c r="V14" s="190">
        <v>570552.30000000005</v>
      </c>
      <c r="W14" s="190">
        <v>275522.03999999998</v>
      </c>
      <c r="X14" s="190">
        <v>88734.28</v>
      </c>
      <c r="Y14" s="190">
        <v>761859.36</v>
      </c>
      <c r="Z14" s="190">
        <v>201711.74</v>
      </c>
      <c r="AA14" s="190">
        <v>262877.87</v>
      </c>
      <c r="AB14" s="190">
        <v>157190.28</v>
      </c>
      <c r="AC14" s="190">
        <v>941871.2</v>
      </c>
      <c r="AD14" s="190">
        <v>485338.53</v>
      </c>
      <c r="AE14" s="190">
        <v>310296.43</v>
      </c>
      <c r="AF14" s="190">
        <v>105593.1</v>
      </c>
      <c r="AG14" s="190">
        <v>1103175.29</v>
      </c>
      <c r="AH14" s="190">
        <v>798095.29</v>
      </c>
      <c r="AI14" s="190">
        <v>545096.81000000006</v>
      </c>
      <c r="AJ14" s="190">
        <v>90599.4</v>
      </c>
      <c r="AK14" s="190">
        <v>2947234.13</v>
      </c>
      <c r="AL14" s="190">
        <v>447367.77</v>
      </c>
      <c r="AM14" s="190">
        <v>206020.95</v>
      </c>
      <c r="AN14" s="190">
        <v>41815.65</v>
      </c>
      <c r="AO14" s="190">
        <v>666320.81999999995</v>
      </c>
      <c r="AP14" s="190">
        <v>527921.23</v>
      </c>
      <c r="AQ14" s="190">
        <v>310225.99</v>
      </c>
      <c r="AR14" s="190">
        <v>117805.35</v>
      </c>
      <c r="AS14" s="190">
        <v>850770.35</v>
      </c>
      <c r="AT14" s="190">
        <v>615660.37</v>
      </c>
      <c r="AU14" s="190">
        <v>283242.36</v>
      </c>
      <c r="AV14" s="190">
        <v>79886.149999999994</v>
      </c>
      <c r="AW14" s="190">
        <v>1137866.6100000001</v>
      </c>
      <c r="AX14" s="190">
        <v>892487.41</v>
      </c>
      <c r="AY14" s="190">
        <v>637333.4</v>
      </c>
      <c r="AZ14" s="190">
        <v>122266.51</v>
      </c>
      <c r="BA14" s="190">
        <v>901821.55</v>
      </c>
      <c r="BB14" s="190">
        <v>555558.68999999994</v>
      </c>
      <c r="BC14" s="190">
        <v>312936.13</v>
      </c>
      <c r="BD14" s="190">
        <v>133142.53</v>
      </c>
      <c r="BE14" s="190">
        <v>1040371.48</v>
      </c>
      <c r="BF14" s="190">
        <v>852657.5</v>
      </c>
      <c r="BG14" s="190">
        <v>510561.8</v>
      </c>
      <c r="BH14" s="190">
        <v>993953.66</v>
      </c>
      <c r="BI14" s="190">
        <v>732017.22</v>
      </c>
      <c r="BJ14" s="190">
        <v>0</v>
      </c>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743874243.18000031</v>
      </c>
      <c r="C15" s="28">
        <f t="shared" ref="C15:BN15" si="7">C6-(C8+C9+C10+C11+C12)+C13-C14</f>
        <v>315128456.8700003</v>
      </c>
      <c r="D15" s="28">
        <f t="shared" si="7"/>
        <v>-83197017.090000048</v>
      </c>
      <c r="E15" s="28">
        <f t="shared" si="7"/>
        <v>931950664.20000017</v>
      </c>
      <c r="F15" s="28">
        <f t="shared" si="7"/>
        <v>348866881.20999998</v>
      </c>
      <c r="G15" s="28">
        <f t="shared" si="7"/>
        <v>91843296.310000092</v>
      </c>
      <c r="H15" s="28">
        <f t="shared" si="7"/>
        <v>-104098612.94000006</v>
      </c>
      <c r="I15" s="28">
        <f t="shared" si="7"/>
        <v>494212880.83999991</v>
      </c>
      <c r="J15" s="28">
        <f t="shared" si="7"/>
        <v>166590462.70000002</v>
      </c>
      <c r="K15" s="28">
        <f t="shared" si="7"/>
        <v>-11326858.590000004</v>
      </c>
      <c r="L15" s="28">
        <f t="shared" si="7"/>
        <v>-160947625.68999997</v>
      </c>
      <c r="M15" s="28">
        <f t="shared" si="7"/>
        <v>319646208.19999993</v>
      </c>
      <c r="N15" s="28">
        <f t="shared" si="7"/>
        <v>71546689.449999958</v>
      </c>
      <c r="O15" s="28">
        <f t="shared" si="7"/>
        <v>5532237.4199999869</v>
      </c>
      <c r="P15" s="28">
        <f t="shared" si="7"/>
        <v>1450659.2399999935</v>
      </c>
      <c r="Q15" s="28">
        <f t="shared" si="7"/>
        <v>54103606.569999933</v>
      </c>
      <c r="R15" s="28">
        <f t="shared" si="7"/>
        <v>51189461.309999973</v>
      </c>
      <c r="S15" s="28">
        <f t="shared" si="7"/>
        <v>13332086.619999997</v>
      </c>
      <c r="T15" s="28">
        <f t="shared" si="7"/>
        <v>4186092.3800000004</v>
      </c>
      <c r="U15" s="28">
        <f t="shared" si="7"/>
        <v>-18699031.43999996</v>
      </c>
      <c r="V15" s="28">
        <f t="shared" si="7"/>
        <v>57055163.739999965</v>
      </c>
      <c r="W15" s="28">
        <f t="shared" si="7"/>
        <v>18616193.809999987</v>
      </c>
      <c r="X15" s="28">
        <f t="shared" si="7"/>
        <v>8296889.9200000083</v>
      </c>
      <c r="Y15" s="28">
        <f t="shared" si="7"/>
        <v>81990745.190000072</v>
      </c>
      <c r="Z15" s="28">
        <f t="shared" si="7"/>
        <v>48683625.760000013</v>
      </c>
      <c r="AA15" s="28">
        <f t="shared" si="7"/>
        <v>12169065.370000022</v>
      </c>
      <c r="AB15" s="28">
        <f t="shared" si="7"/>
        <v>6503042.2699999968</v>
      </c>
      <c r="AC15" s="28">
        <f t="shared" si="7"/>
        <v>80191900.440000057</v>
      </c>
      <c r="AD15" s="28">
        <f t="shared" si="7"/>
        <v>43859368.919999927</v>
      </c>
      <c r="AE15" s="28">
        <f t="shared" si="7"/>
        <v>10846468.929999981</v>
      </c>
      <c r="AF15" s="28">
        <f t="shared" si="7"/>
        <v>5921357.3299999963</v>
      </c>
      <c r="AG15" s="28">
        <f t="shared" si="7"/>
        <v>30951733.010000009</v>
      </c>
      <c r="AH15" s="28">
        <f t="shared" si="7"/>
        <v>20357446.679999985</v>
      </c>
      <c r="AI15" s="28">
        <f t="shared" si="7"/>
        <v>5709927.7800000142</v>
      </c>
      <c r="AJ15" s="28">
        <f t="shared" si="7"/>
        <v>3082502.3800000115</v>
      </c>
      <c r="AK15" s="28">
        <f t="shared" si="7"/>
        <v>24573283.669999983</v>
      </c>
      <c r="AL15" s="28">
        <f t="shared" si="7"/>
        <v>14724308.320000034</v>
      </c>
      <c r="AM15" s="28">
        <f t="shared" si="7"/>
        <v>4363847.6399999941</v>
      </c>
      <c r="AN15" s="28">
        <f t="shared" si="7"/>
        <v>1666157.6899999944</v>
      </c>
      <c r="AO15" s="28">
        <f t="shared" si="7"/>
        <v>18873739.970000003</v>
      </c>
      <c r="AP15" s="28">
        <f t="shared" si="7"/>
        <v>14653800.769999981</v>
      </c>
      <c r="AQ15" s="28">
        <f t="shared" si="7"/>
        <v>3538977.2199999802</v>
      </c>
      <c r="AR15" s="28">
        <f t="shared" si="7"/>
        <v>1734752.9799999986</v>
      </c>
      <c r="AS15" s="28">
        <f t="shared" si="7"/>
        <v>30786686.90999997</v>
      </c>
      <c r="AT15" s="28">
        <f t="shared" si="7"/>
        <v>25363770.79999999</v>
      </c>
      <c r="AU15" s="28">
        <f t="shared" si="7"/>
        <v>7617155.1700000037</v>
      </c>
      <c r="AV15" s="28">
        <f t="shared" si="7"/>
        <v>3255326.6799999936</v>
      </c>
      <c r="AW15" s="28">
        <f t="shared" si="7"/>
        <v>33240469.440000065</v>
      </c>
      <c r="AX15" s="28">
        <f t="shared" si="7"/>
        <v>26750277.360000029</v>
      </c>
      <c r="AY15" s="28">
        <f t="shared" si="7"/>
        <v>8433501.2999999803</v>
      </c>
      <c r="AZ15" s="28">
        <f t="shared" si="7"/>
        <v>4378491.2199999932</v>
      </c>
      <c r="BA15" s="28">
        <f t="shared" si="7"/>
        <v>27898771.210000012</v>
      </c>
      <c r="BB15" s="28">
        <f t="shared" si="7"/>
        <v>20386768.200000018</v>
      </c>
      <c r="BC15" s="28">
        <f t="shared" si="7"/>
        <v>4335718.5299999844</v>
      </c>
      <c r="BD15" s="28">
        <f t="shared" si="7"/>
        <v>3004178.140000002</v>
      </c>
      <c r="BE15" s="28">
        <f t="shared" si="7"/>
        <v>28490269.910000034</v>
      </c>
      <c r="BF15" s="28">
        <f t="shared" si="7"/>
        <v>17780327.490000043</v>
      </c>
      <c r="BG15" s="28">
        <f t="shared" si="7"/>
        <v>4015626.1000000099</v>
      </c>
      <c r="BH15" s="28">
        <f t="shared" si="7"/>
        <v>27139517.139999982</v>
      </c>
      <c r="BI15" s="28">
        <f t="shared" si="7"/>
        <v>18542018.909999985</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179597223.41122991</v>
      </c>
      <c r="C16" s="26">
        <f t="shared" ref="C16:BN16" si="9">C15*C41</f>
        <v>97410449.075060263</v>
      </c>
      <c r="D16" s="26">
        <f t="shared" si="9"/>
        <v>-12606192.178188199</v>
      </c>
      <c r="E16" s="26">
        <f t="shared" si="9"/>
        <v>219475111.31705815</v>
      </c>
      <c r="F16" s="26">
        <f t="shared" si="9"/>
        <v>89944769.44303681</v>
      </c>
      <c r="G16" s="26">
        <f t="shared" si="9"/>
        <v>38910953.663275979</v>
      </c>
      <c r="H16" s="26">
        <f t="shared" si="9"/>
        <v>-17235523.398859248</v>
      </c>
      <c r="I16" s="26">
        <f t="shared" si="9"/>
        <v>122002903.80672728</v>
      </c>
      <c r="J16" s="26">
        <f t="shared" si="9"/>
        <v>45042053.840602785</v>
      </c>
      <c r="K16" s="26">
        <f t="shared" si="9"/>
        <v>221725.28262354663</v>
      </c>
      <c r="L16" s="26">
        <f t="shared" si="9"/>
        <v>-30281957.910338026</v>
      </c>
      <c r="M16" s="26">
        <f t="shared" si="9"/>
        <v>65803280.695141464</v>
      </c>
      <c r="N16" s="26">
        <f t="shared" si="9"/>
        <v>9569510.0181104299</v>
      </c>
      <c r="O16" s="26">
        <f t="shared" si="9"/>
        <v>4192322.2541283467</v>
      </c>
      <c r="P16" s="26">
        <f t="shared" si="9"/>
        <v>1377032.1365292536</v>
      </c>
      <c r="Q16" s="26">
        <f t="shared" si="9"/>
        <v>25139368.033572555</v>
      </c>
      <c r="R16" s="26">
        <f t="shared" si="9"/>
        <v>21375832.189491477</v>
      </c>
      <c r="S16" s="26">
        <f t="shared" si="9"/>
        <v>8051875.283114844</v>
      </c>
      <c r="T16" s="26">
        <f t="shared" si="9"/>
        <v>2756845.2886530417</v>
      </c>
      <c r="U16" s="26">
        <f t="shared" si="9"/>
        <v>12245057.973187933</v>
      </c>
      <c r="V16" s="26">
        <f t="shared" si="9"/>
        <v>16641847.851561163</v>
      </c>
      <c r="W16" s="26">
        <f t="shared" si="9"/>
        <v>6367841.5490687834</v>
      </c>
      <c r="X16" s="26">
        <f t="shared" si="9"/>
        <v>2256646.6384659559</v>
      </c>
      <c r="Y16" s="26">
        <f t="shared" si="9"/>
        <v>22455190.617018506</v>
      </c>
      <c r="Z16" s="26">
        <f t="shared" si="9"/>
        <v>13797873.918555578</v>
      </c>
      <c r="AA16" s="26">
        <f t="shared" si="9"/>
        <v>4514864.7494270671</v>
      </c>
      <c r="AB16" s="26">
        <f t="shared" si="9"/>
        <v>2310238.9485810944</v>
      </c>
      <c r="AC16" s="26">
        <f t="shared" si="9"/>
        <v>21002288.498953026</v>
      </c>
      <c r="AD16" s="26">
        <f t="shared" si="9"/>
        <v>12075277.15431905</v>
      </c>
      <c r="AE16" s="26">
        <f t="shared" si="9"/>
        <v>3511535.140013278</v>
      </c>
      <c r="AF16" s="26">
        <f t="shared" si="9"/>
        <v>1346695.2552912608</v>
      </c>
      <c r="AG16" s="26">
        <f t="shared" si="9"/>
        <v>7656125.408897982</v>
      </c>
      <c r="AH16" s="26">
        <f t="shared" si="9"/>
        <v>4990844.2045302643</v>
      </c>
      <c r="AI16" s="26">
        <f t="shared" si="9"/>
        <v>1464881.6506667559</v>
      </c>
      <c r="AJ16" s="26">
        <f t="shared" si="9"/>
        <v>828868.57074260816</v>
      </c>
      <c r="AK16" s="26">
        <f t="shared" si="9"/>
        <v>9720677.1498280019</v>
      </c>
      <c r="AL16" s="26">
        <f t="shared" si="9"/>
        <v>4749411.680904408</v>
      </c>
      <c r="AM16" s="26">
        <f t="shared" si="9"/>
        <v>1752210.1323401609</v>
      </c>
      <c r="AN16" s="26">
        <f t="shared" si="9"/>
        <v>581134.5194544117</v>
      </c>
      <c r="AO16" s="26">
        <f t="shared" si="9"/>
        <v>5448927.4051430775</v>
      </c>
      <c r="AP16" s="26">
        <f t="shared" si="9"/>
        <v>3867321.7619408336</v>
      </c>
      <c r="AQ16" s="26">
        <f t="shared" si="9"/>
        <v>749293.41956644668</v>
      </c>
      <c r="AR16" s="26">
        <f t="shared" si="9"/>
        <v>422968.76903758891</v>
      </c>
      <c r="AS16" s="26">
        <f t="shared" si="9"/>
        <v>5506934.9073429536</v>
      </c>
      <c r="AT16" s="26">
        <f t="shared" si="9"/>
        <v>4307393.9371144744</v>
      </c>
      <c r="AU16" s="26">
        <f t="shared" si="9"/>
        <v>1659859.8320795626</v>
      </c>
      <c r="AV16" s="26">
        <f t="shared" si="9"/>
        <v>547331.4317465364</v>
      </c>
      <c r="AW16" s="26">
        <f t="shared" si="9"/>
        <v>5320250.2111466294</v>
      </c>
      <c r="AX16" s="26">
        <f t="shared" si="9"/>
        <v>4572785.2183528012</v>
      </c>
      <c r="AY16" s="26">
        <f t="shared" si="9"/>
        <v>1938214.6496659322</v>
      </c>
      <c r="AZ16" s="26">
        <f t="shared" si="9"/>
        <v>440600.30198750703</v>
      </c>
      <c r="BA16" s="26">
        <f t="shared" si="9"/>
        <v>4281112.7339013582</v>
      </c>
      <c r="BB16" s="26">
        <f t="shared" si="9"/>
        <v>3315627.3243898563</v>
      </c>
      <c r="BC16" s="26">
        <f t="shared" si="9"/>
        <v>731724.56173357635</v>
      </c>
      <c r="BD16" s="26">
        <f t="shared" si="9"/>
        <v>543974.12986389059</v>
      </c>
      <c r="BE16" s="26">
        <f t="shared" si="9"/>
        <v>5608994.6808195161</v>
      </c>
      <c r="BF16" s="26">
        <f t="shared" si="9"/>
        <v>3340871.277612532</v>
      </c>
      <c r="BG16" s="26">
        <f t="shared" si="9"/>
        <v>1396963.6849905052</v>
      </c>
      <c r="BH16" s="26">
        <f t="shared" si="9"/>
        <v>4892591.3701632274</v>
      </c>
      <c r="BI16" s="26">
        <f t="shared" si="9"/>
        <v>3630304.1132512684</v>
      </c>
      <c r="BJ16" s="26" t="e">
        <f t="shared" si="9"/>
        <v>#DIV/0!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564277019.76877046</v>
      </c>
      <c r="C17" s="27">
        <f t="shared" ref="C17:BN17" si="11">C15-C16</f>
        <v>217718007.79494005</v>
      </c>
      <c r="D17" s="27">
        <f t="shared" si="11"/>
        <v>-70590824.911811844</v>
      </c>
      <c r="E17" s="27">
        <f t="shared" si="11"/>
        <v>712475552.88294196</v>
      </c>
      <c r="F17" s="27">
        <f t="shared" si="11"/>
        <v>258922111.76696318</v>
      </c>
      <c r="G17" s="27">
        <f t="shared" si="11"/>
        <v>52932342.646724112</v>
      </c>
      <c r="H17" s="27">
        <f t="shared" si="11"/>
        <v>-86863089.54114081</v>
      </c>
      <c r="I17" s="27">
        <f t="shared" si="11"/>
        <v>372209977.03327262</v>
      </c>
      <c r="J17" s="27">
        <f t="shared" si="11"/>
        <v>121548408.85939723</v>
      </c>
      <c r="K17" s="27">
        <f t="shared" si="11"/>
        <v>-11548583.87262355</v>
      </c>
      <c r="L17" s="27">
        <f t="shared" si="11"/>
        <v>-130665667.77966194</v>
      </c>
      <c r="M17" s="27">
        <f t="shared" si="11"/>
        <v>253842927.50485846</v>
      </c>
      <c r="N17" s="27">
        <f t="shared" si="11"/>
        <v>61977179.431889527</v>
      </c>
      <c r="O17" s="27">
        <f t="shared" si="11"/>
        <v>1339915.1658716402</v>
      </c>
      <c r="P17" s="27">
        <f t="shared" si="11"/>
        <v>73627.103470739909</v>
      </c>
      <c r="Q17" s="27">
        <f t="shared" si="11"/>
        <v>28964238.536427379</v>
      </c>
      <c r="R17" s="27">
        <f t="shared" si="11"/>
        <v>29813629.120508496</v>
      </c>
      <c r="S17" s="27">
        <f t="shared" si="11"/>
        <v>5280211.3368851533</v>
      </c>
      <c r="T17" s="27">
        <f t="shared" si="11"/>
        <v>1429247.0913469587</v>
      </c>
      <c r="U17" s="27">
        <f t="shared" si="11"/>
        <v>-30944089.413187891</v>
      </c>
      <c r="V17" s="27">
        <f t="shared" si="11"/>
        <v>40413315.888438806</v>
      </c>
      <c r="W17" s="27">
        <f t="shared" si="11"/>
        <v>12248352.260931205</v>
      </c>
      <c r="X17" s="27">
        <f t="shared" si="11"/>
        <v>6040243.2815340525</v>
      </c>
      <c r="Y17" s="27">
        <f t="shared" si="11"/>
        <v>59535554.572981566</v>
      </c>
      <c r="Z17" s="27">
        <f t="shared" si="11"/>
        <v>34885751.841444433</v>
      </c>
      <c r="AA17" s="27">
        <f t="shared" si="11"/>
        <v>7654200.6205729544</v>
      </c>
      <c r="AB17" s="27">
        <f t="shared" si="11"/>
        <v>4192803.3214189024</v>
      </c>
      <c r="AC17" s="27">
        <f t="shared" si="11"/>
        <v>59189611.941047028</v>
      </c>
      <c r="AD17" s="27">
        <f t="shared" si="11"/>
        <v>31784091.765680879</v>
      </c>
      <c r="AE17" s="27">
        <f t="shared" si="11"/>
        <v>7334933.7899867035</v>
      </c>
      <c r="AF17" s="27">
        <f t="shared" si="11"/>
        <v>4574662.0747087356</v>
      </c>
      <c r="AG17" s="27">
        <f t="shared" si="11"/>
        <v>23295607.601102028</v>
      </c>
      <c r="AH17" s="27">
        <f t="shared" si="11"/>
        <v>15366602.47546972</v>
      </c>
      <c r="AI17" s="27">
        <f t="shared" si="11"/>
        <v>4245046.1293332586</v>
      </c>
      <c r="AJ17" s="27">
        <f t="shared" si="11"/>
        <v>2253633.8092574035</v>
      </c>
      <c r="AK17" s="27">
        <f t="shared" si="11"/>
        <v>14852606.520171981</v>
      </c>
      <c r="AL17" s="27">
        <f t="shared" si="11"/>
        <v>9974896.6390956268</v>
      </c>
      <c r="AM17" s="27">
        <f t="shared" si="11"/>
        <v>2611637.5076598329</v>
      </c>
      <c r="AN17" s="27">
        <f t="shared" si="11"/>
        <v>1085023.1705455827</v>
      </c>
      <c r="AO17" s="27">
        <f t="shared" si="11"/>
        <v>13424812.564856924</v>
      </c>
      <c r="AP17" s="27">
        <f t="shared" si="11"/>
        <v>10786479.008059148</v>
      </c>
      <c r="AQ17" s="27">
        <f t="shared" si="11"/>
        <v>2789683.8004335333</v>
      </c>
      <c r="AR17" s="27">
        <f t="shared" si="11"/>
        <v>1311784.2109624096</v>
      </c>
      <c r="AS17" s="27">
        <f t="shared" si="11"/>
        <v>25279752.002657019</v>
      </c>
      <c r="AT17" s="27">
        <f t="shared" si="11"/>
        <v>21056376.862885516</v>
      </c>
      <c r="AU17" s="27">
        <f t="shared" si="11"/>
        <v>5957295.3379204413</v>
      </c>
      <c r="AV17" s="27">
        <f t="shared" si="11"/>
        <v>2707995.2482534572</v>
      </c>
      <c r="AW17" s="27">
        <f t="shared" si="11"/>
        <v>27920219.228853434</v>
      </c>
      <c r="AX17" s="27">
        <f t="shared" si="11"/>
        <v>22177492.141647227</v>
      </c>
      <c r="AY17" s="27">
        <f t="shared" si="11"/>
        <v>6495286.6503340481</v>
      </c>
      <c r="AZ17" s="27">
        <f t="shared" si="11"/>
        <v>3937890.9180124863</v>
      </c>
      <c r="BA17" s="27">
        <f t="shared" si="11"/>
        <v>23617658.476098653</v>
      </c>
      <c r="BB17" s="27">
        <f t="shared" si="11"/>
        <v>17071140.875610162</v>
      </c>
      <c r="BC17" s="27">
        <f t="shared" si="11"/>
        <v>3603993.968266408</v>
      </c>
      <c r="BD17" s="27">
        <f t="shared" si="11"/>
        <v>2460204.0101361116</v>
      </c>
      <c r="BE17" s="27">
        <f t="shared" si="11"/>
        <v>22881275.229180519</v>
      </c>
      <c r="BF17" s="27">
        <f t="shared" si="11"/>
        <v>14439456.212387512</v>
      </c>
      <c r="BG17" s="27">
        <f t="shared" si="11"/>
        <v>2618662.4150095046</v>
      </c>
      <c r="BH17" s="27">
        <f t="shared" si="11"/>
        <v>22246925.769836754</v>
      </c>
      <c r="BI17" s="27">
        <f t="shared" si="11"/>
        <v>14911714.796748716</v>
      </c>
      <c r="BJ17" s="27" t="e">
        <f t="shared" si="11"/>
        <v>#DIV/0!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9.6976581396473449</v>
      </c>
      <c r="C18" s="57">
        <f t="shared" ref="C18:D18" si="13">C17/C4*100</f>
        <v>6.2475761332981214</v>
      </c>
      <c r="D18" s="57">
        <f t="shared" si="13"/>
        <v>-5.7629252798434036</v>
      </c>
      <c r="E18" s="57">
        <f>E17/E4</f>
        <v>0.11430607209385267</v>
      </c>
      <c r="F18" s="57">
        <f t="shared" ref="F18:BQ18" si="14">F17/F4</f>
        <v>8.6618711710366086E-2</v>
      </c>
      <c r="G18" s="57">
        <f t="shared" si="14"/>
        <v>3.2646835275271291E-2</v>
      </c>
      <c r="H18" s="57">
        <f t="shared" si="14"/>
        <v>-0.15651112754594862</v>
      </c>
      <c r="I18" s="57">
        <f t="shared" si="14"/>
        <v>0.12077443058362233</v>
      </c>
      <c r="J18" s="57">
        <f t="shared" si="14"/>
        <v>6.4563769884529221E-2</v>
      </c>
      <c r="K18" s="57">
        <f t="shared" si="14"/>
        <v>-1.1077424174749238E-2</v>
      </c>
      <c r="L18" s="57">
        <f t="shared" si="14"/>
        <v>-0.42285375050205221</v>
      </c>
      <c r="M18" s="57">
        <f t="shared" si="14"/>
        <v>0.12079233170907264</v>
      </c>
      <c r="N18" s="57">
        <f t="shared" si="14"/>
        <v>4.8129536028065502E-2</v>
      </c>
      <c r="O18" s="57">
        <f t="shared" si="14"/>
        <v>5.7163108451860501E-3</v>
      </c>
      <c r="P18" s="57">
        <f t="shared" si="14"/>
        <v>7.4457860353876646E-4</v>
      </c>
      <c r="Q18" s="57">
        <f t="shared" si="14"/>
        <v>4.1614775708660998E-2</v>
      </c>
      <c r="R18" s="57">
        <f t="shared" si="14"/>
        <v>5.9648153480682059E-2</v>
      </c>
      <c r="S18" s="57">
        <f t="shared" si="14"/>
        <v>2.4133492668907075E-2</v>
      </c>
      <c r="T18" s="57">
        <f t="shared" si="14"/>
        <v>1.7726252466875314E-2</v>
      </c>
      <c r="U18" s="57">
        <f t="shared" si="14"/>
        <v>-4.078564974650304E-2</v>
      </c>
      <c r="V18" s="57">
        <f t="shared" si="14"/>
        <v>8.0000923493286927E-2</v>
      </c>
      <c r="W18" s="57">
        <f t="shared" si="14"/>
        <v>5.0188818500586714E-2</v>
      </c>
      <c r="X18" s="57">
        <f t="shared" si="14"/>
        <v>4.8611373215592495E-2</v>
      </c>
      <c r="Y18" s="57">
        <f t="shared" si="14"/>
        <v>8.6131787947469882E-2</v>
      </c>
      <c r="Z18" s="57">
        <f t="shared" si="14"/>
        <v>7.2819918138403508E-2</v>
      </c>
      <c r="AA18" s="57">
        <f t="shared" si="14"/>
        <v>3.0981436925370944E-2</v>
      </c>
      <c r="AB18" s="57">
        <f t="shared" si="14"/>
        <v>3.2475905300390795E-2</v>
      </c>
      <c r="AC18" s="57">
        <f t="shared" si="14"/>
        <v>7.6239988645009596E-2</v>
      </c>
      <c r="AD18" s="57">
        <f t="shared" si="14"/>
        <v>5.4863861256119632E-2</v>
      </c>
      <c r="AE18" s="57">
        <f t="shared" si="14"/>
        <v>2.4055749205501742E-2</v>
      </c>
      <c r="AF18" s="57">
        <f t="shared" si="14"/>
        <v>3.5371637561312827E-2</v>
      </c>
      <c r="AG18" s="57">
        <f t="shared" si="14"/>
        <v>4.2025782587855186E-2</v>
      </c>
      <c r="AH18" s="57">
        <f t="shared" si="14"/>
        <v>4.3139300186338485E-2</v>
      </c>
      <c r="AI18" s="57">
        <f t="shared" si="14"/>
        <v>2.2949429481118971E-2</v>
      </c>
      <c r="AJ18" s="57">
        <f t="shared" si="14"/>
        <v>2.1607411975302662E-2</v>
      </c>
      <c r="AK18" s="57">
        <f t="shared" si="14"/>
        <v>2.9131952830093875E-2</v>
      </c>
      <c r="AL18" s="57">
        <f t="shared" si="14"/>
        <v>2.9390626856276723E-2</v>
      </c>
      <c r="AM18" s="57">
        <f t="shared" si="14"/>
        <v>1.4531699502045945E-2</v>
      </c>
      <c r="AN18" s="57">
        <f t="shared" si="14"/>
        <v>1.096887619504034E-2</v>
      </c>
      <c r="AO18" s="57">
        <f t="shared" si="14"/>
        <v>3.2507028730067382E-2</v>
      </c>
      <c r="AP18" s="57">
        <f t="shared" si="14"/>
        <v>3.9689013636700278E-2</v>
      </c>
      <c r="AQ18" s="57">
        <f t="shared" si="14"/>
        <v>1.7024851004377364E-2</v>
      </c>
      <c r="AR18" s="57">
        <f t="shared" si="14"/>
        <v>1.5664588341367375E-2</v>
      </c>
      <c r="AS18" s="57">
        <f t="shared" si="14"/>
        <v>4.4640597915644897E-2</v>
      </c>
      <c r="AT18" s="57">
        <f t="shared" si="14"/>
        <v>5.0162290453336617E-2</v>
      </c>
      <c r="AU18" s="57">
        <f t="shared" si="14"/>
        <v>2.4539791834845472E-2</v>
      </c>
      <c r="AV18" s="57">
        <f t="shared" si="14"/>
        <v>2.15020667517801E-2</v>
      </c>
      <c r="AW18" s="57">
        <f t="shared" si="14"/>
        <v>4.7017659361152514E-2</v>
      </c>
      <c r="AX18" s="57">
        <f t="shared" si="14"/>
        <v>5.0491102230233995E-2</v>
      </c>
      <c r="AY18" s="57">
        <f t="shared" si="14"/>
        <v>2.2606680561533535E-2</v>
      </c>
      <c r="AZ18" s="57">
        <f t="shared" si="14"/>
        <v>2.8787741345038548E-2</v>
      </c>
      <c r="BA18" s="57">
        <f t="shared" si="14"/>
        <v>4.4673734378507156E-2</v>
      </c>
      <c r="BB18" s="57">
        <f t="shared" si="14"/>
        <v>4.2724339711008433E-2</v>
      </c>
      <c r="BC18" s="57">
        <f t="shared" si="14"/>
        <v>1.6711655436205709E-2</v>
      </c>
      <c r="BD18" s="57">
        <f t="shared" si="14"/>
        <v>2.0034852323229508E-2</v>
      </c>
      <c r="BE18" s="57">
        <f t="shared" si="14"/>
        <v>4.0594191544312944E-2</v>
      </c>
      <c r="BF18" s="57">
        <f t="shared" si="14"/>
        <v>3.6199111756599719E-2</v>
      </c>
      <c r="BG18" s="57">
        <f t="shared" si="14"/>
        <v>1.2075660280463502E-2</v>
      </c>
      <c r="BH18" s="57">
        <f t="shared" si="14"/>
        <v>4.9777523512726407E-2</v>
      </c>
      <c r="BI18" s="57">
        <f t="shared" si="14"/>
        <v>4.4487093938300831E-2</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-1377107.43</v>
      </c>
      <c r="C20" s="190">
        <v>600113.77</v>
      </c>
      <c r="D20" s="190">
        <v>-571266.43999999994</v>
      </c>
      <c r="E20" s="190">
        <v>-4800953.59</v>
      </c>
      <c r="F20" s="190">
        <v>13943367.460000001</v>
      </c>
      <c r="G20" s="190">
        <v>-6887001.9699999997</v>
      </c>
      <c r="H20" s="190">
        <v>-17274270.48</v>
      </c>
      <c r="I20" s="190">
        <v>-6964367.54</v>
      </c>
      <c r="J20" s="190">
        <v>-2864096.23</v>
      </c>
      <c r="K20" s="190">
        <v>-3597533</v>
      </c>
      <c r="L20" s="190">
        <v>-2917450.58</v>
      </c>
      <c r="M20" s="190">
        <v>3501929.12</v>
      </c>
      <c r="N20" s="190">
        <v>3193509.45</v>
      </c>
      <c r="O20" s="190">
        <v>0</v>
      </c>
      <c r="P20" s="190">
        <v>0</v>
      </c>
      <c r="Q20" s="190">
        <v>35490.75</v>
      </c>
      <c r="R20" s="190">
        <v>0</v>
      </c>
      <c r="S20" s="190">
        <v>0</v>
      </c>
      <c r="T20" s="190">
        <v>0</v>
      </c>
      <c r="U20" s="190">
        <v>-21413.46</v>
      </c>
      <c r="V20" s="190">
        <v>0</v>
      </c>
      <c r="W20" s="190">
        <v>0</v>
      </c>
      <c r="X20" s="190">
        <v>0</v>
      </c>
      <c r="Y20" s="190">
        <v>0</v>
      </c>
      <c r="Z20" s="190">
        <v>0</v>
      </c>
      <c r="AA20" s="190">
        <v>0</v>
      </c>
      <c r="AB20" s="190">
        <v>0</v>
      </c>
      <c r="AC20" s="190">
        <v>0</v>
      </c>
      <c r="AD20" s="190">
        <v>0</v>
      </c>
      <c r="AE20" s="190">
        <v>20072.96</v>
      </c>
      <c r="AF20" s="190">
        <v>0</v>
      </c>
      <c r="AG20" s="190">
        <v>5182.87</v>
      </c>
      <c r="AH20" s="190">
        <v>0</v>
      </c>
      <c r="AI20" s="190">
        <v>0</v>
      </c>
      <c r="AJ20" s="190">
        <v>0</v>
      </c>
      <c r="AK20" s="190">
        <v>-66558.8</v>
      </c>
      <c r="AL20" s="190">
        <v>0</v>
      </c>
      <c r="AM20" s="190">
        <v>0</v>
      </c>
      <c r="AN20" s="190">
        <v>0</v>
      </c>
      <c r="AO20" s="190">
        <v>-46594.44</v>
      </c>
      <c r="AP20" s="190">
        <v>0</v>
      </c>
      <c r="AQ20" s="190">
        <v>58437.919999999998</v>
      </c>
      <c r="AR20" s="190">
        <v>0</v>
      </c>
      <c r="AS20" s="190">
        <v>382915.55</v>
      </c>
      <c r="AT20" s="190">
        <v>0</v>
      </c>
      <c r="AU20" s="190">
        <v>239413.97</v>
      </c>
      <c r="AV20" s="190">
        <v>0</v>
      </c>
      <c r="AW20" s="190">
        <v>55520.68</v>
      </c>
      <c r="AX20" s="190">
        <v>0</v>
      </c>
      <c r="AY20" s="190">
        <v>0</v>
      </c>
      <c r="AZ20" s="190">
        <v>0</v>
      </c>
      <c r="BA20" s="190">
        <v>0</v>
      </c>
      <c r="BB20" s="190">
        <v>0</v>
      </c>
      <c r="BC20" s="190">
        <v>0</v>
      </c>
      <c r="BD20" s="190">
        <v>0</v>
      </c>
      <c r="BE20" s="190">
        <v>0</v>
      </c>
      <c r="BF20" s="190">
        <v>0</v>
      </c>
      <c r="BG20" s="190">
        <v>0</v>
      </c>
      <c r="BH20" s="190">
        <v>0</v>
      </c>
      <c r="BI20" s="190">
        <v>0</v>
      </c>
      <c r="BJ20" s="190">
        <v>0</v>
      </c>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-31438.3</v>
      </c>
      <c r="N22" s="190">
        <v>0</v>
      </c>
      <c r="O22" s="190">
        <v>0</v>
      </c>
      <c r="P22" s="190">
        <v>0</v>
      </c>
      <c r="Q22" s="190">
        <v>-197777.8</v>
      </c>
      <c r="R22" s="190">
        <v>0</v>
      </c>
      <c r="S22" s="190">
        <v>0</v>
      </c>
      <c r="T22" s="190">
        <v>0</v>
      </c>
      <c r="U22" s="190">
        <v>197777.8</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10568868.529999999</v>
      </c>
      <c r="F23" s="29">
        <f t="shared" si="16"/>
        <v>0</v>
      </c>
      <c r="G23" s="29">
        <f t="shared" si="16"/>
        <v>0</v>
      </c>
      <c r="H23" s="29">
        <f t="shared" si="16"/>
        <v>0</v>
      </c>
      <c r="I23" s="29">
        <f t="shared" si="16"/>
        <v>6760186.0700000003</v>
      </c>
      <c r="J23" s="29">
        <f t="shared" si="16"/>
        <v>0</v>
      </c>
      <c r="K23" s="29">
        <f t="shared" si="16"/>
        <v>0</v>
      </c>
      <c r="L23" s="29">
        <f t="shared" si="16"/>
        <v>0</v>
      </c>
      <c r="M23" s="29">
        <f t="shared" si="16"/>
        <v>3058197.98</v>
      </c>
      <c r="N23" s="29">
        <f t="shared" si="16"/>
        <v>0</v>
      </c>
      <c r="O23" s="29">
        <f t="shared" si="16"/>
        <v>0</v>
      </c>
      <c r="P23" s="29">
        <f t="shared" si="16"/>
        <v>0</v>
      </c>
      <c r="Q23" s="29">
        <f t="shared" si="16"/>
        <v>2318547.92</v>
      </c>
      <c r="R23" s="29">
        <f t="shared" si="16"/>
        <v>0</v>
      </c>
      <c r="S23" s="29">
        <f t="shared" si="16"/>
        <v>0</v>
      </c>
      <c r="T23" s="29">
        <f t="shared" si="16"/>
        <v>0</v>
      </c>
      <c r="U23" s="29">
        <f t="shared" si="16"/>
        <v>1734974.73</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126024784.29000001</v>
      </c>
      <c r="C24" s="26">
        <f t="shared" ref="C24:BN24" si="18">C67</f>
        <v>108194966.71000001</v>
      </c>
      <c r="D24" s="26">
        <f t="shared" si="18"/>
        <v>4245206.37</v>
      </c>
      <c r="E24" s="26">
        <f>E67</f>
        <v>65302129.099999994</v>
      </c>
      <c r="F24" s="26">
        <f t="shared" si="18"/>
        <v>53612689.149999999</v>
      </c>
      <c r="G24" s="26">
        <f t="shared" si="18"/>
        <v>21038479.77</v>
      </c>
      <c r="H24" s="26">
        <f t="shared" si="18"/>
        <v>3212069.7100000009</v>
      </c>
      <c r="I24" s="26">
        <f t="shared" si="18"/>
        <v>44083239.329999998</v>
      </c>
      <c r="J24" s="26">
        <f t="shared" si="18"/>
        <v>15433476.42</v>
      </c>
      <c r="K24" s="26">
        <f t="shared" si="18"/>
        <v>8391076.4199999999</v>
      </c>
      <c r="L24" s="26">
        <f t="shared" si="18"/>
        <v>0</v>
      </c>
      <c r="M24" s="26">
        <f t="shared" si="18"/>
        <v>50068843.650000006</v>
      </c>
      <c r="N24" s="26">
        <f t="shared" si="18"/>
        <v>36862046.18</v>
      </c>
      <c r="O24" s="26">
        <f t="shared" si="18"/>
        <v>510825.22</v>
      </c>
      <c r="P24" s="26">
        <f t="shared" si="18"/>
        <v>24870.81</v>
      </c>
      <c r="Q24" s="26">
        <f t="shared" si="18"/>
        <v>1595267.89</v>
      </c>
      <c r="R24" s="26">
        <f t="shared" si="18"/>
        <v>-40003.43</v>
      </c>
      <c r="S24" s="26">
        <f t="shared" si="18"/>
        <v>79976.25</v>
      </c>
      <c r="T24" s="26">
        <f t="shared" si="18"/>
        <v>24823.919999999998</v>
      </c>
      <c r="U24" s="26">
        <f t="shared" si="18"/>
        <v>0</v>
      </c>
      <c r="V24" s="26">
        <f t="shared" si="18"/>
        <v>-11601.16</v>
      </c>
      <c r="W24" s="26">
        <f t="shared" si="18"/>
        <v>-13976.22</v>
      </c>
      <c r="X24" s="26">
        <f t="shared" si="18"/>
        <v>-16731.95</v>
      </c>
      <c r="Y24" s="26">
        <f t="shared" si="18"/>
        <v>12574.73</v>
      </c>
      <c r="Z24" s="26">
        <f t="shared" si="18"/>
        <v>19808.259999999998</v>
      </c>
      <c r="AA24" s="26">
        <f t="shared" si="18"/>
        <v>22099.75</v>
      </c>
      <c r="AB24" s="26">
        <f t="shared" si="18"/>
        <v>-41665.65</v>
      </c>
      <c r="AC24" s="26">
        <f t="shared" si="18"/>
        <v>28836.82</v>
      </c>
      <c r="AD24" s="26">
        <f t="shared" si="18"/>
        <v>7719.57</v>
      </c>
      <c r="AE24" s="26">
        <f t="shared" si="18"/>
        <v>0</v>
      </c>
      <c r="AF24" s="26">
        <f t="shared" si="18"/>
        <v>-33058.81</v>
      </c>
      <c r="AG24" s="26">
        <f t="shared" si="18"/>
        <v>0</v>
      </c>
      <c r="AH24" s="26">
        <f t="shared" si="18"/>
        <v>71068.929999999993</v>
      </c>
      <c r="AI24" s="26">
        <f t="shared" si="18"/>
        <v>78133.38</v>
      </c>
      <c r="AJ24" s="26">
        <f t="shared" si="18"/>
        <v>-44974.69</v>
      </c>
      <c r="AK24" s="26">
        <f t="shared" si="18"/>
        <v>0</v>
      </c>
      <c r="AL24" s="26">
        <f t="shared" si="18"/>
        <v>70854.25</v>
      </c>
      <c r="AM24" s="26">
        <f t="shared" si="18"/>
        <v>27931.33</v>
      </c>
      <c r="AN24" s="26">
        <f t="shared" si="18"/>
        <v>-54569.58</v>
      </c>
      <c r="AO24" s="26">
        <f t="shared" si="18"/>
        <v>-557777.59000000008</v>
      </c>
      <c r="AP24" s="26">
        <f t="shared" si="18"/>
        <v>-737826.63</v>
      </c>
      <c r="AQ24" s="26">
        <f t="shared" si="18"/>
        <v>0</v>
      </c>
      <c r="AR24" s="26">
        <f t="shared" si="18"/>
        <v>119748.64</v>
      </c>
      <c r="AS24" s="26">
        <f t="shared" si="18"/>
        <v>0</v>
      </c>
      <c r="AT24" s="26">
        <f t="shared" si="18"/>
        <v>325849.77</v>
      </c>
      <c r="AU24" s="26">
        <f t="shared" si="18"/>
        <v>0</v>
      </c>
      <c r="AV24" s="26">
        <f t="shared" si="18"/>
        <v>-423850.49</v>
      </c>
      <c r="AW24" s="26">
        <f t="shared" si="18"/>
        <v>0</v>
      </c>
      <c r="AX24" s="26">
        <f t="shared" si="18"/>
        <v>-736062.31</v>
      </c>
      <c r="AY24" s="26">
        <f t="shared" si="18"/>
        <v>-733355.63</v>
      </c>
      <c r="AZ24" s="26">
        <f t="shared" si="18"/>
        <v>21520.31</v>
      </c>
      <c r="BA24" s="26">
        <f t="shared" si="18"/>
        <v>-502573.18</v>
      </c>
      <c r="BB24" s="26">
        <f t="shared" si="18"/>
        <v>-309881.87</v>
      </c>
      <c r="BC24" s="26">
        <f t="shared" si="18"/>
        <v>-338013.04</v>
      </c>
      <c r="BD24" s="26">
        <f t="shared" si="18"/>
        <v>-169296.41</v>
      </c>
      <c r="BE24" s="26">
        <f t="shared" si="18"/>
        <v>-554236.79</v>
      </c>
      <c r="BF24" s="26">
        <f t="shared" si="18"/>
        <v>-179478.72</v>
      </c>
      <c r="BG24" s="26">
        <f t="shared" si="18"/>
        <v>-108290.09</v>
      </c>
      <c r="BH24" s="26">
        <f t="shared" si="18"/>
        <v>-66889.25</v>
      </c>
      <c r="BI24" s="26">
        <f t="shared" si="18"/>
        <v>372953.52</v>
      </c>
      <c r="BJ24" s="26">
        <f t="shared" si="18"/>
        <v>0</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-1055149.51</v>
      </c>
      <c r="F25" s="29">
        <f t="shared" si="20"/>
        <v>0</v>
      </c>
      <c r="G25" s="29">
        <f t="shared" si="20"/>
        <v>0</v>
      </c>
      <c r="H25" s="29">
        <f t="shared" si="20"/>
        <v>0</v>
      </c>
      <c r="I25" s="29">
        <f t="shared" si="20"/>
        <v>-3247756.75</v>
      </c>
      <c r="J25" s="29">
        <f t="shared" si="20"/>
        <v>0</v>
      </c>
      <c r="K25" s="29">
        <f t="shared" si="20"/>
        <v>0</v>
      </c>
      <c r="L25" s="29">
        <f t="shared" si="20"/>
        <v>0</v>
      </c>
      <c r="M25" s="29">
        <f t="shared" si="20"/>
        <v>-54.24</v>
      </c>
      <c r="N25" s="29">
        <f t="shared" si="20"/>
        <v>0</v>
      </c>
      <c r="O25" s="29">
        <f t="shared" si="20"/>
        <v>0</v>
      </c>
      <c r="P25" s="29">
        <f t="shared" si="20"/>
        <v>0</v>
      </c>
      <c r="Q25" s="29">
        <f t="shared" si="20"/>
        <v>1263698.3</v>
      </c>
      <c r="R25" s="29">
        <f t="shared" si="20"/>
        <v>0</v>
      </c>
      <c r="S25" s="29">
        <f t="shared" si="20"/>
        <v>0</v>
      </c>
      <c r="T25" s="29">
        <f t="shared" si="20"/>
        <v>0</v>
      </c>
      <c r="U25" s="29">
        <f t="shared" si="20"/>
        <v>-9501823.3499999996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1237975.6499999999</v>
      </c>
      <c r="C26" s="190">
        <v>246471.42</v>
      </c>
      <c r="D26" s="190">
        <v>-415154.45</v>
      </c>
      <c r="E26" s="190">
        <v>-123320.1</v>
      </c>
      <c r="F26" s="190">
        <v>-16284.65</v>
      </c>
      <c r="G26" s="190">
        <v>-57107.79</v>
      </c>
      <c r="H26" s="190">
        <v>-11022.36</v>
      </c>
      <c r="I26" s="190">
        <v>201253.77</v>
      </c>
      <c r="J26" s="190">
        <v>0</v>
      </c>
      <c r="K26" s="190">
        <v>0</v>
      </c>
      <c r="L26" s="190">
        <v>0</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127285291.94000001</v>
      </c>
      <c r="C27" s="26">
        <f t="shared" ref="C27:BN27" si="22">SUM(C22:C26)</f>
        <v>108470580.13000001</v>
      </c>
      <c r="D27" s="26">
        <f t="shared" si="22"/>
        <v>3865708.92</v>
      </c>
      <c r="E27" s="26">
        <f t="shared" si="22"/>
        <v>74692528.019999996</v>
      </c>
      <c r="F27" s="26">
        <f t="shared" si="22"/>
        <v>53596404.5</v>
      </c>
      <c r="G27" s="26">
        <f t="shared" si="22"/>
        <v>20981371.98</v>
      </c>
      <c r="H27" s="26">
        <f t="shared" si="22"/>
        <v>3201047.350000001</v>
      </c>
      <c r="I27" s="26">
        <f t="shared" si="22"/>
        <v>47796922.420000002</v>
      </c>
      <c r="J27" s="26">
        <f t="shared" si="22"/>
        <v>15433476.42</v>
      </c>
      <c r="K27" s="26">
        <f t="shared" si="22"/>
        <v>8391076.4199999999</v>
      </c>
      <c r="L27" s="26">
        <f t="shared" si="22"/>
        <v>0</v>
      </c>
      <c r="M27" s="26">
        <f t="shared" si="22"/>
        <v>53095549.090000004</v>
      </c>
      <c r="N27" s="26">
        <f t="shared" si="22"/>
        <v>36862046.18</v>
      </c>
      <c r="O27" s="26">
        <f t="shared" si="22"/>
        <v>510825.22</v>
      </c>
      <c r="P27" s="26">
        <f t="shared" si="22"/>
        <v>24870.81</v>
      </c>
      <c r="Q27" s="26">
        <f t="shared" si="22"/>
        <v>4979736.3099999996</v>
      </c>
      <c r="R27" s="26">
        <f t="shared" si="22"/>
        <v>-40003.43</v>
      </c>
      <c r="S27" s="26">
        <f t="shared" si="22"/>
        <v>79976.25</v>
      </c>
      <c r="T27" s="26">
        <f t="shared" si="22"/>
        <v>24823.919999999998</v>
      </c>
      <c r="U27" s="26">
        <f t="shared" si="22"/>
        <v>-7569070.8199999994</v>
      </c>
      <c r="V27" s="26">
        <f t="shared" si="22"/>
        <v>-11601.16</v>
      </c>
      <c r="W27" s="26">
        <f t="shared" si="22"/>
        <v>-13976.22</v>
      </c>
      <c r="X27" s="26">
        <f t="shared" si="22"/>
        <v>-16731.95</v>
      </c>
      <c r="Y27" s="26">
        <f t="shared" si="22"/>
        <v>12574.73</v>
      </c>
      <c r="Z27" s="26">
        <f t="shared" si="22"/>
        <v>19808.259999999998</v>
      </c>
      <c r="AA27" s="26">
        <f t="shared" si="22"/>
        <v>22099.75</v>
      </c>
      <c r="AB27" s="26">
        <f t="shared" si="22"/>
        <v>-41665.65</v>
      </c>
      <c r="AC27" s="26">
        <f t="shared" si="22"/>
        <v>28836.82</v>
      </c>
      <c r="AD27" s="26">
        <f t="shared" si="22"/>
        <v>7719.57</v>
      </c>
      <c r="AE27" s="26">
        <f t="shared" si="22"/>
        <v>0</v>
      </c>
      <c r="AF27" s="26">
        <f t="shared" si="22"/>
        <v>-33058.81</v>
      </c>
      <c r="AG27" s="26">
        <f t="shared" si="22"/>
        <v>0</v>
      </c>
      <c r="AH27" s="26">
        <f t="shared" si="22"/>
        <v>71068.929999999993</v>
      </c>
      <c r="AI27" s="26">
        <f t="shared" si="22"/>
        <v>78133.38</v>
      </c>
      <c r="AJ27" s="26">
        <f t="shared" si="22"/>
        <v>-44974.69</v>
      </c>
      <c r="AK27" s="26">
        <f t="shared" si="22"/>
        <v>0</v>
      </c>
      <c r="AL27" s="26">
        <f t="shared" si="22"/>
        <v>70854.25</v>
      </c>
      <c r="AM27" s="26">
        <f t="shared" si="22"/>
        <v>27931.33</v>
      </c>
      <c r="AN27" s="26">
        <f t="shared" si="22"/>
        <v>-54569.58</v>
      </c>
      <c r="AO27" s="26">
        <f t="shared" si="22"/>
        <v>-557777.59000000008</v>
      </c>
      <c r="AP27" s="26">
        <f t="shared" si="22"/>
        <v>-737826.63</v>
      </c>
      <c r="AQ27" s="26">
        <f t="shared" si="22"/>
        <v>0</v>
      </c>
      <c r="AR27" s="26">
        <f t="shared" si="22"/>
        <v>119748.64</v>
      </c>
      <c r="AS27" s="26">
        <f t="shared" si="22"/>
        <v>0</v>
      </c>
      <c r="AT27" s="26">
        <f t="shared" si="22"/>
        <v>325849.77</v>
      </c>
      <c r="AU27" s="26">
        <f t="shared" si="22"/>
        <v>0</v>
      </c>
      <c r="AV27" s="26">
        <f t="shared" si="22"/>
        <v>-423850.49</v>
      </c>
      <c r="AW27" s="26">
        <f t="shared" si="22"/>
        <v>0</v>
      </c>
      <c r="AX27" s="26">
        <f t="shared" si="22"/>
        <v>-736062.31</v>
      </c>
      <c r="AY27" s="26">
        <f t="shared" si="22"/>
        <v>-733355.63</v>
      </c>
      <c r="AZ27" s="26">
        <f t="shared" si="22"/>
        <v>21520.31</v>
      </c>
      <c r="BA27" s="26">
        <f t="shared" si="22"/>
        <v>-502573.18</v>
      </c>
      <c r="BB27" s="26">
        <f t="shared" si="22"/>
        <v>-309881.87</v>
      </c>
      <c r="BC27" s="26">
        <f t="shared" si="22"/>
        <v>-338013.04</v>
      </c>
      <c r="BD27" s="26">
        <f t="shared" si="22"/>
        <v>-169296.41</v>
      </c>
      <c r="BE27" s="26">
        <f t="shared" si="22"/>
        <v>-554236.79</v>
      </c>
      <c r="BF27" s="26">
        <f t="shared" si="22"/>
        <v>-179478.72</v>
      </c>
      <c r="BG27" s="26">
        <f t="shared" si="22"/>
        <v>-108290.09</v>
      </c>
      <c r="BH27" s="26">
        <f t="shared" si="22"/>
        <v>-66889.25</v>
      </c>
      <c r="BI27" s="26">
        <f t="shared" si="22"/>
        <v>372953.52</v>
      </c>
      <c r="BJ27" s="26">
        <f t="shared" si="22"/>
        <v>0</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30432224.575146742</v>
      </c>
      <c r="C28" s="26">
        <f t="shared" ref="C28:BN28" si="24">SUM(C22:C25)*C41</f>
        <v>33453529.189013198</v>
      </c>
      <c r="D28" s="26">
        <f t="shared" si="24"/>
        <v>648645.68728958431</v>
      </c>
      <c r="E28" s="26">
        <f t="shared" si="24"/>
        <v>17619190.82756646</v>
      </c>
      <c r="F28" s="26">
        <f t="shared" si="24"/>
        <v>13822409.705652872</v>
      </c>
      <c r="G28" s="26">
        <f t="shared" si="24"/>
        <v>8913304.9919409882</v>
      </c>
      <c r="H28" s="26">
        <f t="shared" si="24"/>
        <v>531819.79165640962</v>
      </c>
      <c r="I28" s="26">
        <f t="shared" si="24"/>
        <v>11749612.381719273</v>
      </c>
      <c r="J28" s="26">
        <f t="shared" si="24"/>
        <v>4172840.7772608548</v>
      </c>
      <c r="K28" s="26">
        <f t="shared" si="24"/>
        <v>-164256.82160302112</v>
      </c>
      <c r="L28" s="26">
        <f t="shared" si="24"/>
        <v>0</v>
      </c>
      <c r="M28" s="26">
        <f t="shared" si="24"/>
        <v>10930401.271163693</v>
      </c>
      <c r="N28" s="26">
        <f t="shared" si="24"/>
        <v>4930370.963621987</v>
      </c>
      <c r="O28" s="26">
        <f t="shared" si="24"/>
        <v>387102.68110221729</v>
      </c>
      <c r="P28" s="26">
        <f t="shared" si="24"/>
        <v>23608.511004633507</v>
      </c>
      <c r="Q28" s="26">
        <f t="shared" si="24"/>
        <v>2313846.1877816864</v>
      </c>
      <c r="R28" s="26">
        <f t="shared" si="24"/>
        <v>-16704.73931158604</v>
      </c>
      <c r="S28" s="26">
        <f t="shared" si="24"/>
        <v>48301.425648194119</v>
      </c>
      <c r="T28" s="26">
        <f t="shared" si="24"/>
        <v>16348.350845018856</v>
      </c>
      <c r="U28" s="26">
        <f t="shared" si="24"/>
        <v>4956604.9071290996</v>
      </c>
      <c r="V28" s="26">
        <f t="shared" si="24"/>
        <v>-3383.8258794841449</v>
      </c>
      <c r="W28" s="26">
        <f t="shared" si="24"/>
        <v>-4780.695523653133</v>
      </c>
      <c r="X28" s="26">
        <f t="shared" si="24"/>
        <v>-4550.8737715638408</v>
      </c>
      <c r="Y28" s="26">
        <f t="shared" si="24"/>
        <v>3443.9003872107733</v>
      </c>
      <c r="Z28" s="26">
        <f t="shared" si="24"/>
        <v>5614.041061225339</v>
      </c>
      <c r="AA28" s="26">
        <f t="shared" si="24"/>
        <v>8199.2642172938431</v>
      </c>
      <c r="AB28" s="26">
        <f t="shared" si="24"/>
        <v>-14801.93476398054</v>
      </c>
      <c r="AC28" s="26">
        <f t="shared" si="24"/>
        <v>7552.3738645590593</v>
      </c>
      <c r="AD28" s="26">
        <f t="shared" si="24"/>
        <v>2125.3371755574922</v>
      </c>
      <c r="AE28" s="26">
        <f t="shared" si="24"/>
        <v>0</v>
      </c>
      <c r="AF28" s="26">
        <f t="shared" si="24"/>
        <v>-7518.5705052823259</v>
      </c>
      <c r="AG28" s="26">
        <f t="shared" si="24"/>
        <v>0</v>
      </c>
      <c r="AH28" s="26">
        <f t="shared" si="24"/>
        <v>17423.302783896437</v>
      </c>
      <c r="AI28" s="26">
        <f t="shared" si="24"/>
        <v>20045.114242508444</v>
      </c>
      <c r="AJ28" s="26">
        <f t="shared" si="24"/>
        <v>-12093.456038107499</v>
      </c>
      <c r="AK28" s="26">
        <f t="shared" si="24"/>
        <v>0</v>
      </c>
      <c r="AL28" s="26">
        <f t="shared" si="24"/>
        <v>22854.45233000394</v>
      </c>
      <c r="AM28" s="26">
        <f t="shared" si="24"/>
        <v>11215.231023908244</v>
      </c>
      <c r="AN28" s="26">
        <f t="shared" si="24"/>
        <v>-19033.172454480697</v>
      </c>
      <c r="AO28" s="26">
        <f t="shared" si="24"/>
        <v>-161032.71534717767</v>
      </c>
      <c r="AP28" s="26">
        <f t="shared" si="24"/>
        <v>-194721.69899976547</v>
      </c>
      <c r="AQ28" s="26">
        <f t="shared" si="24"/>
        <v>0</v>
      </c>
      <c r="AR28" s="26">
        <f t="shared" si="24"/>
        <v>29197.202967033048</v>
      </c>
      <c r="AS28" s="26">
        <f t="shared" si="24"/>
        <v>0</v>
      </c>
      <c r="AT28" s="26">
        <f t="shared" si="24"/>
        <v>55337.328774006521</v>
      </c>
      <c r="AU28" s="26">
        <f t="shared" si="24"/>
        <v>0</v>
      </c>
      <c r="AV28" s="26">
        <f t="shared" si="24"/>
        <v>-71263.721998607973</v>
      </c>
      <c r="AW28" s="26">
        <f t="shared" si="24"/>
        <v>0</v>
      </c>
      <c r="AX28" s="26">
        <f t="shared" si="24"/>
        <v>-125825.04493907103</v>
      </c>
      <c r="AY28" s="26">
        <f t="shared" si="24"/>
        <v>-168542.17185939039</v>
      </c>
      <c r="AZ28" s="26">
        <f t="shared" si="24"/>
        <v>2165.5530657578392</v>
      </c>
      <c r="BA28" s="26">
        <f t="shared" si="24"/>
        <v>-77120.68837799177</v>
      </c>
      <c r="BB28" s="26">
        <f t="shared" si="24"/>
        <v>-50398.022159540931</v>
      </c>
      <c r="BC28" s="26">
        <f t="shared" si="24"/>
        <v>-57045.318288739261</v>
      </c>
      <c r="BD28" s="26">
        <f t="shared" si="24"/>
        <v>-30654.928911382867</v>
      </c>
      <c r="BE28" s="26">
        <f t="shared" si="24"/>
        <v>-109114.83874476499</v>
      </c>
      <c r="BF28" s="26">
        <f t="shared" si="24"/>
        <v>-33723.523986152431</v>
      </c>
      <c r="BG28" s="26">
        <f t="shared" si="24"/>
        <v>-37672.163544896044</v>
      </c>
      <c r="BH28" s="26">
        <f t="shared" si="24"/>
        <v>-12058.496310693421</v>
      </c>
      <c r="BI28" s="26">
        <f t="shared" si="24"/>
        <v>73019.809993686402</v>
      </c>
      <c r="BJ28" s="26" t="e">
        <f t="shared" si="24"/>
        <v>#DIV/0!</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96853067.364853263</v>
      </c>
      <c r="C29" s="28">
        <f t="shared" ref="C29:BN29" si="26">C27-C28</f>
        <v>75017050.940986812</v>
      </c>
      <c r="D29" s="28">
        <f t="shared" si="26"/>
        <v>3217063.2327104155</v>
      </c>
      <c r="E29" s="28">
        <f t="shared" si="26"/>
        <v>57073337.192433536</v>
      </c>
      <c r="F29" s="28">
        <f t="shared" si="26"/>
        <v>39773994.79434713</v>
      </c>
      <c r="G29" s="28">
        <f t="shared" si="26"/>
        <v>12068066.988059012</v>
      </c>
      <c r="H29" s="28">
        <f t="shared" si="26"/>
        <v>2669227.5583435912</v>
      </c>
      <c r="I29" s="28">
        <f t="shared" si="26"/>
        <v>36047310.038280725</v>
      </c>
      <c r="J29" s="28">
        <f t="shared" si="26"/>
        <v>11260635.642739145</v>
      </c>
      <c r="K29" s="28">
        <f t="shared" si="26"/>
        <v>8555333.2416030206</v>
      </c>
      <c r="L29" s="28">
        <f t="shared" si="26"/>
        <v>0</v>
      </c>
      <c r="M29" s="28">
        <f t="shared" si="26"/>
        <v>42165147.818836309</v>
      </c>
      <c r="N29" s="28">
        <f t="shared" si="26"/>
        <v>31931675.216378011</v>
      </c>
      <c r="O29" s="28">
        <f t="shared" si="26"/>
        <v>123722.53889778268</v>
      </c>
      <c r="P29" s="28">
        <f t="shared" si="26"/>
        <v>1262.2989953664946</v>
      </c>
      <c r="Q29" s="28">
        <f t="shared" si="26"/>
        <v>2665890.1222183132</v>
      </c>
      <c r="R29" s="28">
        <f t="shared" si="26"/>
        <v>-23298.690688413961</v>
      </c>
      <c r="S29" s="28">
        <f t="shared" si="26"/>
        <v>31674.824351805881</v>
      </c>
      <c r="T29" s="28">
        <f t="shared" si="26"/>
        <v>8475.5691549811418</v>
      </c>
      <c r="U29" s="28">
        <f t="shared" si="26"/>
        <v>-12525675.727129098</v>
      </c>
      <c r="V29" s="28">
        <f t="shared" si="26"/>
        <v>-8217.334120515854</v>
      </c>
      <c r="W29" s="28">
        <f t="shared" si="26"/>
        <v>-9195.5244763468654</v>
      </c>
      <c r="X29" s="28">
        <f t="shared" si="26"/>
        <v>-12181.076228436159</v>
      </c>
      <c r="Y29" s="28">
        <f t="shared" si="26"/>
        <v>9130.8296127892263</v>
      </c>
      <c r="Z29" s="28">
        <f t="shared" si="26"/>
        <v>14194.218938774658</v>
      </c>
      <c r="AA29" s="28">
        <f t="shared" si="26"/>
        <v>13900.485782706157</v>
      </c>
      <c r="AB29" s="28">
        <f t="shared" si="26"/>
        <v>-26863.71523601946</v>
      </c>
      <c r="AC29" s="28">
        <f t="shared" si="26"/>
        <v>21284.44613544094</v>
      </c>
      <c r="AD29" s="28">
        <f t="shared" si="26"/>
        <v>5594.232824442508</v>
      </c>
      <c r="AE29" s="28">
        <f t="shared" si="26"/>
        <v>0</v>
      </c>
      <c r="AF29" s="28">
        <f t="shared" si="26"/>
        <v>-25540.239494717673</v>
      </c>
      <c r="AG29" s="28">
        <f t="shared" si="26"/>
        <v>0</v>
      </c>
      <c r="AH29" s="28">
        <f t="shared" si="26"/>
        <v>53645.627216103559</v>
      </c>
      <c r="AI29" s="28">
        <f t="shared" si="26"/>
        <v>58088.265757491565</v>
      </c>
      <c r="AJ29" s="28">
        <f t="shared" si="26"/>
        <v>-32881.233961892503</v>
      </c>
      <c r="AK29" s="28">
        <f t="shared" si="26"/>
        <v>0</v>
      </c>
      <c r="AL29" s="28">
        <f t="shared" si="26"/>
        <v>47999.797669996056</v>
      </c>
      <c r="AM29" s="28">
        <f t="shared" si="26"/>
        <v>16716.098976091758</v>
      </c>
      <c r="AN29" s="28">
        <f t="shared" si="26"/>
        <v>-35536.407545519309</v>
      </c>
      <c r="AO29" s="28">
        <f t="shared" si="26"/>
        <v>-396744.87465282239</v>
      </c>
      <c r="AP29" s="28">
        <f t="shared" si="26"/>
        <v>-543104.93100023456</v>
      </c>
      <c r="AQ29" s="28">
        <f t="shared" si="26"/>
        <v>0</v>
      </c>
      <c r="AR29" s="28">
        <f t="shared" si="26"/>
        <v>90551.437032966947</v>
      </c>
      <c r="AS29" s="28">
        <f t="shared" si="26"/>
        <v>0</v>
      </c>
      <c r="AT29" s="28">
        <f t="shared" si="26"/>
        <v>270512.44122599351</v>
      </c>
      <c r="AU29" s="28">
        <f t="shared" si="26"/>
        <v>0</v>
      </c>
      <c r="AV29" s="28">
        <f t="shared" si="26"/>
        <v>-352586.76800139202</v>
      </c>
      <c r="AW29" s="28">
        <f t="shared" si="26"/>
        <v>0</v>
      </c>
      <c r="AX29" s="28">
        <f t="shared" si="26"/>
        <v>-610237.265060929</v>
      </c>
      <c r="AY29" s="28">
        <f t="shared" si="26"/>
        <v>-564813.45814060955</v>
      </c>
      <c r="AZ29" s="28">
        <f t="shared" si="26"/>
        <v>19354.756934242163</v>
      </c>
      <c r="BA29" s="28">
        <f t="shared" si="26"/>
        <v>-425452.49162200821</v>
      </c>
      <c r="BB29" s="28">
        <f t="shared" si="26"/>
        <v>-259483.84784045906</v>
      </c>
      <c r="BC29" s="28">
        <f t="shared" si="26"/>
        <v>-280967.72171126073</v>
      </c>
      <c r="BD29" s="28">
        <f t="shared" si="26"/>
        <v>-138641.48108861715</v>
      </c>
      <c r="BE29" s="28">
        <f t="shared" si="26"/>
        <v>-445121.95125523506</v>
      </c>
      <c r="BF29" s="28">
        <f t="shared" si="26"/>
        <v>-145755.19601384757</v>
      </c>
      <c r="BG29" s="28">
        <f t="shared" si="26"/>
        <v>-70617.926455103952</v>
      </c>
      <c r="BH29" s="28">
        <f t="shared" si="26"/>
        <v>-54830.753689306577</v>
      </c>
      <c r="BI29" s="28">
        <f t="shared" si="26"/>
        <v>299933.71000631363</v>
      </c>
      <c r="BJ29" s="28" t="e">
        <f t="shared" si="26"/>
        <v>#DIV/0!</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869782427.69000041</v>
      </c>
      <c r="C31" s="26">
        <f t="shared" ref="C31:BN31" si="28">C15+C20+C27</f>
        <v>424199150.77000028</v>
      </c>
      <c r="D31" s="26">
        <f t="shared" si="28"/>
        <v>-79902574.610000044</v>
      </c>
      <c r="E31" s="26">
        <f t="shared" si="28"/>
        <v>1001842238.6300001</v>
      </c>
      <c r="F31" s="26">
        <f t="shared" si="28"/>
        <v>416406653.16999996</v>
      </c>
      <c r="G31" s="26">
        <f t="shared" si="28"/>
        <v>105937666.3200001</v>
      </c>
      <c r="H31" s="26">
        <f t="shared" si="28"/>
        <v>-118171836.07000007</v>
      </c>
      <c r="I31" s="26">
        <f t="shared" si="28"/>
        <v>535045435.71999991</v>
      </c>
      <c r="J31" s="26">
        <f t="shared" si="28"/>
        <v>179159842.89000002</v>
      </c>
      <c r="K31" s="26">
        <f t="shared" si="28"/>
        <v>-6533315.1700000037</v>
      </c>
      <c r="L31" s="26">
        <f t="shared" si="28"/>
        <v>-163865076.26999998</v>
      </c>
      <c r="M31" s="26">
        <f t="shared" si="28"/>
        <v>376243686.40999997</v>
      </c>
      <c r="N31" s="26">
        <f t="shared" si="28"/>
        <v>111602245.07999995</v>
      </c>
      <c r="O31" s="26">
        <f t="shared" si="28"/>
        <v>6043062.6399999866</v>
      </c>
      <c r="P31" s="26">
        <f t="shared" si="28"/>
        <v>1475530.0499999935</v>
      </c>
      <c r="Q31" s="26">
        <f t="shared" si="28"/>
        <v>59118833.629999936</v>
      </c>
      <c r="R31" s="26">
        <f t="shared" si="28"/>
        <v>51149457.879999973</v>
      </c>
      <c r="S31" s="26">
        <f t="shared" si="28"/>
        <v>13412062.869999997</v>
      </c>
      <c r="T31" s="26">
        <f t="shared" si="28"/>
        <v>4210916.3000000007</v>
      </c>
      <c r="U31" s="26">
        <f t="shared" si="28"/>
        <v>-26289515.719999962</v>
      </c>
      <c r="V31" s="26">
        <f t="shared" si="28"/>
        <v>57043562.579999968</v>
      </c>
      <c r="W31" s="26">
        <f t="shared" si="28"/>
        <v>18602217.589999989</v>
      </c>
      <c r="X31" s="26">
        <f t="shared" si="28"/>
        <v>8280157.9700000081</v>
      </c>
      <c r="Y31" s="26">
        <f t="shared" si="28"/>
        <v>82003319.920000076</v>
      </c>
      <c r="Z31" s="26">
        <f t="shared" si="28"/>
        <v>48703434.020000011</v>
      </c>
      <c r="AA31" s="26">
        <f t="shared" si="28"/>
        <v>12191165.120000022</v>
      </c>
      <c r="AB31" s="26">
        <f t="shared" si="28"/>
        <v>6461376.6199999964</v>
      </c>
      <c r="AC31" s="26">
        <f t="shared" si="28"/>
        <v>80220737.26000005</v>
      </c>
      <c r="AD31" s="26">
        <f t="shared" si="28"/>
        <v>43867088.489999928</v>
      </c>
      <c r="AE31" s="26">
        <f t="shared" si="28"/>
        <v>10866541.889999982</v>
      </c>
      <c r="AF31" s="26">
        <f t="shared" si="28"/>
        <v>5888298.5199999968</v>
      </c>
      <c r="AG31" s="26">
        <f t="shared" si="28"/>
        <v>30956915.88000001</v>
      </c>
      <c r="AH31" s="26">
        <f t="shared" si="28"/>
        <v>20428515.609999985</v>
      </c>
      <c r="AI31" s="26">
        <f t="shared" si="28"/>
        <v>5788061.1600000141</v>
      </c>
      <c r="AJ31" s="26">
        <f t="shared" si="28"/>
        <v>3037527.6900000116</v>
      </c>
      <c r="AK31" s="26">
        <f t="shared" si="28"/>
        <v>24506724.869999982</v>
      </c>
      <c r="AL31" s="26">
        <f t="shared" si="28"/>
        <v>14795162.570000034</v>
      </c>
      <c r="AM31" s="26">
        <f t="shared" si="28"/>
        <v>4391778.9699999942</v>
      </c>
      <c r="AN31" s="26">
        <f t="shared" si="28"/>
        <v>1611588.1099999943</v>
      </c>
      <c r="AO31" s="26">
        <f t="shared" si="28"/>
        <v>18269367.940000001</v>
      </c>
      <c r="AP31" s="26">
        <f t="shared" si="28"/>
        <v>13915974.13999998</v>
      </c>
      <c r="AQ31" s="26">
        <f t="shared" si="28"/>
        <v>3597415.1399999801</v>
      </c>
      <c r="AR31" s="26">
        <f t="shared" si="28"/>
        <v>1854501.6199999985</v>
      </c>
      <c r="AS31" s="26">
        <f t="shared" si="28"/>
        <v>31169602.459999971</v>
      </c>
      <c r="AT31" s="26">
        <f t="shared" si="28"/>
        <v>25689620.569999989</v>
      </c>
      <c r="AU31" s="26">
        <f t="shared" si="28"/>
        <v>7856569.1400000034</v>
      </c>
      <c r="AV31" s="26">
        <f t="shared" si="28"/>
        <v>2831476.1899999939</v>
      </c>
      <c r="AW31" s="26">
        <f t="shared" si="28"/>
        <v>33295990.120000064</v>
      </c>
      <c r="AX31" s="26">
        <f t="shared" si="28"/>
        <v>26014215.050000031</v>
      </c>
      <c r="AY31" s="26">
        <f t="shared" si="28"/>
        <v>7700145.6699999804</v>
      </c>
      <c r="AZ31" s="26">
        <f t="shared" si="28"/>
        <v>4400011.5299999928</v>
      </c>
      <c r="BA31" s="26">
        <f t="shared" si="28"/>
        <v>27396198.030000012</v>
      </c>
      <c r="BB31" s="26">
        <f t="shared" si="28"/>
        <v>20076886.330000017</v>
      </c>
      <c r="BC31" s="26">
        <f t="shared" si="28"/>
        <v>3997705.4899999844</v>
      </c>
      <c r="BD31" s="26">
        <f t="shared" si="28"/>
        <v>2834881.7300000018</v>
      </c>
      <c r="BE31" s="26">
        <f t="shared" si="28"/>
        <v>27936033.120000035</v>
      </c>
      <c r="BF31" s="26">
        <f t="shared" si="28"/>
        <v>17600848.770000044</v>
      </c>
      <c r="BG31" s="26">
        <f t="shared" si="28"/>
        <v>3907336.01000001</v>
      </c>
      <c r="BH31" s="26">
        <f t="shared" si="28"/>
        <v>27072627.889999982</v>
      </c>
      <c r="BI31" s="26">
        <f t="shared" si="28"/>
        <v>18914972.429999985</v>
      </c>
      <c r="BJ31" s="26">
        <f t="shared" si="28"/>
        <v>0</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14.948070440767896</v>
      </c>
      <c r="C32" s="57">
        <f t="shared" ref="C32:D32" si="30">C31/C4*100</f>
        <v>12.172702281072308</v>
      </c>
      <c r="D32" s="57">
        <f t="shared" si="30"/>
        <v>-6.5231220589900332</v>
      </c>
      <c r="E32" s="57">
        <f>E31/E4</f>
        <v>0.16073063937721152</v>
      </c>
      <c r="F32" s="57">
        <f t="shared" ref="F32:BQ32" si="31">F31/F4</f>
        <v>0.13930292627024971</v>
      </c>
      <c r="G32" s="57">
        <f t="shared" si="31"/>
        <v>6.5338682719528959E-2</v>
      </c>
      <c r="H32" s="57">
        <f t="shared" si="31"/>
        <v>-0.21292366418455402</v>
      </c>
      <c r="I32" s="57">
        <f t="shared" si="31"/>
        <v>0.17361116526350553</v>
      </c>
      <c r="J32" s="57">
        <f t="shared" si="31"/>
        <v>9.5165662614958013E-2</v>
      </c>
      <c r="K32" s="57">
        <f t="shared" si="31"/>
        <v>-6.2667686535122155E-3</v>
      </c>
      <c r="L32" s="57">
        <f t="shared" si="31"/>
        <v>-0.53029202892008209</v>
      </c>
      <c r="M32" s="57">
        <f t="shared" si="31"/>
        <v>0.17903729924250569</v>
      </c>
      <c r="N32" s="57">
        <f t="shared" si="31"/>
        <v>8.6666807438272847E-2</v>
      </c>
      <c r="O32" s="57">
        <f t="shared" si="31"/>
        <v>2.5780754921673733E-2</v>
      </c>
      <c r="P32" s="57">
        <f t="shared" si="31"/>
        <v>1.4921789019516357E-2</v>
      </c>
      <c r="Q32" s="57">
        <f t="shared" si="31"/>
        <v>8.4939812886016569E-2</v>
      </c>
      <c r="R32" s="57">
        <f t="shared" si="31"/>
        <v>0.10233476447123267</v>
      </c>
      <c r="S32" s="57">
        <f t="shared" si="31"/>
        <v>6.1300561719373828E-2</v>
      </c>
      <c r="T32" s="57">
        <f t="shared" si="31"/>
        <v>5.2225934831418346E-2</v>
      </c>
      <c r="U32" s="57">
        <f t="shared" si="31"/>
        <v>-3.4650720072704227E-2</v>
      </c>
      <c r="V32" s="57">
        <f t="shared" si="31"/>
        <v>0.11292163450147905</v>
      </c>
      <c r="W32" s="57">
        <f t="shared" si="31"/>
        <v>7.6224401653676027E-2</v>
      </c>
      <c r="X32" s="57">
        <f t="shared" si="31"/>
        <v>6.6638019464260206E-2</v>
      </c>
      <c r="Y32" s="57">
        <f t="shared" si="31"/>
        <v>0.11863654606055107</v>
      </c>
      <c r="Z32" s="57">
        <f t="shared" si="31"/>
        <v>0.10166271016645209</v>
      </c>
      <c r="AA32" s="57">
        <f t="shared" si="31"/>
        <v>4.9345428991876918E-2</v>
      </c>
      <c r="AB32" s="57">
        <f t="shared" si="31"/>
        <v>5.0047435840674399E-2</v>
      </c>
      <c r="AC32" s="57">
        <f t="shared" si="31"/>
        <v>0.10332941705866019</v>
      </c>
      <c r="AD32" s="57">
        <f t="shared" si="31"/>
        <v>7.5720831489164989E-2</v>
      </c>
      <c r="AE32" s="57">
        <f t="shared" si="31"/>
        <v>3.5638059445577124E-2</v>
      </c>
      <c r="AF32" s="57">
        <f t="shared" si="31"/>
        <v>4.5528775175271388E-2</v>
      </c>
      <c r="AG32" s="57">
        <f t="shared" si="31"/>
        <v>5.5846949289352611E-2</v>
      </c>
      <c r="AH32" s="57">
        <f t="shared" si="31"/>
        <v>5.7349818781861385E-2</v>
      </c>
      <c r="AI32" s="57">
        <f t="shared" si="31"/>
        <v>3.1291226850504721E-2</v>
      </c>
      <c r="AJ32" s="57">
        <f t="shared" si="31"/>
        <v>2.9123237286649731E-2</v>
      </c>
      <c r="AK32" s="57">
        <f t="shared" si="31"/>
        <v>4.806757332211755E-2</v>
      </c>
      <c r="AL32" s="57">
        <f t="shared" si="31"/>
        <v>4.3593344182486463E-2</v>
      </c>
      <c r="AM32" s="57">
        <f t="shared" si="31"/>
        <v>2.4436780404731941E-2</v>
      </c>
      <c r="AN32" s="57">
        <f t="shared" si="31"/>
        <v>1.6292104109721733E-2</v>
      </c>
      <c r="AO32" s="57">
        <f t="shared" si="31"/>
        <v>4.4237702808633692E-2</v>
      </c>
      <c r="AP32" s="57">
        <f t="shared" si="31"/>
        <v>5.1204038592924224E-2</v>
      </c>
      <c r="AQ32" s="57">
        <f t="shared" si="31"/>
        <v>2.1954264762864197E-2</v>
      </c>
      <c r="AR32" s="57">
        <f t="shared" si="31"/>
        <v>2.2145414019266115E-2</v>
      </c>
      <c r="AS32" s="57">
        <f t="shared" si="31"/>
        <v>5.5041271388307493E-2</v>
      </c>
      <c r="AT32" s="57">
        <f t="shared" si="31"/>
        <v>6.1199997371806009E-2</v>
      </c>
      <c r="AU32" s="57">
        <f t="shared" si="31"/>
        <v>3.2363440167962644E-2</v>
      </c>
      <c r="AV32" s="57">
        <f t="shared" si="31"/>
        <v>2.2482532080779154E-2</v>
      </c>
      <c r="AW32" s="57">
        <f t="shared" si="31"/>
        <v>5.6070459501859404E-2</v>
      </c>
      <c r="AX32" s="57">
        <f t="shared" si="31"/>
        <v>5.9226101091125645E-2</v>
      </c>
      <c r="AY32" s="57">
        <f t="shared" si="31"/>
        <v>2.6800161841973924E-2</v>
      </c>
      <c r="AZ32" s="57">
        <f t="shared" si="31"/>
        <v>3.2166049410215149E-2</v>
      </c>
      <c r="BA32" s="57">
        <f t="shared" si="31"/>
        <v>5.1820991272771309E-2</v>
      </c>
      <c r="BB32" s="57">
        <f t="shared" si="31"/>
        <v>5.024688848580329E-2</v>
      </c>
      <c r="BC32" s="57">
        <f t="shared" si="31"/>
        <v>1.8537288705964109E-2</v>
      </c>
      <c r="BD32" s="57">
        <f t="shared" si="31"/>
        <v>2.3086067895332445E-2</v>
      </c>
      <c r="BE32" s="57">
        <f t="shared" si="31"/>
        <v>4.9561952649182256E-2</v>
      </c>
      <c r="BF32" s="57">
        <f t="shared" si="31"/>
        <v>4.4124590446117246E-2</v>
      </c>
      <c r="BG32" s="57">
        <f t="shared" si="31"/>
        <v>1.8018230218579206E-2</v>
      </c>
      <c r="BH32" s="57">
        <f t="shared" si="31"/>
        <v>6.0575037885589864E-2</v>
      </c>
      <c r="BI32" s="57">
        <f t="shared" si="31"/>
        <v>5.6430274237624936E-2</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659752979.70362377</v>
      </c>
      <c r="C33" s="26">
        <f t="shared" ref="C33:BN33" si="33">C17+C20+C29</f>
        <v>293335172.50592685</v>
      </c>
      <c r="D33" s="26">
        <f t="shared" si="33"/>
        <v>-67945028.11910142</v>
      </c>
      <c r="E33" s="26">
        <f t="shared" si="33"/>
        <v>764747936.4853754</v>
      </c>
      <c r="F33" s="26">
        <f t="shared" si="33"/>
        <v>312639474.02131027</v>
      </c>
      <c r="G33" s="26">
        <f t="shared" si="33"/>
        <v>58113407.664783128</v>
      </c>
      <c r="H33" s="26">
        <f t="shared" si="33"/>
        <v>-101468132.46279722</v>
      </c>
      <c r="I33" s="26">
        <f t="shared" si="33"/>
        <v>401292919.53155333</v>
      </c>
      <c r="J33" s="26">
        <f t="shared" si="33"/>
        <v>129944948.27213638</v>
      </c>
      <c r="K33" s="26">
        <f t="shared" si="33"/>
        <v>-6590783.6310205292</v>
      </c>
      <c r="L33" s="26">
        <f t="shared" si="33"/>
        <v>-133583118.35966194</v>
      </c>
      <c r="M33" s="26">
        <f t="shared" si="33"/>
        <v>299510004.44369477</v>
      </c>
      <c r="N33" s="26">
        <f t="shared" si="33"/>
        <v>97102364.09826754</v>
      </c>
      <c r="O33" s="26">
        <f t="shared" si="33"/>
        <v>1463637.7047694228</v>
      </c>
      <c r="P33" s="26">
        <f t="shared" si="33"/>
        <v>74889.402466106403</v>
      </c>
      <c r="Q33" s="26">
        <f t="shared" si="33"/>
        <v>31665619.408645693</v>
      </c>
      <c r="R33" s="26">
        <f t="shared" si="33"/>
        <v>29790330.429820083</v>
      </c>
      <c r="S33" s="26">
        <f t="shared" si="33"/>
        <v>5311886.1612369595</v>
      </c>
      <c r="T33" s="26">
        <f t="shared" si="33"/>
        <v>1437722.6605019397</v>
      </c>
      <c r="U33" s="26">
        <f t="shared" si="33"/>
        <v>-43491178.600316986</v>
      </c>
      <c r="V33" s="26">
        <f t="shared" si="33"/>
        <v>40405098.554318286</v>
      </c>
      <c r="W33" s="26">
        <f t="shared" si="33"/>
        <v>12239156.736454858</v>
      </c>
      <c r="X33" s="26">
        <f t="shared" si="33"/>
        <v>6028062.2053056164</v>
      </c>
      <c r="Y33" s="26">
        <f t="shared" si="33"/>
        <v>59544685.402594358</v>
      </c>
      <c r="Z33" s="26">
        <f t="shared" si="33"/>
        <v>34899946.060383208</v>
      </c>
      <c r="AA33" s="26">
        <f t="shared" si="33"/>
        <v>7668101.1063556606</v>
      </c>
      <c r="AB33" s="26">
        <f t="shared" si="33"/>
        <v>4165939.606182883</v>
      </c>
      <c r="AC33" s="26">
        <f t="shared" si="33"/>
        <v>59210896.387182467</v>
      </c>
      <c r="AD33" s="26">
        <f t="shared" si="33"/>
        <v>31789685.99850532</v>
      </c>
      <c r="AE33" s="26">
        <f t="shared" si="33"/>
        <v>7355006.7499867035</v>
      </c>
      <c r="AF33" s="26">
        <f t="shared" si="33"/>
        <v>4549121.8352140179</v>
      </c>
      <c r="AG33" s="26">
        <f t="shared" si="33"/>
        <v>23300790.471102029</v>
      </c>
      <c r="AH33" s="26">
        <f t="shared" si="33"/>
        <v>15420248.102685824</v>
      </c>
      <c r="AI33" s="26">
        <f t="shared" si="33"/>
        <v>4303134.3950907504</v>
      </c>
      <c r="AJ33" s="26">
        <f t="shared" si="33"/>
        <v>2220752.5752955112</v>
      </c>
      <c r="AK33" s="26">
        <f t="shared" si="33"/>
        <v>14786047.720171981</v>
      </c>
      <c r="AL33" s="26">
        <f t="shared" si="33"/>
        <v>10022896.436765622</v>
      </c>
      <c r="AM33" s="26">
        <f t="shared" si="33"/>
        <v>2628353.6066359249</v>
      </c>
      <c r="AN33" s="26">
        <f t="shared" si="33"/>
        <v>1049486.7630000634</v>
      </c>
      <c r="AO33" s="26">
        <f t="shared" si="33"/>
        <v>12981473.250204103</v>
      </c>
      <c r="AP33" s="26">
        <f t="shared" si="33"/>
        <v>10243374.077058913</v>
      </c>
      <c r="AQ33" s="26">
        <f t="shared" si="33"/>
        <v>2848121.7204335332</v>
      </c>
      <c r="AR33" s="26">
        <f t="shared" si="33"/>
        <v>1402335.6479953765</v>
      </c>
      <c r="AS33" s="26">
        <f t="shared" si="33"/>
        <v>25662667.552657019</v>
      </c>
      <c r="AT33" s="26">
        <f t="shared" si="33"/>
        <v>21326889.304111511</v>
      </c>
      <c r="AU33" s="26">
        <f t="shared" si="33"/>
        <v>6196709.307920441</v>
      </c>
      <c r="AV33" s="26">
        <f t="shared" si="33"/>
        <v>2355408.4802520652</v>
      </c>
      <c r="AW33" s="26">
        <f t="shared" si="33"/>
        <v>27975739.908853434</v>
      </c>
      <c r="AX33" s="26">
        <f t="shared" si="33"/>
        <v>21567254.876586299</v>
      </c>
      <c r="AY33" s="26">
        <f t="shared" si="33"/>
        <v>5930473.1921934383</v>
      </c>
      <c r="AZ33" s="26">
        <f t="shared" si="33"/>
        <v>3957245.6749467286</v>
      </c>
      <c r="BA33" s="26">
        <f t="shared" si="33"/>
        <v>23192205.984476645</v>
      </c>
      <c r="BB33" s="26">
        <f t="shared" si="33"/>
        <v>16811657.027769703</v>
      </c>
      <c r="BC33" s="26">
        <f t="shared" si="33"/>
        <v>3323026.2465551472</v>
      </c>
      <c r="BD33" s="26">
        <f t="shared" si="33"/>
        <v>2321562.5290474943</v>
      </c>
      <c r="BE33" s="26">
        <f t="shared" si="33"/>
        <v>22436153.277925283</v>
      </c>
      <c r="BF33" s="26">
        <f t="shared" si="33"/>
        <v>14293701.016373664</v>
      </c>
      <c r="BG33" s="26">
        <f t="shared" si="33"/>
        <v>2548044.4885544009</v>
      </c>
      <c r="BH33" s="26">
        <f t="shared" si="33"/>
        <v>22192095.016147446</v>
      </c>
      <c r="BI33" s="26">
        <f t="shared" si="33"/>
        <v>15211648.50675503</v>
      </c>
      <c r="BJ33" s="26" t="e">
        <f t="shared" si="33"/>
        <v>#DIV/0!</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11.338506849705192</v>
      </c>
      <c r="C34" s="57">
        <f t="shared" ref="C34:D34" si="35">C33/C4*100</f>
        <v>8.4174655159025757</v>
      </c>
      <c r="D34" s="57">
        <f t="shared" si="35"/>
        <v>-5.5469265400484229</v>
      </c>
      <c r="E34" s="57">
        <f>E33/E4</f>
        <v>0.1226923961219544</v>
      </c>
      <c r="F34" s="57">
        <f t="shared" ref="F34:BQ34" si="36">F33/F4</f>
        <v>0.10458909161804408</v>
      </c>
      <c r="G34" s="57">
        <f t="shared" si="36"/>
        <v>3.58423366972268E-2</v>
      </c>
      <c r="H34" s="57">
        <f t="shared" si="36"/>
        <v>-0.18282669780255084</v>
      </c>
      <c r="I34" s="57">
        <f t="shared" si="36"/>
        <v>0.1302112432341658</v>
      </c>
      <c r="J34" s="57">
        <f t="shared" si="36"/>
        <v>6.9023822003332083E-2</v>
      </c>
      <c r="K34" s="57">
        <f t="shared" si="36"/>
        <v>-6.3218925134084494E-3</v>
      </c>
      <c r="L34" s="57">
        <f t="shared" si="36"/>
        <v>-0.43229505930657819</v>
      </c>
      <c r="M34" s="57">
        <f t="shared" si="36"/>
        <v>0.14252322159440961</v>
      </c>
      <c r="N34" s="57">
        <f t="shared" si="36"/>
        <v>7.5406654096188491E-2</v>
      </c>
      <c r="O34" s="57">
        <f t="shared" si="36"/>
        <v>6.2441326871272721E-3</v>
      </c>
      <c r="P34" s="57">
        <f t="shared" si="36"/>
        <v>7.5734402250695785E-4</v>
      </c>
      <c r="Q34" s="57">
        <f t="shared" si="36"/>
        <v>4.5496022542049985E-2</v>
      </c>
      <c r="R34" s="57">
        <f t="shared" si="36"/>
        <v>5.9601539770138337E-2</v>
      </c>
      <c r="S34" s="57">
        <f t="shared" si="36"/>
        <v>2.427826417377911E-2</v>
      </c>
      <c r="T34" s="57">
        <f t="shared" si="36"/>
        <v>1.7831370804740929E-2</v>
      </c>
      <c r="U34" s="57">
        <f t="shared" si="36"/>
        <v>-5.7323256592555091E-2</v>
      </c>
      <c r="V34" s="57">
        <f t="shared" si="36"/>
        <v>7.9984656718244049E-2</v>
      </c>
      <c r="W34" s="57">
        <f t="shared" si="36"/>
        <v>5.0151138941807762E-2</v>
      </c>
      <c r="X34" s="57">
        <f t="shared" si="36"/>
        <v>4.8513340931939562E-2</v>
      </c>
      <c r="Y34" s="57">
        <f t="shared" si="36"/>
        <v>8.614499777957163E-2</v>
      </c>
      <c r="Z34" s="57">
        <f t="shared" si="36"/>
        <v>7.2849546906786036E-2</v>
      </c>
      <c r="AA34" s="57">
        <f t="shared" si="36"/>
        <v>3.1037701066442894E-2</v>
      </c>
      <c r="AB34" s="57">
        <f t="shared" si="36"/>
        <v>3.2267828888228829E-2</v>
      </c>
      <c r="AC34" s="57">
        <f t="shared" si="36"/>
        <v>7.6267404366763228E-2</v>
      </c>
      <c r="AD34" s="57">
        <f t="shared" si="36"/>
        <v>5.487351769732856E-2</v>
      </c>
      <c r="AE34" s="57">
        <f t="shared" si="36"/>
        <v>2.4121580759732163E-2</v>
      </c>
      <c r="AF34" s="57">
        <f t="shared" si="36"/>
        <v>3.517415847326591E-2</v>
      </c>
      <c r="AG34" s="57">
        <f t="shared" si="36"/>
        <v>4.2035132598017222E-2</v>
      </c>
      <c r="AH34" s="57">
        <f t="shared" si="36"/>
        <v>4.3289901779621991E-2</v>
      </c>
      <c r="AI34" s="57">
        <f t="shared" si="36"/>
        <v>2.3263464362735544E-2</v>
      </c>
      <c r="AJ34" s="57">
        <f t="shared" si="36"/>
        <v>2.1292152963145298E-2</v>
      </c>
      <c r="AK34" s="57">
        <f t="shared" si="36"/>
        <v>2.9001404173910582E-2</v>
      </c>
      <c r="AL34" s="57">
        <f t="shared" si="36"/>
        <v>2.9532056305978119E-2</v>
      </c>
      <c r="AM34" s="57">
        <f t="shared" si="36"/>
        <v>1.4624711386909205E-2</v>
      </c>
      <c r="AN34" s="57">
        <f t="shared" si="36"/>
        <v>1.0609626304932189E-2</v>
      </c>
      <c r="AO34" s="57">
        <f t="shared" si="36"/>
        <v>3.1433520718766428E-2</v>
      </c>
      <c r="AP34" s="57">
        <f t="shared" si="36"/>
        <v>3.7690650779226363E-2</v>
      </c>
      <c r="AQ34" s="57">
        <f t="shared" si="36"/>
        <v>1.7381485287033739E-2</v>
      </c>
      <c r="AR34" s="57">
        <f t="shared" si="36"/>
        <v>1.6745902610121995E-2</v>
      </c>
      <c r="AS34" s="57">
        <f t="shared" si="36"/>
        <v>4.5316774608414725E-2</v>
      </c>
      <c r="AT34" s="57">
        <f t="shared" si="36"/>
        <v>5.0806728180509776E-2</v>
      </c>
      <c r="AU34" s="57">
        <f t="shared" si="36"/>
        <v>2.5526005989573754E-2</v>
      </c>
      <c r="AV34" s="57">
        <f t="shared" si="36"/>
        <v>1.8702451713219756E-2</v>
      </c>
      <c r="AW34" s="57">
        <f t="shared" si="36"/>
        <v>4.7111156206515459E-2</v>
      </c>
      <c r="AX34" s="57">
        <f t="shared" si="36"/>
        <v>4.910178589373855E-2</v>
      </c>
      <c r="AY34" s="57">
        <f t="shared" si="36"/>
        <v>2.0640861635838673E-2</v>
      </c>
      <c r="AZ34" s="57">
        <f t="shared" si="36"/>
        <v>2.8929233262417579E-2</v>
      </c>
      <c r="BA34" s="57">
        <f t="shared" si="36"/>
        <v>4.3868974176701776E-2</v>
      </c>
      <c r="BB34" s="57">
        <f t="shared" si="36"/>
        <v>4.2074923474247447E-2</v>
      </c>
      <c r="BC34" s="57">
        <f t="shared" si="36"/>
        <v>1.5408813146435475E-2</v>
      </c>
      <c r="BD34" s="57">
        <f t="shared" si="36"/>
        <v>1.890581522385067E-2</v>
      </c>
      <c r="BE34" s="57">
        <f t="shared" si="36"/>
        <v>3.9804490552176393E-2</v>
      </c>
      <c r="BF34" s="57">
        <f t="shared" si="36"/>
        <v>3.5833709586877843E-2</v>
      </c>
      <c r="BG34" s="57">
        <f t="shared" si="36"/>
        <v>1.1750013841772208E-2</v>
      </c>
      <c r="BH34" s="57">
        <f t="shared" si="36"/>
        <v>4.9654839634548031E-2</v>
      </c>
      <c r="BI34" s="57">
        <f t="shared" si="36"/>
        <v>4.5381905790202882E-2</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180471525.94</v>
      </c>
      <c r="C35" s="26">
        <f t="shared" ref="C35:BN35" si="38">C23+C68</f>
        <v>105139780.16</v>
      </c>
      <c r="D35" s="26">
        <f t="shared" si="38"/>
        <v>37815334.130000003</v>
      </c>
      <c r="E35" s="26">
        <f t="shared" si="38"/>
        <v>121769640.19</v>
      </c>
      <c r="F35" s="26">
        <f t="shared" si="38"/>
        <v>73797575.680000007</v>
      </c>
      <c r="G35" s="26">
        <f t="shared" si="38"/>
        <v>42657297.43</v>
      </c>
      <c r="H35" s="26">
        <f t="shared" si="38"/>
        <v>17209558.579999998</v>
      </c>
      <c r="I35" s="26">
        <f t="shared" si="38"/>
        <v>47089283.609999999</v>
      </c>
      <c r="J35" s="26">
        <f t="shared" si="38"/>
        <v>25351333.91</v>
      </c>
      <c r="K35" s="26">
        <f t="shared" si="38"/>
        <v>14907425.34</v>
      </c>
      <c r="L35" s="26">
        <f t="shared" si="38"/>
        <v>7565905.5</v>
      </c>
      <c r="M35" s="26">
        <f t="shared" si="38"/>
        <v>22939448.460000001</v>
      </c>
      <c r="N35" s="26">
        <f t="shared" si="38"/>
        <v>12893072.82</v>
      </c>
      <c r="O35" s="26">
        <f t="shared" si="38"/>
        <v>-281452.78999999998</v>
      </c>
      <c r="P35" s="26">
        <f t="shared" si="38"/>
        <v>-642825.49</v>
      </c>
      <c r="Q35" s="26">
        <f t="shared" si="38"/>
        <v>10416757.18</v>
      </c>
      <c r="R35" s="26">
        <f t="shared" si="38"/>
        <v>7471299.8799999999</v>
      </c>
      <c r="S35" s="26">
        <f t="shared" si="38"/>
        <v>4978252.42</v>
      </c>
      <c r="T35" s="26">
        <f t="shared" si="38"/>
        <v>1930917.85</v>
      </c>
      <c r="U35" s="26">
        <f t="shared" si="38"/>
        <v>13283930.630000001</v>
      </c>
      <c r="V35" s="26">
        <f t="shared" si="38"/>
        <v>7019567.71</v>
      </c>
      <c r="W35" s="26">
        <f t="shared" si="38"/>
        <v>5712580.5099999998</v>
      </c>
      <c r="X35" s="26">
        <f t="shared" si="38"/>
        <v>1741811.86</v>
      </c>
      <c r="Y35" s="26">
        <f t="shared" si="38"/>
        <v>918550.34</v>
      </c>
      <c r="Z35" s="26">
        <f t="shared" si="38"/>
        <v>-1746780.08</v>
      </c>
      <c r="AA35" s="26">
        <f t="shared" si="38"/>
        <v>-1074299.42</v>
      </c>
      <c r="AB35" s="26">
        <f t="shared" si="38"/>
        <v>-689278.59</v>
      </c>
      <c r="AC35" s="26">
        <f t="shared" si="38"/>
        <v>1200456.69</v>
      </c>
      <c r="AD35" s="26">
        <f t="shared" si="38"/>
        <v>1069203.06</v>
      </c>
      <c r="AE35" s="26">
        <f t="shared" si="38"/>
        <v>-230904.19</v>
      </c>
      <c r="AF35" s="26">
        <f t="shared" si="38"/>
        <v>-780326.03</v>
      </c>
      <c r="AG35" s="26">
        <f t="shared" si="38"/>
        <v>-1430285.15</v>
      </c>
      <c r="AH35" s="26">
        <f t="shared" si="38"/>
        <v>-2116228.2400000002</v>
      </c>
      <c r="AI35" s="26">
        <f t="shared" si="38"/>
        <v>-1946776.28</v>
      </c>
      <c r="AJ35" s="26">
        <f t="shared" si="38"/>
        <v>-2161654.0699999998</v>
      </c>
      <c r="AK35" s="26">
        <f t="shared" si="38"/>
        <v>-4307683.47</v>
      </c>
      <c r="AL35" s="26">
        <f t="shared" si="38"/>
        <v>-4364504.28</v>
      </c>
      <c r="AM35" s="26">
        <f t="shared" si="38"/>
        <v>-2705158.58</v>
      </c>
      <c r="AN35" s="26">
        <f t="shared" si="38"/>
        <v>-2739895.99</v>
      </c>
      <c r="AO35" s="26">
        <f t="shared" si="38"/>
        <v>-1149063.42</v>
      </c>
      <c r="AP35" s="26">
        <f t="shared" si="38"/>
        <v>-1896454.18</v>
      </c>
      <c r="AQ35" s="26">
        <f t="shared" si="38"/>
        <v>-1951498.37</v>
      </c>
      <c r="AR35" s="26">
        <f t="shared" si="38"/>
        <v>-1951402.75</v>
      </c>
      <c r="AS35" s="26">
        <f t="shared" si="38"/>
        <v>-1604895.6</v>
      </c>
      <c r="AT35" s="26">
        <f t="shared" si="38"/>
        <v>-1706624.36</v>
      </c>
      <c r="AU35" s="26">
        <f t="shared" si="38"/>
        <v>-1660081.07</v>
      </c>
      <c r="AV35" s="26">
        <f t="shared" si="38"/>
        <v>-2535170.69</v>
      </c>
      <c r="AW35" s="26">
        <f t="shared" si="38"/>
        <v>4322.8999999999996</v>
      </c>
      <c r="AX35" s="26">
        <f t="shared" si="38"/>
        <v>-687794.55</v>
      </c>
      <c r="AY35" s="26">
        <f t="shared" si="38"/>
        <v>-459639.5</v>
      </c>
      <c r="AZ35" s="26">
        <f t="shared" si="38"/>
        <v>9432.8799999999992</v>
      </c>
      <c r="BA35" s="26">
        <f t="shared" si="38"/>
        <v>-639293.54</v>
      </c>
      <c r="BB35" s="26">
        <f t="shared" si="38"/>
        <v>75984.37</v>
      </c>
      <c r="BC35" s="26">
        <f t="shared" si="38"/>
        <v>-125928.14</v>
      </c>
      <c r="BD35" s="26">
        <f t="shared" si="38"/>
        <v>31351.31</v>
      </c>
      <c r="BE35" s="26">
        <f t="shared" si="38"/>
        <v>421951.67</v>
      </c>
      <c r="BF35" s="26">
        <f t="shared" si="38"/>
        <v>342122.88</v>
      </c>
      <c r="BG35" s="26">
        <f t="shared" si="38"/>
        <v>208355.85</v>
      </c>
      <c r="BH35" s="26">
        <f t="shared" si="38"/>
        <v>-325559.99</v>
      </c>
      <c r="BI35" s="26">
        <f t="shared" si="38"/>
        <v>-3217656.78</v>
      </c>
      <c r="BJ35" s="26">
        <f t="shared" si="38"/>
        <v>0</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43572129.645264186</v>
      </c>
      <c r="C36" s="26">
        <f t="shared" ref="C36:BN36" si="40">C35*C41</f>
        <v>32500121.705174081</v>
      </c>
      <c r="D36" s="26">
        <f t="shared" si="40"/>
        <v>5729861.3099252284</v>
      </c>
      <c r="E36" s="26">
        <f t="shared" si="40"/>
        <v>28676845.633969087</v>
      </c>
      <c r="F36" s="26">
        <f t="shared" si="40"/>
        <v>19026471.951050874</v>
      </c>
      <c r="G36" s="26">
        <f t="shared" si="40"/>
        <v>18072479.869372733</v>
      </c>
      <c r="H36" s="26">
        <f t="shared" si="40"/>
        <v>2849372.7362207132</v>
      </c>
      <c r="I36" s="26">
        <f t="shared" si="40"/>
        <v>11624604.62146163</v>
      </c>
      <c r="J36" s="26">
        <f t="shared" si="40"/>
        <v>6854390.8720731288</v>
      </c>
      <c r="K36" s="26">
        <f t="shared" si="40"/>
        <v>-291815.51711249177</v>
      </c>
      <c r="L36" s="26">
        <f t="shared" si="40"/>
        <v>1423509.2373831153</v>
      </c>
      <c r="M36" s="26">
        <f t="shared" si="40"/>
        <v>4722380.3295067875</v>
      </c>
      <c r="N36" s="26">
        <f t="shared" si="40"/>
        <v>1724473.7731917151</v>
      </c>
      <c r="O36" s="26">
        <f t="shared" si="40"/>
        <v>-213284.55476943628</v>
      </c>
      <c r="P36" s="26">
        <f t="shared" si="40"/>
        <v>-610199.37246611295</v>
      </c>
      <c r="Q36" s="26">
        <f t="shared" si="40"/>
        <v>4840170.7218088647</v>
      </c>
      <c r="R36" s="26">
        <f t="shared" si="40"/>
        <v>3119885.3901798935</v>
      </c>
      <c r="S36" s="26">
        <f t="shared" si="40"/>
        <v>3006601.1987630385</v>
      </c>
      <c r="T36" s="26">
        <f t="shared" si="40"/>
        <v>1271649.3794980608</v>
      </c>
      <c r="U36" s="26">
        <f t="shared" si="40"/>
        <v>-8698980.0085686818</v>
      </c>
      <c r="V36" s="26">
        <f t="shared" si="40"/>
        <v>2047467.2256816782</v>
      </c>
      <c r="W36" s="26">
        <f t="shared" si="40"/>
        <v>1954041.0835451311</v>
      </c>
      <c r="X36" s="26">
        <f t="shared" si="40"/>
        <v>473750.27469439176</v>
      </c>
      <c r="Y36" s="26">
        <f t="shared" si="40"/>
        <v>251567.69740571667</v>
      </c>
      <c r="Z36" s="26">
        <f t="shared" si="40"/>
        <v>-495071.00038319785</v>
      </c>
      <c r="AA36" s="26">
        <f t="shared" si="40"/>
        <v>-398577.5763556388</v>
      </c>
      <c r="AB36" s="26">
        <f t="shared" si="40"/>
        <v>-244869.73618288658</v>
      </c>
      <c r="AC36" s="26">
        <f t="shared" si="40"/>
        <v>314400.05281758099</v>
      </c>
      <c r="AD36" s="26">
        <f t="shared" si="40"/>
        <v>294370.93149460765</v>
      </c>
      <c r="AE36" s="26">
        <f t="shared" si="40"/>
        <v>-74755.036168374834</v>
      </c>
      <c r="AF36" s="26">
        <f t="shared" si="40"/>
        <v>-177469.67521402167</v>
      </c>
      <c r="AG36" s="26">
        <f t="shared" si="40"/>
        <v>-353790.93233152886</v>
      </c>
      <c r="AH36" s="26">
        <f t="shared" si="40"/>
        <v>-518815.8226858385</v>
      </c>
      <c r="AI36" s="26">
        <f t="shared" si="40"/>
        <v>-499445.34509073588</v>
      </c>
      <c r="AJ36" s="26">
        <f t="shared" si="40"/>
        <v>-581257.33529549942</v>
      </c>
      <c r="AK36" s="26">
        <f t="shared" si="40"/>
        <v>-1704029.4995919373</v>
      </c>
      <c r="AL36" s="26">
        <f t="shared" si="40"/>
        <v>-1407796.356765588</v>
      </c>
      <c r="AM36" s="26">
        <f t="shared" si="40"/>
        <v>-1086198.8466359307</v>
      </c>
      <c r="AN36" s="26">
        <f t="shared" si="40"/>
        <v>-955640.72300006927</v>
      </c>
      <c r="AO36" s="26">
        <f t="shared" si="40"/>
        <v>-331739.39926255267</v>
      </c>
      <c r="AP36" s="26">
        <f t="shared" si="40"/>
        <v>-500498.03705893212</v>
      </c>
      <c r="AQ36" s="26">
        <f t="shared" si="40"/>
        <v>-413182.9045612379</v>
      </c>
      <c r="AR36" s="26">
        <f t="shared" si="40"/>
        <v>-475792.47799537808</v>
      </c>
      <c r="AS36" s="26">
        <f t="shared" si="40"/>
        <v>-287073.94297144661</v>
      </c>
      <c r="AT36" s="26">
        <f t="shared" si="40"/>
        <v>-289826.91411151976</v>
      </c>
      <c r="AU36" s="26">
        <f t="shared" si="40"/>
        <v>-361749.47530820215</v>
      </c>
      <c r="AV36" s="26">
        <f t="shared" si="40"/>
        <v>-426248.65025207156</v>
      </c>
      <c r="AW36" s="26">
        <f t="shared" si="40"/>
        <v>691.89485062115045</v>
      </c>
      <c r="AX36" s="26">
        <f t="shared" si="40"/>
        <v>-117573.98658626893</v>
      </c>
      <c r="AY36" s="26">
        <f t="shared" si="40"/>
        <v>-105635.8421934584</v>
      </c>
      <c r="AZ36" s="26">
        <f t="shared" si="40"/>
        <v>949.21505326483702</v>
      </c>
      <c r="BA36" s="26">
        <f t="shared" si="40"/>
        <v>-98100.654476634067</v>
      </c>
      <c r="BB36" s="26">
        <f t="shared" si="40"/>
        <v>12357.812230314594</v>
      </c>
      <c r="BC36" s="26">
        <f t="shared" si="40"/>
        <v>-21252.466555162839</v>
      </c>
      <c r="BD36" s="26">
        <f t="shared" si="40"/>
        <v>5676.8609525076572</v>
      </c>
      <c r="BE36" s="26">
        <f t="shared" si="40"/>
        <v>83071.332074751452</v>
      </c>
      <c r="BF36" s="26">
        <f t="shared" si="40"/>
        <v>64283.883626379495</v>
      </c>
      <c r="BG36" s="26">
        <f t="shared" si="40"/>
        <v>72483.231445608995</v>
      </c>
      <c r="BH36" s="26">
        <f t="shared" si="40"/>
        <v>-58690.506147465952</v>
      </c>
      <c r="BI36" s="26">
        <f t="shared" si="40"/>
        <v>-629978.46675504441</v>
      </c>
      <c r="BJ36" s="26" t="e">
        <f t="shared" si="40"/>
        <v>#DIV/0!</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136899396.29473582</v>
      </c>
      <c r="C37" s="26">
        <f t="shared" ref="C37:BN37" si="42">C35-C36</f>
        <v>72639658.454825908</v>
      </c>
      <c r="D37" s="26">
        <f t="shared" si="42"/>
        <v>32085472.820074774</v>
      </c>
      <c r="E37" s="26">
        <f t="shared" si="42"/>
        <v>93092794.556030914</v>
      </c>
      <c r="F37" s="26">
        <f t="shared" si="42"/>
        <v>54771103.72894913</v>
      </c>
      <c r="G37" s="26">
        <f t="shared" si="42"/>
        <v>24584817.560627267</v>
      </c>
      <c r="H37" s="26">
        <f t="shared" si="42"/>
        <v>14360185.843779285</v>
      </c>
      <c r="I37" s="26">
        <f t="shared" si="42"/>
        <v>35464678.98853837</v>
      </c>
      <c r="J37" s="26">
        <f t="shared" si="42"/>
        <v>18496943.037926871</v>
      </c>
      <c r="K37" s="26">
        <f t="shared" si="42"/>
        <v>15199240.857112492</v>
      </c>
      <c r="L37" s="26">
        <f t="shared" si="42"/>
        <v>6142396.2626168849</v>
      </c>
      <c r="M37" s="26">
        <f t="shared" si="42"/>
        <v>18217068.130493212</v>
      </c>
      <c r="N37" s="26">
        <f t="shared" si="42"/>
        <v>11168599.046808286</v>
      </c>
      <c r="O37" s="26">
        <f t="shared" si="42"/>
        <v>-68168.235230563703</v>
      </c>
      <c r="P37" s="26">
        <f t="shared" si="42"/>
        <v>-32626.117533887038</v>
      </c>
      <c r="Q37" s="26">
        <f t="shared" si="42"/>
        <v>5576586.458191135</v>
      </c>
      <c r="R37" s="26">
        <f t="shared" si="42"/>
        <v>4351414.489820106</v>
      </c>
      <c r="S37" s="26">
        <f t="shared" si="42"/>
        <v>1971651.2212369614</v>
      </c>
      <c r="T37" s="26">
        <f t="shared" si="42"/>
        <v>659268.4705019393</v>
      </c>
      <c r="U37" s="26">
        <f t="shared" si="42"/>
        <v>21982910.638568684</v>
      </c>
      <c r="V37" s="26">
        <f t="shared" si="42"/>
        <v>4972100.4843183216</v>
      </c>
      <c r="W37" s="26">
        <f t="shared" si="42"/>
        <v>3758539.4264548686</v>
      </c>
      <c r="X37" s="26">
        <f t="shared" si="42"/>
        <v>1268061.5853056083</v>
      </c>
      <c r="Y37" s="26">
        <f t="shared" si="42"/>
        <v>666982.64259428333</v>
      </c>
      <c r="Z37" s="26">
        <f t="shared" si="42"/>
        <v>-1251709.0796168023</v>
      </c>
      <c r="AA37" s="26">
        <f t="shared" si="42"/>
        <v>-675721.84364436113</v>
      </c>
      <c r="AB37" s="26">
        <f t="shared" si="42"/>
        <v>-444408.85381711338</v>
      </c>
      <c r="AC37" s="26">
        <f t="shared" si="42"/>
        <v>886056.63718241896</v>
      </c>
      <c r="AD37" s="26">
        <f t="shared" si="42"/>
        <v>774832.12850539247</v>
      </c>
      <c r="AE37" s="26">
        <f t="shared" si="42"/>
        <v>-156149.15383162518</v>
      </c>
      <c r="AF37" s="26">
        <f t="shared" si="42"/>
        <v>-602856.35478597833</v>
      </c>
      <c r="AG37" s="26">
        <f t="shared" si="42"/>
        <v>-1076494.2176684709</v>
      </c>
      <c r="AH37" s="26">
        <f t="shared" si="42"/>
        <v>-1597412.4173141618</v>
      </c>
      <c r="AI37" s="26">
        <f t="shared" si="42"/>
        <v>-1447330.9349092641</v>
      </c>
      <c r="AJ37" s="26">
        <f t="shared" si="42"/>
        <v>-1580396.7347045005</v>
      </c>
      <c r="AK37" s="26">
        <f t="shared" si="42"/>
        <v>-2603653.9704080625</v>
      </c>
      <c r="AL37" s="26">
        <f t="shared" si="42"/>
        <v>-2956707.9232344124</v>
      </c>
      <c r="AM37" s="26">
        <f t="shared" si="42"/>
        <v>-1618959.7333640694</v>
      </c>
      <c r="AN37" s="26">
        <f t="shared" si="42"/>
        <v>-1784255.2669999311</v>
      </c>
      <c r="AO37" s="26">
        <f t="shared" si="42"/>
        <v>-817324.02073744731</v>
      </c>
      <c r="AP37" s="26">
        <f t="shared" si="42"/>
        <v>-1395956.1429410679</v>
      </c>
      <c r="AQ37" s="26">
        <f t="shared" si="42"/>
        <v>-1538315.4654387622</v>
      </c>
      <c r="AR37" s="26">
        <f t="shared" si="42"/>
        <v>-1475610.272004622</v>
      </c>
      <c r="AS37" s="26">
        <f t="shared" si="42"/>
        <v>-1317821.6570285535</v>
      </c>
      <c r="AT37" s="26">
        <f t="shared" si="42"/>
        <v>-1416797.4458884804</v>
      </c>
      <c r="AU37" s="26">
        <f t="shared" si="42"/>
        <v>-1298331.5946917979</v>
      </c>
      <c r="AV37" s="26">
        <f t="shared" si="42"/>
        <v>-2108922.0397479283</v>
      </c>
      <c r="AW37" s="26">
        <f t="shared" si="42"/>
        <v>3631.0051493788492</v>
      </c>
      <c r="AX37" s="26">
        <f t="shared" si="42"/>
        <v>-570220.56341373106</v>
      </c>
      <c r="AY37" s="26">
        <f t="shared" si="42"/>
        <v>-354003.6578065416</v>
      </c>
      <c r="AZ37" s="26">
        <f t="shared" si="42"/>
        <v>8483.6649467351617</v>
      </c>
      <c r="BA37" s="26">
        <f t="shared" si="42"/>
        <v>-541192.88552336593</v>
      </c>
      <c r="BB37" s="26">
        <f t="shared" si="42"/>
        <v>63626.557769685402</v>
      </c>
      <c r="BC37" s="26">
        <f t="shared" si="42"/>
        <v>-104675.67344483716</v>
      </c>
      <c r="BD37" s="26">
        <f t="shared" si="42"/>
        <v>25674.449047492344</v>
      </c>
      <c r="BE37" s="26">
        <f t="shared" si="42"/>
        <v>338880.33792524855</v>
      </c>
      <c r="BF37" s="26">
        <f t="shared" si="42"/>
        <v>277838.99637362052</v>
      </c>
      <c r="BG37" s="26">
        <f t="shared" si="42"/>
        <v>135872.61855439103</v>
      </c>
      <c r="BH37" s="26">
        <f t="shared" si="42"/>
        <v>-266869.48385253403</v>
      </c>
      <c r="BI37" s="26">
        <f t="shared" si="42"/>
        <v>-2587678.3132449556</v>
      </c>
      <c r="BJ37" s="26" t="e">
        <f t="shared" si="42"/>
        <v>#DIV/0!</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689310901.75000048</v>
      </c>
      <c r="C38" s="28">
        <f t="shared" ref="C38:BN38" si="44">C31-C35</f>
        <v>319059370.61000025</v>
      </c>
      <c r="D38" s="28">
        <f t="shared" si="44"/>
        <v>-117717908.74000004</v>
      </c>
      <c r="E38" s="28">
        <f t="shared" si="44"/>
        <v>880072598.44000006</v>
      </c>
      <c r="F38" s="28">
        <f t="shared" si="44"/>
        <v>342609077.48999995</v>
      </c>
      <c r="G38" s="28">
        <f t="shared" si="44"/>
        <v>63280368.890000097</v>
      </c>
      <c r="H38" s="28">
        <f t="shared" si="44"/>
        <v>-135381394.65000007</v>
      </c>
      <c r="I38" s="28">
        <f t="shared" si="44"/>
        <v>487956152.1099999</v>
      </c>
      <c r="J38" s="28">
        <f t="shared" si="44"/>
        <v>153808508.98000002</v>
      </c>
      <c r="K38" s="28">
        <f t="shared" si="44"/>
        <v>-21440740.510000005</v>
      </c>
      <c r="L38" s="28">
        <f t="shared" si="44"/>
        <v>-171430981.76999998</v>
      </c>
      <c r="M38" s="28">
        <f t="shared" si="44"/>
        <v>353304237.94999999</v>
      </c>
      <c r="N38" s="28">
        <f t="shared" si="44"/>
        <v>98709172.259999961</v>
      </c>
      <c r="O38" s="28">
        <f t="shared" si="44"/>
        <v>6324515.4299999867</v>
      </c>
      <c r="P38" s="28">
        <f t="shared" si="44"/>
        <v>2118355.5399999935</v>
      </c>
      <c r="Q38" s="28">
        <f t="shared" si="44"/>
        <v>48702076.449999936</v>
      </c>
      <c r="R38" s="28">
        <f t="shared" si="44"/>
        <v>43678157.99999997</v>
      </c>
      <c r="S38" s="28">
        <f t="shared" si="44"/>
        <v>8433810.4499999974</v>
      </c>
      <c r="T38" s="28">
        <f t="shared" si="44"/>
        <v>2279998.4500000007</v>
      </c>
      <c r="U38" s="28">
        <f t="shared" si="44"/>
        <v>-39573446.349999964</v>
      </c>
      <c r="V38" s="28">
        <f t="shared" si="44"/>
        <v>50023994.869999968</v>
      </c>
      <c r="W38" s="28">
        <f t="shared" si="44"/>
        <v>12889637.079999989</v>
      </c>
      <c r="X38" s="28">
        <f t="shared" si="44"/>
        <v>6538346.1100000078</v>
      </c>
      <c r="Y38" s="28">
        <f t="shared" si="44"/>
        <v>81084769.580000073</v>
      </c>
      <c r="Z38" s="28">
        <f t="shared" si="44"/>
        <v>50450214.100000009</v>
      </c>
      <c r="AA38" s="28">
        <f t="shared" si="44"/>
        <v>13265464.540000021</v>
      </c>
      <c r="AB38" s="28">
        <f t="shared" si="44"/>
        <v>7150655.2099999962</v>
      </c>
      <c r="AC38" s="28">
        <f t="shared" si="44"/>
        <v>79020280.570000052</v>
      </c>
      <c r="AD38" s="28">
        <f t="shared" si="44"/>
        <v>42797885.429999925</v>
      </c>
      <c r="AE38" s="28">
        <f t="shared" si="44"/>
        <v>11097446.079999981</v>
      </c>
      <c r="AF38" s="28">
        <f t="shared" si="44"/>
        <v>6668624.549999997</v>
      </c>
      <c r="AG38" s="28">
        <f t="shared" si="44"/>
        <v>32387201.030000009</v>
      </c>
      <c r="AH38" s="28">
        <f t="shared" si="44"/>
        <v>22544743.849999987</v>
      </c>
      <c r="AI38" s="28">
        <f t="shared" si="44"/>
        <v>7734837.4400000144</v>
      </c>
      <c r="AJ38" s="28">
        <f t="shared" si="44"/>
        <v>5199181.760000011</v>
      </c>
      <c r="AK38" s="28">
        <f t="shared" si="44"/>
        <v>28814408.339999981</v>
      </c>
      <c r="AL38" s="28">
        <f t="shared" si="44"/>
        <v>19159666.850000035</v>
      </c>
      <c r="AM38" s="28">
        <f t="shared" si="44"/>
        <v>7096937.5499999942</v>
      </c>
      <c r="AN38" s="28">
        <f t="shared" si="44"/>
        <v>4351484.099999994</v>
      </c>
      <c r="AO38" s="28">
        <f t="shared" si="44"/>
        <v>19418431.359999999</v>
      </c>
      <c r="AP38" s="28">
        <f t="shared" si="44"/>
        <v>15812428.31999998</v>
      </c>
      <c r="AQ38" s="28">
        <f t="shared" si="44"/>
        <v>5548913.5099999802</v>
      </c>
      <c r="AR38" s="28">
        <f t="shared" si="44"/>
        <v>3805904.3699999982</v>
      </c>
      <c r="AS38" s="28">
        <f t="shared" si="44"/>
        <v>32774498.059999973</v>
      </c>
      <c r="AT38" s="28">
        <f t="shared" si="44"/>
        <v>27396244.929999989</v>
      </c>
      <c r="AU38" s="28">
        <f t="shared" si="44"/>
        <v>9516650.2100000028</v>
      </c>
      <c r="AV38" s="28">
        <f t="shared" si="44"/>
        <v>5366646.8799999934</v>
      </c>
      <c r="AW38" s="28">
        <f t="shared" si="44"/>
        <v>33291667.220000066</v>
      </c>
      <c r="AX38" s="28">
        <f t="shared" si="44"/>
        <v>26702009.600000031</v>
      </c>
      <c r="AY38" s="28">
        <f t="shared" si="44"/>
        <v>8159785.1699999804</v>
      </c>
      <c r="AZ38" s="28">
        <f t="shared" si="44"/>
        <v>4390578.6499999929</v>
      </c>
      <c r="BA38" s="28">
        <f t="shared" si="44"/>
        <v>28035491.570000011</v>
      </c>
      <c r="BB38" s="28">
        <f t="shared" si="44"/>
        <v>20000901.960000016</v>
      </c>
      <c r="BC38" s="28">
        <f t="shared" si="44"/>
        <v>4123633.6299999845</v>
      </c>
      <c r="BD38" s="28">
        <f t="shared" si="44"/>
        <v>2803530.4200000018</v>
      </c>
      <c r="BE38" s="28">
        <f t="shared" si="44"/>
        <v>27514081.450000033</v>
      </c>
      <c r="BF38" s="28">
        <f t="shared" si="44"/>
        <v>17258725.890000045</v>
      </c>
      <c r="BG38" s="28">
        <f t="shared" si="44"/>
        <v>3698980.1600000099</v>
      </c>
      <c r="BH38" s="28">
        <f t="shared" si="44"/>
        <v>27398187.87999998</v>
      </c>
      <c r="BI38" s="28">
        <f t="shared" si="44"/>
        <v>22132629.209999986</v>
      </c>
      <c r="BJ38" s="28">
        <f t="shared" si="44"/>
        <v>0</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11.846488945877685</v>
      </c>
      <c r="C39" s="57">
        <f t="shared" ref="C39:D39" si="46">C38/C4*100</f>
        <v>9.155640036930766</v>
      </c>
      <c r="D39" s="57">
        <f t="shared" si="46"/>
        <v>-9.6103071895754191</v>
      </c>
      <c r="E39" s="57">
        <f>E38/E4</f>
        <v>0.14119451745123227</v>
      </c>
      <c r="F39" s="57">
        <f t="shared" ref="F39:BQ39" si="47">F38/F4</f>
        <v>0.11461499641703177</v>
      </c>
      <c r="G39" s="57">
        <f t="shared" si="47"/>
        <v>3.9029139388337471E-2</v>
      </c>
      <c r="H39" s="57">
        <f t="shared" si="47"/>
        <v>-0.24393208711945485</v>
      </c>
      <c r="I39" s="57">
        <f t="shared" si="47"/>
        <v>0.15833166776072885</v>
      </c>
      <c r="J39" s="57">
        <f t="shared" si="47"/>
        <v>8.1699606545688794E-2</v>
      </c>
      <c r="K39" s="57">
        <f t="shared" si="47"/>
        <v>-2.0566000114786667E-2</v>
      </c>
      <c r="L39" s="57">
        <f t="shared" si="47"/>
        <v>-0.55477643688265377</v>
      </c>
      <c r="M39" s="57">
        <f t="shared" si="47"/>
        <v>0.1681214565407213</v>
      </c>
      <c r="N39" s="57">
        <f t="shared" si="47"/>
        <v>7.6654450979156977E-2</v>
      </c>
      <c r="O39" s="57">
        <f t="shared" si="47"/>
        <v>2.6981481413069379E-2</v>
      </c>
      <c r="P39" s="57">
        <f t="shared" si="47"/>
        <v>2.1422575864316479E-2</v>
      </c>
      <c r="Q39" s="57">
        <f t="shared" si="47"/>
        <v>6.9973390996067822E-2</v>
      </c>
      <c r="R39" s="57">
        <f t="shared" si="47"/>
        <v>8.7386928361073118E-2</v>
      </c>
      <c r="S39" s="57">
        <f t="shared" si="47"/>
        <v>3.854718867864395E-2</v>
      </c>
      <c r="T39" s="57">
        <f t="shared" si="47"/>
        <v>2.8277705369122358E-2</v>
      </c>
      <c r="U39" s="57">
        <f t="shared" si="47"/>
        <v>-5.2159515846191086E-2</v>
      </c>
      <c r="V39" s="57">
        <f t="shared" si="47"/>
        <v>9.9025920007922513E-2</v>
      </c>
      <c r="W39" s="57">
        <f t="shared" si="47"/>
        <v>5.2816545618958946E-2</v>
      </c>
      <c r="X39" s="57">
        <f t="shared" si="47"/>
        <v>5.2620063158317992E-2</v>
      </c>
      <c r="Y39" s="57">
        <f t="shared" si="47"/>
        <v>0.11730765303735814</v>
      </c>
      <c r="Z39" s="57">
        <f t="shared" si="47"/>
        <v>0.10530890884978616</v>
      </c>
      <c r="AA39" s="57">
        <f t="shared" si="47"/>
        <v>5.3693804657682392E-2</v>
      </c>
      <c r="AB39" s="57">
        <f t="shared" si="47"/>
        <v>5.5386333112595929E-2</v>
      </c>
      <c r="AC39" s="57">
        <f t="shared" si="47"/>
        <v>0.10178315241165453</v>
      </c>
      <c r="AD39" s="57">
        <f t="shared" si="47"/>
        <v>7.3875234994826969E-2</v>
      </c>
      <c r="AE39" s="57">
        <f t="shared" si="47"/>
        <v>3.6395335986058285E-2</v>
      </c>
      <c r="AF39" s="57">
        <f t="shared" si="47"/>
        <v>5.1562315808887586E-2</v>
      </c>
      <c r="AG39" s="57">
        <f t="shared" si="47"/>
        <v>5.8427214796129702E-2</v>
      </c>
      <c r="AH39" s="57">
        <f t="shared" si="47"/>
        <v>6.329079405299895E-2</v>
      </c>
      <c r="AI39" s="57">
        <f t="shared" si="47"/>
        <v>4.1815825074456719E-2</v>
      </c>
      <c r="AJ39" s="57">
        <f t="shared" si="47"/>
        <v>4.9848765030649285E-2</v>
      </c>
      <c r="AK39" s="57">
        <f t="shared" si="47"/>
        <v>5.6516678298040794E-2</v>
      </c>
      <c r="AL39" s="57">
        <f t="shared" si="47"/>
        <v>5.6453178358946941E-2</v>
      </c>
      <c r="AM39" s="57">
        <f t="shared" si="47"/>
        <v>3.9488850791470131E-2</v>
      </c>
      <c r="AN39" s="57">
        <f t="shared" si="47"/>
        <v>4.3990664580541572E-2</v>
      </c>
      <c r="AO39" s="57">
        <f t="shared" si="47"/>
        <v>4.7020061029737652E-2</v>
      </c>
      <c r="AP39" s="57">
        <f t="shared" si="47"/>
        <v>5.8182070604589957E-2</v>
      </c>
      <c r="AQ39" s="57">
        <f t="shared" si="47"/>
        <v>3.3863847124625798E-2</v>
      </c>
      <c r="AR39" s="57">
        <f t="shared" si="47"/>
        <v>4.5447966764992208E-2</v>
      </c>
      <c r="AS39" s="57">
        <f t="shared" si="47"/>
        <v>5.7875298366446268E-2</v>
      </c>
      <c r="AT39" s="57">
        <f t="shared" si="47"/>
        <v>6.5265662960834983E-2</v>
      </c>
      <c r="AU39" s="57">
        <f t="shared" si="47"/>
        <v>3.9201785688194692E-2</v>
      </c>
      <c r="AV39" s="57">
        <f t="shared" si="47"/>
        <v>4.2612334538406786E-2</v>
      </c>
      <c r="AW39" s="57">
        <f t="shared" si="47"/>
        <v>5.6063179736683275E-2</v>
      </c>
      <c r="AX39" s="57">
        <f t="shared" si="47"/>
        <v>6.0791990719927851E-2</v>
      </c>
      <c r="AY39" s="57">
        <f t="shared" si="47"/>
        <v>2.8399925472025356E-2</v>
      </c>
      <c r="AZ39" s="57">
        <f t="shared" si="47"/>
        <v>3.2097090844517791E-2</v>
      </c>
      <c r="BA39" s="57">
        <f t="shared" si="47"/>
        <v>5.3030240268591877E-2</v>
      </c>
      <c r="BB39" s="57">
        <f t="shared" si="47"/>
        <v>5.0056720642876917E-2</v>
      </c>
      <c r="BC39" s="57">
        <f t="shared" si="47"/>
        <v>1.9121215234124911E-2</v>
      </c>
      <c r="BD39" s="57">
        <f t="shared" si="47"/>
        <v>2.2830756196220534E-2</v>
      </c>
      <c r="BE39" s="57">
        <f t="shared" si="47"/>
        <v>4.8813358580763445E-2</v>
      </c>
      <c r="BF39" s="57">
        <f t="shared" si="47"/>
        <v>4.3266902719831191E-2</v>
      </c>
      <c r="BG39" s="57">
        <f t="shared" si="47"/>
        <v>1.7057421201110614E-2</v>
      </c>
      <c r="BH39" s="57">
        <f t="shared" si="47"/>
        <v>6.1303478759834162E-2</v>
      </c>
      <c r="BI39" s="57">
        <f t="shared" si="47"/>
        <v>6.6029720135308084E-2</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166423727.06999999</v>
      </c>
      <c r="C40" s="26">
        <f t="shared" ref="C40:BN40" si="49">C60</f>
        <v>98625547.439999998</v>
      </c>
      <c r="D40" s="26">
        <f t="shared" si="49"/>
        <v>-17836872.43</v>
      </c>
      <c r="E40" s="26">
        <f t="shared" si="49"/>
        <v>207257786.19999999</v>
      </c>
      <c r="F40" s="26">
        <f t="shared" si="49"/>
        <v>88331384.099999994</v>
      </c>
      <c r="G40" s="26">
        <f t="shared" si="49"/>
        <v>26809790.16</v>
      </c>
      <c r="H40" s="26">
        <f t="shared" si="49"/>
        <v>-22414988.34</v>
      </c>
      <c r="I40" s="26">
        <f t="shared" si="49"/>
        <v>120458348.61</v>
      </c>
      <c r="J40" s="26">
        <f t="shared" si="49"/>
        <v>41586121.020000003</v>
      </c>
      <c r="K40" s="26">
        <f t="shared" si="49"/>
        <v>419706.33</v>
      </c>
      <c r="L40" s="26">
        <f t="shared" si="49"/>
        <v>-32254379.350000001</v>
      </c>
      <c r="M40" s="26">
        <f t="shared" si="49"/>
        <v>72732218.760000005</v>
      </c>
      <c r="N40" s="26">
        <f t="shared" si="49"/>
        <v>13202545.359999999</v>
      </c>
      <c r="O40" s="26">
        <f t="shared" si="49"/>
        <v>4792709.49</v>
      </c>
      <c r="P40" s="26">
        <f t="shared" si="49"/>
        <v>2010840.02</v>
      </c>
      <c r="Q40" s="26">
        <f t="shared" si="49"/>
        <v>22629534.359999999</v>
      </c>
      <c r="R40" s="26">
        <f t="shared" si="49"/>
        <v>18239242.059999999</v>
      </c>
      <c r="S40" s="26">
        <f t="shared" si="49"/>
        <v>5093575.51</v>
      </c>
      <c r="T40" s="26">
        <f t="shared" si="49"/>
        <v>1501544.26</v>
      </c>
      <c r="U40" s="26">
        <f t="shared" si="49"/>
        <v>25914665.489999998</v>
      </c>
      <c r="V40" s="26">
        <f t="shared" si="49"/>
        <v>14590996.800000001</v>
      </c>
      <c r="W40" s="26">
        <f t="shared" si="49"/>
        <v>4409019.7699999996</v>
      </c>
      <c r="X40" s="26">
        <f t="shared" si="49"/>
        <v>1778345.49</v>
      </c>
      <c r="Y40" s="26">
        <f t="shared" si="49"/>
        <v>22207066.82</v>
      </c>
      <c r="Z40" s="26">
        <f t="shared" si="49"/>
        <v>14298558.960000001</v>
      </c>
      <c r="AA40" s="26">
        <f t="shared" si="49"/>
        <v>4921641.59</v>
      </c>
      <c r="AB40" s="26">
        <f t="shared" si="49"/>
        <v>2540306.75</v>
      </c>
      <c r="AC40" s="26">
        <f t="shared" si="49"/>
        <v>20695440.82</v>
      </c>
      <c r="AD40" s="26">
        <f t="shared" si="49"/>
        <v>11783031.560000001</v>
      </c>
      <c r="AE40" s="26">
        <f t="shared" si="49"/>
        <v>3592788.78</v>
      </c>
      <c r="AF40" s="26">
        <f t="shared" si="49"/>
        <v>1516646.36</v>
      </c>
      <c r="AG40" s="26">
        <f t="shared" si="49"/>
        <v>8011198.3600000003</v>
      </c>
      <c r="AH40" s="26">
        <f t="shared" si="49"/>
        <v>5527083.3300000001</v>
      </c>
      <c r="AI40" s="26">
        <f t="shared" si="49"/>
        <v>1984372.11</v>
      </c>
      <c r="AJ40" s="26">
        <f t="shared" si="49"/>
        <v>1398032.45</v>
      </c>
      <c r="AK40" s="26">
        <f t="shared" si="49"/>
        <v>11398377.380000001</v>
      </c>
      <c r="AL40" s="26">
        <f t="shared" si="49"/>
        <v>6180062.4900000002</v>
      </c>
      <c r="AM40" s="26">
        <f t="shared" si="49"/>
        <v>2849624.21</v>
      </c>
      <c r="AN40" s="26">
        <f t="shared" si="49"/>
        <v>1517742.07</v>
      </c>
      <c r="AO40" s="26">
        <f t="shared" si="49"/>
        <v>5606182.0800000001</v>
      </c>
      <c r="AP40" s="26">
        <f t="shared" si="49"/>
        <v>4173098.1</v>
      </c>
      <c r="AQ40" s="26">
        <f t="shared" si="49"/>
        <v>1174849.1499999999</v>
      </c>
      <c r="AR40" s="26">
        <f t="shared" si="49"/>
        <v>927958.45</v>
      </c>
      <c r="AS40" s="26">
        <f t="shared" si="49"/>
        <v>5862502.4500000002</v>
      </c>
      <c r="AT40" s="26">
        <f t="shared" si="49"/>
        <v>4652558.18</v>
      </c>
      <c r="AU40" s="26">
        <f t="shared" si="49"/>
        <v>2073780.18</v>
      </c>
      <c r="AV40" s="26">
        <f t="shared" si="49"/>
        <v>902316.36</v>
      </c>
      <c r="AW40" s="26">
        <f t="shared" si="49"/>
        <v>5328444.59</v>
      </c>
      <c r="AX40" s="26">
        <f t="shared" si="49"/>
        <v>4564534.16</v>
      </c>
      <c r="AY40" s="26">
        <f t="shared" si="49"/>
        <v>1875308.32</v>
      </c>
      <c r="AZ40" s="26">
        <f t="shared" si="49"/>
        <v>441816.64</v>
      </c>
      <c r="BA40" s="26">
        <f t="shared" si="49"/>
        <v>4302092.7</v>
      </c>
      <c r="BB40" s="26">
        <f t="shared" si="49"/>
        <v>3252871.49</v>
      </c>
      <c r="BC40" s="26">
        <f t="shared" si="49"/>
        <v>695931.71</v>
      </c>
      <c r="BD40" s="26">
        <f t="shared" si="49"/>
        <v>507642.34</v>
      </c>
      <c r="BE40" s="26">
        <f t="shared" si="49"/>
        <v>5416808.5099999998</v>
      </c>
      <c r="BF40" s="26">
        <f t="shared" si="49"/>
        <v>3242863.87</v>
      </c>
      <c r="BG40" s="26">
        <f t="shared" si="49"/>
        <v>1286808.29</v>
      </c>
      <c r="BH40" s="26">
        <f t="shared" si="49"/>
        <v>4939223.38</v>
      </c>
      <c r="BI40" s="26">
        <f t="shared" si="49"/>
        <v>4333302.3899999997</v>
      </c>
      <c r="BJ40" s="26">
        <f t="shared" si="49"/>
        <v>0</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0.24143492674711622</v>
      </c>
      <c r="C41" s="57">
        <f t="shared" ref="C41:BN41" si="51">C40/C38</f>
        <v>0.30911346452994221</v>
      </c>
      <c r="D41" s="57">
        <f t="shared" si="51"/>
        <v>0.1515221653265669</v>
      </c>
      <c r="E41" s="57">
        <f t="shared" si="51"/>
        <v>0.23550078319377424</v>
      </c>
      <c r="F41" s="57">
        <f t="shared" si="51"/>
        <v>0.25781974239307248</v>
      </c>
      <c r="G41" s="57">
        <f t="shared" si="51"/>
        <v>0.42366678055564599</v>
      </c>
      <c r="H41" s="57">
        <f t="shared" si="51"/>
        <v>0.16556919359524405</v>
      </c>
      <c r="I41" s="57">
        <f t="shared" si="51"/>
        <v>0.24686305949647108</v>
      </c>
      <c r="J41" s="57">
        <f t="shared" si="51"/>
        <v>0.27037594536078313</v>
      </c>
      <c r="K41" s="57">
        <f t="shared" si="51"/>
        <v>-1.9575178842552016E-2</v>
      </c>
      <c r="L41" s="57">
        <f t="shared" si="51"/>
        <v>0.18814790078770022</v>
      </c>
      <c r="M41" s="57">
        <f t="shared" si="51"/>
        <v>0.20586285401505189</v>
      </c>
      <c r="N41" s="57">
        <f t="shared" si="51"/>
        <v>0.13375196101558318</v>
      </c>
      <c r="O41" s="57">
        <f t="shared" si="51"/>
        <v>0.75779868719523547</v>
      </c>
      <c r="P41" s="57">
        <f t="shared" si="51"/>
        <v>0.94924576258809046</v>
      </c>
      <c r="Q41" s="57">
        <f t="shared" si="51"/>
        <v>0.46465235179926356</v>
      </c>
      <c r="R41" s="57">
        <f t="shared" si="51"/>
        <v>0.41758267507526325</v>
      </c>
      <c r="S41" s="57">
        <f t="shared" si="51"/>
        <v>0.60394711740290552</v>
      </c>
      <c r="T41" s="57">
        <f t="shared" si="51"/>
        <v>0.65857249157340414</v>
      </c>
      <c r="U41" s="57">
        <f t="shared" si="51"/>
        <v>-0.65484985211554669</v>
      </c>
      <c r="V41" s="57">
        <f t="shared" si="51"/>
        <v>0.29167995954578207</v>
      </c>
      <c r="W41" s="57">
        <f t="shared" si="51"/>
        <v>0.34205926378184753</v>
      </c>
      <c r="X41" s="57">
        <f t="shared" si="51"/>
        <v>0.27198705300720122</v>
      </c>
      <c r="Y41" s="57">
        <f t="shared" si="51"/>
        <v>0.27387469847947221</v>
      </c>
      <c r="Z41" s="57">
        <f t="shared" si="51"/>
        <v>0.2834191928632469</v>
      </c>
      <c r="AA41" s="57">
        <f t="shared" si="51"/>
        <v>0.37101162761089346</v>
      </c>
      <c r="AB41" s="57">
        <f t="shared" si="51"/>
        <v>0.3552551025600354</v>
      </c>
      <c r="AC41" s="57">
        <f t="shared" si="51"/>
        <v>0.26190037128085064</v>
      </c>
      <c r="AD41" s="57">
        <f t="shared" si="51"/>
        <v>0.27531807802215569</v>
      </c>
      <c r="AE41" s="57">
        <f t="shared" si="51"/>
        <v>0.32374915400354942</v>
      </c>
      <c r="AF41" s="57">
        <f t="shared" si="51"/>
        <v>0.22743016174152447</v>
      </c>
      <c r="AG41" s="57">
        <f t="shared" si="51"/>
        <v>0.24735692203161647</v>
      </c>
      <c r="AH41" s="57">
        <f t="shared" si="51"/>
        <v>0.24516061778186951</v>
      </c>
      <c r="AI41" s="57">
        <f t="shared" si="51"/>
        <v>0.2565499437309437</v>
      </c>
      <c r="AJ41" s="57">
        <f t="shared" si="51"/>
        <v>0.26889470584694408</v>
      </c>
      <c r="AK41" s="57">
        <f t="shared" si="51"/>
        <v>0.39557908826386851</v>
      </c>
      <c r="AL41" s="57">
        <f t="shared" si="51"/>
        <v>0.32255584287468908</v>
      </c>
      <c r="AM41" s="57">
        <f t="shared" si="51"/>
        <v>0.40152871431142889</v>
      </c>
      <c r="AN41" s="57">
        <f t="shared" si="51"/>
        <v>0.34878722640857224</v>
      </c>
      <c r="AO41" s="57">
        <f t="shared" si="51"/>
        <v>0.28870416853279751</v>
      </c>
      <c r="AP41" s="57">
        <f t="shared" si="51"/>
        <v>0.26391253864036524</v>
      </c>
      <c r="AQ41" s="57">
        <f t="shared" si="51"/>
        <v>0.2117259798486216</v>
      </c>
      <c r="AR41" s="57">
        <f t="shared" si="51"/>
        <v>0.24382074791858219</v>
      </c>
      <c r="AS41" s="57">
        <f t="shared" si="51"/>
        <v>0.17887390492655511</v>
      </c>
      <c r="AT41" s="57">
        <f t="shared" si="51"/>
        <v>0.16982466728150988</v>
      </c>
      <c r="AU41" s="57">
        <f t="shared" si="51"/>
        <v>0.21791072848520712</v>
      </c>
      <c r="AV41" s="57">
        <f t="shared" si="51"/>
        <v>0.16813410313294194</v>
      </c>
      <c r="AW41" s="57">
        <f t="shared" si="51"/>
        <v>0.1600534017953574</v>
      </c>
      <c r="AX41" s="57">
        <f t="shared" si="51"/>
        <v>0.17094346936344426</v>
      </c>
      <c r="AY41" s="57">
        <f t="shared" si="51"/>
        <v>0.2298232466823639</v>
      </c>
      <c r="AZ41" s="57">
        <f t="shared" si="51"/>
        <v>0.10062833972920647</v>
      </c>
      <c r="BA41" s="57">
        <f t="shared" si="51"/>
        <v>0.15345165927475829</v>
      </c>
      <c r="BB41" s="57">
        <f t="shared" si="51"/>
        <v>0.16263623993085149</v>
      </c>
      <c r="BC41" s="57">
        <f t="shared" si="51"/>
        <v>0.16876662003554438</v>
      </c>
      <c r="BD41" s="57">
        <f t="shared" si="51"/>
        <v>0.18107252783081973</v>
      </c>
      <c r="BE41" s="57">
        <f t="shared" si="51"/>
        <v>0.19687404501741029</v>
      </c>
      <c r="BF41" s="57">
        <f t="shared" si="51"/>
        <v>0.18789706092261205</v>
      </c>
      <c r="BG41" s="57">
        <f t="shared" si="51"/>
        <v>0.34788191186188916</v>
      </c>
      <c r="BH41" s="57">
        <f t="shared" si="51"/>
        <v>0.18027554966894413</v>
      </c>
      <c r="BI41" s="57">
        <f t="shared" si="51"/>
        <v>0.19578796305149876</v>
      </c>
      <c r="BJ41" s="57" t="e">
        <f t="shared" si="51"/>
        <v>#DIV/0!</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522887174.68000048</v>
      </c>
      <c r="C42" s="28">
        <f t="shared" ref="C42:BN42" si="53">C38-C40</f>
        <v>220433823.17000026</v>
      </c>
      <c r="D42" s="28">
        <f t="shared" si="53"/>
        <v>-99881036.310000032</v>
      </c>
      <c r="E42" s="28">
        <f t="shared" si="53"/>
        <v>672814812.24000001</v>
      </c>
      <c r="F42" s="28">
        <f t="shared" si="53"/>
        <v>254277693.38999996</v>
      </c>
      <c r="G42" s="28">
        <f t="shared" si="53"/>
        <v>36470578.730000094</v>
      </c>
      <c r="H42" s="28">
        <f t="shared" si="53"/>
        <v>-112966406.31000006</v>
      </c>
      <c r="I42" s="28">
        <f t="shared" si="53"/>
        <v>367497803.49999988</v>
      </c>
      <c r="J42" s="28">
        <f t="shared" si="53"/>
        <v>112222387.96000001</v>
      </c>
      <c r="K42" s="28">
        <f t="shared" si="53"/>
        <v>-21860446.840000004</v>
      </c>
      <c r="L42" s="28">
        <f t="shared" si="53"/>
        <v>-139176602.41999999</v>
      </c>
      <c r="M42" s="28">
        <f t="shared" si="53"/>
        <v>280572019.19</v>
      </c>
      <c r="N42" s="28">
        <f t="shared" si="53"/>
        <v>85506626.899999961</v>
      </c>
      <c r="O42" s="28">
        <f t="shared" si="53"/>
        <v>1531805.9399999864</v>
      </c>
      <c r="P42" s="28">
        <f t="shared" si="53"/>
        <v>107515.5199999935</v>
      </c>
      <c r="Q42" s="28">
        <f t="shared" si="53"/>
        <v>26072542.089999937</v>
      </c>
      <c r="R42" s="28">
        <f t="shared" si="53"/>
        <v>25438915.939999972</v>
      </c>
      <c r="S42" s="28">
        <f t="shared" si="53"/>
        <v>3340234.9399999976</v>
      </c>
      <c r="T42" s="28">
        <f t="shared" si="53"/>
        <v>778454.19000000064</v>
      </c>
      <c r="U42" s="28">
        <f t="shared" si="53"/>
        <v>-65488111.839999959</v>
      </c>
      <c r="V42" s="28">
        <f t="shared" si="53"/>
        <v>35432998.069999963</v>
      </c>
      <c r="W42" s="28">
        <f t="shared" si="53"/>
        <v>8480617.3099999893</v>
      </c>
      <c r="X42" s="28">
        <f t="shared" si="53"/>
        <v>4760000.6200000076</v>
      </c>
      <c r="Y42" s="28">
        <f t="shared" si="53"/>
        <v>58877702.760000072</v>
      </c>
      <c r="Z42" s="28">
        <f t="shared" si="53"/>
        <v>36151655.140000008</v>
      </c>
      <c r="AA42" s="28">
        <f t="shared" si="53"/>
        <v>8343822.9500000216</v>
      </c>
      <c r="AB42" s="28">
        <f t="shared" si="53"/>
        <v>4610348.4599999962</v>
      </c>
      <c r="AC42" s="28">
        <f t="shared" si="53"/>
        <v>58324839.750000052</v>
      </c>
      <c r="AD42" s="28">
        <f t="shared" si="53"/>
        <v>31014853.869999923</v>
      </c>
      <c r="AE42" s="28">
        <f t="shared" si="53"/>
        <v>7504657.2999999821</v>
      </c>
      <c r="AF42" s="28">
        <f t="shared" si="53"/>
        <v>5151978.1899999967</v>
      </c>
      <c r="AG42" s="28">
        <f t="shared" si="53"/>
        <v>24376002.670000009</v>
      </c>
      <c r="AH42" s="28">
        <f t="shared" si="53"/>
        <v>17017660.519999988</v>
      </c>
      <c r="AI42" s="28">
        <f t="shared" si="53"/>
        <v>5750465.330000014</v>
      </c>
      <c r="AJ42" s="28">
        <f t="shared" si="53"/>
        <v>3801149.3100000108</v>
      </c>
      <c r="AK42" s="28">
        <f t="shared" si="53"/>
        <v>17416030.959999979</v>
      </c>
      <c r="AL42" s="28">
        <f t="shared" si="53"/>
        <v>12979604.360000035</v>
      </c>
      <c r="AM42" s="28">
        <f t="shared" si="53"/>
        <v>4247313.3399999943</v>
      </c>
      <c r="AN42" s="28">
        <f t="shared" si="53"/>
        <v>2833742.0299999937</v>
      </c>
      <c r="AO42" s="28">
        <f t="shared" si="53"/>
        <v>13812249.279999999</v>
      </c>
      <c r="AP42" s="28">
        <f t="shared" si="53"/>
        <v>11639330.21999998</v>
      </c>
      <c r="AQ42" s="28">
        <f t="shared" si="53"/>
        <v>4374064.3599999808</v>
      </c>
      <c r="AR42" s="28">
        <f t="shared" si="53"/>
        <v>2877945.9199999981</v>
      </c>
      <c r="AS42" s="28">
        <f t="shared" si="53"/>
        <v>26911995.609999973</v>
      </c>
      <c r="AT42" s="28">
        <f t="shared" si="53"/>
        <v>22743686.749999989</v>
      </c>
      <c r="AU42" s="28">
        <f t="shared" si="53"/>
        <v>7442870.0300000031</v>
      </c>
      <c r="AV42" s="28">
        <f t="shared" si="53"/>
        <v>4464330.519999993</v>
      </c>
      <c r="AW42" s="28">
        <f t="shared" si="53"/>
        <v>27963222.630000066</v>
      </c>
      <c r="AX42" s="28">
        <f t="shared" si="53"/>
        <v>22137475.440000031</v>
      </c>
      <c r="AY42" s="28">
        <f t="shared" si="53"/>
        <v>6284476.8499999801</v>
      </c>
      <c r="AZ42" s="28">
        <f t="shared" si="53"/>
        <v>3948762.0099999928</v>
      </c>
      <c r="BA42" s="28">
        <f t="shared" si="53"/>
        <v>23733398.870000012</v>
      </c>
      <c r="BB42" s="28">
        <f t="shared" si="53"/>
        <v>16748030.470000016</v>
      </c>
      <c r="BC42" s="28">
        <f t="shared" si="53"/>
        <v>3427701.9199999846</v>
      </c>
      <c r="BD42" s="28">
        <f t="shared" si="53"/>
        <v>2295888.0800000019</v>
      </c>
      <c r="BE42" s="28">
        <f t="shared" si="53"/>
        <v>22097272.940000035</v>
      </c>
      <c r="BF42" s="28">
        <f t="shared" si="53"/>
        <v>14015862.020000044</v>
      </c>
      <c r="BG42" s="28">
        <f t="shared" si="53"/>
        <v>2412171.8700000099</v>
      </c>
      <c r="BH42" s="28">
        <f t="shared" si="53"/>
        <v>22458964.499999981</v>
      </c>
      <c r="BI42" s="28">
        <f t="shared" si="53"/>
        <v>17799326.819999985</v>
      </c>
      <c r="BJ42" s="28">
        <f t="shared" si="53"/>
        <v>0</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8.9863327550191823</v>
      </c>
      <c r="C43" s="57">
        <f t="shared" ref="C43:D43" si="55">C42/C4*100</f>
        <v>6.3255084251260492</v>
      </c>
      <c r="D43" s="57">
        <f t="shared" si="55"/>
        <v>-8.1541326347574774</v>
      </c>
      <c r="E43" s="57">
        <f>E42/E4</f>
        <v>0.10794309800880003</v>
      </c>
      <c r="F43" s="57">
        <f t="shared" ref="F43:BQ43" si="56">F42/F4</f>
        <v>8.5064987566409705E-2</v>
      </c>
      <c r="G43" s="57">
        <f t="shared" si="56"/>
        <v>2.2493789555822975E-2</v>
      </c>
      <c r="H43" s="57">
        <f t="shared" si="56"/>
        <v>-0.20354444816308187</v>
      </c>
      <c r="I43" s="57">
        <f t="shared" si="56"/>
        <v>0.11924542784213656</v>
      </c>
      <c r="J43" s="57">
        <f t="shared" si="56"/>
        <v>5.960999819029416E-2</v>
      </c>
      <c r="K43" s="57">
        <f t="shared" si="56"/>
        <v>-2.096858324510956E-2</v>
      </c>
      <c r="L43" s="57">
        <f t="shared" si="56"/>
        <v>-0.45039641487670246</v>
      </c>
      <c r="M43" s="57">
        <f t="shared" si="56"/>
        <v>0.13351149367608089</v>
      </c>
      <c r="N43" s="57">
        <f t="shared" si="56"/>
        <v>6.6401767840121848E-2</v>
      </c>
      <c r="O43" s="57">
        <f t="shared" si="56"/>
        <v>6.5349502196627562E-3</v>
      </c>
      <c r="P43" s="57">
        <f t="shared" si="56"/>
        <v>1.0872865013921615E-3</v>
      </c>
      <c r="Q43" s="57">
        <f t="shared" si="56"/>
        <v>3.7460090306375496E-2</v>
      </c>
      <c r="R43" s="57">
        <f t="shared" si="56"/>
        <v>5.089566104944581E-2</v>
      </c>
      <c r="S43" s="57">
        <f t="shared" si="56"/>
        <v>1.5266725192191022E-2</v>
      </c>
      <c r="T43" s="57">
        <f t="shared" si="56"/>
        <v>9.6547864882008186E-3</v>
      </c>
      <c r="U43" s="57">
        <f t="shared" si="56"/>
        <v>-8.6316167084487833E-2</v>
      </c>
      <c r="V43" s="57">
        <f t="shared" si="56"/>
        <v>7.0142043666027817E-2</v>
      </c>
      <c r="W43" s="57">
        <f t="shared" si="56"/>
        <v>3.4750156909037482E-2</v>
      </c>
      <c r="X43" s="57">
        <f t="shared" si="56"/>
        <v>3.8308087250834282E-2</v>
      </c>
      <c r="Y43" s="57">
        <f t="shared" si="56"/>
        <v>8.5180054932417135E-2</v>
      </c>
      <c r="Z43" s="57">
        <f t="shared" si="56"/>
        <v>7.5462342902270524E-2</v>
      </c>
      <c r="AA43" s="57">
        <f t="shared" si="56"/>
        <v>3.3772778799014275E-2</v>
      </c>
      <c r="AB43" s="57">
        <f t="shared" si="56"/>
        <v>3.5710055662256379E-2</v>
      </c>
      <c r="AC43" s="57">
        <f t="shared" si="56"/>
        <v>7.5126107004906795E-2</v>
      </c>
      <c r="AD43" s="57">
        <f t="shared" si="56"/>
        <v>5.3536047282616107E-2</v>
      </c>
      <c r="AE43" s="57">
        <f t="shared" si="56"/>
        <v>2.4612376750896978E-2</v>
      </c>
      <c r="AF43" s="57">
        <f t="shared" si="56"/>
        <v>3.9835489984704715E-2</v>
      </c>
      <c r="AG43" s="57">
        <f t="shared" si="56"/>
        <v>4.397483878127894E-2</v>
      </c>
      <c r="AH43" s="57">
        <f t="shared" si="56"/>
        <v>4.7774383883060656E-2</v>
      </c>
      <c r="AI43" s="57">
        <f t="shared" si="56"/>
        <v>3.1087977504541866E-2</v>
      </c>
      <c r="AJ43" s="57">
        <f t="shared" si="56"/>
        <v>3.6444696020899413E-2</v>
      </c>
      <c r="AK43" s="57">
        <f t="shared" si="56"/>
        <v>3.4159862225199449E-2</v>
      </c>
      <c r="AL43" s="57">
        <f t="shared" si="56"/>
        <v>3.8243875830421659E-2</v>
      </c>
      <c r="AM43" s="57">
        <f t="shared" si="56"/>
        <v>2.3632943303535277E-2</v>
      </c>
      <c r="AN43" s="57">
        <f t="shared" si="56"/>
        <v>2.8647282693624657E-2</v>
      </c>
      <c r="AO43" s="57">
        <f t="shared" si="56"/>
        <v>3.3445173405785844E-2</v>
      </c>
      <c r="AP43" s="57">
        <f t="shared" si="56"/>
        <v>4.2827092647979653E-2</v>
      </c>
      <c r="AQ43" s="57">
        <f t="shared" si="56"/>
        <v>2.6693990910720479E-2</v>
      </c>
      <c r="AR43" s="57">
        <f t="shared" si="56"/>
        <v>3.4366809516972935E-2</v>
      </c>
      <c r="AS43" s="57">
        <f t="shared" si="56"/>
        <v>4.7522917748850549E-2</v>
      </c>
      <c r="AT43" s="57">
        <f t="shared" si="56"/>
        <v>5.4181943463604026E-2</v>
      </c>
      <c r="AU43" s="57">
        <f t="shared" si="56"/>
        <v>3.0659296010959222E-2</v>
      </c>
      <c r="AV43" s="57">
        <f t="shared" si="56"/>
        <v>3.5447747888390876E-2</v>
      </c>
      <c r="AW43" s="57">
        <f t="shared" si="56"/>
        <v>4.7090077104362561E-2</v>
      </c>
      <c r="AX43" s="57">
        <f t="shared" si="56"/>
        <v>5.0399996916753072E-2</v>
      </c>
      <c r="AY43" s="57">
        <f t="shared" si="56"/>
        <v>2.1872962394507322E-2</v>
      </c>
      <c r="AZ43" s="57">
        <f t="shared" si="56"/>
        <v>2.886721388269645E-2</v>
      </c>
      <c r="BA43" s="57">
        <f t="shared" si="56"/>
        <v>4.4892661907637355E-2</v>
      </c>
      <c r="BB43" s="57">
        <f t="shared" si="56"/>
        <v>4.1915683814250378E-2</v>
      </c>
      <c r="BC43" s="57">
        <f t="shared" si="56"/>
        <v>1.5894192368089487E-2</v>
      </c>
      <c r="BD43" s="57">
        <f t="shared" si="56"/>
        <v>1.8696733459481734E-2</v>
      </c>
      <c r="BE43" s="57">
        <f t="shared" si="56"/>
        <v>3.9203275226083231E-2</v>
      </c>
      <c r="BF43" s="57">
        <f t="shared" si="56"/>
        <v>3.513717886355034E-2</v>
      </c>
      <c r="BG43" s="57">
        <f t="shared" si="56"/>
        <v>1.1123452902234732E-2</v>
      </c>
      <c r="BH43" s="57">
        <f t="shared" si="56"/>
        <v>5.0251960429786621E-2</v>
      </c>
      <c r="BI43" s="57">
        <f t="shared" si="56"/>
        <v>5.3101895729155579E-2</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553113461.0424</v>
      </c>
      <c r="C45" s="26">
        <f t="shared" ref="C45:BN45" si="58">C70*C69</f>
        <v>552548570.44319999</v>
      </c>
      <c r="D45" s="26">
        <f t="shared" si="58"/>
        <v>544626168.30879998</v>
      </c>
      <c r="E45" s="26">
        <f t="shared" si="58"/>
        <v>552229767.352</v>
      </c>
      <c r="F45" s="26">
        <f t="shared" si="58"/>
        <v>307151298.96960002</v>
      </c>
      <c r="G45" s="26">
        <f t="shared" si="58"/>
        <v>288260796.92159998</v>
      </c>
      <c r="H45" s="26">
        <f t="shared" si="58"/>
        <v>278159384.9576</v>
      </c>
      <c r="I45" s="26">
        <f t="shared" si="58"/>
        <v>286713925.34799999</v>
      </c>
      <c r="J45" s="26">
        <f t="shared" si="58"/>
        <v>266899197.22560003</v>
      </c>
      <c r="K45" s="26">
        <f t="shared" si="58"/>
        <v>260416061.75919998</v>
      </c>
      <c r="L45" s="26">
        <f t="shared" si="58"/>
        <v>248748105.83360001</v>
      </c>
      <c r="M45" s="26">
        <f t="shared" si="58"/>
        <v>259322234.02720001</v>
      </c>
      <c r="N45" s="26">
        <f t="shared" si="58"/>
        <v>236140010.28799999</v>
      </c>
      <c r="O45" s="26">
        <f t="shared" si="58"/>
        <v>35224291.0264</v>
      </c>
      <c r="P45" s="26">
        <f t="shared" si="58"/>
        <v>36194329.644000001</v>
      </c>
      <c r="Q45" s="26">
        <f t="shared" si="58"/>
        <v>35849038.512000002</v>
      </c>
      <c r="R45" s="26">
        <f t="shared" si="58"/>
        <v>36309622.092</v>
      </c>
      <c r="S45" s="26">
        <f t="shared" si="58"/>
        <v>34089311.389600001</v>
      </c>
      <c r="T45" s="26">
        <f t="shared" si="58"/>
        <v>34507996.725599997</v>
      </c>
      <c r="U45" s="26">
        <f t="shared" si="58"/>
        <v>34145343.315200001</v>
      </c>
      <c r="V45" s="26">
        <f t="shared" si="58"/>
        <v>38225171.409600005</v>
      </c>
      <c r="W45" s="26">
        <f t="shared" si="58"/>
        <v>36068980.948800005</v>
      </c>
      <c r="X45" s="26">
        <f t="shared" si="58"/>
        <v>39439537.578400001</v>
      </c>
      <c r="Y45" s="26">
        <f t="shared" si="58"/>
        <v>39058737.531199999</v>
      </c>
      <c r="Z45" s="26">
        <f t="shared" si="58"/>
        <v>32674817.723200001</v>
      </c>
      <c r="AA45" s="26">
        <f t="shared" si="58"/>
        <v>30450191.148000002</v>
      </c>
      <c r="AB45" s="26">
        <f t="shared" si="58"/>
        <v>32042598.994400002</v>
      </c>
      <c r="AC45" s="26">
        <f t="shared" si="58"/>
        <v>31670795.148800001</v>
      </c>
      <c r="AD45" s="26">
        <f t="shared" si="58"/>
        <v>29549242.717600003</v>
      </c>
      <c r="AE45" s="26">
        <f t="shared" si="58"/>
        <v>27668426.991999999</v>
      </c>
      <c r="AF45" s="26">
        <f t="shared" si="58"/>
        <v>28225481.3792</v>
      </c>
      <c r="AG45" s="26">
        <f t="shared" si="58"/>
        <v>27809795.422399998</v>
      </c>
      <c r="AH45" s="26">
        <f t="shared" si="58"/>
        <v>27221797.968800001</v>
      </c>
      <c r="AI45" s="26">
        <f t="shared" si="58"/>
        <v>26338952.4344</v>
      </c>
      <c r="AJ45" s="26">
        <f t="shared" si="58"/>
        <v>27400237.4824</v>
      </c>
      <c r="AK45" s="26">
        <f t="shared" si="58"/>
        <v>27094371.595200002</v>
      </c>
      <c r="AL45" s="26">
        <f t="shared" si="58"/>
        <v>26752257.465599999</v>
      </c>
      <c r="AM45" s="26">
        <f t="shared" si="58"/>
        <v>26053674.185600001</v>
      </c>
      <c r="AN45" s="26">
        <f t="shared" si="58"/>
        <v>26681145.643200003</v>
      </c>
      <c r="AO45" s="26">
        <f t="shared" si="58"/>
        <v>26454486.217600003</v>
      </c>
      <c r="AP45" s="26">
        <f t="shared" si="58"/>
        <v>26242976.332800001</v>
      </c>
      <c r="AQ45" s="26">
        <f t="shared" si="58"/>
        <v>25781534.5392</v>
      </c>
      <c r="AR45" s="26">
        <f t="shared" si="58"/>
        <v>25589725.076000001</v>
      </c>
      <c r="AS45" s="26">
        <f t="shared" si="58"/>
        <v>25359489.403200001</v>
      </c>
      <c r="AT45" s="26">
        <f t="shared" si="58"/>
        <v>24934037.3704</v>
      </c>
      <c r="AU45" s="26">
        <f t="shared" si="58"/>
        <v>23725718.083200004</v>
      </c>
      <c r="AV45" s="26">
        <f t="shared" si="58"/>
        <v>24813551.563200001</v>
      </c>
      <c r="AW45" s="26">
        <f t="shared" si="58"/>
        <v>24460321.037600003</v>
      </c>
      <c r="AX45" s="26">
        <f t="shared" si="58"/>
        <v>23999380.415199999</v>
      </c>
      <c r="AY45" s="26">
        <f t="shared" si="58"/>
        <v>22733071.4672</v>
      </c>
      <c r="AZ45" s="26">
        <f t="shared" si="58"/>
        <v>23583134.146400001</v>
      </c>
      <c r="BA45" s="26">
        <f t="shared" si="58"/>
        <v>23287566.440000001</v>
      </c>
      <c r="BB45" s="26">
        <f t="shared" si="58"/>
        <v>24978846.553600002</v>
      </c>
      <c r="BC45" s="26">
        <f t="shared" si="58"/>
        <v>23912077.054400001</v>
      </c>
      <c r="BD45" s="26">
        <f t="shared" si="58"/>
        <v>12144756.0568</v>
      </c>
      <c r="BE45" s="26">
        <f t="shared" si="58"/>
        <v>11611661.026400002</v>
      </c>
      <c r="BF45" s="26">
        <f t="shared" si="58"/>
        <v>10142817.496000001</v>
      </c>
      <c r="BG45" s="26">
        <f t="shared" si="58"/>
        <v>0</v>
      </c>
      <c r="BH45" s="26">
        <f t="shared" si="58"/>
        <v>0</v>
      </c>
      <c r="BI45" s="26">
        <f t="shared" si="58"/>
        <v>0</v>
      </c>
      <c r="BJ45" s="26">
        <f t="shared" si="58"/>
        <v>0</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-30226286.362399518</v>
      </c>
      <c r="C47" s="28">
        <f t="shared" ref="C47:BN47" si="62">C42-C45</f>
        <v>-332114747.27319974</v>
      </c>
      <c r="D47" s="28">
        <f t="shared" si="62"/>
        <v>-644507204.61880004</v>
      </c>
      <c r="E47" s="28">
        <f t="shared" si="62"/>
        <v>120585044.88800001</v>
      </c>
      <c r="F47" s="28">
        <f t="shared" si="62"/>
        <v>-52873605.579600066</v>
      </c>
      <c r="G47" s="28">
        <f t="shared" si="62"/>
        <v>-251790218.19159991</v>
      </c>
      <c r="H47" s="28">
        <f t="shared" si="62"/>
        <v>-391125791.26760006</v>
      </c>
      <c r="I47" s="28">
        <f t="shared" si="62"/>
        <v>80783878.151999891</v>
      </c>
      <c r="J47" s="28">
        <f t="shared" si="62"/>
        <v>-154676809.26560003</v>
      </c>
      <c r="K47" s="28">
        <f t="shared" si="62"/>
        <v>-282276508.59920001</v>
      </c>
      <c r="L47" s="28">
        <f t="shared" si="62"/>
        <v>-387924708.2536</v>
      </c>
      <c r="M47" s="28">
        <f t="shared" si="62"/>
        <v>21249785.162799984</v>
      </c>
      <c r="N47" s="28">
        <f t="shared" si="62"/>
        <v>-150633383.38800001</v>
      </c>
      <c r="O47" s="28">
        <f t="shared" si="62"/>
        <v>-33692485.086400017</v>
      </c>
      <c r="P47" s="28">
        <f t="shared" si="62"/>
        <v>-36086814.124000005</v>
      </c>
      <c r="Q47" s="28">
        <f t="shared" si="62"/>
        <v>-9776496.4220000654</v>
      </c>
      <c r="R47" s="28">
        <f t="shared" si="62"/>
        <v>-10870706.152000029</v>
      </c>
      <c r="S47" s="28">
        <f t="shared" si="62"/>
        <v>-30749076.449600004</v>
      </c>
      <c r="T47" s="28">
        <f t="shared" si="62"/>
        <v>-33729542.535599999</v>
      </c>
      <c r="U47" s="28">
        <f t="shared" si="62"/>
        <v>-99633455.15519996</v>
      </c>
      <c r="V47" s="28">
        <f t="shared" si="62"/>
        <v>-2792173.3396000415</v>
      </c>
      <c r="W47" s="28">
        <f t="shared" si="62"/>
        <v>-27588363.638800018</v>
      </c>
      <c r="X47" s="28">
        <f t="shared" si="62"/>
        <v>-34679536.958399996</v>
      </c>
      <c r="Y47" s="28">
        <f t="shared" si="62"/>
        <v>19818965.228800073</v>
      </c>
      <c r="Z47" s="28">
        <f t="shared" si="62"/>
        <v>3476837.4168000072</v>
      </c>
      <c r="AA47" s="28">
        <f t="shared" si="62"/>
        <v>-22106368.19799998</v>
      </c>
      <c r="AB47" s="28">
        <f t="shared" si="62"/>
        <v>-27432250.534400005</v>
      </c>
      <c r="AC47" s="28">
        <f t="shared" si="62"/>
        <v>26654044.601200052</v>
      </c>
      <c r="AD47" s="28">
        <f t="shared" si="62"/>
        <v>1465611.1523999199</v>
      </c>
      <c r="AE47" s="28">
        <f t="shared" si="62"/>
        <v>-20163769.692000017</v>
      </c>
      <c r="AF47" s="28">
        <f t="shared" si="62"/>
        <v>-23073503.189200003</v>
      </c>
      <c r="AG47" s="28">
        <f t="shared" si="62"/>
        <v>-3433792.7523999885</v>
      </c>
      <c r="AH47" s="28">
        <f t="shared" si="62"/>
        <v>-10204137.448800012</v>
      </c>
      <c r="AI47" s="28">
        <f t="shared" si="62"/>
        <v>-20588487.104399987</v>
      </c>
      <c r="AJ47" s="28">
        <f t="shared" si="62"/>
        <v>-23599088.17239999</v>
      </c>
      <c r="AK47" s="28">
        <f t="shared" si="62"/>
        <v>-9678340.6352000237</v>
      </c>
      <c r="AL47" s="28">
        <f t="shared" si="62"/>
        <v>-13772653.105599964</v>
      </c>
      <c r="AM47" s="28">
        <f t="shared" si="62"/>
        <v>-21806360.845600009</v>
      </c>
      <c r="AN47" s="28">
        <f t="shared" si="62"/>
        <v>-23847403.613200009</v>
      </c>
      <c r="AO47" s="28">
        <f t="shared" si="62"/>
        <v>-12642236.937600004</v>
      </c>
      <c r="AP47" s="28">
        <f t="shared" si="62"/>
        <v>-14603646.112800021</v>
      </c>
      <c r="AQ47" s="28">
        <f t="shared" si="62"/>
        <v>-21407470.17920002</v>
      </c>
      <c r="AR47" s="28">
        <f t="shared" si="62"/>
        <v>-22711779.156000003</v>
      </c>
      <c r="AS47" s="28">
        <f t="shared" si="62"/>
        <v>1552506.2067999728</v>
      </c>
      <c r="AT47" s="28">
        <f t="shared" si="62"/>
        <v>-2190350.6204000115</v>
      </c>
      <c r="AU47" s="28">
        <f t="shared" si="62"/>
        <v>-16282848.053200001</v>
      </c>
      <c r="AV47" s="28">
        <f t="shared" si="62"/>
        <v>-20349221.043200009</v>
      </c>
      <c r="AW47" s="28">
        <f t="shared" si="62"/>
        <v>3502901.5924000628</v>
      </c>
      <c r="AX47" s="28">
        <f t="shared" si="62"/>
        <v>-1861904.9751999676</v>
      </c>
      <c r="AY47" s="28">
        <f t="shared" si="62"/>
        <v>-16448594.617200021</v>
      </c>
      <c r="AZ47" s="28">
        <f t="shared" si="62"/>
        <v>-19634372.136400007</v>
      </c>
      <c r="BA47" s="28">
        <f t="shared" si="62"/>
        <v>445832.43000001088</v>
      </c>
      <c r="BB47" s="28">
        <f t="shared" si="62"/>
        <v>-8230816.0835999865</v>
      </c>
      <c r="BC47" s="28">
        <f t="shared" si="62"/>
        <v>-20484375.134400018</v>
      </c>
      <c r="BD47" s="28">
        <f t="shared" si="62"/>
        <v>-9848867.9767999984</v>
      </c>
      <c r="BE47" s="28">
        <f t="shared" si="62"/>
        <v>10485611.913600033</v>
      </c>
      <c r="BF47" s="28">
        <f t="shared" si="62"/>
        <v>3873044.524000043</v>
      </c>
      <c r="BG47" s="28">
        <f t="shared" si="62"/>
        <v>2412171.8700000099</v>
      </c>
      <c r="BH47" s="28">
        <f t="shared" si="62"/>
        <v>22458964.499999981</v>
      </c>
      <c r="BI47" s="28">
        <f t="shared" si="62"/>
        <v>17799326.819999985</v>
      </c>
      <c r="BJ47" s="28">
        <f t="shared" si="62"/>
        <v>0</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20031231</v>
      </c>
      <c r="BI51" s="190">
        <v>20021231</v>
      </c>
      <c r="BJ51" s="190">
        <v>19700101</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19960630</v>
      </c>
      <c r="CC51" s="190">
        <v>19951231</v>
      </c>
      <c r="CD51" s="190">
        <v>19950630</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-10568868.529999999</v>
      </c>
      <c r="F52" s="42"/>
      <c r="G52" s="42"/>
      <c r="H52" s="42"/>
      <c r="I52" s="42">
        <v>-6760186.0700000003</v>
      </c>
      <c r="J52" s="42"/>
      <c r="K52" s="42"/>
      <c r="M52" s="42">
        <v>-3058197.98</v>
      </c>
      <c r="Q52" s="43">
        <v>-2318547.92</v>
      </c>
      <c r="U52" s="43">
        <v>-1734974.73</v>
      </c>
    </row>
    <row r="53" spans="1:89" s="43" customFormat="1" x14ac:dyDescent="0.25">
      <c r="A53" s="132" t="s">
        <v>90</v>
      </c>
      <c r="B53" s="42">
        <v>217</v>
      </c>
      <c r="C53" s="42">
        <v>189</v>
      </c>
      <c r="D53" s="42"/>
      <c r="E53" s="273">
        <v>104905656.48999999</v>
      </c>
      <c r="F53" s="42"/>
      <c r="G53" s="42"/>
      <c r="H53" s="42"/>
      <c r="I53" s="273">
        <v>42676593.899999999</v>
      </c>
      <c r="J53" s="42"/>
      <c r="K53" s="42"/>
      <c r="L53" s="42"/>
      <c r="M53" s="273">
        <v>17351234.460000001</v>
      </c>
      <c r="N53" s="42"/>
      <c r="O53" s="42"/>
      <c r="P53" s="42"/>
      <c r="Q53" s="42">
        <v>11301301.67</v>
      </c>
      <c r="R53" s="42"/>
      <c r="S53" s="42"/>
      <c r="T53" s="42"/>
      <c r="U53" s="43">
        <v>3255174.84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273">
        <v>1055149.51</v>
      </c>
      <c r="F54" s="42"/>
      <c r="G54" s="42"/>
      <c r="H54" s="42"/>
      <c r="I54" s="273">
        <v>3247756.75</v>
      </c>
      <c r="J54" s="42"/>
      <c r="K54" s="42"/>
      <c r="M54" s="190">
        <v>54.24</v>
      </c>
      <c r="Q54" s="43">
        <v>-1263698.3</v>
      </c>
      <c r="U54" s="43">
        <v>9501823.3499999996</v>
      </c>
    </row>
    <row r="55" spans="1:89" s="43" customFormat="1" x14ac:dyDescent="0.25">
      <c r="A55" s="132" t="s">
        <v>92</v>
      </c>
      <c r="B55" s="42">
        <v>463</v>
      </c>
      <c r="C55" s="42">
        <v>603</v>
      </c>
      <c r="D55" s="42">
        <v>653</v>
      </c>
      <c r="E55" s="273">
        <v>15808834.189999999</v>
      </c>
      <c r="F55" s="42"/>
      <c r="G55" s="42"/>
      <c r="H55" s="42"/>
      <c r="I55" s="273">
        <v>7971177.2000000002</v>
      </c>
      <c r="J55" s="42"/>
      <c r="K55" s="42"/>
      <c r="M55" s="273">
        <v>5588159.7599999998</v>
      </c>
      <c r="Q55" s="43">
        <v>379153.81</v>
      </c>
      <c r="U55" s="43">
        <v>526932.43999999994</v>
      </c>
    </row>
    <row r="56" spans="1:89" s="26" customFormat="1" x14ac:dyDescent="0.25">
      <c r="A56" s="133" t="s">
        <v>93</v>
      </c>
      <c r="B56" s="44">
        <f>SUM(B52:B55)</f>
        <v>-21852</v>
      </c>
      <c r="C56" s="44">
        <f t="shared" ref="C56:D56" si="64">SUM(C52:C55)</f>
        <v>-28350</v>
      </c>
      <c r="D56" s="44">
        <f t="shared" si="64"/>
        <v>-35004</v>
      </c>
      <c r="E56" s="44">
        <f>SUM(E52:E55)</f>
        <v>111200771.66</v>
      </c>
      <c r="F56" s="44">
        <f t="shared" ref="F56:BQ56" si="65">SUM(F52:F55)</f>
        <v>0</v>
      </c>
      <c r="G56" s="44">
        <f t="shared" si="65"/>
        <v>0</v>
      </c>
      <c r="H56" s="44">
        <f t="shared" si="65"/>
        <v>0</v>
      </c>
      <c r="I56" s="44">
        <f t="shared" si="65"/>
        <v>47135341.780000001</v>
      </c>
      <c r="J56" s="44">
        <f t="shared" si="65"/>
        <v>0</v>
      </c>
      <c r="K56" s="44">
        <f t="shared" si="65"/>
        <v>0</v>
      </c>
      <c r="L56" s="44">
        <f t="shared" si="65"/>
        <v>0</v>
      </c>
      <c r="M56" s="44">
        <f t="shared" si="65"/>
        <v>19881250.48</v>
      </c>
      <c r="N56" s="44">
        <f t="shared" si="65"/>
        <v>0</v>
      </c>
      <c r="O56" s="44">
        <f t="shared" si="65"/>
        <v>0</v>
      </c>
      <c r="P56" s="44">
        <f t="shared" si="65"/>
        <v>0</v>
      </c>
      <c r="Q56" s="44">
        <f t="shared" si="65"/>
        <v>8098209.2599999998</v>
      </c>
      <c r="R56" s="44">
        <f t="shared" si="65"/>
        <v>0</v>
      </c>
      <c r="S56" s="44">
        <f t="shared" si="65"/>
        <v>0</v>
      </c>
      <c r="T56" s="44">
        <f t="shared" si="65"/>
        <v>0</v>
      </c>
      <c r="U56" s="44">
        <f t="shared" si="65"/>
        <v>11548955.899999999</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499085757.38999999</v>
      </c>
      <c r="C59" s="190">
        <v>221051282.88999999</v>
      </c>
      <c r="D59" s="190">
        <v>-99465568.859999999</v>
      </c>
      <c r="E59" s="190">
        <v>694326195.20000005</v>
      </c>
      <c r="F59" s="190">
        <v>255104176.66</v>
      </c>
      <c r="G59" s="190">
        <v>36527686.520000003</v>
      </c>
      <c r="H59" s="190">
        <v>-112955383.95</v>
      </c>
      <c r="I59" s="190">
        <v>378515483.68000001</v>
      </c>
      <c r="J59" s="190">
        <v>112222387.95999999</v>
      </c>
      <c r="K59" s="190">
        <v>-21860446.84</v>
      </c>
      <c r="L59" s="190">
        <v>-139176602.41999999</v>
      </c>
      <c r="M59" s="190">
        <v>286160233.19</v>
      </c>
      <c r="N59" s="190">
        <v>85506626.900000006</v>
      </c>
      <c r="O59" s="190">
        <v>10130656.43</v>
      </c>
      <c r="P59" s="190">
        <v>4316139.1500000004</v>
      </c>
      <c r="Q59" s="190">
        <v>45093481.509999998</v>
      </c>
      <c r="R59" s="190">
        <v>39451782.710000001</v>
      </c>
      <c r="S59" s="190">
        <v>11225828.630000001</v>
      </c>
      <c r="T59" s="190">
        <v>4533167.63</v>
      </c>
      <c r="U59" s="190">
        <v>-45169482.289999999</v>
      </c>
      <c r="V59" s="190">
        <v>35432998.07</v>
      </c>
      <c r="W59" s="190">
        <v>8480617.3100000005</v>
      </c>
      <c r="X59" s="190">
        <v>4760000.62</v>
      </c>
      <c r="Y59" s="190">
        <v>58877702.759999998</v>
      </c>
      <c r="Z59" s="190">
        <v>36151655.140000001</v>
      </c>
      <c r="AA59" s="190">
        <v>8343822.9500000002</v>
      </c>
      <c r="AB59" s="190">
        <v>4610348.46</v>
      </c>
      <c r="AC59" s="190">
        <v>58324839.75</v>
      </c>
      <c r="AD59" s="190">
        <v>31014853.870000001</v>
      </c>
      <c r="AE59" s="190">
        <v>7504657.2999999998</v>
      </c>
      <c r="AF59" s="190">
        <v>5151978.1900000004</v>
      </c>
      <c r="AG59" s="190">
        <v>24376002.670000002</v>
      </c>
      <c r="AH59" s="190">
        <v>17017660.52</v>
      </c>
      <c r="AI59" s="190">
        <v>5750465.3300000001</v>
      </c>
      <c r="AJ59" s="190">
        <v>3801149.31</v>
      </c>
      <c r="AK59" s="190">
        <v>17416030.960000001</v>
      </c>
      <c r="AL59" s="190">
        <v>12979604.359999999</v>
      </c>
      <c r="AM59" s="190">
        <v>4247313.34</v>
      </c>
      <c r="AN59" s="190">
        <v>2833742.03</v>
      </c>
      <c r="AO59" s="190">
        <v>13812249.279999999</v>
      </c>
      <c r="AP59" s="190">
        <v>11639330.220000001</v>
      </c>
      <c r="AQ59" s="190">
        <v>4374064.3600000003</v>
      </c>
      <c r="AR59" s="190">
        <v>2877945.92</v>
      </c>
      <c r="AS59" s="190">
        <v>26911995.609999999</v>
      </c>
      <c r="AT59" s="190">
        <v>22743686.75</v>
      </c>
      <c r="AU59" s="190">
        <v>7442870.0300000003</v>
      </c>
      <c r="AV59" s="190">
        <v>4464330.5199999996</v>
      </c>
      <c r="AW59" s="190">
        <v>27963222.629999999</v>
      </c>
      <c r="AX59" s="190">
        <v>22137475.440000001</v>
      </c>
      <c r="AY59" s="190">
        <v>6284476.8499999996</v>
      </c>
      <c r="AZ59" s="190">
        <v>3948762.01</v>
      </c>
      <c r="BA59" s="190">
        <v>24196946.079999998</v>
      </c>
      <c r="BB59" s="190">
        <v>17148005.68</v>
      </c>
      <c r="BC59" s="190">
        <v>3813386.94</v>
      </c>
      <c r="BD59" s="190">
        <v>2465194.89</v>
      </c>
      <c r="BE59" s="190">
        <v>22476587.969999999</v>
      </c>
      <c r="BF59" s="190">
        <v>14627785.24</v>
      </c>
      <c r="BG59" s="190">
        <v>2439093.34</v>
      </c>
      <c r="BH59" s="190">
        <v>23087738.219999999</v>
      </c>
      <c r="BI59" s="190">
        <v>18286954.449999999</v>
      </c>
      <c r="BJ59" s="190">
        <v>0</v>
      </c>
      <c r="BK59" s="190">
        <v>378714531.06</v>
      </c>
      <c r="BL59" s="190">
        <v>142874579.83000001</v>
      </c>
      <c r="BM59" s="190">
        <v>584393737.67999995</v>
      </c>
      <c r="BN59" s="190">
        <v>471720857.67000002</v>
      </c>
      <c r="BO59" s="190">
        <v>294803013.56</v>
      </c>
      <c r="BP59" s="190">
        <v>133029002.59999999</v>
      </c>
      <c r="BQ59" s="190">
        <v>504683812.25999999</v>
      </c>
      <c r="BR59" s="190">
        <v>272607143.80000001</v>
      </c>
      <c r="BS59" s="190">
        <v>360763391.07999998</v>
      </c>
      <c r="BT59" s="190">
        <v>256533748.41999999</v>
      </c>
      <c r="BU59" s="190">
        <v>431018039.22000003</v>
      </c>
      <c r="BV59" s="190">
        <v>210412674.16999999</v>
      </c>
      <c r="BW59" s="190">
        <v>5992842.8899999997</v>
      </c>
      <c r="BX59" s="190">
        <v>-13617866.6</v>
      </c>
      <c r="BY59" s="190">
        <v>76540885.859999999</v>
      </c>
      <c r="BZ59" s="190">
        <v>10957081.49</v>
      </c>
      <c r="CA59" s="190">
        <v>10366333.26</v>
      </c>
      <c r="CB59" s="190">
        <v>51164074.539999999</v>
      </c>
      <c r="CC59" s="190">
        <v>164727249.21000001</v>
      </c>
      <c r="CD59" s="190">
        <v>109540000</v>
      </c>
      <c r="CE59" s="190">
        <v>162135000</v>
      </c>
      <c r="CF59" s="190">
        <v>90056788.769999996</v>
      </c>
      <c r="CG59" s="190">
        <v>54430000</v>
      </c>
      <c r="CH59" s="190">
        <v>80440000</v>
      </c>
      <c r="CI59" s="190">
        <v>58950000</v>
      </c>
      <c r="CJ59" s="190">
        <v>67670000</v>
      </c>
      <c r="CK59" s="190">
        <v>0</v>
      </c>
    </row>
    <row r="60" spans="1:89" x14ac:dyDescent="0.25">
      <c r="A60" s="22" t="s">
        <v>95</v>
      </c>
      <c r="B60" s="190">
        <v>166423727.06999999</v>
      </c>
      <c r="C60" s="190">
        <v>98625547.439999998</v>
      </c>
      <c r="D60" s="190">
        <v>-17836872.43</v>
      </c>
      <c r="E60" s="190">
        <v>207257786.19999999</v>
      </c>
      <c r="F60" s="190">
        <v>88331384.099999994</v>
      </c>
      <c r="G60" s="190">
        <v>26809790.16</v>
      </c>
      <c r="H60" s="190">
        <v>-22414988.34</v>
      </c>
      <c r="I60" s="190">
        <v>120458348.61</v>
      </c>
      <c r="J60" s="190">
        <v>41586121.020000003</v>
      </c>
      <c r="K60" s="190">
        <v>419706.33</v>
      </c>
      <c r="L60" s="190">
        <v>-32254379.350000001</v>
      </c>
      <c r="M60" s="190">
        <v>72732218.760000005</v>
      </c>
      <c r="N60" s="190">
        <v>13202545.359999999</v>
      </c>
      <c r="O60" s="190">
        <v>4792709.49</v>
      </c>
      <c r="P60" s="190">
        <v>2010840.02</v>
      </c>
      <c r="Q60" s="190">
        <v>22629534.359999999</v>
      </c>
      <c r="R60" s="190">
        <v>18239242.059999999</v>
      </c>
      <c r="S60" s="190">
        <v>5093575.51</v>
      </c>
      <c r="T60" s="190">
        <v>1501544.26</v>
      </c>
      <c r="U60" s="190">
        <v>25914665.489999998</v>
      </c>
      <c r="V60" s="190">
        <v>14590996.800000001</v>
      </c>
      <c r="W60" s="190">
        <v>4409019.7699999996</v>
      </c>
      <c r="X60" s="190">
        <v>1778345.49</v>
      </c>
      <c r="Y60" s="190">
        <v>22207066.82</v>
      </c>
      <c r="Z60" s="190">
        <v>14298558.960000001</v>
      </c>
      <c r="AA60" s="190">
        <v>4921641.59</v>
      </c>
      <c r="AB60" s="190">
        <v>2540306.75</v>
      </c>
      <c r="AC60" s="190">
        <v>20695440.82</v>
      </c>
      <c r="AD60" s="190">
        <v>11783031.560000001</v>
      </c>
      <c r="AE60" s="190">
        <v>3592788.78</v>
      </c>
      <c r="AF60" s="190">
        <v>1516646.36</v>
      </c>
      <c r="AG60" s="190">
        <v>8011198.3600000003</v>
      </c>
      <c r="AH60" s="190">
        <v>5527083.3300000001</v>
      </c>
      <c r="AI60" s="190">
        <v>1984372.11</v>
      </c>
      <c r="AJ60" s="190">
        <v>1398032.45</v>
      </c>
      <c r="AK60" s="190">
        <v>11398377.380000001</v>
      </c>
      <c r="AL60" s="190">
        <v>6180062.4900000002</v>
      </c>
      <c r="AM60" s="190">
        <v>2849624.21</v>
      </c>
      <c r="AN60" s="190">
        <v>1517742.07</v>
      </c>
      <c r="AO60" s="190">
        <v>5606182.0800000001</v>
      </c>
      <c r="AP60" s="190">
        <v>4173098.1</v>
      </c>
      <c r="AQ60" s="190">
        <v>1174849.1499999999</v>
      </c>
      <c r="AR60" s="190">
        <v>927958.45</v>
      </c>
      <c r="AS60" s="190">
        <v>5862502.4500000002</v>
      </c>
      <c r="AT60" s="190">
        <v>4652558.18</v>
      </c>
      <c r="AU60" s="190">
        <v>2073780.18</v>
      </c>
      <c r="AV60" s="190">
        <v>902316.36</v>
      </c>
      <c r="AW60" s="190">
        <v>5328444.59</v>
      </c>
      <c r="AX60" s="190">
        <v>4564534.16</v>
      </c>
      <c r="AY60" s="190">
        <v>1875308.32</v>
      </c>
      <c r="AZ60" s="190">
        <v>441816.64</v>
      </c>
      <c r="BA60" s="190">
        <v>4302092.7</v>
      </c>
      <c r="BB60" s="190">
        <v>3252871.49</v>
      </c>
      <c r="BC60" s="190">
        <v>695931.71</v>
      </c>
      <c r="BD60" s="190">
        <v>507642.34</v>
      </c>
      <c r="BE60" s="190">
        <v>5416808.5099999998</v>
      </c>
      <c r="BF60" s="190">
        <v>3242863.87</v>
      </c>
      <c r="BG60" s="190">
        <v>1286808.29</v>
      </c>
      <c r="BH60" s="190">
        <v>4939223.38</v>
      </c>
      <c r="BI60" s="190">
        <v>4333302.3899999997</v>
      </c>
      <c r="BJ60" s="190">
        <v>0</v>
      </c>
      <c r="BK60" s="190">
        <v>68867283.900000006</v>
      </c>
      <c r="BL60" s="190">
        <v>28006866.879999999</v>
      </c>
      <c r="BM60" s="190">
        <v>143668257.24000001</v>
      </c>
      <c r="BN60" s="190">
        <v>98765977.599999994</v>
      </c>
      <c r="BO60" s="190">
        <v>64164786.920000002</v>
      </c>
      <c r="BP60" s="190">
        <v>25321619.559999999</v>
      </c>
      <c r="BQ60" s="190">
        <v>113460021.93000001</v>
      </c>
      <c r="BR60" s="190">
        <v>52431401.840000004</v>
      </c>
      <c r="BS60" s="190">
        <v>100791733.87</v>
      </c>
      <c r="BT60" s="190">
        <v>47229977.799999997</v>
      </c>
      <c r="BU60" s="190">
        <v>97455708.069999993</v>
      </c>
      <c r="BV60" s="190">
        <v>39232814.829999998</v>
      </c>
      <c r="BW60" s="190">
        <v>2796995.65</v>
      </c>
      <c r="BX60" s="190">
        <v>0</v>
      </c>
      <c r="BY60" s="190">
        <v>8176697.29</v>
      </c>
      <c r="BZ60" s="190">
        <v>1624615.5</v>
      </c>
      <c r="CA60" s="190">
        <v>1799885.61</v>
      </c>
      <c r="CB60" s="190">
        <v>9698012.9700000007</v>
      </c>
      <c r="CC60" s="190">
        <v>28336126.850000001</v>
      </c>
      <c r="CD60" s="190">
        <v>19730000</v>
      </c>
      <c r="CE60" s="190">
        <v>27810000</v>
      </c>
      <c r="CF60" s="190">
        <v>16447145.279999999</v>
      </c>
      <c r="CG60" s="190">
        <v>4330000</v>
      </c>
      <c r="CH60" s="190">
        <v>4220000</v>
      </c>
      <c r="CI60" s="190">
        <v>12510000</v>
      </c>
      <c r="CJ60" s="190">
        <v>3630000</v>
      </c>
      <c r="CK60" s="190">
        <v>0</v>
      </c>
    </row>
    <row r="61" spans="1:89" x14ac:dyDescent="0.25">
      <c r="A61" s="22" t="s">
        <v>94</v>
      </c>
      <c r="B61" s="190">
        <v>665509484.46000004</v>
      </c>
      <c r="C61" s="190">
        <v>319676830.32999998</v>
      </c>
      <c r="D61" s="190">
        <v>-117302441.29000001</v>
      </c>
      <c r="E61" s="190">
        <v>901583981.39999998</v>
      </c>
      <c r="F61" s="190">
        <v>343435560.75999999</v>
      </c>
      <c r="G61" s="190">
        <v>63337476.68</v>
      </c>
      <c r="H61" s="190">
        <v>-135370372.28999999</v>
      </c>
      <c r="I61" s="190">
        <v>498973832.29000002</v>
      </c>
      <c r="J61" s="190">
        <v>153808508.97999999</v>
      </c>
      <c r="K61" s="190">
        <v>-21440740.510000002</v>
      </c>
      <c r="L61" s="190">
        <v>-171430981.77000001</v>
      </c>
      <c r="M61" s="190">
        <v>358892451.94999999</v>
      </c>
      <c r="N61" s="190">
        <v>98709172.260000005</v>
      </c>
      <c r="O61" s="190">
        <v>14923365.92</v>
      </c>
      <c r="P61" s="190">
        <v>6326979.1699999999</v>
      </c>
      <c r="Q61" s="190">
        <v>67723015.870000005</v>
      </c>
      <c r="R61" s="190">
        <v>57691024.770000003</v>
      </c>
      <c r="S61" s="190">
        <v>16319404.140000001</v>
      </c>
      <c r="T61" s="190">
        <v>6034711.8899999997</v>
      </c>
      <c r="U61" s="190">
        <v>-19254816.800000001</v>
      </c>
      <c r="V61" s="190">
        <v>50023994.869999997</v>
      </c>
      <c r="W61" s="190">
        <v>12889637.08</v>
      </c>
      <c r="X61" s="190">
        <v>6538346.1100000003</v>
      </c>
      <c r="Y61" s="190">
        <v>81084769.579999998</v>
      </c>
      <c r="Z61" s="190">
        <v>50450214.100000001</v>
      </c>
      <c r="AA61" s="190">
        <v>13265464.539999999</v>
      </c>
      <c r="AB61" s="190">
        <v>7150655.21</v>
      </c>
      <c r="AC61" s="190">
        <v>79020280.569999993</v>
      </c>
      <c r="AD61" s="190">
        <v>42797885.43</v>
      </c>
      <c r="AE61" s="190">
        <v>11097446.08</v>
      </c>
      <c r="AF61" s="190">
        <v>6668624.5499999998</v>
      </c>
      <c r="AG61" s="190">
        <v>32387201.030000001</v>
      </c>
      <c r="AH61" s="190">
        <v>22544743.850000001</v>
      </c>
      <c r="AI61" s="190">
        <v>7734837.4400000004</v>
      </c>
      <c r="AJ61" s="190">
        <v>5199181.76</v>
      </c>
      <c r="AK61" s="190">
        <v>28814408.34</v>
      </c>
      <c r="AL61" s="190">
        <v>19159666.850000001</v>
      </c>
      <c r="AM61" s="190">
        <v>7096937.5499999998</v>
      </c>
      <c r="AN61" s="190">
        <v>4351484.0999999996</v>
      </c>
      <c r="AO61" s="190">
        <v>19418431.359999999</v>
      </c>
      <c r="AP61" s="190">
        <v>15812428.32</v>
      </c>
      <c r="AQ61" s="190">
        <v>5548913.5099999998</v>
      </c>
      <c r="AR61" s="190">
        <v>3805904.37</v>
      </c>
      <c r="AS61" s="190">
        <v>32774498.059999999</v>
      </c>
      <c r="AT61" s="190">
        <v>27396244.93</v>
      </c>
      <c r="AU61" s="190">
        <v>9516650.2100000009</v>
      </c>
      <c r="AV61" s="190">
        <v>5366646.88</v>
      </c>
      <c r="AW61" s="190">
        <v>33291667.219999999</v>
      </c>
      <c r="AX61" s="190">
        <v>26702009.600000001</v>
      </c>
      <c r="AY61" s="190">
        <v>8159785.1699999999</v>
      </c>
      <c r="AZ61" s="190">
        <v>4390578.6500000004</v>
      </c>
      <c r="BA61" s="190">
        <v>28499038.780000001</v>
      </c>
      <c r="BB61" s="190">
        <v>20400877.170000002</v>
      </c>
      <c r="BC61" s="190">
        <v>4509318.6500000004</v>
      </c>
      <c r="BD61" s="190">
        <v>2972837.23</v>
      </c>
      <c r="BE61" s="190">
        <v>27893396.48</v>
      </c>
      <c r="BF61" s="190">
        <v>17870649.109999999</v>
      </c>
      <c r="BG61" s="190">
        <v>3725901.63</v>
      </c>
      <c r="BH61" s="190">
        <v>28026961.600000001</v>
      </c>
      <c r="BI61" s="190">
        <v>22620256.84</v>
      </c>
      <c r="BJ61" s="190">
        <v>0</v>
      </c>
      <c r="BK61" s="190">
        <v>447581814.95999998</v>
      </c>
      <c r="BL61" s="190">
        <v>170881446.71000001</v>
      </c>
      <c r="BM61" s="190">
        <v>728061994.91999996</v>
      </c>
      <c r="BN61" s="190">
        <v>570486835.26999998</v>
      </c>
      <c r="BO61" s="190">
        <v>358967800.48000002</v>
      </c>
      <c r="BP61" s="190">
        <v>158350622.16</v>
      </c>
      <c r="BQ61" s="190">
        <v>618143834.19000006</v>
      </c>
      <c r="BR61" s="190">
        <v>325038545.63999999</v>
      </c>
      <c r="BS61" s="190">
        <v>461555124.94999999</v>
      </c>
      <c r="BT61" s="190">
        <v>303763726.22000003</v>
      </c>
      <c r="BU61" s="190">
        <v>528473747.29000002</v>
      </c>
      <c r="BV61" s="190">
        <v>249645489</v>
      </c>
      <c r="BW61" s="190">
        <v>8789838.5399999991</v>
      </c>
      <c r="BX61" s="190">
        <v>-13617866.6</v>
      </c>
      <c r="BY61" s="190">
        <v>84717583.150000006</v>
      </c>
      <c r="BZ61" s="190">
        <v>12581696.99</v>
      </c>
      <c r="CA61" s="190">
        <v>12166218.869999999</v>
      </c>
      <c r="CB61" s="190">
        <v>60862087.509999998</v>
      </c>
      <c r="CC61" s="190">
        <v>193063376.06</v>
      </c>
      <c r="CD61" s="190">
        <v>129270000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124647676.86</v>
      </c>
      <c r="C65" s="190">
        <v>108795080.48</v>
      </c>
      <c r="D65" s="190">
        <v>3673939.93</v>
      </c>
      <c r="E65" s="190">
        <v>60501175.509999998</v>
      </c>
      <c r="F65" s="190">
        <v>67556056.609999999</v>
      </c>
      <c r="G65" s="190">
        <v>14151477.800000001</v>
      </c>
      <c r="H65" s="190">
        <v>-14062200.77</v>
      </c>
      <c r="I65" s="190">
        <v>37118871.789999999</v>
      </c>
      <c r="J65" s="190">
        <v>12569380.189999999</v>
      </c>
      <c r="K65" s="190">
        <v>4793543.42</v>
      </c>
      <c r="L65" s="190">
        <v>-2917450.58</v>
      </c>
      <c r="M65" s="190">
        <v>53570772.770000003</v>
      </c>
      <c r="N65" s="190">
        <v>40055555.630000003</v>
      </c>
      <c r="O65" s="190">
        <v>510825.22</v>
      </c>
      <c r="P65" s="190">
        <v>24870.81</v>
      </c>
      <c r="Q65" s="190">
        <v>1630758.64</v>
      </c>
      <c r="R65" s="190">
        <v>-40003.43</v>
      </c>
      <c r="S65" s="190">
        <v>79976.25</v>
      </c>
      <c r="T65" s="190">
        <v>24823.919999999998</v>
      </c>
      <c r="U65" s="190">
        <v>-21413.46</v>
      </c>
      <c r="V65" s="190">
        <v>-11601.16</v>
      </c>
      <c r="W65" s="190">
        <v>-13976.22</v>
      </c>
      <c r="X65" s="190">
        <v>-16731.95</v>
      </c>
      <c r="Y65" s="190">
        <v>12574.73</v>
      </c>
      <c r="Z65" s="190">
        <v>19808.259999999998</v>
      </c>
      <c r="AA65" s="190">
        <v>22099.75</v>
      </c>
      <c r="AB65" s="190">
        <v>-41665.65</v>
      </c>
      <c r="AC65" s="190">
        <v>28836.82</v>
      </c>
      <c r="AD65" s="190">
        <v>7719.57</v>
      </c>
      <c r="AE65" s="190">
        <v>20072.96</v>
      </c>
      <c r="AF65" s="190">
        <v>-33058.81</v>
      </c>
      <c r="AG65" s="190">
        <v>5182.87</v>
      </c>
      <c r="AH65" s="190">
        <v>71068.929999999993</v>
      </c>
      <c r="AI65" s="190">
        <v>78133.38</v>
      </c>
      <c r="AJ65" s="190">
        <v>-44974.69</v>
      </c>
      <c r="AK65" s="190">
        <v>-66558.8</v>
      </c>
      <c r="AL65" s="190">
        <v>70854.25</v>
      </c>
      <c r="AM65" s="190">
        <v>27931.33</v>
      </c>
      <c r="AN65" s="190">
        <v>-54569.58</v>
      </c>
      <c r="AO65" s="190">
        <v>-604372.03</v>
      </c>
      <c r="AP65" s="190">
        <v>-737826.63</v>
      </c>
      <c r="AQ65" s="190">
        <v>58437.919999999998</v>
      </c>
      <c r="AR65" s="190">
        <v>119748.64</v>
      </c>
      <c r="AS65" s="190">
        <v>382915.55</v>
      </c>
      <c r="AT65" s="190">
        <v>325849.77</v>
      </c>
      <c r="AU65" s="190">
        <v>239413.97</v>
      </c>
      <c r="AV65" s="190">
        <v>-423850.49</v>
      </c>
      <c r="AW65" s="190">
        <v>55520.68</v>
      </c>
      <c r="AX65" s="190">
        <v>-736062.31</v>
      </c>
      <c r="AY65" s="190">
        <v>-733355.63</v>
      </c>
      <c r="AZ65" s="190">
        <v>21520.31</v>
      </c>
      <c r="BA65" s="190">
        <v>-502573.18</v>
      </c>
      <c r="BB65" s="190">
        <v>-309881.87</v>
      </c>
      <c r="BC65" s="190">
        <v>-338013.04</v>
      </c>
      <c r="BD65" s="190">
        <v>-169296.41</v>
      </c>
      <c r="BE65" s="190">
        <v>-554236.79</v>
      </c>
      <c r="BF65" s="190">
        <v>-179478.72</v>
      </c>
      <c r="BG65" s="190">
        <v>-108290.09</v>
      </c>
      <c r="BH65" s="190">
        <v>-66889.25</v>
      </c>
      <c r="BI65" s="190">
        <v>372953.52</v>
      </c>
      <c r="BJ65" s="190">
        <v>0</v>
      </c>
      <c r="BK65" s="190">
        <v>99137772.019999996</v>
      </c>
      <c r="BL65" s="190">
        <v>21058739.870000001</v>
      </c>
      <c r="BM65" s="190">
        <v>80579243.650000006</v>
      </c>
      <c r="BN65" s="190">
        <v>68017088.620000005</v>
      </c>
      <c r="BO65" s="190">
        <v>47536007.049999997</v>
      </c>
      <c r="BP65" s="190">
        <v>23536334.48</v>
      </c>
      <c r="BQ65" s="190">
        <v>47111894.539999999</v>
      </c>
      <c r="BR65" s="190">
        <v>43130624.329999998</v>
      </c>
      <c r="BS65" s="190">
        <v>110636895.03</v>
      </c>
      <c r="BT65" s="190">
        <v>55492097.759999998</v>
      </c>
      <c r="BU65" s="190">
        <v>42252799.109999999</v>
      </c>
      <c r="BV65" s="190">
        <v>-8467811.9100000001</v>
      </c>
      <c r="BW65" s="190">
        <v>44423828.259999998</v>
      </c>
      <c r="BX65" s="190">
        <v>-2405395.41</v>
      </c>
      <c r="BY65" s="190">
        <v>43588942.600000001</v>
      </c>
      <c r="BZ65" s="190">
        <v>2100000</v>
      </c>
      <c r="CA65" s="190">
        <v>5299206.3</v>
      </c>
      <c r="CB65" s="190">
        <v>3033836.53</v>
      </c>
      <c r="CC65" s="190">
        <v>10641347.550000001</v>
      </c>
      <c r="CD65" s="190">
        <v>5790000</v>
      </c>
      <c r="CE65" s="190">
        <v>7729000</v>
      </c>
      <c r="CF65" s="190">
        <v>2092581.44</v>
      </c>
      <c r="CG65" s="190">
        <v>0</v>
      </c>
      <c r="CH65" s="190">
        <v>0</v>
      </c>
      <c r="CI65" s="190">
        <v>0</v>
      </c>
      <c r="CJ65" s="190">
        <v>0</v>
      </c>
      <c r="CK65" s="190">
        <v>0</v>
      </c>
    </row>
    <row r="66" spans="1:89" x14ac:dyDescent="0.25">
      <c r="A66" s="22" t="s">
        <v>99</v>
      </c>
      <c r="B66" s="190">
        <v>-1377107.43</v>
      </c>
      <c r="C66" s="190">
        <v>600113.77</v>
      </c>
      <c r="D66" s="190">
        <v>-571266.43999999994</v>
      </c>
      <c r="E66" s="190">
        <v>-4800953.59</v>
      </c>
      <c r="F66" s="190">
        <v>13943367.460000001</v>
      </c>
      <c r="G66" s="190">
        <v>-6887001.9699999997</v>
      </c>
      <c r="H66" s="190">
        <v>-17274270.48</v>
      </c>
      <c r="I66" s="190">
        <v>-6964367.54</v>
      </c>
      <c r="J66" s="190">
        <v>-2864096.23</v>
      </c>
      <c r="K66" s="190">
        <v>-3597533</v>
      </c>
      <c r="L66" s="190">
        <v>-2917450.58</v>
      </c>
      <c r="M66" s="190">
        <v>3501929.12</v>
      </c>
      <c r="N66" s="190">
        <v>3193509.45</v>
      </c>
      <c r="O66" s="190">
        <v>0</v>
      </c>
      <c r="P66" s="190">
        <v>0</v>
      </c>
      <c r="Q66" s="190">
        <v>35490.75</v>
      </c>
      <c r="R66" s="190">
        <v>0</v>
      </c>
      <c r="S66" s="190">
        <v>0</v>
      </c>
      <c r="T66" s="190">
        <v>0</v>
      </c>
      <c r="U66" s="190">
        <v>-21413.46</v>
      </c>
      <c r="V66" s="190">
        <v>0</v>
      </c>
      <c r="W66" s="190">
        <v>0</v>
      </c>
      <c r="X66" s="190">
        <v>0</v>
      </c>
      <c r="Y66" s="190">
        <v>0</v>
      </c>
      <c r="Z66" s="190">
        <v>0</v>
      </c>
      <c r="AA66" s="190">
        <v>0</v>
      </c>
      <c r="AB66" s="190">
        <v>0</v>
      </c>
      <c r="AC66" s="190">
        <v>0</v>
      </c>
      <c r="AD66" s="190">
        <v>0</v>
      </c>
      <c r="AE66" s="190">
        <v>20072.96</v>
      </c>
      <c r="AF66" s="190">
        <v>0</v>
      </c>
      <c r="AG66" s="190">
        <v>5182.87</v>
      </c>
      <c r="AH66" s="190">
        <v>0</v>
      </c>
      <c r="AI66" s="190">
        <v>0</v>
      </c>
      <c r="AJ66" s="190">
        <v>0</v>
      </c>
      <c r="AK66" s="190">
        <v>-66558.8</v>
      </c>
      <c r="AL66" s="190">
        <v>0</v>
      </c>
      <c r="AM66" s="190">
        <v>0</v>
      </c>
      <c r="AN66" s="190">
        <v>0</v>
      </c>
      <c r="AO66" s="190">
        <v>-46594.44</v>
      </c>
      <c r="AP66" s="190">
        <v>0</v>
      </c>
      <c r="AQ66" s="190">
        <v>58437.919999999998</v>
      </c>
      <c r="AR66" s="190">
        <v>0</v>
      </c>
      <c r="AS66" s="190">
        <v>382915.55</v>
      </c>
      <c r="AT66" s="190">
        <v>0</v>
      </c>
      <c r="AU66" s="190">
        <v>239413.97</v>
      </c>
      <c r="AV66" s="190">
        <v>0</v>
      </c>
      <c r="AW66" s="190">
        <v>55520.68</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126024784.29000001</v>
      </c>
      <c r="C67" s="4">
        <f t="shared" ref="C67:BN67" si="67">C65-C66</f>
        <v>108194966.71000001</v>
      </c>
      <c r="D67" s="4">
        <f t="shared" si="67"/>
        <v>4245206.37</v>
      </c>
      <c r="E67" s="4">
        <f t="shared" si="67"/>
        <v>65302129.099999994</v>
      </c>
      <c r="F67" s="4">
        <f t="shared" si="67"/>
        <v>53612689.149999999</v>
      </c>
      <c r="G67" s="4">
        <f t="shared" si="67"/>
        <v>21038479.77</v>
      </c>
      <c r="H67" s="4">
        <f t="shared" si="67"/>
        <v>3212069.7100000009</v>
      </c>
      <c r="I67" s="4">
        <f t="shared" si="67"/>
        <v>44083239.329999998</v>
      </c>
      <c r="J67" s="4">
        <f t="shared" si="67"/>
        <v>15433476.42</v>
      </c>
      <c r="K67" s="4">
        <f t="shared" si="67"/>
        <v>8391076.4199999999</v>
      </c>
      <c r="L67" s="4">
        <f t="shared" si="67"/>
        <v>0</v>
      </c>
      <c r="M67" s="4">
        <f t="shared" si="67"/>
        <v>50068843.650000006</v>
      </c>
      <c r="N67" s="4">
        <f t="shared" si="67"/>
        <v>36862046.18</v>
      </c>
      <c r="O67" s="4">
        <f t="shared" si="67"/>
        <v>510825.22</v>
      </c>
      <c r="P67" s="4">
        <f t="shared" si="67"/>
        <v>24870.81</v>
      </c>
      <c r="Q67" s="4">
        <f t="shared" si="67"/>
        <v>1595267.89</v>
      </c>
      <c r="R67" s="4">
        <f t="shared" si="67"/>
        <v>-40003.43</v>
      </c>
      <c r="S67" s="4">
        <f t="shared" si="67"/>
        <v>79976.25</v>
      </c>
      <c r="T67" s="4">
        <f t="shared" si="67"/>
        <v>24823.919999999998</v>
      </c>
      <c r="U67" s="4">
        <f t="shared" si="67"/>
        <v>0</v>
      </c>
      <c r="V67" s="4">
        <f t="shared" si="67"/>
        <v>-11601.16</v>
      </c>
      <c r="W67" s="4">
        <f t="shared" si="67"/>
        <v>-13976.22</v>
      </c>
      <c r="X67" s="4">
        <f t="shared" si="67"/>
        <v>-16731.95</v>
      </c>
      <c r="Y67" s="4">
        <f t="shared" si="67"/>
        <v>12574.73</v>
      </c>
      <c r="Z67" s="4">
        <f t="shared" si="67"/>
        <v>19808.259999999998</v>
      </c>
      <c r="AA67" s="4">
        <f t="shared" si="67"/>
        <v>22099.75</v>
      </c>
      <c r="AB67" s="4">
        <f t="shared" si="67"/>
        <v>-41665.65</v>
      </c>
      <c r="AC67" s="4">
        <f t="shared" si="67"/>
        <v>28836.82</v>
      </c>
      <c r="AD67" s="4">
        <f t="shared" si="67"/>
        <v>7719.57</v>
      </c>
      <c r="AE67" s="4">
        <f t="shared" si="67"/>
        <v>0</v>
      </c>
      <c r="AF67" s="4">
        <f t="shared" si="67"/>
        <v>-33058.81</v>
      </c>
      <c r="AG67" s="4">
        <f t="shared" si="67"/>
        <v>0</v>
      </c>
      <c r="AH67" s="4">
        <f t="shared" si="67"/>
        <v>71068.929999999993</v>
      </c>
      <c r="AI67" s="4">
        <f t="shared" si="67"/>
        <v>78133.38</v>
      </c>
      <c r="AJ67" s="4">
        <f t="shared" si="67"/>
        <v>-44974.69</v>
      </c>
      <c r="AK67" s="4">
        <f t="shared" si="67"/>
        <v>0</v>
      </c>
      <c r="AL67" s="4">
        <f t="shared" si="67"/>
        <v>70854.25</v>
      </c>
      <c r="AM67" s="4">
        <f t="shared" si="67"/>
        <v>27931.33</v>
      </c>
      <c r="AN67" s="4">
        <f t="shared" si="67"/>
        <v>-54569.58</v>
      </c>
      <c r="AO67" s="4">
        <f t="shared" si="67"/>
        <v>-557777.59000000008</v>
      </c>
      <c r="AP67" s="4">
        <f t="shared" si="67"/>
        <v>-737826.63</v>
      </c>
      <c r="AQ67" s="4">
        <f t="shared" si="67"/>
        <v>0</v>
      </c>
      <c r="AR67" s="4">
        <f t="shared" si="67"/>
        <v>119748.64</v>
      </c>
      <c r="AS67" s="4">
        <f t="shared" si="67"/>
        <v>0</v>
      </c>
      <c r="AT67" s="4">
        <f t="shared" si="67"/>
        <v>325849.77</v>
      </c>
      <c r="AU67" s="4">
        <f t="shared" si="67"/>
        <v>0</v>
      </c>
      <c r="AV67" s="4">
        <f t="shared" si="67"/>
        <v>-423850.49</v>
      </c>
      <c r="AW67" s="4">
        <f t="shared" si="67"/>
        <v>0</v>
      </c>
      <c r="AX67" s="4">
        <f t="shared" si="67"/>
        <v>-736062.31</v>
      </c>
      <c r="AY67" s="4">
        <f t="shared" si="67"/>
        <v>-733355.63</v>
      </c>
      <c r="AZ67" s="4">
        <f t="shared" si="67"/>
        <v>21520.31</v>
      </c>
      <c r="BA67" s="4">
        <f t="shared" si="67"/>
        <v>-502573.18</v>
      </c>
      <c r="BB67" s="4">
        <f t="shared" si="67"/>
        <v>-309881.87</v>
      </c>
      <c r="BC67" s="4">
        <f t="shared" si="67"/>
        <v>-338013.04</v>
      </c>
      <c r="BD67" s="4">
        <f t="shared" si="67"/>
        <v>-169296.41</v>
      </c>
      <c r="BE67" s="4">
        <f t="shared" si="67"/>
        <v>-554236.79</v>
      </c>
      <c r="BF67" s="4">
        <f t="shared" si="67"/>
        <v>-179478.72</v>
      </c>
      <c r="BG67" s="4">
        <f t="shared" si="67"/>
        <v>-108290.09</v>
      </c>
      <c r="BH67" s="4">
        <f t="shared" si="67"/>
        <v>-66889.25</v>
      </c>
      <c r="BI67" s="4">
        <f t="shared" si="67"/>
        <v>372953.52</v>
      </c>
      <c r="BJ67" s="4">
        <f t="shared" si="67"/>
        <v>0</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180445889.94</v>
      </c>
      <c r="C68" s="190">
        <v>105112062.16</v>
      </c>
      <c r="D68" s="190">
        <v>37780017.130000003</v>
      </c>
      <c r="E68" s="190">
        <v>111200771.66</v>
      </c>
      <c r="F68" s="190">
        <v>73797575.680000007</v>
      </c>
      <c r="G68" s="190">
        <v>42657297.43</v>
      </c>
      <c r="H68" s="190">
        <v>17209558.579999998</v>
      </c>
      <c r="I68" s="190">
        <v>40329097.539999999</v>
      </c>
      <c r="J68" s="190">
        <v>25351333.91</v>
      </c>
      <c r="K68" s="190">
        <v>14907425.34</v>
      </c>
      <c r="L68" s="190">
        <v>7565905.5</v>
      </c>
      <c r="M68" s="190">
        <v>19881250.48</v>
      </c>
      <c r="N68" s="190">
        <v>12893072.82</v>
      </c>
      <c r="O68" s="190">
        <v>-281452.78999999998</v>
      </c>
      <c r="P68" s="190">
        <v>-642825.49</v>
      </c>
      <c r="Q68" s="190">
        <v>8098209.2599999998</v>
      </c>
      <c r="R68" s="190">
        <v>7471299.8799999999</v>
      </c>
      <c r="S68" s="190">
        <v>4978252.42</v>
      </c>
      <c r="T68" s="190">
        <v>1930917.85</v>
      </c>
      <c r="U68" s="190">
        <v>11548955.9</v>
      </c>
      <c r="V68" s="190">
        <v>7019567.71</v>
      </c>
      <c r="W68" s="190">
        <v>5712580.5099999998</v>
      </c>
      <c r="X68" s="190">
        <v>1741811.86</v>
      </c>
      <c r="Y68" s="190">
        <v>918550.34</v>
      </c>
      <c r="Z68" s="190">
        <v>-1746780.08</v>
      </c>
      <c r="AA68" s="190">
        <v>-1074299.42</v>
      </c>
      <c r="AB68" s="190">
        <v>-689278.59</v>
      </c>
      <c r="AC68" s="190">
        <v>1200456.69</v>
      </c>
      <c r="AD68" s="190">
        <v>1069203.06</v>
      </c>
      <c r="AE68" s="190">
        <v>-230904.19</v>
      </c>
      <c r="AF68" s="190">
        <v>-780326.03</v>
      </c>
      <c r="AG68" s="190">
        <v>-1430285.15</v>
      </c>
      <c r="AH68" s="190">
        <v>-2116228.2400000002</v>
      </c>
      <c r="AI68" s="190">
        <v>-1946776.28</v>
      </c>
      <c r="AJ68" s="190">
        <v>-2161654.0699999998</v>
      </c>
      <c r="AK68" s="190">
        <v>-4307683.47</v>
      </c>
      <c r="AL68" s="190">
        <v>-4364504.28</v>
      </c>
      <c r="AM68" s="190">
        <v>-2705158.58</v>
      </c>
      <c r="AN68" s="190">
        <v>-2739895.99</v>
      </c>
      <c r="AO68" s="190">
        <v>-1149063.42</v>
      </c>
      <c r="AP68" s="190">
        <v>-1896454.18</v>
      </c>
      <c r="AQ68" s="190">
        <v>-1951498.37</v>
      </c>
      <c r="AR68" s="190">
        <v>-1951402.75</v>
      </c>
      <c r="AS68" s="190">
        <v>-1604895.6</v>
      </c>
      <c r="AT68" s="190">
        <v>-1706624.36</v>
      </c>
      <c r="AU68" s="190">
        <v>-1660081.07</v>
      </c>
      <c r="AV68" s="190">
        <v>-2535170.69</v>
      </c>
      <c r="AW68" s="190">
        <v>4322.8999999999996</v>
      </c>
      <c r="AX68" s="190">
        <v>-687794.55</v>
      </c>
      <c r="AY68" s="190">
        <v>-459639.5</v>
      </c>
      <c r="AZ68" s="190">
        <v>9432.8799999999992</v>
      </c>
      <c r="BA68" s="190">
        <v>-639293.54</v>
      </c>
      <c r="BB68" s="190">
        <v>75984.37</v>
      </c>
      <c r="BC68" s="190">
        <v>-125928.14</v>
      </c>
      <c r="BD68" s="190">
        <v>31351.31</v>
      </c>
      <c r="BE68" s="190">
        <v>421951.67</v>
      </c>
      <c r="BF68" s="190">
        <v>342122.88</v>
      </c>
      <c r="BG68" s="190">
        <v>208355.85</v>
      </c>
      <c r="BH68" s="190">
        <v>-325559.99</v>
      </c>
      <c r="BI68" s="190">
        <v>-3217656.78</v>
      </c>
      <c r="BJ68" s="190">
        <v>0</v>
      </c>
      <c r="BK68" s="190">
        <v>15927037.050000001</v>
      </c>
      <c r="BL68" s="190">
        <v>6393201.8399999999</v>
      </c>
      <c r="BM68" s="190">
        <v>7360831.6900000004</v>
      </c>
      <c r="BN68" s="190">
        <v>8294311.9100000001</v>
      </c>
      <c r="BO68" s="190">
        <v>4854831.74</v>
      </c>
      <c r="BP68" s="190">
        <v>8338188.3899999997</v>
      </c>
      <c r="BQ68" s="190">
        <v>5508116.9500000002</v>
      </c>
      <c r="BR68" s="190">
        <v>3768713.32</v>
      </c>
      <c r="BS68" s="190">
        <v>3410802.03</v>
      </c>
      <c r="BT68" s="190">
        <v>-87429.7</v>
      </c>
      <c r="BU68" s="190">
        <v>-6568664.4100000001</v>
      </c>
      <c r="BV68" s="190">
        <v>5932455.8700000001</v>
      </c>
      <c r="BW68" s="190">
        <v>868607.39</v>
      </c>
      <c r="BX68" s="190">
        <v>17436730.539999999</v>
      </c>
      <c r="BY68" s="190">
        <v>22884335.809999999</v>
      </c>
      <c r="BZ68" s="190">
        <v>0</v>
      </c>
      <c r="CA68" s="190">
        <v>49930619.770000003</v>
      </c>
      <c r="CB68" s="190">
        <v>0</v>
      </c>
      <c r="CC68" s="190">
        <v>24077630.73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6913918263.0299997</v>
      </c>
      <c r="C70" s="190">
        <v>6906857130.54</v>
      </c>
      <c r="D70" s="190">
        <v>6807827103.8599997</v>
      </c>
      <c r="E70" s="190">
        <v>6902872091.8999996</v>
      </c>
      <c r="F70" s="190">
        <v>3839391237.1199999</v>
      </c>
      <c r="G70" s="190">
        <v>3603259961.52</v>
      </c>
      <c r="H70" s="190">
        <v>3476992311.9699998</v>
      </c>
      <c r="I70" s="190">
        <v>3583924066.8499999</v>
      </c>
      <c r="J70" s="190">
        <v>3336239965.3200002</v>
      </c>
      <c r="K70" s="190">
        <v>3255200771.9899998</v>
      </c>
      <c r="L70" s="190">
        <v>3109351322.9200001</v>
      </c>
      <c r="M70" s="190">
        <v>3241527925.3400002</v>
      </c>
      <c r="N70" s="190">
        <v>2951750128.5999999</v>
      </c>
      <c r="O70" s="190">
        <v>440303637.82999998</v>
      </c>
      <c r="P70" s="190">
        <v>452429120.55000001</v>
      </c>
      <c r="Q70" s="190">
        <v>448112981.39999998</v>
      </c>
      <c r="R70" s="190">
        <v>453870276.14999998</v>
      </c>
      <c r="S70" s="190">
        <v>426116392.37</v>
      </c>
      <c r="T70" s="190">
        <v>431349959.06999999</v>
      </c>
      <c r="U70" s="190">
        <v>426816791.44</v>
      </c>
      <c r="V70" s="190">
        <v>477814642.62</v>
      </c>
      <c r="W70" s="190">
        <v>450862261.86000001</v>
      </c>
      <c r="X70" s="190">
        <v>492994219.73000002</v>
      </c>
      <c r="Y70" s="190">
        <v>488234219.13999999</v>
      </c>
      <c r="Z70" s="190">
        <v>408435221.54000002</v>
      </c>
      <c r="AA70" s="190">
        <v>380627389.35000002</v>
      </c>
      <c r="AB70" s="190">
        <v>400532487.43000001</v>
      </c>
      <c r="AC70" s="190">
        <v>395884939.36000001</v>
      </c>
      <c r="AD70" s="190">
        <v>369365533.97000003</v>
      </c>
      <c r="AE70" s="190">
        <v>345855337.39999998</v>
      </c>
      <c r="AF70" s="190">
        <v>352818517.24000001</v>
      </c>
      <c r="AG70" s="190">
        <v>347622442.77999997</v>
      </c>
      <c r="AH70" s="190">
        <v>340272474.61000001</v>
      </c>
      <c r="AI70" s="190">
        <v>329236905.43000001</v>
      </c>
      <c r="AJ70" s="190">
        <v>342502968.52999997</v>
      </c>
      <c r="AK70" s="190">
        <v>338679644.94</v>
      </c>
      <c r="AL70" s="190">
        <v>334403218.31999999</v>
      </c>
      <c r="AM70" s="190">
        <v>325670927.31999999</v>
      </c>
      <c r="AN70" s="190">
        <v>333514320.54000002</v>
      </c>
      <c r="AO70" s="190">
        <v>330681077.72000003</v>
      </c>
      <c r="AP70" s="190">
        <v>328037204.16000003</v>
      </c>
      <c r="AQ70" s="190">
        <v>322269181.74000001</v>
      </c>
      <c r="AR70" s="190">
        <v>319871563.44999999</v>
      </c>
      <c r="AS70" s="190">
        <v>316993617.54000002</v>
      </c>
      <c r="AT70" s="190">
        <v>311675467.13</v>
      </c>
      <c r="AU70" s="190">
        <v>296571476.04000002</v>
      </c>
      <c r="AV70" s="190">
        <v>310169394.54000002</v>
      </c>
      <c r="AW70" s="190">
        <v>305754012.97000003</v>
      </c>
      <c r="AX70" s="190">
        <v>299992255.19</v>
      </c>
      <c r="AY70" s="190">
        <v>284163393.33999997</v>
      </c>
      <c r="AZ70" s="190">
        <v>294789176.82999998</v>
      </c>
      <c r="BA70" s="190">
        <v>291094580.5</v>
      </c>
      <c r="BB70" s="190">
        <v>312235581.92000002</v>
      </c>
      <c r="BC70" s="190">
        <v>298900963.18000001</v>
      </c>
      <c r="BD70" s="190">
        <v>151809450.71000001</v>
      </c>
      <c r="BE70" s="190">
        <v>145145762.83000001</v>
      </c>
      <c r="BF70" s="190">
        <v>126785218.7</v>
      </c>
      <c r="BG70" s="190">
        <v>0</v>
      </c>
      <c r="BH70" s="190"/>
      <c r="BI70" s="190"/>
      <c r="BJ70" s="190"/>
      <c r="BK70" s="190">
        <v>4292913533.4400001</v>
      </c>
      <c r="BL70" s="190">
        <v>4290589554.0599999</v>
      </c>
      <c r="BM70" s="190">
        <v>4205781132.7199998</v>
      </c>
      <c r="BN70" s="190">
        <v>4125320111.8000002</v>
      </c>
      <c r="BO70" s="190">
        <v>3954027963.8899999</v>
      </c>
      <c r="BP70" s="190">
        <v>3988477317.79</v>
      </c>
      <c r="BQ70" s="190">
        <v>3875929168.1599998</v>
      </c>
      <c r="BR70" s="190">
        <v>3795371454.2600002</v>
      </c>
      <c r="BS70" s="190">
        <v>3599541620.5700002</v>
      </c>
      <c r="BT70" s="190">
        <v>3730682761.8000002</v>
      </c>
      <c r="BU70" s="190">
        <v>3598065094.6500001</v>
      </c>
      <c r="BV70" s="190">
        <v>2191187359.48</v>
      </c>
      <c r="BW70" s="190">
        <v>2108608785.3</v>
      </c>
      <c r="BX70" s="190">
        <v>1229599139.29</v>
      </c>
      <c r="BY70" s="190">
        <v>1243135953.28</v>
      </c>
      <c r="BZ70" s="190">
        <v>1174616352.97</v>
      </c>
      <c r="CA70" s="190">
        <v>1161133968.48</v>
      </c>
      <c r="CB70" s="190">
        <v>1183711862.5699999</v>
      </c>
      <c r="CC70" s="190">
        <v>1077817608.03</v>
      </c>
      <c r="CD70" s="190">
        <v>1076597245.8299999</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3" width="21.5546875" hidden="1" customWidth="1"/>
    <col min="4" max="4" width="20.33203125" hidden="1" customWidth="1"/>
    <col min="5" max="5" width="20.33203125" bestFit="1" customWidth="1"/>
    <col min="6" max="8" width="20.33203125" hidden="1" customWidth="1"/>
    <col min="9" max="9" width="20.33203125" bestFit="1" customWidth="1"/>
    <col min="10" max="12" width="20.33203125" hidden="1" customWidth="1"/>
    <col min="13" max="13" width="20.33203125" bestFit="1" customWidth="1"/>
    <col min="14" max="14" width="20.33203125" hidden="1" customWidth="1"/>
    <col min="15" max="16" width="18.109375" hidden="1" customWidth="1"/>
    <col min="17" max="17" width="20" bestFit="1" customWidth="1"/>
    <col min="18" max="20" width="18.109375" hidden="1" customWidth="1"/>
    <col min="21" max="21" width="20" bestFit="1" customWidth="1"/>
    <col min="22" max="24" width="18.109375" hidden="1" customWidth="1"/>
    <col min="25" max="25" width="20"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9.3320312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8.109375" bestFit="1" customWidth="1"/>
    <col min="54" max="55" width="20.33203125" hidden="1" customWidth="1"/>
    <col min="56" max="56" width="20.33203125" bestFit="1" customWidth="1"/>
    <col min="57"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20.33203125" bestFit="1" customWidth="1"/>
    <col min="72" max="72" width="18.109375" hidden="1" customWidth="1"/>
    <col min="73" max="73" width="20.33203125" bestFit="1" customWidth="1"/>
    <col min="74" max="74" width="12.21875" hidden="1" customWidth="1"/>
  </cols>
  <sheetData>
    <row r="1" spans="1:74" s="6" customFormat="1" x14ac:dyDescent="0.25">
      <c r="A1" s="104">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351940</v>
      </c>
      <c r="C3" s="190">
        <v>351940</v>
      </c>
      <c r="D3" s="190">
        <v>249170</v>
      </c>
      <c r="E3" s="190">
        <v>8325052.0499999998</v>
      </c>
      <c r="F3" s="190">
        <v>30252.69</v>
      </c>
      <c r="G3" s="190">
        <v>30252.69</v>
      </c>
      <c r="H3" s="190">
        <v>0</v>
      </c>
      <c r="I3" s="190">
        <v>231666.93</v>
      </c>
      <c r="J3" s="190">
        <v>213000</v>
      </c>
      <c r="K3" s="190">
        <v>213000</v>
      </c>
      <c r="L3" s="190">
        <v>0</v>
      </c>
      <c r="M3" s="190">
        <v>189089.59</v>
      </c>
      <c r="N3" s="190">
        <v>191280.17</v>
      </c>
      <c r="O3" s="190">
        <v>222903.6</v>
      </c>
      <c r="P3" s="190">
        <v>422353.02</v>
      </c>
      <c r="Q3" s="190">
        <v>2869040.4</v>
      </c>
      <c r="R3" s="190">
        <v>725557.79</v>
      </c>
      <c r="S3" s="190">
        <v>122600</v>
      </c>
      <c r="T3" s="190">
        <v>0</v>
      </c>
      <c r="U3" s="190">
        <v>269819.23</v>
      </c>
      <c r="V3" s="190">
        <v>153913.07999999999</v>
      </c>
      <c r="W3" s="190">
        <v>153913.07999999999</v>
      </c>
      <c r="X3" s="190">
        <v>6569.25</v>
      </c>
      <c r="Y3" s="190">
        <v>702148.2</v>
      </c>
      <c r="Z3" s="190">
        <v>694148.2</v>
      </c>
      <c r="AA3" s="190">
        <v>692815.4</v>
      </c>
      <c r="AB3" s="190">
        <v>0</v>
      </c>
      <c r="AC3" s="190">
        <v>1246555.3899999999</v>
      </c>
      <c r="AD3" s="190">
        <v>901529.72</v>
      </c>
      <c r="AE3" s="190">
        <v>844106.72</v>
      </c>
      <c r="AF3" s="190">
        <v>789204.8</v>
      </c>
      <c r="AG3" s="190">
        <v>1270629.04</v>
      </c>
      <c r="AH3" s="190">
        <v>628089.76</v>
      </c>
      <c r="AI3" s="190">
        <v>116772.9</v>
      </c>
      <c r="AJ3" s="190">
        <v>0</v>
      </c>
      <c r="AK3" s="190">
        <v>318837.57</v>
      </c>
      <c r="AL3" s="190">
        <v>42676.47</v>
      </c>
      <c r="AM3" s="190">
        <v>112500</v>
      </c>
      <c r="AN3" s="190">
        <v>186828</v>
      </c>
      <c r="AO3" s="190">
        <v>173300</v>
      </c>
      <c r="AP3" s="190">
        <v>25000</v>
      </c>
      <c r="AQ3" s="190">
        <v>57690</v>
      </c>
      <c r="AR3" s="190">
        <v>106427.68</v>
      </c>
      <c r="AS3" s="190">
        <v>3438008</v>
      </c>
      <c r="AT3" s="190">
        <v>1716176</v>
      </c>
      <c r="AU3" s="190">
        <v>878376</v>
      </c>
      <c r="AV3" s="190">
        <v>0</v>
      </c>
      <c r="AW3" s="190">
        <v>1625759.1</v>
      </c>
      <c r="AX3" s="190">
        <v>1095160</v>
      </c>
      <c r="AY3" s="190">
        <v>1084700</v>
      </c>
      <c r="AZ3" s="190">
        <v>18200</v>
      </c>
      <c r="BA3" s="190">
        <v>284902</v>
      </c>
      <c r="BB3" s="190">
        <v>130210.47</v>
      </c>
      <c r="BC3" s="190">
        <v>204950</v>
      </c>
      <c r="BD3" s="190">
        <v>2065026</v>
      </c>
      <c r="BE3" s="190">
        <v>0</v>
      </c>
      <c r="BF3" s="190">
        <v>38868434.75</v>
      </c>
      <c r="BG3" s="190">
        <v>38416702</v>
      </c>
      <c r="BH3" s="190">
        <v>274402</v>
      </c>
      <c r="BI3" s="190">
        <v>41365363.460000001</v>
      </c>
      <c r="BJ3" s="190">
        <v>2491931.35</v>
      </c>
      <c r="BK3" s="190">
        <v>1992514.85</v>
      </c>
      <c r="BL3" s="190">
        <v>1162020.5</v>
      </c>
      <c r="BM3" s="190">
        <v>2987939.02</v>
      </c>
      <c r="BN3" s="190">
        <v>1058594</v>
      </c>
      <c r="BO3" s="190">
        <v>6827460.8499999996</v>
      </c>
      <c r="BP3" s="190">
        <v>261643</v>
      </c>
      <c r="BQ3" s="190">
        <v>1346419</v>
      </c>
      <c r="BR3" s="190">
        <v>481330</v>
      </c>
      <c r="BS3" s="190">
        <v>1785585.16</v>
      </c>
      <c r="BT3" s="190">
        <v>121328</v>
      </c>
      <c r="BU3" s="190">
        <v>1920433.63</v>
      </c>
      <c r="BV3" s="190">
        <v>0</v>
      </c>
    </row>
    <row r="4" spans="1:74" s="26" customFormat="1" x14ac:dyDescent="0.25">
      <c r="A4" s="17" t="s">
        <v>304</v>
      </c>
      <c r="B4" s="190">
        <v>961227118.38999999</v>
      </c>
      <c r="C4" s="190">
        <v>457844847.39999998</v>
      </c>
      <c r="D4" s="190">
        <v>223079910.83000001</v>
      </c>
      <c r="E4" s="190">
        <v>811789530.45000005</v>
      </c>
      <c r="F4" s="190">
        <v>536009275.01999998</v>
      </c>
      <c r="G4" s="190">
        <v>340515396.06</v>
      </c>
      <c r="H4" s="190">
        <v>120924376.16</v>
      </c>
      <c r="I4" s="190">
        <v>454099741.80000001</v>
      </c>
      <c r="J4" s="190">
        <v>342140237.5</v>
      </c>
      <c r="K4" s="190">
        <v>328225267.89999998</v>
      </c>
      <c r="L4" s="190">
        <v>123718924.05</v>
      </c>
      <c r="M4" s="190">
        <v>347085165.62</v>
      </c>
      <c r="N4" s="190">
        <v>312259177.13</v>
      </c>
      <c r="O4" s="190">
        <v>5550354.2699999996</v>
      </c>
      <c r="P4" s="190">
        <v>1773390.42</v>
      </c>
      <c r="Q4" s="190">
        <v>6169016.8799999999</v>
      </c>
      <c r="R4" s="190">
        <v>7360349.5099999998</v>
      </c>
      <c r="S4" s="190">
        <v>6649761.4900000002</v>
      </c>
      <c r="T4" s="190">
        <v>4033350.8</v>
      </c>
      <c r="U4" s="190">
        <v>20839546.16</v>
      </c>
      <c r="V4" s="190">
        <v>18362122.75</v>
      </c>
      <c r="W4" s="190">
        <v>15272471.630000001</v>
      </c>
      <c r="X4" s="190">
        <v>11632480.84</v>
      </c>
      <c r="Y4" s="190">
        <v>15641476.57</v>
      </c>
      <c r="Z4" s="190">
        <v>6491410.2999999998</v>
      </c>
      <c r="AA4" s="190">
        <v>5739740.0800000001</v>
      </c>
      <c r="AB4" s="190">
        <v>4077896.1</v>
      </c>
      <c r="AC4" s="190">
        <v>75157746.260000005</v>
      </c>
      <c r="AD4" s="190">
        <v>79284781.609999999</v>
      </c>
      <c r="AE4" s="190">
        <v>60488009.090000004</v>
      </c>
      <c r="AF4" s="190">
        <v>48241679.439999998</v>
      </c>
      <c r="AG4" s="190">
        <v>44174795.380000003</v>
      </c>
      <c r="AH4" s="190">
        <v>4153891.33</v>
      </c>
      <c r="AI4" s="190">
        <v>1643605.21</v>
      </c>
      <c r="AJ4" s="190">
        <v>64882.559999999998</v>
      </c>
      <c r="AK4" s="190">
        <v>2404620.17</v>
      </c>
      <c r="AL4" s="190">
        <v>866426.16</v>
      </c>
      <c r="AM4" s="190">
        <v>703981.72</v>
      </c>
      <c r="AN4" s="190">
        <v>278717.93</v>
      </c>
      <c r="AO4" s="190">
        <v>10295136.27</v>
      </c>
      <c r="AP4" s="190">
        <v>-981292.37</v>
      </c>
      <c r="AQ4" s="190">
        <v>1856193</v>
      </c>
      <c r="AR4" s="190">
        <v>1469160</v>
      </c>
      <c r="AS4" s="190">
        <v>7336982.0899999999</v>
      </c>
      <c r="AT4" s="190">
        <v>487452.05</v>
      </c>
      <c r="AU4" s="190">
        <v>344411</v>
      </c>
      <c r="AV4" s="190">
        <v>406711.3</v>
      </c>
      <c r="AW4" s="190">
        <v>24418580.09</v>
      </c>
      <c r="AX4" s="190">
        <v>20894625.350000001</v>
      </c>
      <c r="AY4" s="190">
        <v>15154816.630000001</v>
      </c>
      <c r="AZ4" s="190">
        <v>1863626.93</v>
      </c>
      <c r="BA4" s="190">
        <v>23612634.5</v>
      </c>
      <c r="BB4" s="190">
        <v>11386751.17</v>
      </c>
      <c r="BC4" s="190">
        <v>7658658.0800000001</v>
      </c>
      <c r="BD4" s="190">
        <v>32261150.329999998</v>
      </c>
      <c r="BE4" s="190">
        <v>0</v>
      </c>
      <c r="BF4" s="190">
        <v>60186089.049999997</v>
      </c>
      <c r="BG4" s="190">
        <v>35360561.850000001</v>
      </c>
      <c r="BH4" s="190">
        <v>22426882.170000002</v>
      </c>
      <c r="BI4" s="190">
        <v>238481768.24000001</v>
      </c>
      <c r="BJ4" s="190">
        <v>76763229.650000006</v>
      </c>
      <c r="BK4" s="190">
        <v>62749809.329999998</v>
      </c>
      <c r="BL4" s="190">
        <v>15069822.77</v>
      </c>
      <c r="BM4" s="190">
        <v>104045321.84</v>
      </c>
      <c r="BN4" s="190">
        <v>21510169.949999999</v>
      </c>
      <c r="BO4" s="190">
        <v>58085745.119999997</v>
      </c>
      <c r="BP4" s="190">
        <v>18871331.609999999</v>
      </c>
      <c r="BQ4" s="190">
        <v>107928539.29000001</v>
      </c>
      <c r="BR4" s="190">
        <v>41474775.710000001</v>
      </c>
      <c r="BS4" s="190">
        <v>77554299.430000007</v>
      </c>
      <c r="BT4" s="190">
        <v>5948169.1900000004</v>
      </c>
      <c r="BU4" s="190">
        <v>1672351.66</v>
      </c>
      <c r="BV4" s="190">
        <v>0</v>
      </c>
    </row>
    <row r="5" spans="1:74" s="47" customFormat="1" x14ac:dyDescent="0.25">
      <c r="A5" s="135" t="s">
        <v>295</v>
      </c>
      <c r="E5" s="47">
        <f>E4-E3</f>
        <v>803464478.4000001</v>
      </c>
      <c r="F5" s="47">
        <f t="shared" ref="F5:AR5" si="0">F4-F3</f>
        <v>535979022.32999998</v>
      </c>
      <c r="G5" s="47">
        <f t="shared" si="0"/>
        <v>340485143.37</v>
      </c>
      <c r="H5" s="47">
        <f t="shared" si="0"/>
        <v>120924376.16</v>
      </c>
      <c r="I5" s="47">
        <f t="shared" si="0"/>
        <v>453868074.87</v>
      </c>
      <c r="J5" s="47">
        <f t="shared" si="0"/>
        <v>341927237.5</v>
      </c>
      <c r="K5" s="47">
        <f t="shared" si="0"/>
        <v>328012267.89999998</v>
      </c>
      <c r="L5" s="47">
        <f t="shared" si="0"/>
        <v>123718924.05</v>
      </c>
      <c r="M5" s="47">
        <f t="shared" si="0"/>
        <v>346896076.03000003</v>
      </c>
      <c r="N5" s="47">
        <f t="shared" si="0"/>
        <v>312067896.95999998</v>
      </c>
      <c r="O5" s="47">
        <f t="shared" si="0"/>
        <v>5327450.67</v>
      </c>
      <c r="P5" s="47">
        <f t="shared" si="0"/>
        <v>1351037.4</v>
      </c>
      <c r="Q5" s="47">
        <f t="shared" si="0"/>
        <v>3299976.48</v>
      </c>
      <c r="R5" s="47">
        <f t="shared" si="0"/>
        <v>6634791.7199999997</v>
      </c>
      <c r="S5" s="47">
        <f t="shared" si="0"/>
        <v>6527161.4900000002</v>
      </c>
      <c r="T5" s="47">
        <f t="shared" si="0"/>
        <v>4033350.8</v>
      </c>
      <c r="U5" s="47">
        <f t="shared" si="0"/>
        <v>20569726.93</v>
      </c>
      <c r="V5" s="47">
        <f t="shared" si="0"/>
        <v>18208209.670000002</v>
      </c>
      <c r="W5" s="47">
        <f t="shared" si="0"/>
        <v>15118558.550000001</v>
      </c>
      <c r="X5" s="47">
        <f t="shared" si="0"/>
        <v>11625911.59</v>
      </c>
      <c r="Y5" s="47">
        <f t="shared" si="0"/>
        <v>14939328.370000001</v>
      </c>
      <c r="Z5" s="47">
        <f t="shared" si="0"/>
        <v>5797262.0999999996</v>
      </c>
      <c r="AA5" s="47">
        <f t="shared" si="0"/>
        <v>5046924.68</v>
      </c>
      <c r="AB5" s="47">
        <f t="shared" si="0"/>
        <v>4077896.1</v>
      </c>
      <c r="AC5" s="47">
        <f t="shared" si="0"/>
        <v>73911190.870000005</v>
      </c>
      <c r="AD5" s="47">
        <f t="shared" si="0"/>
        <v>78383251.890000001</v>
      </c>
      <c r="AE5" s="47">
        <f t="shared" si="0"/>
        <v>59643902.370000005</v>
      </c>
      <c r="AF5" s="47">
        <f t="shared" si="0"/>
        <v>47452474.640000001</v>
      </c>
      <c r="AG5" s="47">
        <f t="shared" si="0"/>
        <v>42904166.340000004</v>
      </c>
      <c r="AH5" s="47">
        <f t="shared" si="0"/>
        <v>3525801.5700000003</v>
      </c>
      <c r="AI5" s="47">
        <f t="shared" si="0"/>
        <v>1526832.31</v>
      </c>
      <c r="AJ5" s="47">
        <f t="shared" si="0"/>
        <v>64882.559999999998</v>
      </c>
      <c r="AK5" s="47">
        <f t="shared" si="0"/>
        <v>2085782.5999999999</v>
      </c>
      <c r="AL5" s="47">
        <f t="shared" si="0"/>
        <v>823749.69000000006</v>
      </c>
      <c r="AM5" s="47">
        <f t="shared" si="0"/>
        <v>591481.72</v>
      </c>
      <c r="AN5" s="47">
        <f t="shared" si="0"/>
        <v>91889.93</v>
      </c>
      <c r="AO5" s="47">
        <f t="shared" si="0"/>
        <v>10121836.27</v>
      </c>
      <c r="AP5" s="47">
        <f t="shared" si="0"/>
        <v>-1006292.37</v>
      </c>
      <c r="AQ5" s="47">
        <f t="shared" si="0"/>
        <v>1798503</v>
      </c>
      <c r="AR5" s="47">
        <f t="shared" si="0"/>
        <v>1362732.32</v>
      </c>
    </row>
    <row r="6" spans="1:74" s="105" customFormat="1" x14ac:dyDescent="0.25">
      <c r="A6" s="136" t="s">
        <v>305</v>
      </c>
      <c r="B6" s="190">
        <v>0</v>
      </c>
      <c r="C6" s="190">
        <v>138418377.38999999</v>
      </c>
      <c r="D6" s="190">
        <v>0</v>
      </c>
      <c r="E6" s="190">
        <v>209282298.00999999</v>
      </c>
      <c r="F6" s="190">
        <v>0</v>
      </c>
      <c r="G6" s="190">
        <v>73760572.890000001</v>
      </c>
      <c r="H6" s="190">
        <v>0</v>
      </c>
      <c r="I6" s="190">
        <v>108874131.90000001</v>
      </c>
      <c r="J6" s="190">
        <v>0</v>
      </c>
      <c r="K6" s="190">
        <v>50867459.140000001</v>
      </c>
      <c r="L6" s="190">
        <v>0</v>
      </c>
      <c r="M6" s="190">
        <v>75408286.25</v>
      </c>
      <c r="N6" s="190">
        <v>0</v>
      </c>
      <c r="O6" s="190">
        <v>5798043.4800000004</v>
      </c>
      <c r="P6" s="190">
        <v>0</v>
      </c>
      <c r="Q6" s="190">
        <v>14129958.48</v>
      </c>
      <c r="R6" s="190">
        <v>0</v>
      </c>
      <c r="S6" s="190">
        <v>7173480.4699999997</v>
      </c>
      <c r="T6" s="190">
        <v>0</v>
      </c>
      <c r="U6" s="190">
        <v>14831348.48</v>
      </c>
      <c r="V6" s="190">
        <v>0</v>
      </c>
      <c r="W6" s="190">
        <v>5710946.6299999999</v>
      </c>
      <c r="X6" s="190">
        <v>0</v>
      </c>
      <c r="Y6" s="190">
        <v>11638710.630000001</v>
      </c>
      <c r="Z6" s="190">
        <v>0</v>
      </c>
      <c r="AA6" s="190">
        <v>5966957.9500000002</v>
      </c>
      <c r="AB6" s="190">
        <v>0</v>
      </c>
      <c r="AC6" s="190">
        <v>11299530.359999999</v>
      </c>
      <c r="AD6" s="190">
        <v>0</v>
      </c>
      <c r="AE6" s="190">
        <v>5629272.9299999997</v>
      </c>
      <c r="AF6" s="190">
        <v>0</v>
      </c>
      <c r="AG6" s="190">
        <v>11144292.689999999</v>
      </c>
      <c r="AH6" s="190">
        <v>0</v>
      </c>
      <c r="AI6" s="190">
        <v>5540404.1399999997</v>
      </c>
      <c r="AJ6" s="190">
        <v>0</v>
      </c>
      <c r="AK6" s="190">
        <v>12075392.859999999</v>
      </c>
      <c r="AL6" s="190">
        <v>0</v>
      </c>
      <c r="AM6" s="190">
        <v>5970464.9400000004</v>
      </c>
      <c r="AN6" s="190">
        <v>0</v>
      </c>
      <c r="AO6" s="190">
        <v>12762872.439999999</v>
      </c>
      <c r="AP6" s="190">
        <v>0</v>
      </c>
      <c r="AQ6" s="190">
        <v>6692623.8499999996</v>
      </c>
      <c r="AR6" s="190">
        <v>0</v>
      </c>
      <c r="AS6" s="190">
        <v>13822854.84</v>
      </c>
      <c r="AT6" s="190">
        <v>0</v>
      </c>
      <c r="AU6" s="190">
        <v>6857883.5999999996</v>
      </c>
      <c r="AV6" s="190">
        <v>0</v>
      </c>
      <c r="AW6" s="190">
        <v>11839273.16</v>
      </c>
      <c r="AX6" s="190">
        <v>0</v>
      </c>
      <c r="AY6" s="190">
        <v>0</v>
      </c>
      <c r="AZ6" s="190">
        <v>0</v>
      </c>
      <c r="BA6" s="190">
        <v>10613587.960000001</v>
      </c>
      <c r="BB6" s="190">
        <v>7810030.1100000003</v>
      </c>
      <c r="BC6" s="190">
        <v>5720562.71</v>
      </c>
      <c r="BD6" s="190">
        <v>11051484.050000001</v>
      </c>
      <c r="BE6" s="190">
        <v>0</v>
      </c>
      <c r="BF6" s="190">
        <v>100643777.94</v>
      </c>
      <c r="BG6" s="190">
        <v>67804503.920000002</v>
      </c>
      <c r="BH6" s="190">
        <v>33559333.810000002</v>
      </c>
      <c r="BI6" s="190">
        <v>109899974.7</v>
      </c>
      <c r="BJ6" s="190">
        <v>84496337.579999998</v>
      </c>
      <c r="BK6" s="190">
        <v>52892178.280000001</v>
      </c>
      <c r="BL6" s="190">
        <v>31403755.149999999</v>
      </c>
      <c r="BM6" s="190">
        <v>107782040.09</v>
      </c>
      <c r="BN6" s="190">
        <v>44246118.780000001</v>
      </c>
      <c r="BO6" s="190">
        <v>88222126.709999993</v>
      </c>
      <c r="BP6" s="190">
        <v>41275585.07</v>
      </c>
      <c r="BQ6" s="190">
        <v>95503651.379999995</v>
      </c>
      <c r="BR6" s="190">
        <v>40994058.859999999</v>
      </c>
      <c r="BS6" s="190">
        <v>89520764.239999995</v>
      </c>
      <c r="BT6" s="190">
        <v>41116374.049999997</v>
      </c>
      <c r="BU6" s="190">
        <v>26243609.890000001</v>
      </c>
      <c r="BV6" s="190">
        <v>0</v>
      </c>
    </row>
    <row r="7" spans="1:74" s="26" customFormat="1" x14ac:dyDescent="0.25">
      <c r="A7" s="17" t="s">
        <v>306</v>
      </c>
      <c r="B7" s="190">
        <v>0</v>
      </c>
      <c r="C7" s="190">
        <v>3352526.44</v>
      </c>
      <c r="D7" s="190">
        <v>0</v>
      </c>
      <c r="E7" s="190">
        <v>3950619.18</v>
      </c>
      <c r="F7" s="190">
        <v>0</v>
      </c>
      <c r="G7" s="190">
        <v>1192053.3400000001</v>
      </c>
      <c r="H7" s="190">
        <v>0</v>
      </c>
      <c r="I7" s="190">
        <v>2107000.9</v>
      </c>
      <c r="J7" s="190">
        <v>0</v>
      </c>
      <c r="K7" s="190">
        <v>994719.05</v>
      </c>
      <c r="L7" s="190">
        <v>0</v>
      </c>
      <c r="M7" s="190">
        <v>1839999.16</v>
      </c>
      <c r="N7" s="190">
        <v>0</v>
      </c>
      <c r="O7" s="190">
        <v>419911.99</v>
      </c>
      <c r="P7" s="190">
        <v>0</v>
      </c>
      <c r="Q7" s="190">
        <v>830438.88</v>
      </c>
      <c r="R7" s="190">
        <v>0</v>
      </c>
      <c r="S7" s="190">
        <v>415219.44</v>
      </c>
      <c r="T7" s="190">
        <v>0</v>
      </c>
      <c r="U7" s="190">
        <v>821226.75</v>
      </c>
      <c r="V7" s="190">
        <v>0</v>
      </c>
      <c r="W7" s="190">
        <v>415219.34</v>
      </c>
      <c r="X7" s="190">
        <v>0</v>
      </c>
      <c r="Y7" s="190">
        <v>1047758.88</v>
      </c>
      <c r="Z7" s="190">
        <v>0</v>
      </c>
      <c r="AA7" s="190">
        <v>545659.43999999994</v>
      </c>
      <c r="AB7" s="190">
        <v>0</v>
      </c>
      <c r="AC7" s="190">
        <v>985963.74</v>
      </c>
      <c r="AD7" s="190">
        <v>0</v>
      </c>
      <c r="AE7" s="190">
        <v>440244.3</v>
      </c>
      <c r="AF7" s="190">
        <v>0</v>
      </c>
      <c r="AG7" s="190">
        <v>668865.04</v>
      </c>
      <c r="AH7" s="190">
        <v>0</v>
      </c>
      <c r="AI7" s="190">
        <v>968345.88</v>
      </c>
      <c r="AJ7" s="190">
        <v>0</v>
      </c>
      <c r="AK7" s="190">
        <v>894538.33</v>
      </c>
      <c r="AL7" s="190">
        <v>0</v>
      </c>
      <c r="AM7" s="190">
        <v>436037.2</v>
      </c>
      <c r="AN7" s="190">
        <v>0</v>
      </c>
      <c r="AO7" s="190">
        <v>890498.67</v>
      </c>
      <c r="AP7" s="190">
        <v>0</v>
      </c>
      <c r="AQ7" s="190">
        <v>444117.27</v>
      </c>
      <c r="AR7" s="190">
        <v>0</v>
      </c>
      <c r="AS7" s="190">
        <v>932084.82</v>
      </c>
      <c r="AT7" s="190">
        <v>0</v>
      </c>
      <c r="AU7" s="190">
        <v>463378.68</v>
      </c>
      <c r="AV7" s="190">
        <v>0</v>
      </c>
      <c r="AW7" s="190">
        <v>958053.88</v>
      </c>
      <c r="AX7" s="190">
        <v>0</v>
      </c>
      <c r="AY7" s="190">
        <v>0</v>
      </c>
      <c r="AZ7" s="190">
        <v>0</v>
      </c>
      <c r="BA7" s="190">
        <v>958053.88</v>
      </c>
      <c r="BB7" s="190">
        <v>707916.64</v>
      </c>
      <c r="BC7" s="190">
        <v>474305.26</v>
      </c>
      <c r="BD7" s="190">
        <v>751311.67</v>
      </c>
      <c r="BE7" s="190">
        <v>0</v>
      </c>
      <c r="BF7" s="190">
        <v>6792565.9699999997</v>
      </c>
      <c r="BG7" s="190">
        <v>4751764.13</v>
      </c>
      <c r="BH7" s="190">
        <v>2335835.9500000002</v>
      </c>
      <c r="BI7" s="190">
        <v>8782625.9000000004</v>
      </c>
      <c r="BJ7" s="190">
        <v>7089526.9800000004</v>
      </c>
      <c r="BK7" s="190">
        <v>1620462.95</v>
      </c>
      <c r="BL7" s="190">
        <v>1763517.7</v>
      </c>
      <c r="BM7" s="190">
        <v>2443610.4700000002</v>
      </c>
      <c r="BN7" s="190">
        <v>1123455.74</v>
      </c>
      <c r="BO7" s="190">
        <v>1595400.12</v>
      </c>
      <c r="BP7" s="190">
        <v>600708.37</v>
      </c>
      <c r="BQ7" s="190">
        <v>11702335.1</v>
      </c>
      <c r="BR7" s="190">
        <v>-80152.47</v>
      </c>
      <c r="BS7" s="190">
        <v>5482118.0300000003</v>
      </c>
      <c r="BT7" s="190">
        <v>2729291.5</v>
      </c>
      <c r="BU7" s="190">
        <v>2377808.85</v>
      </c>
      <c r="BV7" s="190">
        <v>0</v>
      </c>
    </row>
    <row r="8" spans="1:74" s="26" customFormat="1" x14ac:dyDescent="0.25">
      <c r="A8" s="17" t="s">
        <v>307</v>
      </c>
      <c r="B8" s="190">
        <v>0</v>
      </c>
      <c r="C8" s="190">
        <v>112627938.36</v>
      </c>
      <c r="D8" s="190">
        <v>0</v>
      </c>
      <c r="E8" s="190">
        <v>193846580.61000001</v>
      </c>
      <c r="F8" s="190">
        <v>0</v>
      </c>
      <c r="G8" s="190">
        <v>72216669.159999996</v>
      </c>
      <c r="H8" s="190">
        <v>0</v>
      </c>
      <c r="I8" s="190">
        <v>107048261.22</v>
      </c>
      <c r="J8" s="190">
        <v>0</v>
      </c>
      <c r="K8" s="190">
        <v>45569031.82</v>
      </c>
      <c r="L8" s="190">
        <v>0</v>
      </c>
      <c r="M8" s="190">
        <v>72749835.430000007</v>
      </c>
      <c r="N8" s="190">
        <v>0</v>
      </c>
      <c r="O8" s="190">
        <v>534957.74</v>
      </c>
      <c r="P8" s="190">
        <v>0</v>
      </c>
      <c r="Q8" s="190">
        <v>1455644.74</v>
      </c>
      <c r="R8" s="190">
        <v>0</v>
      </c>
      <c r="S8" s="190">
        <v>358464.09</v>
      </c>
      <c r="T8" s="190">
        <v>0</v>
      </c>
      <c r="U8" s="190">
        <v>440413.74</v>
      </c>
      <c r="V8" s="190">
        <v>0</v>
      </c>
      <c r="W8" s="190">
        <v>142074</v>
      </c>
      <c r="X8" s="190">
        <v>0</v>
      </c>
      <c r="Y8" s="190">
        <v>356046.77</v>
      </c>
      <c r="Z8" s="190">
        <v>0</v>
      </c>
      <c r="AA8" s="190">
        <v>94133.119999999995</v>
      </c>
      <c r="AB8" s="190">
        <v>0</v>
      </c>
      <c r="AC8" s="190">
        <v>606080.80000000005</v>
      </c>
      <c r="AD8" s="190">
        <v>0</v>
      </c>
      <c r="AE8" s="190">
        <v>65551.3</v>
      </c>
      <c r="AF8" s="190">
        <v>0</v>
      </c>
      <c r="AG8" s="190">
        <v>0</v>
      </c>
      <c r="AH8" s="190">
        <v>0</v>
      </c>
      <c r="AI8" s="190">
        <v>0</v>
      </c>
      <c r="AJ8" s="190">
        <v>0</v>
      </c>
      <c r="AK8" s="190">
        <v>0</v>
      </c>
      <c r="AL8" s="190">
        <v>0</v>
      </c>
      <c r="AM8" s="190">
        <v>0</v>
      </c>
      <c r="AN8" s="190">
        <v>0</v>
      </c>
      <c r="AO8" s="190">
        <v>0</v>
      </c>
      <c r="AP8" s="190">
        <v>0</v>
      </c>
      <c r="AQ8" s="190">
        <v>0</v>
      </c>
      <c r="AR8" s="190">
        <v>0</v>
      </c>
      <c r="AS8" s="190">
        <v>12290.36</v>
      </c>
      <c r="AT8" s="190">
        <v>0</v>
      </c>
      <c r="AU8" s="190">
        <v>12290.36</v>
      </c>
      <c r="AV8" s="190">
        <v>0</v>
      </c>
      <c r="AW8" s="190">
        <v>190914.35</v>
      </c>
      <c r="AX8" s="190">
        <v>0</v>
      </c>
      <c r="AY8" s="190">
        <v>0</v>
      </c>
      <c r="AZ8" s="190">
        <v>0</v>
      </c>
      <c r="BA8" s="190">
        <v>340759.29</v>
      </c>
      <c r="BB8" s="190">
        <v>208920.73</v>
      </c>
      <c r="BC8" s="190">
        <v>170872.77</v>
      </c>
      <c r="BD8" s="190">
        <v>447597.02</v>
      </c>
      <c r="BE8" s="190">
        <v>0</v>
      </c>
      <c r="BF8" s="190">
        <v>650441.05000000005</v>
      </c>
      <c r="BG8" s="190">
        <v>150594.06</v>
      </c>
      <c r="BH8" s="190">
        <v>75297.03</v>
      </c>
      <c r="BI8" s="190">
        <v>815521.44</v>
      </c>
      <c r="BJ8" s="190">
        <v>270000</v>
      </c>
      <c r="BK8" s="190">
        <v>0</v>
      </c>
      <c r="BL8" s="190">
        <v>0</v>
      </c>
      <c r="BM8" s="190">
        <v>11111469.439999999</v>
      </c>
      <c r="BN8" s="190">
        <v>6254422.8600000003</v>
      </c>
      <c r="BO8" s="190">
        <v>16627329</v>
      </c>
      <c r="BP8" s="190">
        <v>715497.66</v>
      </c>
      <c r="BQ8" s="190">
        <v>0</v>
      </c>
      <c r="BR8" s="190">
        <v>0</v>
      </c>
      <c r="BS8" s="190">
        <v>0</v>
      </c>
      <c r="BT8" s="190">
        <v>0</v>
      </c>
      <c r="BU8" s="190">
        <v>0</v>
      </c>
      <c r="BV8" s="190">
        <v>0</v>
      </c>
    </row>
    <row r="9" spans="1:74" s="26" customFormat="1" x14ac:dyDescent="0.25">
      <c r="A9" s="17" t="s">
        <v>308</v>
      </c>
      <c r="B9" s="190">
        <v>0</v>
      </c>
      <c r="C9" s="190">
        <v>391120.28</v>
      </c>
      <c r="D9" s="190">
        <v>0</v>
      </c>
      <c r="E9" s="190">
        <v>610803.46</v>
      </c>
      <c r="F9" s="190">
        <v>0</v>
      </c>
      <c r="G9" s="190">
        <v>455628.15</v>
      </c>
      <c r="H9" s="190">
        <v>0</v>
      </c>
      <c r="I9" s="190">
        <v>572403.73</v>
      </c>
      <c r="J9" s="190">
        <v>0</v>
      </c>
      <c r="K9" s="190">
        <v>17731.310000000001</v>
      </c>
      <c r="L9" s="190">
        <v>0</v>
      </c>
      <c r="M9" s="190">
        <v>294172.09000000003</v>
      </c>
      <c r="N9" s="190">
        <v>0</v>
      </c>
      <c r="O9" s="190">
        <v>-493485.37</v>
      </c>
      <c r="P9" s="190">
        <v>0</v>
      </c>
      <c r="Q9" s="190">
        <v>1810478.16</v>
      </c>
      <c r="R9" s="190">
        <v>0</v>
      </c>
      <c r="S9" s="190">
        <v>-13800</v>
      </c>
      <c r="T9" s="190">
        <v>0</v>
      </c>
      <c r="U9" s="190">
        <v>32652.54</v>
      </c>
      <c r="V9" s="190">
        <v>0</v>
      </c>
      <c r="W9" s="190">
        <v>0</v>
      </c>
      <c r="X9" s="190">
        <v>0</v>
      </c>
      <c r="Y9" s="190">
        <v>-135618.15</v>
      </c>
      <c r="Z9" s="190">
        <v>0</v>
      </c>
      <c r="AA9" s="190">
        <v>-140821.79999999999</v>
      </c>
      <c r="AB9" s="190">
        <v>0</v>
      </c>
      <c r="AC9" s="190">
        <v>-809235.78</v>
      </c>
      <c r="AD9" s="190">
        <v>0</v>
      </c>
      <c r="AE9" s="190">
        <v>-521519.5</v>
      </c>
      <c r="AF9" s="190">
        <v>0</v>
      </c>
      <c r="AG9" s="190">
        <v>-48148.52</v>
      </c>
      <c r="AH9" s="190">
        <v>0</v>
      </c>
      <c r="AI9" s="190">
        <v>-609025.31999999995</v>
      </c>
      <c r="AJ9" s="190">
        <v>0</v>
      </c>
      <c r="AK9" s="190">
        <v>7053.63</v>
      </c>
      <c r="AL9" s="190">
        <v>0</v>
      </c>
      <c r="AM9" s="190">
        <v>-74784.19</v>
      </c>
      <c r="AN9" s="190">
        <v>0</v>
      </c>
      <c r="AO9" s="190">
        <v>5557.09</v>
      </c>
      <c r="AP9" s="190">
        <v>0</v>
      </c>
      <c r="AQ9" s="190">
        <v>192552.25</v>
      </c>
      <c r="AR9" s="190">
        <v>0</v>
      </c>
      <c r="AS9" s="190">
        <v>-1509789.73</v>
      </c>
      <c r="AT9" s="190">
        <v>0</v>
      </c>
      <c r="AU9" s="190">
        <v>-774444.16</v>
      </c>
      <c r="AV9" s="190">
        <v>0</v>
      </c>
      <c r="AW9" s="190">
        <v>97068.04</v>
      </c>
      <c r="AX9" s="190">
        <v>0</v>
      </c>
      <c r="AY9" s="190">
        <v>0</v>
      </c>
      <c r="AZ9" s="190">
        <v>0</v>
      </c>
      <c r="BA9" s="190">
        <v>-67381.09</v>
      </c>
      <c r="BB9" s="190">
        <v>58500.84</v>
      </c>
      <c r="BC9" s="190">
        <v>14154.34</v>
      </c>
      <c r="BD9" s="190">
        <v>-296477.02</v>
      </c>
      <c r="BE9" s="190">
        <v>0</v>
      </c>
      <c r="BF9" s="190">
        <v>-1449535.52</v>
      </c>
      <c r="BG9" s="190">
        <v>-1646497.44</v>
      </c>
      <c r="BH9" s="190">
        <v>-1167774.18</v>
      </c>
      <c r="BI9" s="190">
        <v>109793000.17</v>
      </c>
      <c r="BJ9" s="190">
        <v>17882960.59</v>
      </c>
      <c r="BK9" s="190">
        <v>876509.65</v>
      </c>
      <c r="BL9" s="190">
        <v>-611768.49</v>
      </c>
      <c r="BM9" s="190">
        <v>4354770.18</v>
      </c>
      <c r="BN9" s="190">
        <v>486335.56</v>
      </c>
      <c r="BO9" s="190">
        <v>403950.03</v>
      </c>
      <c r="BP9" s="190">
        <v>62125.15</v>
      </c>
      <c r="BQ9" s="190">
        <v>1766643.97</v>
      </c>
      <c r="BR9" s="190">
        <v>-26839.89</v>
      </c>
      <c r="BS9" s="190">
        <v>2926130.13</v>
      </c>
      <c r="BT9" s="190">
        <v>497243.51</v>
      </c>
      <c r="BU9" s="190">
        <v>-4723976.24</v>
      </c>
      <c r="BV9" s="190">
        <v>0</v>
      </c>
    </row>
    <row r="10" spans="1:74" s="26" customFormat="1" x14ac:dyDescent="0.25">
      <c r="A10" s="17" t="s">
        <v>309</v>
      </c>
      <c r="B10" s="190">
        <v>0</v>
      </c>
      <c r="C10" s="190">
        <v>535012.02</v>
      </c>
      <c r="D10" s="190">
        <v>0</v>
      </c>
      <c r="E10" s="190">
        <v>2541666.4</v>
      </c>
      <c r="F10" s="190">
        <v>0</v>
      </c>
      <c r="G10" s="190">
        <v>0</v>
      </c>
      <c r="H10" s="190">
        <v>0</v>
      </c>
      <c r="I10" s="190">
        <v>301347.15000000002</v>
      </c>
      <c r="J10" s="190">
        <v>0</v>
      </c>
      <c r="K10" s="190">
        <v>0</v>
      </c>
      <c r="L10" s="190">
        <v>0</v>
      </c>
      <c r="M10" s="190">
        <v>0</v>
      </c>
      <c r="N10" s="190">
        <v>0</v>
      </c>
      <c r="O10" s="190">
        <v>0</v>
      </c>
      <c r="P10" s="190">
        <v>0</v>
      </c>
      <c r="Q10" s="190">
        <v>0</v>
      </c>
      <c r="R10" s="190">
        <v>0</v>
      </c>
      <c r="S10" s="190">
        <v>97068.64</v>
      </c>
      <c r="T10" s="190">
        <v>0</v>
      </c>
      <c r="U10" s="190">
        <v>0</v>
      </c>
      <c r="V10" s="190">
        <v>0</v>
      </c>
      <c r="W10" s="190">
        <v>-18765.16</v>
      </c>
      <c r="X10" s="190">
        <v>0</v>
      </c>
      <c r="Y10" s="190">
        <v>0</v>
      </c>
      <c r="Z10" s="190">
        <v>0</v>
      </c>
      <c r="AA10" s="190">
        <v>0</v>
      </c>
      <c r="AB10" s="190">
        <v>0</v>
      </c>
      <c r="AC10" s="190">
        <v>0</v>
      </c>
      <c r="AD10" s="190">
        <v>0</v>
      </c>
      <c r="AE10" s="190">
        <v>-48688.71</v>
      </c>
      <c r="AF10" s="190">
        <v>0</v>
      </c>
      <c r="AG10" s="190">
        <v>295218.21999999997</v>
      </c>
      <c r="AH10" s="190">
        <v>0</v>
      </c>
      <c r="AI10" s="190">
        <v>256138.49</v>
      </c>
      <c r="AJ10" s="190">
        <v>0</v>
      </c>
      <c r="AK10" s="190">
        <v>2182832.2999999998</v>
      </c>
      <c r="AL10" s="190">
        <v>0</v>
      </c>
      <c r="AM10" s="190">
        <v>0</v>
      </c>
      <c r="AN10" s="190">
        <v>0</v>
      </c>
      <c r="AO10" s="190">
        <v>0</v>
      </c>
      <c r="AP10" s="190">
        <v>0</v>
      </c>
      <c r="AQ10" s="190">
        <v>11475</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4084502.1</v>
      </c>
      <c r="BG10" s="190">
        <v>2197201.34</v>
      </c>
      <c r="BH10" s="190">
        <v>1952404.56</v>
      </c>
      <c r="BI10" s="190">
        <v>927280.99</v>
      </c>
      <c r="BJ10" s="190">
        <v>859864.72</v>
      </c>
      <c r="BK10" s="190">
        <v>648703.48</v>
      </c>
      <c r="BL10" s="190">
        <v>8525</v>
      </c>
      <c r="BM10" s="190">
        <v>550805.42000000004</v>
      </c>
      <c r="BN10" s="190">
        <v>38757.050000000003</v>
      </c>
      <c r="BO10" s="190">
        <v>253471</v>
      </c>
      <c r="BP10" s="190">
        <v>568103.55000000005</v>
      </c>
      <c r="BQ10" s="190">
        <v>198046.58</v>
      </c>
      <c r="BR10" s="190">
        <v>20412.77</v>
      </c>
      <c r="BS10" s="190">
        <v>20588.57</v>
      </c>
      <c r="BT10" s="190">
        <v>11000</v>
      </c>
      <c r="BU10" s="190">
        <v>443143.48</v>
      </c>
      <c r="BV10" s="190">
        <v>0</v>
      </c>
    </row>
    <row r="11" spans="1:74" s="47" customFormat="1" x14ac:dyDescent="0.25">
      <c r="A11" s="135" t="s">
        <v>296</v>
      </c>
      <c r="E11" s="47">
        <f>E5-E6-E7-E8-E9-E10</f>
        <v>393232510.74000019</v>
      </c>
      <c r="F11" s="47">
        <f t="shared" ref="F11:BQ11" si="1">F5-F6-F7-F8-F9-F10</f>
        <v>535979022.32999998</v>
      </c>
      <c r="G11" s="47">
        <f t="shared" si="1"/>
        <v>192860219.83000001</v>
      </c>
      <c r="H11" s="47">
        <f t="shared" si="1"/>
        <v>120924376.16</v>
      </c>
      <c r="I11" s="47">
        <f t="shared" si="1"/>
        <v>234964929.97000006</v>
      </c>
      <c r="J11" s="47">
        <f t="shared" si="1"/>
        <v>341927237.5</v>
      </c>
      <c r="K11" s="47">
        <f t="shared" si="1"/>
        <v>230563326.57999998</v>
      </c>
      <c r="L11" s="47">
        <f t="shared" si="1"/>
        <v>123718924.05</v>
      </c>
      <c r="M11" s="47">
        <f t="shared" si="1"/>
        <v>196603783.09999999</v>
      </c>
      <c r="N11" s="47">
        <f t="shared" si="1"/>
        <v>312067896.95999998</v>
      </c>
      <c r="O11" s="47">
        <f t="shared" si="1"/>
        <v>-931977.17000000051</v>
      </c>
      <c r="P11" s="47">
        <f t="shared" si="1"/>
        <v>1351037.4</v>
      </c>
      <c r="Q11" s="47">
        <f t="shared" si="1"/>
        <v>-14926543.780000001</v>
      </c>
      <c r="R11" s="47">
        <f t="shared" si="1"/>
        <v>6634791.7199999997</v>
      </c>
      <c r="S11" s="47">
        <f t="shared" si="1"/>
        <v>-1503271.1499999994</v>
      </c>
      <c r="T11" s="47">
        <f t="shared" si="1"/>
        <v>4033350.8</v>
      </c>
      <c r="U11" s="47">
        <f t="shared" si="1"/>
        <v>4444085.419999999</v>
      </c>
      <c r="V11" s="47">
        <f t="shared" si="1"/>
        <v>18208209.670000002</v>
      </c>
      <c r="W11" s="47">
        <f t="shared" si="1"/>
        <v>8869083.7400000021</v>
      </c>
      <c r="X11" s="47">
        <f t="shared" si="1"/>
        <v>11625911.59</v>
      </c>
      <c r="Y11" s="47">
        <f t="shared" si="1"/>
        <v>2032430.2400000002</v>
      </c>
      <c r="Z11" s="47">
        <f t="shared" si="1"/>
        <v>5797262.0999999996</v>
      </c>
      <c r="AA11" s="47">
        <f t="shared" si="1"/>
        <v>-1419004.0300000005</v>
      </c>
      <c r="AB11" s="47">
        <f t="shared" si="1"/>
        <v>4077896.1</v>
      </c>
      <c r="AC11" s="47">
        <f t="shared" si="1"/>
        <v>61828851.750000007</v>
      </c>
      <c r="AD11" s="47">
        <f t="shared" si="1"/>
        <v>78383251.890000001</v>
      </c>
      <c r="AE11" s="47">
        <f t="shared" si="1"/>
        <v>54079042.050000012</v>
      </c>
      <c r="AF11" s="47">
        <f t="shared" si="1"/>
        <v>47452474.640000001</v>
      </c>
      <c r="AG11" s="47">
        <f t="shared" si="1"/>
        <v>30843938.910000008</v>
      </c>
      <c r="AH11" s="47">
        <f t="shared" si="1"/>
        <v>3525801.5700000003</v>
      </c>
      <c r="AI11" s="47">
        <f t="shared" si="1"/>
        <v>-4629030.88</v>
      </c>
      <c r="AJ11" s="47">
        <f t="shared" si="1"/>
        <v>64882.559999999998</v>
      </c>
      <c r="AK11" s="47">
        <f t="shared" si="1"/>
        <v>-13074034.52</v>
      </c>
      <c r="AL11" s="47">
        <f t="shared" si="1"/>
        <v>823749.69000000006</v>
      </c>
      <c r="AM11" s="47">
        <f t="shared" si="1"/>
        <v>-5740236.2300000004</v>
      </c>
      <c r="AN11" s="47">
        <f t="shared" si="1"/>
        <v>91889.93</v>
      </c>
      <c r="AO11" s="47">
        <f t="shared" si="1"/>
        <v>-3537091.9299999997</v>
      </c>
      <c r="AP11" s="47">
        <f t="shared" si="1"/>
        <v>-1006292.37</v>
      </c>
      <c r="AQ11" s="47">
        <f t="shared" si="1"/>
        <v>-5542265.3699999992</v>
      </c>
      <c r="AR11" s="47">
        <f t="shared" si="1"/>
        <v>1362732.32</v>
      </c>
      <c r="AS11" s="47">
        <f t="shared" si="1"/>
        <v>-13257440.289999999</v>
      </c>
      <c r="AT11" s="47">
        <f t="shared" si="1"/>
        <v>0</v>
      </c>
      <c r="AU11" s="47">
        <f t="shared" si="1"/>
        <v>-6559108.4799999995</v>
      </c>
      <c r="AV11" s="47">
        <f t="shared" si="1"/>
        <v>0</v>
      </c>
      <c r="AW11" s="47">
        <f t="shared" si="1"/>
        <v>-13085309.43</v>
      </c>
      <c r="AX11" s="47">
        <f t="shared" si="1"/>
        <v>0</v>
      </c>
      <c r="AY11" s="47">
        <f t="shared" si="1"/>
        <v>0</v>
      </c>
      <c r="AZ11" s="47">
        <f t="shared" si="1"/>
        <v>0</v>
      </c>
      <c r="BA11" s="47">
        <f t="shared" si="1"/>
        <v>-11845020.040000001</v>
      </c>
      <c r="BB11" s="47">
        <f t="shared" si="1"/>
        <v>-8785368.3200000003</v>
      </c>
      <c r="BC11" s="47">
        <f t="shared" si="1"/>
        <v>-6379895.0799999991</v>
      </c>
      <c r="BD11" s="47">
        <f t="shared" si="1"/>
        <v>-11953915.720000001</v>
      </c>
      <c r="BE11" s="47">
        <f t="shared" si="1"/>
        <v>0</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2670697841.0599999</v>
      </c>
      <c r="F12" s="26">
        <f t="shared" si="3"/>
        <v>1589606829.8999999</v>
      </c>
      <c r="G12" s="26">
        <f t="shared" si="3"/>
        <v>1388891502.9800003</v>
      </c>
      <c r="H12" s="26">
        <f t="shared" si="3"/>
        <v>1203078739.1899998</v>
      </c>
      <c r="I12" s="26">
        <f t="shared" si="3"/>
        <v>1091720198.5999997</v>
      </c>
      <c r="J12" s="26">
        <f t="shared" si="3"/>
        <v>1051997208.3500001</v>
      </c>
      <c r="K12" s="26">
        <f t="shared" si="3"/>
        <v>342234217.83999997</v>
      </c>
      <c r="L12" s="26">
        <f t="shared" si="3"/>
        <v>317355456.69999999</v>
      </c>
      <c r="M12" s="26">
        <f t="shared" si="3"/>
        <v>338144759</v>
      </c>
      <c r="N12" s="26">
        <f t="shared" si="3"/>
        <v>341824288.39999998</v>
      </c>
      <c r="O12" s="26">
        <f t="shared" si="3"/>
        <v>337640256.63</v>
      </c>
      <c r="P12" s="26">
        <f t="shared" si="3"/>
        <v>328879453.85000002</v>
      </c>
      <c r="Q12" s="26">
        <f t="shared" si="3"/>
        <v>292636045.38</v>
      </c>
      <c r="R12" s="193">
        <f t="shared" ref="R12" si="4">V34</f>
        <v>277297220.52999997</v>
      </c>
      <c r="S12" s="193">
        <f t="shared" ref="S12" si="5">W34</f>
        <v>265741132.91</v>
      </c>
      <c r="T12" s="193">
        <f t="shared" ref="T12" si="6">X34</f>
        <v>265724003.5</v>
      </c>
      <c r="U12" s="193">
        <f t="shared" ref="U12" si="7">Y34</f>
        <v>263317844.06999999</v>
      </c>
      <c r="V12" s="193">
        <f t="shared" ref="V12" si="8">Z34</f>
        <v>210374422.44999999</v>
      </c>
      <c r="W12" s="193">
        <f t="shared" ref="W12" si="9">AA34</f>
        <v>212693774.47</v>
      </c>
      <c r="X12" s="193">
        <f t="shared" ref="X12" si="10">AB34</f>
        <v>212356603.28</v>
      </c>
      <c r="Y12" s="193">
        <f t="shared" ref="Y12" si="11">AC34</f>
        <v>213694692.08000001</v>
      </c>
      <c r="Z12" s="193">
        <f t="shared" ref="Z12" si="12">AD34</f>
        <v>141418117.47999999</v>
      </c>
      <c r="AA12" s="193">
        <f t="shared" ref="AA12" si="13">AE34</f>
        <v>156593682.66999999</v>
      </c>
      <c r="AB12" s="193">
        <f t="shared" ref="AB12" si="14">AF34</f>
        <v>142372502.99000001</v>
      </c>
      <c r="AC12" s="193">
        <f t="shared" ref="AC12" si="15">AG34</f>
        <v>106868548.73999999</v>
      </c>
      <c r="AD12" s="193">
        <f t="shared" ref="AD12" si="16">AH34</f>
        <v>98996595.340000004</v>
      </c>
      <c r="AE12" s="193">
        <f t="shared" ref="AE12" si="17">AI34</f>
        <v>101027473.95</v>
      </c>
      <c r="AF12" s="193">
        <f t="shared" ref="AF12" si="18">AJ34</f>
        <v>101899104.55</v>
      </c>
      <c r="AG12" s="193">
        <f t="shared" ref="AG12" si="19">AK34</f>
        <v>105522777.23999999</v>
      </c>
      <c r="AH12" s="193">
        <f t="shared" ref="AH12" si="20">AL34</f>
        <v>110158107.47</v>
      </c>
      <c r="AI12" s="193">
        <f t="shared" ref="AI12" si="21">AM34</f>
        <v>113113989.66</v>
      </c>
      <c r="AJ12" s="193">
        <f t="shared" ref="AJ12" si="22">AN34</f>
        <v>116072975.47999999</v>
      </c>
      <c r="AK12" s="193">
        <f t="shared" ref="AK12" si="23">AO34</f>
        <v>118864755.80999999</v>
      </c>
      <c r="AL12" s="193">
        <f t="shared" ref="AL12" si="24">AP34</f>
        <v>126348690.89999999</v>
      </c>
      <c r="AM12" s="193">
        <f t="shared" ref="AM12" si="25">AQ34</f>
        <v>129661885.52</v>
      </c>
      <c r="AN12" s="193">
        <f t="shared" ref="AN12" si="26">AR34</f>
        <v>133408118.19</v>
      </c>
      <c r="AO12" s="193">
        <f t="shared" ref="AO12" si="27">AS34</f>
        <v>134416017.89000002</v>
      </c>
      <c r="AP12" s="193">
        <f t="shared" ref="AP12" si="28">AT34</f>
        <v>134023171.15999998</v>
      </c>
      <c r="AQ12" s="193">
        <f t="shared" ref="AQ12" si="29">AU34</f>
        <v>137868678.38</v>
      </c>
      <c r="AR12" s="193">
        <f t="shared" ref="AR12" si="30">AV34</f>
        <v>140586607.24000001</v>
      </c>
      <c r="AS12" s="193">
        <f t="shared" ref="AS12" si="31">AW34</f>
        <v>143939001.25</v>
      </c>
      <c r="AT12" s="193">
        <f t="shared" ref="AT12" si="32">AX34</f>
        <v>143507497.30000001</v>
      </c>
      <c r="AU12" s="193">
        <f t="shared" ref="AU12" si="33">AY34</f>
        <v>141059333.46000001</v>
      </c>
      <c r="AV12" s="193">
        <f t="shared" ref="AV12" si="34">AZ34</f>
        <v>133075502.34</v>
      </c>
      <c r="AW12" s="193">
        <f t="shared" ref="AW12" si="35">BA34</f>
        <v>134587813.22999999</v>
      </c>
      <c r="AX12" s="193">
        <f t="shared" ref="AX12" si="36">BB34</f>
        <v>125199601.65000001</v>
      </c>
      <c r="AY12" s="193">
        <f t="shared" ref="AY12" si="37">BC34</f>
        <v>123774111.09999999</v>
      </c>
      <c r="AZ12" s="193">
        <f t="shared" ref="AZ12" si="38">BD34</f>
        <v>122736338.48999999</v>
      </c>
      <c r="BA12" s="193">
        <f t="shared" ref="BA12" si="39">BE34</f>
        <v>96916898.260000005</v>
      </c>
      <c r="BB12" s="193">
        <f t="shared" ref="BB12" si="40">BF34</f>
        <v>2633768248.5900002</v>
      </c>
      <c r="BC12" s="193">
        <f t="shared" ref="BC12" si="41">BG34</f>
        <v>2540908104.8800001</v>
      </c>
      <c r="BD12" s="193">
        <f t="shared" ref="BD12" si="42">BH34</f>
        <v>2627501543.46</v>
      </c>
      <c r="BE12" s="193">
        <f t="shared" ref="BE12" si="43">BI34</f>
        <v>2633995522.4200001</v>
      </c>
      <c r="BF12" s="193">
        <f t="shared" ref="BF12" si="44">BJ34</f>
        <v>2697608030.8499999</v>
      </c>
      <c r="BG12" s="193">
        <f t="shared" ref="BG12" si="45">BK34</f>
        <v>2506061093.3600001</v>
      </c>
      <c r="BH12" s="193">
        <f t="shared" ref="BH12" si="46">BL34</f>
        <v>2449347773.48</v>
      </c>
      <c r="BI12" s="193">
        <f t="shared" ref="BI12" si="47">BM34</f>
        <v>2441134555.5</v>
      </c>
      <c r="BJ12" s="193">
        <f t="shared" ref="BJ12" si="48">BN34</f>
        <v>2120830735.96</v>
      </c>
      <c r="BK12" s="193">
        <f t="shared" ref="BK12" si="49">BO34</f>
        <v>2152380109.23</v>
      </c>
      <c r="BL12" s="193">
        <f t="shared" ref="BL12" si="50">BP34</f>
        <v>2117283926.8199999</v>
      </c>
      <c r="BM12" s="193">
        <f t="shared" ref="BM12" si="51">BQ34</f>
        <v>126348690.89999999</v>
      </c>
      <c r="BN12" s="193">
        <f t="shared" ref="BN12" si="52">BR34</f>
        <v>129661885.52</v>
      </c>
    </row>
    <row r="13" spans="1:74" s="220" customFormat="1" x14ac:dyDescent="0.25">
      <c r="A13" s="220" t="s">
        <v>351</v>
      </c>
      <c r="E13" s="220">
        <f>E11/E12</f>
        <v>0.14723961082168929</v>
      </c>
      <c r="F13" s="220">
        <f t="shared" ref="F13:AR13" si="53">F11/F12</f>
        <v>0.33717710080782537</v>
      </c>
      <c r="G13" s="220">
        <f t="shared" si="53"/>
        <v>0.13885909692456169</v>
      </c>
      <c r="H13" s="220">
        <f t="shared" si="53"/>
        <v>0.10051243715055183</v>
      </c>
      <c r="I13" s="220">
        <f t="shared" si="53"/>
        <v>0.21522449641521191</v>
      </c>
      <c r="J13" s="220">
        <f t="shared" si="53"/>
        <v>0.32502675367009204</v>
      </c>
      <c r="K13" s="220">
        <f t="shared" si="53"/>
        <v>0.67370039160663964</v>
      </c>
      <c r="L13" s="220">
        <f t="shared" si="53"/>
        <v>0.389843380468334</v>
      </c>
      <c r="M13" s="220">
        <f t="shared" si="53"/>
        <v>0.58141898659443658</v>
      </c>
      <c r="N13" s="220">
        <f t="shared" si="53"/>
        <v>0.9129482823491486</v>
      </c>
      <c r="O13" s="220">
        <f t="shared" si="53"/>
        <v>-2.7602667386350771E-3</v>
      </c>
      <c r="P13" s="220">
        <f t="shared" si="53"/>
        <v>4.1080018352748788E-3</v>
      </c>
      <c r="Q13" s="220">
        <f t="shared" si="53"/>
        <v>-5.1007194826656665E-2</v>
      </c>
      <c r="R13" s="220">
        <f t="shared" si="53"/>
        <v>2.3926643430896566E-2</v>
      </c>
      <c r="S13" s="220">
        <f t="shared" si="53"/>
        <v>-5.6569005089216673E-3</v>
      </c>
      <c r="T13" s="220">
        <f t="shared" si="53"/>
        <v>1.5178722083343893E-2</v>
      </c>
      <c r="U13" s="220">
        <f t="shared" si="53"/>
        <v>1.6877266467435419E-2</v>
      </c>
      <c r="V13" s="220">
        <f t="shared" si="53"/>
        <v>8.6551442223579134E-2</v>
      </c>
      <c r="W13" s="220">
        <f t="shared" si="53"/>
        <v>4.1698840326193788E-2</v>
      </c>
      <c r="X13" s="220">
        <f t="shared" si="53"/>
        <v>5.4747115985231729E-2</v>
      </c>
      <c r="Y13" s="220">
        <f t="shared" si="53"/>
        <v>9.5109065190965413E-3</v>
      </c>
      <c r="Z13" s="220">
        <f t="shared" si="53"/>
        <v>4.0993772250008033E-2</v>
      </c>
      <c r="AA13" s="220">
        <f t="shared" si="53"/>
        <v>-9.0616939700585465E-3</v>
      </c>
      <c r="AB13" s="220">
        <f t="shared" si="53"/>
        <v>2.8642441583586011E-2</v>
      </c>
      <c r="AC13" s="220">
        <f t="shared" si="53"/>
        <v>0.57855049478049092</v>
      </c>
      <c r="AD13" s="220">
        <f t="shared" si="53"/>
        <v>0.79177724871037969</v>
      </c>
      <c r="AE13" s="220">
        <f t="shared" si="53"/>
        <v>0.53529045056362123</v>
      </c>
      <c r="AF13" s="220">
        <f t="shared" si="53"/>
        <v>0.4656809777628218</v>
      </c>
      <c r="AG13" s="220">
        <f t="shared" si="53"/>
        <v>0.29229650428787379</v>
      </c>
      <c r="AH13" s="220">
        <f t="shared" si="53"/>
        <v>3.2006736961781974E-2</v>
      </c>
      <c r="AI13" s="220">
        <f t="shared" si="53"/>
        <v>-4.0923593040206797E-2</v>
      </c>
      <c r="AJ13" s="220">
        <f t="shared" si="53"/>
        <v>5.589807595755105E-4</v>
      </c>
      <c r="AK13" s="220">
        <f t="shared" si="53"/>
        <v>-0.1099908415316838</v>
      </c>
      <c r="AL13" s="220">
        <f t="shared" si="53"/>
        <v>6.519653540787102E-3</v>
      </c>
      <c r="AM13" s="220">
        <f t="shared" si="53"/>
        <v>-4.4270806389859141E-2</v>
      </c>
      <c r="AN13" s="220">
        <f t="shared" si="53"/>
        <v>6.8878814308084499E-4</v>
      </c>
      <c r="AO13" s="220">
        <f t="shared" si="53"/>
        <v>-2.6314512105950018E-2</v>
      </c>
      <c r="AP13" s="220">
        <f t="shared" si="53"/>
        <v>-7.5083462157350738E-3</v>
      </c>
      <c r="AQ13" s="220">
        <f t="shared" si="53"/>
        <v>-4.0199597436657457E-2</v>
      </c>
      <c r="AR13" s="220">
        <f t="shared" si="53"/>
        <v>9.6931873295273072E-3</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4912204.6900000004</v>
      </c>
      <c r="P15" s="190">
        <v>5000000</v>
      </c>
      <c r="Q15" s="190">
        <v>995850.38</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1630848.76</v>
      </c>
      <c r="AP15" s="190">
        <v>11560073.369999999</v>
      </c>
      <c r="AQ15" s="190">
        <v>0</v>
      </c>
      <c r="AR15" s="190">
        <v>0</v>
      </c>
      <c r="AS15" s="190">
        <v>0</v>
      </c>
      <c r="AT15" s="190">
        <v>0</v>
      </c>
      <c r="AU15" s="190">
        <v>0</v>
      </c>
      <c r="AV15" s="190">
        <v>0</v>
      </c>
      <c r="AW15" s="190">
        <v>816157.8</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316" customFormat="1" x14ac:dyDescent="0.25">
      <c r="A16" s="316" t="s">
        <v>314</v>
      </c>
      <c r="B16" s="316">
        <v>413701238.88999999</v>
      </c>
      <c r="C16" s="316">
        <v>397944013.05000001</v>
      </c>
      <c r="D16" s="316">
        <v>15692505.369999999</v>
      </c>
      <c r="E16" s="316">
        <v>437226781.45999998</v>
      </c>
      <c r="F16" s="316">
        <v>253994137.81999999</v>
      </c>
      <c r="G16" s="316">
        <v>127041832.56999999</v>
      </c>
      <c r="H16" s="316">
        <v>22196046.550000001</v>
      </c>
      <c r="I16" s="316">
        <v>221022851.84</v>
      </c>
      <c r="J16" s="316">
        <v>40620072.270000003</v>
      </c>
      <c r="K16" s="316">
        <v>12485588.029999999</v>
      </c>
      <c r="L16" s="316">
        <v>0</v>
      </c>
      <c r="M16" s="316">
        <v>123729484.23999999</v>
      </c>
      <c r="N16" s="316">
        <v>101253544.69</v>
      </c>
      <c r="O16" s="316">
        <v>0</v>
      </c>
      <c r="P16" s="316">
        <v>0</v>
      </c>
      <c r="Q16" s="316">
        <v>0</v>
      </c>
      <c r="R16" s="316">
        <v>0</v>
      </c>
      <c r="S16" s="316">
        <v>0</v>
      </c>
      <c r="T16" s="316">
        <v>0</v>
      </c>
      <c r="U16" s="316">
        <v>84797800</v>
      </c>
      <c r="V16" s="316">
        <v>0</v>
      </c>
      <c r="W16" s="316">
        <v>0</v>
      </c>
      <c r="X16" s="316">
        <v>0</v>
      </c>
      <c r="Y16" s="316">
        <v>0</v>
      </c>
      <c r="Z16" s="316">
        <v>0</v>
      </c>
      <c r="AA16" s="316">
        <v>0</v>
      </c>
      <c r="AB16" s="316">
        <v>0</v>
      </c>
      <c r="AC16" s="316">
        <v>0</v>
      </c>
      <c r="AD16" s="316">
        <v>0</v>
      </c>
      <c r="AE16" s="316">
        <v>0</v>
      </c>
      <c r="AF16" s="316">
        <v>0</v>
      </c>
      <c r="AG16" s="316">
        <v>0</v>
      </c>
      <c r="AH16" s="316">
        <v>0</v>
      </c>
      <c r="AI16" s="316">
        <v>0</v>
      </c>
      <c r="AJ16" s="316">
        <v>0</v>
      </c>
      <c r="AK16" s="316">
        <v>0</v>
      </c>
      <c r="AL16" s="316">
        <v>0</v>
      </c>
      <c r="AM16" s="316">
        <v>0</v>
      </c>
      <c r="AN16" s="316">
        <v>0</v>
      </c>
      <c r="AO16" s="316">
        <v>0</v>
      </c>
      <c r="AP16" s="316">
        <v>0</v>
      </c>
      <c r="AQ16" s="316">
        <v>0</v>
      </c>
      <c r="AR16" s="316">
        <v>0</v>
      </c>
      <c r="AS16" s="316">
        <v>720414.79</v>
      </c>
      <c r="AT16" s="316">
        <v>0</v>
      </c>
      <c r="AU16" s="316">
        <v>0</v>
      </c>
      <c r="AV16" s="316">
        <v>0</v>
      </c>
      <c r="AW16" s="316">
        <v>2019000</v>
      </c>
      <c r="AX16" s="316">
        <v>0</v>
      </c>
      <c r="AY16" s="316">
        <v>0</v>
      </c>
      <c r="AZ16" s="316">
        <v>0</v>
      </c>
      <c r="BA16" s="316">
        <v>0</v>
      </c>
      <c r="BB16" s="316">
        <v>0</v>
      </c>
      <c r="BC16" s="316">
        <v>0</v>
      </c>
      <c r="BD16" s="316">
        <v>0</v>
      </c>
      <c r="BE16" s="316">
        <v>0</v>
      </c>
      <c r="BF16" s="316">
        <v>0</v>
      </c>
      <c r="BG16" s="316">
        <v>0</v>
      </c>
      <c r="BH16" s="316">
        <v>0</v>
      </c>
      <c r="BI16" s="316">
        <v>0</v>
      </c>
      <c r="BJ16" s="316">
        <v>0</v>
      </c>
      <c r="BK16" s="316">
        <v>0</v>
      </c>
      <c r="BL16" s="316">
        <v>0</v>
      </c>
      <c r="BM16" s="316">
        <v>0</v>
      </c>
      <c r="BN16" s="316">
        <v>0</v>
      </c>
      <c r="BO16" s="316">
        <v>0</v>
      </c>
      <c r="BP16" s="316">
        <v>0</v>
      </c>
      <c r="BQ16" s="316">
        <v>0</v>
      </c>
      <c r="BR16" s="316">
        <v>0</v>
      </c>
      <c r="BS16" s="316">
        <v>0</v>
      </c>
      <c r="BT16" s="316">
        <v>0</v>
      </c>
      <c r="BU16" s="316">
        <v>0</v>
      </c>
      <c r="BV16" s="316">
        <v>0</v>
      </c>
    </row>
    <row r="17" spans="1:74" s="47" customFormat="1" x14ac:dyDescent="0.25">
      <c r="A17" s="135" t="s">
        <v>298</v>
      </c>
      <c r="E17" s="47">
        <f>E16-E15</f>
        <v>437226781.45999998</v>
      </c>
      <c r="F17" s="47">
        <f t="shared" ref="F17:AV17" si="54">F16-F15</f>
        <v>253994137.81999999</v>
      </c>
      <c r="G17" s="47">
        <f t="shared" si="54"/>
        <v>127041832.56999999</v>
      </c>
      <c r="H17" s="47">
        <f t="shared" si="54"/>
        <v>22196046.550000001</v>
      </c>
      <c r="I17" s="47">
        <f t="shared" si="54"/>
        <v>221022851.84</v>
      </c>
      <c r="J17" s="47">
        <f t="shared" si="54"/>
        <v>40620072.270000003</v>
      </c>
      <c r="K17" s="47">
        <f t="shared" si="54"/>
        <v>12485588.029999999</v>
      </c>
      <c r="L17" s="47">
        <f t="shared" si="54"/>
        <v>0</v>
      </c>
      <c r="M17" s="47">
        <f t="shared" si="54"/>
        <v>123729484.23999999</v>
      </c>
      <c r="N17" s="47">
        <f t="shared" si="54"/>
        <v>101253544.69</v>
      </c>
      <c r="O17" s="47">
        <f t="shared" si="54"/>
        <v>-4912204.6900000004</v>
      </c>
      <c r="P17" s="47">
        <f t="shared" si="54"/>
        <v>-5000000</v>
      </c>
      <c r="Q17" s="47">
        <f t="shared" si="54"/>
        <v>-995850.38</v>
      </c>
      <c r="R17" s="47">
        <f t="shared" si="54"/>
        <v>0</v>
      </c>
      <c r="S17" s="47">
        <f t="shared" si="54"/>
        <v>0</v>
      </c>
      <c r="T17" s="47">
        <f t="shared" si="54"/>
        <v>0</v>
      </c>
      <c r="U17" s="47">
        <f t="shared" si="54"/>
        <v>84797800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-1630848.76</v>
      </c>
      <c r="AP17" s="47">
        <f t="shared" si="54"/>
        <v>-11560073.369999999</v>
      </c>
      <c r="AQ17" s="47">
        <f t="shared" si="54"/>
        <v>0</v>
      </c>
      <c r="AR17" s="47">
        <f t="shared" si="54"/>
        <v>0</v>
      </c>
      <c r="AS17" s="47">
        <f t="shared" si="54"/>
        <v>720414.79</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1240691259.8600001</v>
      </c>
      <c r="F19" s="193">
        <f t="shared" ref="F19:AS19" si="55">F5+F17</f>
        <v>789973160.14999998</v>
      </c>
      <c r="G19" s="193">
        <f t="shared" si="55"/>
        <v>467526975.94</v>
      </c>
      <c r="H19" s="193">
        <f t="shared" si="55"/>
        <v>143120422.71000001</v>
      </c>
      <c r="I19" s="193">
        <f t="shared" si="55"/>
        <v>674890926.71000004</v>
      </c>
      <c r="J19" s="193">
        <f t="shared" si="55"/>
        <v>382547309.76999998</v>
      </c>
      <c r="K19" s="193">
        <f t="shared" si="55"/>
        <v>340497855.92999995</v>
      </c>
      <c r="L19" s="193">
        <f t="shared" si="55"/>
        <v>123718924.05</v>
      </c>
      <c r="M19" s="193">
        <f t="shared" si="55"/>
        <v>470625560.27000004</v>
      </c>
      <c r="N19" s="193">
        <f t="shared" si="55"/>
        <v>413321441.64999998</v>
      </c>
      <c r="O19" s="193">
        <f t="shared" si="55"/>
        <v>415245.97999999952</v>
      </c>
      <c r="P19" s="193">
        <f t="shared" si="55"/>
        <v>-3648962.6</v>
      </c>
      <c r="Q19" s="193">
        <f t="shared" si="55"/>
        <v>2304126.1</v>
      </c>
      <c r="R19" s="193">
        <f t="shared" si="55"/>
        <v>6634791.7199999997</v>
      </c>
      <c r="S19" s="193">
        <f t="shared" si="55"/>
        <v>6527161.4900000002</v>
      </c>
      <c r="T19" s="193">
        <f t="shared" si="55"/>
        <v>4033350.8</v>
      </c>
      <c r="U19" s="193">
        <f t="shared" si="55"/>
        <v>105367526.93000001</v>
      </c>
      <c r="V19" s="193">
        <f t="shared" si="55"/>
        <v>18208209.670000002</v>
      </c>
      <c r="W19" s="193">
        <f t="shared" si="55"/>
        <v>15118558.550000001</v>
      </c>
      <c r="X19" s="193">
        <f t="shared" si="55"/>
        <v>11625911.59</v>
      </c>
      <c r="Y19" s="193">
        <f t="shared" si="55"/>
        <v>14939328.370000001</v>
      </c>
      <c r="Z19" s="193">
        <f t="shared" si="55"/>
        <v>5797262.0999999996</v>
      </c>
      <c r="AA19" s="193">
        <f t="shared" si="55"/>
        <v>5046924.68</v>
      </c>
      <c r="AB19" s="193">
        <f t="shared" si="55"/>
        <v>4077896.1</v>
      </c>
      <c r="AC19" s="193">
        <f t="shared" si="55"/>
        <v>73911190.870000005</v>
      </c>
      <c r="AD19" s="193">
        <f t="shared" si="55"/>
        <v>78383251.890000001</v>
      </c>
      <c r="AE19" s="193">
        <f t="shared" si="55"/>
        <v>59643902.370000005</v>
      </c>
      <c r="AF19" s="193">
        <f t="shared" si="55"/>
        <v>47452474.640000001</v>
      </c>
      <c r="AG19" s="193">
        <f t="shared" si="55"/>
        <v>42904166.340000004</v>
      </c>
      <c r="AH19" s="193">
        <f t="shared" si="55"/>
        <v>3525801.5700000003</v>
      </c>
      <c r="AI19" s="193">
        <f t="shared" si="55"/>
        <v>1526832.31</v>
      </c>
      <c r="AJ19" s="193">
        <f t="shared" si="55"/>
        <v>64882.559999999998</v>
      </c>
      <c r="AK19" s="193">
        <f t="shared" si="55"/>
        <v>2085782.5999999999</v>
      </c>
      <c r="AL19" s="193">
        <f t="shared" si="55"/>
        <v>823749.69000000006</v>
      </c>
      <c r="AM19" s="193">
        <f t="shared" si="55"/>
        <v>591481.72</v>
      </c>
      <c r="AN19" s="193">
        <f t="shared" si="55"/>
        <v>91889.93</v>
      </c>
      <c r="AO19" s="193">
        <f t="shared" si="55"/>
        <v>8490987.5099999998</v>
      </c>
      <c r="AP19" s="193">
        <f t="shared" si="55"/>
        <v>-12566365.739999998</v>
      </c>
      <c r="AQ19" s="193">
        <f t="shared" si="55"/>
        <v>1798503</v>
      </c>
      <c r="AR19" s="193">
        <f t="shared" si="55"/>
        <v>1362732.32</v>
      </c>
      <c r="AS19" s="193">
        <f t="shared" si="55"/>
        <v>720414.79</v>
      </c>
    </row>
    <row r="20" spans="1:74" s="193" customFormat="1" x14ac:dyDescent="0.25">
      <c r="A20" s="193" t="s">
        <v>300</v>
      </c>
      <c r="B20" s="193">
        <v>86153718.680000007</v>
      </c>
      <c r="C20" s="193">
        <v>-242681767.80000001</v>
      </c>
      <c r="D20" s="193">
        <v>-160850847.69</v>
      </c>
      <c r="E20" s="193">
        <v>1444532051.76</v>
      </c>
      <c r="F20" s="193">
        <v>25050902.539999999</v>
      </c>
      <c r="G20" s="193">
        <v>-77792233.489999995</v>
      </c>
      <c r="H20" s="193">
        <v>-207202091.75</v>
      </c>
      <c r="I20" s="193">
        <v>707081569.03999996</v>
      </c>
      <c r="J20" s="193">
        <v>-7890483.6100000003</v>
      </c>
      <c r="K20" s="193">
        <v>-18350760.559999999</v>
      </c>
      <c r="L20" s="193">
        <v>-167464199.06</v>
      </c>
      <c r="M20" s="193">
        <v>329839402.07999998</v>
      </c>
      <c r="N20" s="193">
        <v>18669092.190000001</v>
      </c>
      <c r="O20" s="193">
        <v>-89772991.200000003</v>
      </c>
      <c r="P20" s="193">
        <v>2967561.12</v>
      </c>
      <c r="Q20" s="193">
        <v>29845946.210000001</v>
      </c>
      <c r="R20" s="193">
        <v>-53476826.460000001</v>
      </c>
      <c r="S20" s="193">
        <v>-101562822.12</v>
      </c>
      <c r="T20" s="193">
        <v>-43176033.659999996</v>
      </c>
      <c r="U20" s="193">
        <v>26160340.649999999</v>
      </c>
      <c r="V20" s="193">
        <v>-14855381.16</v>
      </c>
      <c r="W20" s="193">
        <v>-43047013.130000003</v>
      </c>
      <c r="X20" s="193">
        <v>1746052</v>
      </c>
      <c r="Y20" s="193">
        <v>66693658.280000001</v>
      </c>
      <c r="Z20" s="193">
        <v>32049791.030000001</v>
      </c>
      <c r="AA20" s="193">
        <v>-43787282.979999997</v>
      </c>
      <c r="AB20" s="193">
        <v>10353604.720000001</v>
      </c>
      <c r="AC20" s="193">
        <v>63428318.07</v>
      </c>
      <c r="AD20" s="193">
        <v>50590543.590000004</v>
      </c>
      <c r="AE20" s="193">
        <v>-13988725.539999999</v>
      </c>
      <c r="AF20" s="193">
        <v>20015092.460000001</v>
      </c>
      <c r="AG20" s="193">
        <v>7395157.7999999998</v>
      </c>
      <c r="AH20" s="193">
        <v>-30139481.140000001</v>
      </c>
      <c r="AI20" s="193">
        <v>3156098.02</v>
      </c>
      <c r="AJ20" s="193">
        <v>19637281.809999999</v>
      </c>
      <c r="AK20" s="193">
        <v>40501415.049999997</v>
      </c>
      <c r="AL20" s="193">
        <v>14278788.75</v>
      </c>
      <c r="AM20" s="193">
        <v>9874825.5899999999</v>
      </c>
      <c r="AN20" s="193">
        <v>13955977.08</v>
      </c>
      <c r="AO20" s="193">
        <v>25084177.030000001</v>
      </c>
      <c r="AP20" s="193">
        <v>5988186.9199999999</v>
      </c>
      <c r="AQ20" s="193">
        <v>519973.69</v>
      </c>
      <c r="AR20" s="193">
        <v>20013906.16</v>
      </c>
      <c r="AS20" s="193">
        <v>27271032.739999998</v>
      </c>
      <c r="AT20" s="193">
        <v>43567893.57</v>
      </c>
      <c r="AU20" s="193">
        <v>29941999.370000001</v>
      </c>
      <c r="AV20" s="193">
        <v>15360687.01</v>
      </c>
      <c r="AW20" s="193">
        <v>26473280.34</v>
      </c>
      <c r="AX20" s="193">
        <v>20184377.239999998</v>
      </c>
      <c r="AY20" s="193">
        <v>15428371.85</v>
      </c>
      <c r="AZ20" s="193">
        <v>1269120.93</v>
      </c>
      <c r="BA20" s="193">
        <v>49283884.990000002</v>
      </c>
      <c r="BB20" s="193">
        <v>26470599.609999999</v>
      </c>
      <c r="BC20" s="193">
        <v>13892938.720000001</v>
      </c>
      <c r="BD20" s="193">
        <v>42068867.590000004</v>
      </c>
      <c r="BE20" s="193">
        <v>0</v>
      </c>
      <c r="BF20" s="193">
        <v>337453098.12</v>
      </c>
      <c r="BG20" s="193">
        <v>76753462.159999996</v>
      </c>
      <c r="BH20" s="193">
        <v>56748815.079999998</v>
      </c>
      <c r="BI20" s="193">
        <v>292170476.75999999</v>
      </c>
      <c r="BJ20" s="193">
        <v>456723497.52999997</v>
      </c>
      <c r="BK20" s="193">
        <v>156973179.36000001</v>
      </c>
      <c r="BL20" s="193">
        <v>-5871214.5800000001</v>
      </c>
      <c r="BM20" s="193">
        <v>690591617.23000002</v>
      </c>
      <c r="BN20" s="193">
        <v>318591291.69999999</v>
      </c>
      <c r="BO20" s="193">
        <v>887186030.29999995</v>
      </c>
      <c r="BP20" s="193">
        <v>200224002.99000001</v>
      </c>
      <c r="BQ20" s="193">
        <v>678152932.48000002</v>
      </c>
      <c r="BR20" s="193">
        <v>131692296.48</v>
      </c>
      <c r="BS20" s="193">
        <v>247433107.97999999</v>
      </c>
      <c r="BT20" s="193">
        <v>43070537.390000001</v>
      </c>
      <c r="BU20" s="193">
        <v>-154941375.38999999</v>
      </c>
      <c r="BV20" s="193">
        <v>0</v>
      </c>
    </row>
    <row r="21" spans="1:74" s="221" customFormat="1" x14ac:dyDescent="0.25">
      <c r="A21" s="221" t="s">
        <v>666</v>
      </c>
      <c r="E21" s="221">
        <f>E20/E19</f>
        <v>1.1642961456204675</v>
      </c>
      <c r="F21" s="221">
        <f t="shared" ref="F21:AS21" si="56">F20/F19</f>
        <v>3.1711080583096442E-2</v>
      </c>
      <c r="G21" s="221">
        <f t="shared" si="56"/>
        <v>-0.16639089826547987</v>
      </c>
      <c r="H21" s="221">
        <f t="shared" si="56"/>
        <v>-1.4477465048426141</v>
      </c>
      <c r="I21" s="221">
        <f t="shared" si="56"/>
        <v>1.0476975479384867</v>
      </c>
      <c r="J21" s="221">
        <f t="shared" si="56"/>
        <v>-2.0626164159261814E-2</v>
      </c>
      <c r="K21" s="221">
        <f t="shared" si="56"/>
        <v>-5.3893909287266041E-2</v>
      </c>
      <c r="L21" s="221">
        <f t="shared" si="56"/>
        <v>-1.3535859638766394</v>
      </c>
      <c r="M21" s="221">
        <f t="shared" si="56"/>
        <v>0.7008531408510188</v>
      </c>
      <c r="N21" s="221">
        <f t="shared" si="56"/>
        <v>4.5168458029837613E-2</v>
      </c>
      <c r="O21" s="221">
        <f t="shared" si="56"/>
        <v>-216.19231858668471</v>
      </c>
      <c r="P21" s="221">
        <f t="shared" si="56"/>
        <v>-0.8132615883758304</v>
      </c>
      <c r="Q21" s="221">
        <f t="shared" si="56"/>
        <v>12.953260765545775</v>
      </c>
      <c r="R21" s="221">
        <f t="shared" si="56"/>
        <v>-8.0600610715177066</v>
      </c>
      <c r="S21" s="221">
        <f t="shared" si="56"/>
        <v>-15.560029007341138</v>
      </c>
      <c r="T21" s="221">
        <f t="shared" si="56"/>
        <v>-10.704755376100685</v>
      </c>
      <c r="U21" s="221">
        <f t="shared" si="56"/>
        <v>0.24827706801336802</v>
      </c>
      <c r="V21" s="221">
        <f t="shared" si="56"/>
        <v>-0.81586171453615508</v>
      </c>
      <c r="W21" s="221">
        <f t="shared" si="56"/>
        <v>-2.8472961220234847</v>
      </c>
      <c r="X21" s="221">
        <f t="shared" si="56"/>
        <v>0.15018624444915463</v>
      </c>
      <c r="Y21" s="221">
        <f t="shared" si="56"/>
        <v>4.4643009798170734</v>
      </c>
      <c r="Z21" s="221">
        <f t="shared" si="56"/>
        <v>5.5284357472814634</v>
      </c>
      <c r="AA21" s="221">
        <f t="shared" si="56"/>
        <v>-8.6760325854516225</v>
      </c>
      <c r="AB21" s="221">
        <f t="shared" si="56"/>
        <v>2.5389574589700801</v>
      </c>
      <c r="AC21" s="221">
        <f t="shared" si="56"/>
        <v>0.85816934246888288</v>
      </c>
      <c r="AD21" s="221">
        <f t="shared" si="56"/>
        <v>0.64542542405610837</v>
      </c>
      <c r="AE21" s="221">
        <f t="shared" si="56"/>
        <v>-0.2345373958467902</v>
      </c>
      <c r="AF21" s="221">
        <f t="shared" si="56"/>
        <v>0.4217923851568387</v>
      </c>
      <c r="AG21" s="221">
        <f t="shared" si="56"/>
        <v>0.17236456108705267</v>
      </c>
      <c r="AH21" s="221">
        <f t="shared" si="56"/>
        <v>-8.5482635768410518</v>
      </c>
      <c r="AI21" s="221">
        <f t="shared" si="56"/>
        <v>2.0670888343985854</v>
      </c>
      <c r="AJ21" s="221">
        <f t="shared" si="56"/>
        <v>302.65886256645854</v>
      </c>
      <c r="AK21" s="221">
        <f t="shared" si="56"/>
        <v>19.417850666699398</v>
      </c>
      <c r="AL21" s="221">
        <f t="shared" si="56"/>
        <v>17.333892714423964</v>
      </c>
      <c r="AM21" s="221">
        <f t="shared" si="56"/>
        <v>16.695064709692126</v>
      </c>
      <c r="AN21" s="221">
        <f t="shared" si="56"/>
        <v>151.87711079984501</v>
      </c>
      <c r="AO21" s="221">
        <f t="shared" si="56"/>
        <v>2.9542119806981089</v>
      </c>
      <c r="AP21" s="221">
        <f t="shared" si="56"/>
        <v>-0.47652495907699094</v>
      </c>
      <c r="AQ21" s="221">
        <f t="shared" si="56"/>
        <v>0.28911471929710431</v>
      </c>
      <c r="AR21" s="221">
        <f t="shared" si="56"/>
        <v>14.686601224809873</v>
      </c>
      <c r="AS21" s="221">
        <f t="shared" si="56"/>
        <v>37.854626415984598</v>
      </c>
    </row>
    <row r="22" spans="1:74" s="193" customFormat="1" x14ac:dyDescent="0.25">
      <c r="A22" s="193" t="s">
        <v>301</v>
      </c>
      <c r="E22" s="193">
        <f>I35</f>
        <v>1340180690.2400002</v>
      </c>
      <c r="F22" s="193">
        <f t="shared" ref="F22:Y22" si="57">J35</f>
        <v>1818600868.71</v>
      </c>
      <c r="G22" s="193">
        <f t="shared" si="57"/>
        <v>1647513041.4200001</v>
      </c>
      <c r="H22" s="193">
        <f t="shared" si="57"/>
        <v>1950363915.3699999</v>
      </c>
      <c r="I22" s="193">
        <f t="shared" si="57"/>
        <v>2176602709.8800001</v>
      </c>
      <c r="J22" s="193">
        <f t="shared" si="57"/>
        <v>1697736404.26</v>
      </c>
      <c r="K22" s="193">
        <f t="shared" si="57"/>
        <v>240919388.28999999</v>
      </c>
      <c r="L22" s="193">
        <f t="shared" si="57"/>
        <v>261414883.90000001</v>
      </c>
      <c r="M22" s="193">
        <f t="shared" si="57"/>
        <v>356030353.00000006</v>
      </c>
      <c r="N22" s="193">
        <f t="shared" si="57"/>
        <v>348409772.12</v>
      </c>
      <c r="O22" s="193">
        <f t="shared" si="57"/>
        <v>299956852.39999998</v>
      </c>
      <c r="P22" s="193">
        <f t="shared" si="57"/>
        <v>421060595.31999999</v>
      </c>
      <c r="Q22" s="193">
        <f t="shared" si="57"/>
        <v>435168969.68000001</v>
      </c>
      <c r="R22" s="193">
        <f t="shared" si="57"/>
        <v>193356230.24000001</v>
      </c>
      <c r="S22" s="193">
        <f t="shared" si="57"/>
        <v>167504627.19</v>
      </c>
      <c r="T22" s="193">
        <f t="shared" si="57"/>
        <v>264834236.38999999</v>
      </c>
      <c r="U22" s="193">
        <f t="shared" si="57"/>
        <v>279165938.43000001</v>
      </c>
      <c r="V22" s="193">
        <f t="shared" si="57"/>
        <v>225751809.45999998</v>
      </c>
      <c r="W22" s="193">
        <f t="shared" si="57"/>
        <v>150374092.89000002</v>
      </c>
      <c r="X22" s="193">
        <f t="shared" si="57"/>
        <v>204775222.93000001</v>
      </c>
      <c r="Y22" s="193">
        <f t="shared" si="57"/>
        <v>196521614.52000001</v>
      </c>
      <c r="Z22" s="193">
        <f t="shared" ref="Z22" si="58">AD35</f>
        <v>182339924.76000002</v>
      </c>
      <c r="AA22" s="193">
        <f t="shared" ref="AA22" si="59">AE35</f>
        <v>138344803.64000002</v>
      </c>
      <c r="AB22" s="193">
        <f t="shared" ref="AB22" si="60">AF35</f>
        <v>167287829.82000002</v>
      </c>
      <c r="AC22" s="193">
        <f t="shared" ref="AC22" si="61">AG35</f>
        <v>197141114.66</v>
      </c>
      <c r="AD22" s="193">
        <f t="shared" ref="AD22" si="62">AH35</f>
        <v>210666714.99000001</v>
      </c>
      <c r="AE22" s="193">
        <f t="shared" ref="AE22" si="63">AI35</f>
        <v>233979628.69999999</v>
      </c>
      <c r="AF22" s="193">
        <f t="shared" ref="AF22" si="64">AJ35</f>
        <v>279400520.47999996</v>
      </c>
      <c r="AG22" s="193">
        <f t="shared" ref="AG22" si="65">AK35</f>
        <v>263581908.06</v>
      </c>
      <c r="AH22" s="193">
        <f t="shared" ref="AH22" si="66">AL35</f>
        <v>246088409.93000001</v>
      </c>
      <c r="AI22" s="193">
        <f t="shared" ref="AI22" si="67">AM35</f>
        <v>239803928.44</v>
      </c>
      <c r="AJ22" s="193">
        <f t="shared" ref="AJ22" si="68">AN35</f>
        <v>233117678.14000002</v>
      </c>
      <c r="AK22" s="193">
        <f t="shared" ref="AK22" si="69">AO35</f>
        <v>220872924.22</v>
      </c>
      <c r="AL22" s="193">
        <f t="shared" ref="AL22" si="70">AP35</f>
        <v>199696425.72999999</v>
      </c>
      <c r="AM22" s="193">
        <f t="shared" ref="AM22" si="71">AQ35</f>
        <v>197194136.16</v>
      </c>
      <c r="AN22" s="193">
        <f t="shared" ref="AN22" si="72">AR35</f>
        <v>213530237.34</v>
      </c>
      <c r="AO22" s="193">
        <f t="shared" ref="AO22" si="73">AS35</f>
        <v>193271908.84</v>
      </c>
      <c r="AP22" s="193">
        <f t="shared" ref="AP22" si="74">AT35</f>
        <v>215218834.06999999</v>
      </c>
      <c r="AQ22" s="193">
        <f t="shared" ref="AQ22" si="75">AU35</f>
        <v>207338394.83000001</v>
      </c>
      <c r="AR22" s="193">
        <f t="shared" ref="AR22" si="76">AV35</f>
        <v>211450304.50999999</v>
      </c>
      <c r="AS22" s="193">
        <f t="shared" ref="AS22" si="77">AW35</f>
        <v>191685368.28</v>
      </c>
    </row>
    <row r="23" spans="1:74" s="193" customFormat="1" x14ac:dyDescent="0.25">
      <c r="A23" s="193" t="s">
        <v>302</v>
      </c>
      <c r="E23" s="193">
        <f>E20+E22-E19</f>
        <v>1544021482.1399999</v>
      </c>
      <c r="F23" s="193">
        <f t="shared" ref="F23:AS23" si="78">F20+F22-F19</f>
        <v>1053678611.1</v>
      </c>
      <c r="G23" s="193">
        <f t="shared" si="78"/>
        <v>1102193831.99</v>
      </c>
      <c r="H23" s="193">
        <f t="shared" si="78"/>
        <v>1600041400.9099998</v>
      </c>
      <c r="I23" s="193">
        <f t="shared" si="78"/>
        <v>2208793352.21</v>
      </c>
      <c r="J23" s="193">
        <f t="shared" si="78"/>
        <v>1307298610.8800001</v>
      </c>
      <c r="K23" s="193">
        <f t="shared" si="78"/>
        <v>-117929228.19999996</v>
      </c>
      <c r="L23" s="193">
        <f t="shared" si="78"/>
        <v>-29768239.209999993</v>
      </c>
      <c r="M23" s="193">
        <f t="shared" si="78"/>
        <v>215244194.81</v>
      </c>
      <c r="N23" s="193">
        <f t="shared" si="78"/>
        <v>-46242577.339999974</v>
      </c>
      <c r="O23" s="193">
        <f t="shared" si="78"/>
        <v>209768615.22</v>
      </c>
      <c r="P23" s="193">
        <f t="shared" si="78"/>
        <v>427677119.04000002</v>
      </c>
      <c r="Q23" s="193">
        <f t="shared" si="78"/>
        <v>462710789.78999996</v>
      </c>
      <c r="R23" s="193">
        <f t="shared" si="78"/>
        <v>133244612.06</v>
      </c>
      <c r="S23" s="193">
        <f t="shared" si="78"/>
        <v>59414643.579999991</v>
      </c>
      <c r="T23" s="193">
        <f t="shared" si="78"/>
        <v>217624851.92999998</v>
      </c>
      <c r="U23" s="193">
        <f t="shared" si="78"/>
        <v>199958752.14999998</v>
      </c>
      <c r="V23" s="193">
        <f t="shared" si="78"/>
        <v>192688218.63</v>
      </c>
      <c r="W23" s="193">
        <f t="shared" si="78"/>
        <v>92208521.210000023</v>
      </c>
      <c r="X23" s="193">
        <f t="shared" si="78"/>
        <v>194895363.34</v>
      </c>
      <c r="Y23" s="193">
        <f t="shared" si="78"/>
        <v>248275944.43000001</v>
      </c>
      <c r="Z23" s="193">
        <f t="shared" si="78"/>
        <v>208592453.69000003</v>
      </c>
      <c r="AA23" s="193">
        <f t="shared" si="78"/>
        <v>89510595.980000019</v>
      </c>
      <c r="AB23" s="193">
        <f t="shared" si="78"/>
        <v>173563538.44000003</v>
      </c>
      <c r="AC23" s="193">
        <f t="shared" si="78"/>
        <v>186658241.85999998</v>
      </c>
      <c r="AD23" s="193">
        <f t="shared" si="78"/>
        <v>182874006.69</v>
      </c>
      <c r="AE23" s="193">
        <f t="shared" si="78"/>
        <v>160347000.78999999</v>
      </c>
      <c r="AF23" s="193">
        <f t="shared" si="78"/>
        <v>251963138.29999995</v>
      </c>
      <c r="AG23" s="193">
        <f t="shared" si="78"/>
        <v>228072899.52000001</v>
      </c>
      <c r="AH23" s="193">
        <f t="shared" si="78"/>
        <v>212423127.22000003</v>
      </c>
      <c r="AI23" s="193">
        <f t="shared" si="78"/>
        <v>241433194.15000001</v>
      </c>
      <c r="AJ23" s="193">
        <f t="shared" si="78"/>
        <v>252690077.39000002</v>
      </c>
      <c r="AK23" s="193">
        <f t="shared" si="78"/>
        <v>259288556.66999999</v>
      </c>
      <c r="AL23" s="193">
        <f t="shared" si="78"/>
        <v>213151464.78999999</v>
      </c>
      <c r="AM23" s="193">
        <f t="shared" si="78"/>
        <v>206477480.03</v>
      </c>
      <c r="AN23" s="193">
        <f t="shared" si="78"/>
        <v>227394324.49000001</v>
      </c>
      <c r="AO23" s="193">
        <f t="shared" si="78"/>
        <v>209865098.36000001</v>
      </c>
      <c r="AP23" s="193">
        <f t="shared" si="78"/>
        <v>233773386.72999999</v>
      </c>
      <c r="AQ23" s="193">
        <f t="shared" si="78"/>
        <v>206059865.52000001</v>
      </c>
      <c r="AR23" s="193">
        <f t="shared" si="78"/>
        <v>230101478.34999999</v>
      </c>
      <c r="AS23" s="193">
        <f t="shared" si="78"/>
        <v>218235986.23000002</v>
      </c>
    </row>
    <row r="24" spans="1:74" s="221" customFormat="1" x14ac:dyDescent="0.25">
      <c r="A24" s="221" t="s">
        <v>303</v>
      </c>
      <c r="B24" s="193">
        <v>1259878368.0899999</v>
      </c>
      <c r="C24" s="193">
        <v>1441879667.46</v>
      </c>
      <c r="D24" s="193">
        <v>973605513.38</v>
      </c>
      <c r="E24" s="193">
        <v>1558857108.1900001</v>
      </c>
      <c r="F24" s="193">
        <v>1181934391.51</v>
      </c>
      <c r="G24" s="193">
        <v>1083383383.8199999</v>
      </c>
      <c r="H24" s="193">
        <v>365980504.49000001</v>
      </c>
      <c r="I24" s="193">
        <v>450821899.88999999</v>
      </c>
      <c r="J24" s="193">
        <v>394384177.55000001</v>
      </c>
      <c r="K24" s="193">
        <v>54693276.020000003</v>
      </c>
      <c r="L24" s="193">
        <v>87817568.599999994</v>
      </c>
      <c r="M24" s="193">
        <v>1767169651.1300001</v>
      </c>
      <c r="N24" s="193">
        <v>1583294087.8599999</v>
      </c>
      <c r="O24" s="193">
        <v>-50286724.729999997</v>
      </c>
      <c r="P24" s="193">
        <v>-81088785.819999993</v>
      </c>
      <c r="Q24" s="193">
        <v>-130720432.13</v>
      </c>
      <c r="R24" s="193">
        <v>-23560719.84</v>
      </c>
      <c r="S24" s="193">
        <v>-6228937.6200000001</v>
      </c>
      <c r="T24" s="193">
        <v>6470958.2699999996</v>
      </c>
      <c r="U24" s="193">
        <v>69740108.969999999</v>
      </c>
      <c r="V24" s="193">
        <v>-51640807.890000001</v>
      </c>
      <c r="W24" s="193">
        <v>-52488141.219999999</v>
      </c>
      <c r="X24" s="193">
        <v>-3321320.12</v>
      </c>
      <c r="Y24" s="193">
        <v>29800288.039999999</v>
      </c>
      <c r="Z24" s="193">
        <v>1181422.8400000001</v>
      </c>
      <c r="AA24" s="193">
        <v>1534867.46</v>
      </c>
      <c r="AB24" s="193">
        <v>2666394.12</v>
      </c>
      <c r="AC24" s="193">
        <v>5529416.6100000003</v>
      </c>
      <c r="AD24" s="193">
        <v>6048001.3899999997</v>
      </c>
      <c r="AE24" s="193">
        <v>7504305.5499999998</v>
      </c>
      <c r="AF24" s="193">
        <v>-1038408.33</v>
      </c>
      <c r="AG24" s="193">
        <v>-31780206.620000001</v>
      </c>
      <c r="AH24" s="193">
        <v>-28438221.510000002</v>
      </c>
      <c r="AI24" s="193">
        <v>-26121462.609999999</v>
      </c>
      <c r="AJ24" s="193">
        <v>2630574.9500000002</v>
      </c>
      <c r="AK24" s="193">
        <v>-2361535.33</v>
      </c>
      <c r="AL24" s="193">
        <v>-1917076.51</v>
      </c>
      <c r="AM24" s="193">
        <v>4023153.87</v>
      </c>
      <c r="AN24" s="193">
        <v>-2829333.23</v>
      </c>
      <c r="AO24" s="193">
        <v>833882.53</v>
      </c>
      <c r="AP24" s="193">
        <v>-278206.81</v>
      </c>
      <c r="AQ24" s="193">
        <v>4774161.5199999996</v>
      </c>
      <c r="AR24" s="193">
        <v>-225511.75</v>
      </c>
      <c r="AS24" s="193">
        <v>-19750582.690000001</v>
      </c>
      <c r="AT24" s="193">
        <v>-18579695.129999999</v>
      </c>
      <c r="AU24" s="193">
        <v>-12139481.130000001</v>
      </c>
      <c r="AV24" s="193">
        <v>4810960.5199999996</v>
      </c>
      <c r="AW24" s="193">
        <v>-7058478.6500000004</v>
      </c>
      <c r="AX24" s="193">
        <v>-9445404.1899999995</v>
      </c>
      <c r="AY24" s="193">
        <v>142496.62</v>
      </c>
      <c r="AZ24" s="193">
        <v>-227426.84</v>
      </c>
      <c r="BA24" s="193">
        <v>112844770.83</v>
      </c>
      <c r="BB24" s="193">
        <v>138621807.68000001</v>
      </c>
      <c r="BC24" s="193">
        <v>144377528.46000001</v>
      </c>
      <c r="BD24" s="193">
        <v>-9756343.0299999993</v>
      </c>
      <c r="BE24" s="193">
        <v>0</v>
      </c>
      <c r="BF24" s="193">
        <v>-561934038.67999995</v>
      </c>
      <c r="BG24" s="193">
        <v>-149082870.63</v>
      </c>
      <c r="BH24" s="193">
        <v>-26092985.300000001</v>
      </c>
      <c r="BI24" s="193">
        <v>-952217706.23000002</v>
      </c>
      <c r="BJ24" s="193">
        <v>-863140884.26999998</v>
      </c>
      <c r="BK24" s="193">
        <v>-286061241.39999998</v>
      </c>
      <c r="BL24" s="193">
        <v>20219862.699999999</v>
      </c>
      <c r="BM24" s="193">
        <v>-497757747.88999999</v>
      </c>
      <c r="BN24" s="193">
        <v>69180771.329999998</v>
      </c>
      <c r="BO24" s="193">
        <v>-213431258.74000001</v>
      </c>
      <c r="BP24" s="193">
        <v>108990136.8</v>
      </c>
      <c r="BQ24" s="193">
        <v>-216035950.44999999</v>
      </c>
      <c r="BR24" s="193">
        <v>-53663250.100000001</v>
      </c>
      <c r="BS24" s="193">
        <v>1199883182.9300001</v>
      </c>
      <c r="BT24" s="193">
        <v>-240455659.52000001</v>
      </c>
      <c r="BU24" s="193">
        <v>12699187.619999999</v>
      </c>
      <c r="BV24" s="193">
        <v>0</v>
      </c>
    </row>
    <row r="25" spans="1:74" s="242" customFormat="1" ht="138.6" customHeight="1" x14ac:dyDescent="0.25">
      <c r="A25" s="274" t="s">
        <v>740</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631</v>
      </c>
      <c r="E26" s="26">
        <f>现金流量表!E15</f>
        <v>24873000</v>
      </c>
      <c r="F26" s="26">
        <f>现金流量表!F15</f>
        <v>4949500</v>
      </c>
      <c r="G26" s="26">
        <f>现金流量表!G15</f>
        <v>4949500</v>
      </c>
      <c r="H26" s="26">
        <f>现金流量表!H15</f>
        <v>2500000</v>
      </c>
      <c r="I26" s="26">
        <f>现金流量表!I15</f>
        <v>1010000</v>
      </c>
      <c r="J26" s="26">
        <f>现金流量表!J15</f>
        <v>0</v>
      </c>
      <c r="K26" s="26">
        <f>现金流量表!K15</f>
        <v>0</v>
      </c>
      <c r="L26" s="26">
        <f>现金流量表!L15</f>
        <v>0</v>
      </c>
      <c r="M26" s="26">
        <f>现金流量表!M15</f>
        <v>1480588.03</v>
      </c>
      <c r="N26" s="26">
        <f>现金流量表!N15</f>
        <v>1368155.51</v>
      </c>
      <c r="O26" s="26">
        <f>现金流量表!O15</f>
        <v>0</v>
      </c>
      <c r="P26" s="26">
        <f>现金流量表!P15</f>
        <v>0</v>
      </c>
      <c r="Q26" s="26">
        <f>现金流量表!Q15</f>
        <v>0</v>
      </c>
      <c r="R26" s="26">
        <f>现金流量表!R15</f>
        <v>1000000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3352296.91</v>
      </c>
      <c r="BB26" s="26">
        <f>现金流量表!BB15</f>
        <v>990000</v>
      </c>
      <c r="BC26" s="26">
        <f>现金流量表!BC15</f>
        <v>990000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469970527.07999998</v>
      </c>
      <c r="F27" s="26">
        <f>现金流量表!F22</f>
        <v>250287958</v>
      </c>
      <c r="G27" s="26">
        <f>现金流量表!G22</f>
        <v>154014613.62</v>
      </c>
      <c r="H27" s="26">
        <f>现金流量表!H22</f>
        <v>30333320</v>
      </c>
      <c r="I27" s="26">
        <f>现金流量表!I22</f>
        <v>225858671</v>
      </c>
      <c r="J27" s="26">
        <f>现金流量表!J22</f>
        <v>251349352.81999999</v>
      </c>
      <c r="K27" s="26">
        <f>现金流量表!K22</f>
        <v>114981000</v>
      </c>
      <c r="L27" s="26">
        <f>现金流量表!L22</f>
        <v>34996760</v>
      </c>
      <c r="M27" s="26">
        <f>现金流量表!M22</f>
        <v>1099828567.55</v>
      </c>
      <c r="N27" s="26">
        <f>现金流量表!N22</f>
        <v>1115894567.55</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5000000</v>
      </c>
      <c r="W27" s="26">
        <f>现金流量表!W22</f>
        <v>0</v>
      </c>
      <c r="X27" s="26">
        <f>现金流量表!X22</f>
        <v>0</v>
      </c>
      <c r="Y27" s="26">
        <f>现金流量表!Y22</f>
        <v>2927050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240000</v>
      </c>
      <c r="AH27" s="26">
        <f>现金流量表!AH22</f>
        <v>0</v>
      </c>
      <c r="AI27" s="26">
        <f>现金流量表!AI22</f>
        <v>0</v>
      </c>
      <c r="AJ27" s="26">
        <f>现金流量表!AJ22</f>
        <v>128487.12</v>
      </c>
      <c r="AK27" s="26">
        <f>现金流量表!AK22</f>
        <v>160000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990000</v>
      </c>
      <c r="AU27" s="26">
        <f>现金流量表!AU22</f>
        <v>990000</v>
      </c>
      <c r="AV27" s="26">
        <f>现金流量表!AV22</f>
        <v>0</v>
      </c>
      <c r="AW27" s="26">
        <f>现金流量表!AW22</f>
        <v>0</v>
      </c>
      <c r="AX27" s="26">
        <f>现金流量表!AX22</f>
        <v>2019000</v>
      </c>
      <c r="AY27" s="26">
        <f>现金流量表!AY22</f>
        <v>2019000</v>
      </c>
      <c r="AZ27" s="26">
        <f>现金流量表!AZ22</f>
        <v>0</v>
      </c>
      <c r="BA27" s="26">
        <f>现金流量表!BA22</f>
        <v>2758600</v>
      </c>
      <c r="BB27" s="26">
        <f>现金流量表!BB22</f>
        <v>2758600</v>
      </c>
      <c r="BC27" s="26">
        <f>现金流量表!BC22</f>
        <v>2758600</v>
      </c>
      <c r="BD27" s="26">
        <f>现金流量表!BD22</f>
        <v>7788769.4000000004</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445097527.07999998</v>
      </c>
      <c r="F28" s="26">
        <f t="shared" ref="F28:BQ28" si="79">F27-F26</f>
        <v>245338458</v>
      </c>
      <c r="G28" s="26">
        <f t="shared" si="79"/>
        <v>149065113.62</v>
      </c>
      <c r="H28" s="26">
        <f t="shared" si="79"/>
        <v>27833320</v>
      </c>
      <c r="I28" s="26">
        <f t="shared" si="79"/>
        <v>224848671</v>
      </c>
      <c r="J28" s="26">
        <f t="shared" si="79"/>
        <v>251349352.81999999</v>
      </c>
      <c r="K28" s="26">
        <f t="shared" si="79"/>
        <v>114981000</v>
      </c>
      <c r="L28" s="26">
        <f t="shared" si="79"/>
        <v>34996760</v>
      </c>
      <c r="M28" s="26">
        <f t="shared" si="79"/>
        <v>1098347979.52</v>
      </c>
      <c r="N28" s="26">
        <f t="shared" si="79"/>
        <v>1114526412.04</v>
      </c>
      <c r="O28" s="26">
        <f t="shared" si="79"/>
        <v>0</v>
      </c>
      <c r="P28" s="26">
        <f t="shared" si="79"/>
        <v>0</v>
      </c>
      <c r="Q28" s="26">
        <f t="shared" si="79"/>
        <v>0</v>
      </c>
      <c r="R28" s="26">
        <f t="shared" si="79"/>
        <v>-1000000</v>
      </c>
      <c r="S28" s="26">
        <f t="shared" si="79"/>
        <v>0</v>
      </c>
      <c r="T28" s="26">
        <f t="shared" si="79"/>
        <v>0</v>
      </c>
      <c r="U28" s="26">
        <f t="shared" si="79"/>
        <v>0</v>
      </c>
      <c r="V28" s="26">
        <f t="shared" si="79"/>
        <v>5000000</v>
      </c>
      <c r="W28" s="26">
        <f t="shared" si="79"/>
        <v>0</v>
      </c>
      <c r="X28" s="26">
        <f t="shared" si="79"/>
        <v>0</v>
      </c>
      <c r="Y28" s="26">
        <f t="shared" si="79"/>
        <v>2927050</v>
      </c>
      <c r="Z28" s="26">
        <f t="shared" si="79"/>
        <v>0</v>
      </c>
      <c r="AA28" s="26">
        <f t="shared" si="79"/>
        <v>0</v>
      </c>
      <c r="AB28" s="26">
        <f t="shared" si="79"/>
        <v>0</v>
      </c>
      <c r="AC28" s="26">
        <f t="shared" si="79"/>
        <v>0</v>
      </c>
      <c r="AD28" s="26">
        <f t="shared" si="79"/>
        <v>0</v>
      </c>
      <c r="AE28" s="26">
        <f t="shared" si="79"/>
        <v>0</v>
      </c>
      <c r="AF28" s="26">
        <f t="shared" si="79"/>
        <v>0</v>
      </c>
      <c r="AG28" s="26">
        <f t="shared" si="79"/>
        <v>240000</v>
      </c>
      <c r="AH28" s="26">
        <f t="shared" si="79"/>
        <v>0</v>
      </c>
      <c r="AI28" s="26">
        <f t="shared" si="79"/>
        <v>0</v>
      </c>
      <c r="AJ28" s="26">
        <f t="shared" si="79"/>
        <v>128487.12</v>
      </c>
      <c r="AK28" s="26">
        <f t="shared" si="79"/>
        <v>160000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990000</v>
      </c>
      <c r="AU28" s="26">
        <f t="shared" si="79"/>
        <v>990000</v>
      </c>
      <c r="AV28" s="26">
        <f t="shared" si="79"/>
        <v>0</v>
      </c>
      <c r="AW28" s="26">
        <f t="shared" si="79"/>
        <v>0</v>
      </c>
      <c r="AX28" s="26">
        <f t="shared" si="79"/>
        <v>2019000</v>
      </c>
      <c r="AY28" s="26">
        <f t="shared" si="79"/>
        <v>2019000</v>
      </c>
      <c r="AZ28" s="26">
        <f t="shared" si="79"/>
        <v>0</v>
      </c>
      <c r="BA28" s="26">
        <f t="shared" si="79"/>
        <v>-593696.91000000015</v>
      </c>
      <c r="BB28" s="26">
        <f t="shared" si="79"/>
        <v>1768600</v>
      </c>
      <c r="BC28" s="26">
        <f t="shared" si="79"/>
        <v>1768600</v>
      </c>
      <c r="BD28" s="26">
        <f t="shared" si="79"/>
        <v>7788769.4000000004</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747</v>
      </c>
      <c r="E29" s="182">
        <f>POWER(E28/M28,1/3)-1</f>
        <v>-0.25998860258420331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38352</v>
      </c>
      <c r="BE30" s="1">
        <v>25569</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9892436547.4699993</v>
      </c>
      <c r="C31" s="190">
        <v>9747123786.6000004</v>
      </c>
      <c r="D31" s="190">
        <v>8123769046.21</v>
      </c>
      <c r="E31" s="190">
        <v>7889812092.5100002</v>
      </c>
      <c r="F31" s="190">
        <v>4958476660.2299995</v>
      </c>
      <c r="G31" s="190">
        <v>4324921829.5799999</v>
      </c>
      <c r="H31" s="190">
        <v>3844667670.5</v>
      </c>
      <c r="I31" s="190">
        <v>3619018214.54</v>
      </c>
      <c r="J31" s="190">
        <v>3281208749.48</v>
      </c>
      <c r="K31" s="190">
        <v>3018266033.9000001</v>
      </c>
      <c r="L31" s="190">
        <v>2703133804.29</v>
      </c>
      <c r="M31" s="190">
        <v>2579835263.6999998</v>
      </c>
      <c r="N31" s="190">
        <v>2465486739.3400002</v>
      </c>
      <c r="O31" s="190">
        <v>342234217.83999997</v>
      </c>
      <c r="P31" s="190">
        <v>317355456.69999999</v>
      </c>
      <c r="Q31" s="190">
        <v>338144759</v>
      </c>
      <c r="R31" s="190">
        <v>341824288.39999998</v>
      </c>
      <c r="S31" s="190">
        <v>337640256.63</v>
      </c>
      <c r="T31" s="190">
        <v>328879453.85000002</v>
      </c>
      <c r="U31" s="190">
        <v>292636045.38</v>
      </c>
      <c r="V31" s="190">
        <v>277297220.52999997</v>
      </c>
      <c r="W31" s="190">
        <v>265741132.91</v>
      </c>
      <c r="X31" s="190">
        <v>265724003.5</v>
      </c>
      <c r="Y31" s="190">
        <v>263317844.06999999</v>
      </c>
      <c r="Z31" s="190">
        <v>210374422.44999999</v>
      </c>
      <c r="AA31" s="190">
        <v>212693774.47</v>
      </c>
      <c r="AB31" s="190">
        <v>212356603.28</v>
      </c>
      <c r="AC31" s="190">
        <v>213694692.08000001</v>
      </c>
      <c r="AD31" s="190">
        <v>141418117.47999999</v>
      </c>
      <c r="AE31" s="190">
        <v>156593682.66999999</v>
      </c>
      <c r="AF31" s="190">
        <v>142372502.99000001</v>
      </c>
      <c r="AG31" s="190">
        <v>106868548.73999999</v>
      </c>
      <c r="AH31" s="190">
        <v>98996595.340000004</v>
      </c>
      <c r="AI31" s="190">
        <v>101027473.95</v>
      </c>
      <c r="AJ31" s="190">
        <v>101899104.55</v>
      </c>
      <c r="AK31" s="190">
        <v>105522777.23999999</v>
      </c>
      <c r="AL31" s="190">
        <v>110401093.26000001</v>
      </c>
      <c r="AM31" s="190">
        <v>113356975.45</v>
      </c>
      <c r="AN31" s="190">
        <v>116315961.27</v>
      </c>
      <c r="AO31" s="190">
        <v>119107741.59999999</v>
      </c>
      <c r="AP31" s="190">
        <v>126591676.69</v>
      </c>
      <c r="AQ31" s="190">
        <v>129904871.31</v>
      </c>
      <c r="AR31" s="190">
        <v>133651103.98</v>
      </c>
      <c r="AS31" s="190">
        <v>134659003.68000001</v>
      </c>
      <c r="AT31" s="190">
        <v>134266156.94999999</v>
      </c>
      <c r="AU31" s="190">
        <v>138111664.16999999</v>
      </c>
      <c r="AV31" s="190">
        <v>140586607.24000001</v>
      </c>
      <c r="AW31" s="190">
        <v>144181987.03999999</v>
      </c>
      <c r="AX31" s="190">
        <v>143507497.30000001</v>
      </c>
      <c r="AY31" s="190">
        <v>141059333.46000001</v>
      </c>
      <c r="AZ31" s="190">
        <v>133075502.34</v>
      </c>
      <c r="BA31" s="190">
        <v>134587813.22999999</v>
      </c>
      <c r="BB31" s="190">
        <v>125199601.65000001</v>
      </c>
      <c r="BC31" s="190">
        <v>123774111.09999999</v>
      </c>
      <c r="BD31" s="190">
        <v>122736338.48999999</v>
      </c>
      <c r="BE31" s="190">
        <v>96916898.260000005</v>
      </c>
      <c r="BF31" s="190">
        <v>2633768248.5900002</v>
      </c>
      <c r="BG31" s="190">
        <v>2540908104.8800001</v>
      </c>
      <c r="BH31" s="190">
        <v>2627501543.46</v>
      </c>
      <c r="BI31" s="190">
        <v>2633995522.4200001</v>
      </c>
      <c r="BJ31" s="190">
        <v>2697608030.8499999</v>
      </c>
      <c r="BK31" s="190">
        <v>2506061093.3600001</v>
      </c>
      <c r="BL31" s="190">
        <v>2449347773.48</v>
      </c>
      <c r="BM31" s="190">
        <v>2441134555.5</v>
      </c>
      <c r="BN31" s="190">
        <v>2120830735.96</v>
      </c>
      <c r="BO31" s="190">
        <v>2152380109.23</v>
      </c>
      <c r="BP31" s="190">
        <v>2117283926.8199999</v>
      </c>
      <c r="BQ31" s="190">
        <v>2007899852.48</v>
      </c>
      <c r="BR31" s="190">
        <v>2214134485.5799999</v>
      </c>
      <c r="BS31" s="190">
        <v>1814339827.5999999</v>
      </c>
      <c r="BT31" s="190">
        <v>2086744304.6300001</v>
      </c>
      <c r="BU31" s="190">
        <v>1960182316.27</v>
      </c>
      <c r="BV31" s="190">
        <v>1207621496.74</v>
      </c>
    </row>
    <row r="32" spans="1:74" s="54" customFormat="1" ht="15" customHeight="1" x14ac:dyDescent="0.25">
      <c r="A32" s="138" t="s">
        <v>311</v>
      </c>
      <c r="B32" s="190">
        <v>4596697421.5699997</v>
      </c>
      <c r="C32" s="190">
        <v>4540466235.4700003</v>
      </c>
      <c r="D32" s="190">
        <v>4058541621.6100001</v>
      </c>
      <c r="E32" s="190">
        <v>4045550972.4299998</v>
      </c>
      <c r="F32" s="190">
        <v>1045852003.49</v>
      </c>
      <c r="G32" s="190">
        <v>870699739.72000003</v>
      </c>
      <c r="H32" s="190">
        <v>722121477.36000001</v>
      </c>
      <c r="I32" s="190">
        <v>709575043.62</v>
      </c>
      <c r="J32" s="190">
        <v>499748454.42000002</v>
      </c>
      <c r="K32" s="190">
        <v>474260065.75999999</v>
      </c>
      <c r="L32" s="190">
        <v>417249139.39999998</v>
      </c>
      <c r="M32" s="190">
        <v>417249139.39999998</v>
      </c>
      <c r="N32" s="190">
        <v>367254530.99000001</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242985.79</v>
      </c>
      <c r="AM32" s="190">
        <v>242985.79</v>
      </c>
      <c r="AN32" s="190">
        <v>242985.79</v>
      </c>
      <c r="AO32" s="190">
        <v>242985.79</v>
      </c>
      <c r="AP32" s="190">
        <v>242985.79</v>
      </c>
      <c r="AQ32" s="190">
        <v>242985.79</v>
      </c>
      <c r="AR32" s="190">
        <v>242985.79</v>
      </c>
      <c r="AS32" s="190">
        <v>242985.79</v>
      </c>
      <c r="AT32" s="190">
        <v>242985.79</v>
      </c>
      <c r="AU32" s="190">
        <v>242985.79</v>
      </c>
      <c r="AV32" s="190">
        <v>0</v>
      </c>
      <c r="AW32" s="190">
        <v>242985.79</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866867910.70000005</v>
      </c>
      <c r="C33" s="190">
        <v>788261910.70000005</v>
      </c>
      <c r="D33" s="190">
        <v>691041801.70000005</v>
      </c>
      <c r="E33" s="190">
        <v>576626206.70000005</v>
      </c>
      <c r="F33" s="190">
        <v>454910725.69999999</v>
      </c>
      <c r="G33" s="190">
        <v>348692119.31999999</v>
      </c>
      <c r="H33" s="190">
        <v>269078649.86000001</v>
      </c>
      <c r="I33" s="190">
        <v>238745329.86000001</v>
      </c>
      <c r="J33" s="190">
        <v>1191853465.1600001</v>
      </c>
      <c r="K33" s="190">
        <v>1155114465.1600001</v>
      </c>
      <c r="L33" s="190">
        <v>1082805925.7</v>
      </c>
      <c r="M33" s="190">
        <v>1070865925.7</v>
      </c>
      <c r="N33" s="190">
        <v>1046235000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3267634913.3800001</v>
      </c>
      <c r="F34" s="49">
        <f t="shared" ref="F34:BP34" si="81">F31-F32-F33</f>
        <v>3457713931.04</v>
      </c>
      <c r="G34" s="49">
        <f t="shared" si="81"/>
        <v>3105529970.5399995</v>
      </c>
      <c r="H34" s="49">
        <f t="shared" si="81"/>
        <v>2853467543.2799997</v>
      </c>
      <c r="I34" s="49">
        <f t="shared" si="81"/>
        <v>2670697841.0599999</v>
      </c>
      <c r="J34" s="49">
        <f t="shared" si="81"/>
        <v>1589606829.8999999</v>
      </c>
      <c r="K34" s="49">
        <f t="shared" si="81"/>
        <v>1388891502.9800003</v>
      </c>
      <c r="L34" s="49">
        <f t="shared" si="81"/>
        <v>1203078739.1899998</v>
      </c>
      <c r="M34" s="49">
        <f t="shared" si="81"/>
        <v>1091720198.5999997</v>
      </c>
      <c r="N34" s="49">
        <f t="shared" si="81"/>
        <v>1051997208.3500001</v>
      </c>
      <c r="O34" s="49">
        <f t="shared" si="81"/>
        <v>342234217.83999997</v>
      </c>
      <c r="P34" s="49">
        <f t="shared" si="81"/>
        <v>317355456.69999999</v>
      </c>
      <c r="Q34" s="49">
        <f t="shared" si="81"/>
        <v>338144759</v>
      </c>
      <c r="R34" s="49">
        <f t="shared" si="81"/>
        <v>341824288.39999998</v>
      </c>
      <c r="S34" s="49">
        <f t="shared" si="81"/>
        <v>337640256.63</v>
      </c>
      <c r="T34" s="49">
        <f t="shared" si="81"/>
        <v>328879453.85000002</v>
      </c>
      <c r="U34" s="49">
        <f t="shared" si="81"/>
        <v>292636045.38</v>
      </c>
      <c r="V34" s="49">
        <f t="shared" si="81"/>
        <v>277297220.52999997</v>
      </c>
      <c r="W34" s="49">
        <f t="shared" si="81"/>
        <v>265741132.91</v>
      </c>
      <c r="X34" s="49">
        <f t="shared" si="81"/>
        <v>265724003.5</v>
      </c>
      <c r="Y34" s="49">
        <f t="shared" si="81"/>
        <v>263317844.06999999</v>
      </c>
      <c r="Z34" s="49">
        <f t="shared" si="81"/>
        <v>210374422.44999999</v>
      </c>
      <c r="AA34" s="49">
        <f t="shared" si="81"/>
        <v>212693774.47</v>
      </c>
      <c r="AB34" s="49">
        <f t="shared" si="81"/>
        <v>212356603.28</v>
      </c>
      <c r="AC34" s="49">
        <f t="shared" si="81"/>
        <v>213694692.08000001</v>
      </c>
      <c r="AD34" s="49">
        <f t="shared" si="81"/>
        <v>141418117.47999999</v>
      </c>
      <c r="AE34" s="49">
        <f t="shared" si="81"/>
        <v>156593682.66999999</v>
      </c>
      <c r="AF34" s="49">
        <f t="shared" si="81"/>
        <v>142372502.99000001</v>
      </c>
      <c r="AG34" s="49">
        <f t="shared" si="81"/>
        <v>106868548.73999999</v>
      </c>
      <c r="AH34" s="49">
        <f t="shared" si="81"/>
        <v>98996595.340000004</v>
      </c>
      <c r="AI34" s="49">
        <f t="shared" si="81"/>
        <v>101027473.95</v>
      </c>
      <c r="AJ34" s="49">
        <f t="shared" si="81"/>
        <v>101899104.55</v>
      </c>
      <c r="AK34" s="49">
        <f t="shared" si="81"/>
        <v>105522777.23999999</v>
      </c>
      <c r="AL34" s="49">
        <f t="shared" si="81"/>
        <v>110158107.47</v>
      </c>
      <c r="AM34" s="49">
        <f t="shared" si="81"/>
        <v>113113989.66</v>
      </c>
      <c r="AN34" s="49">
        <f t="shared" si="81"/>
        <v>116072975.47999999</v>
      </c>
      <c r="AO34" s="49">
        <f t="shared" si="81"/>
        <v>118864755.80999999</v>
      </c>
      <c r="AP34" s="49">
        <f t="shared" si="81"/>
        <v>126348690.89999999</v>
      </c>
      <c r="AQ34" s="49">
        <f t="shared" si="81"/>
        <v>129661885.52</v>
      </c>
      <c r="AR34" s="49">
        <f t="shared" si="81"/>
        <v>133408118.19</v>
      </c>
      <c r="AS34" s="49">
        <f t="shared" si="81"/>
        <v>134416017.89000002</v>
      </c>
      <c r="AT34" s="49">
        <f t="shared" si="81"/>
        <v>134023171.15999998</v>
      </c>
      <c r="AU34" s="49">
        <f t="shared" si="81"/>
        <v>137868678.38</v>
      </c>
      <c r="AV34" s="49">
        <f t="shared" si="81"/>
        <v>140586607.24000001</v>
      </c>
      <c r="AW34" s="49">
        <f t="shared" si="81"/>
        <v>143939001.25</v>
      </c>
      <c r="AX34" s="49">
        <f t="shared" si="81"/>
        <v>143507497.30000001</v>
      </c>
      <c r="AY34" s="49">
        <f t="shared" si="81"/>
        <v>141059333.46000001</v>
      </c>
      <c r="AZ34" s="49">
        <f t="shared" si="81"/>
        <v>133075502.34</v>
      </c>
      <c r="BA34" s="49">
        <f t="shared" si="81"/>
        <v>134587813.22999999</v>
      </c>
      <c r="BB34" s="49">
        <f t="shared" si="81"/>
        <v>125199601.65000001</v>
      </c>
      <c r="BC34" s="49">
        <f t="shared" si="81"/>
        <v>123774111.09999999</v>
      </c>
      <c r="BD34" s="49">
        <f t="shared" si="81"/>
        <v>122736338.48999999</v>
      </c>
      <c r="BE34" s="49">
        <f t="shared" si="81"/>
        <v>96916898.260000005</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126348690.89999999</v>
      </c>
      <c r="BR34" s="49">
        <f>AQ31-AQ32-AQ33</f>
        <v>129661885.52</v>
      </c>
      <c r="BS34" s="49">
        <f>AR31-AR32-AR33</f>
        <v>133408118.19</v>
      </c>
      <c r="BT34" s="49"/>
      <c r="BU34" s="50"/>
    </row>
    <row r="35" spans="1:74" s="106" customFormat="1" ht="15" thickBot="1" x14ac:dyDescent="0.3">
      <c r="A35" s="140" t="s">
        <v>317</v>
      </c>
      <c r="B35" s="33">
        <f>SUM(B22:B31)</f>
        <v>11152358288.559999</v>
      </c>
      <c r="C35" s="33">
        <f>SUM(C22:C31)</f>
        <v>11189046735.060001</v>
      </c>
      <c r="D35" s="33">
        <f>SUM(D22:D31)</f>
        <v>9097417749.5900002</v>
      </c>
      <c r="E35" s="33">
        <f>资产资本表!E17</f>
        <v>2943099285.9800005</v>
      </c>
      <c r="F35" s="33">
        <f>资产资本表!F17</f>
        <v>1486843365.49</v>
      </c>
      <c r="G35" s="33">
        <f>资产资本表!G17</f>
        <v>1697111072.54</v>
      </c>
      <c r="H35" s="33">
        <f>资产资本表!H17</f>
        <v>1332722304.03</v>
      </c>
      <c r="I35" s="33">
        <f>资产资本表!I17</f>
        <v>1340180690.2400002</v>
      </c>
      <c r="J35" s="33">
        <f>资产资本表!J17</f>
        <v>1818600868.71</v>
      </c>
      <c r="K35" s="33">
        <f>资产资本表!K17</f>
        <v>1647513041.4200001</v>
      </c>
      <c r="L35" s="33">
        <f>资产资本表!L17</f>
        <v>1950363915.3699999</v>
      </c>
      <c r="M35" s="33">
        <f>资产资本表!M17</f>
        <v>2176602709.8800001</v>
      </c>
      <c r="N35" s="33">
        <f>资产资本表!N17</f>
        <v>1697736404.26</v>
      </c>
      <c r="O35" s="33">
        <f>资产资本表!O17</f>
        <v>240919388.28999999</v>
      </c>
      <c r="P35" s="33">
        <f>资产资本表!P17</f>
        <v>261414883.90000001</v>
      </c>
      <c r="Q35" s="33">
        <f>资产资本表!Q17</f>
        <v>356030353.00000006</v>
      </c>
      <c r="R35" s="33">
        <f>资产资本表!R17</f>
        <v>348409772.12</v>
      </c>
      <c r="S35" s="33">
        <f>资产资本表!S17</f>
        <v>299956852.39999998</v>
      </c>
      <c r="T35" s="33">
        <f>资产资本表!T17</f>
        <v>421060595.31999999</v>
      </c>
      <c r="U35" s="33">
        <f>资产资本表!U17</f>
        <v>435168969.68000001</v>
      </c>
      <c r="V35" s="33">
        <f>资产资本表!V17</f>
        <v>193356230.24000001</v>
      </c>
      <c r="W35" s="33">
        <f>资产资本表!W17</f>
        <v>167504627.19</v>
      </c>
      <c r="X35" s="33">
        <f>资产资本表!X17</f>
        <v>264834236.38999999</v>
      </c>
      <c r="Y35" s="33">
        <f>资产资本表!Y17</f>
        <v>279165938.43000001</v>
      </c>
      <c r="Z35" s="33">
        <f>资产资本表!Z17</f>
        <v>225751809.45999998</v>
      </c>
      <c r="AA35" s="33">
        <f>资产资本表!AA17</f>
        <v>150374092.89000002</v>
      </c>
      <c r="AB35" s="33">
        <f>资产资本表!AB17</f>
        <v>204775222.93000001</v>
      </c>
      <c r="AC35" s="33">
        <f>资产资本表!AC17</f>
        <v>196521614.52000001</v>
      </c>
      <c r="AD35" s="33">
        <f>资产资本表!AD17</f>
        <v>182339924.76000002</v>
      </c>
      <c r="AE35" s="33">
        <f>资产资本表!AE17</f>
        <v>138344803.64000002</v>
      </c>
      <c r="AF35" s="33">
        <f>资产资本表!AF17</f>
        <v>167287829.82000002</v>
      </c>
      <c r="AG35" s="33">
        <f>资产资本表!AG17</f>
        <v>197141114.66</v>
      </c>
      <c r="AH35" s="33">
        <f>资产资本表!AH17</f>
        <v>210666714.99000001</v>
      </c>
      <c r="AI35" s="33">
        <f>资产资本表!AI17</f>
        <v>233979628.69999999</v>
      </c>
      <c r="AJ35" s="33">
        <f>资产资本表!AJ17</f>
        <v>279400520.47999996</v>
      </c>
      <c r="AK35" s="33">
        <f>资产资本表!AK17</f>
        <v>263581908.06</v>
      </c>
      <c r="AL35" s="33">
        <f>资产资本表!AL17</f>
        <v>246088409.93000001</v>
      </c>
      <c r="AM35" s="33">
        <f>资产资本表!AM17</f>
        <v>239803928.44</v>
      </c>
      <c r="AN35" s="33">
        <f>资产资本表!AN17</f>
        <v>233117678.14000002</v>
      </c>
      <c r="AO35" s="33">
        <f>资产资本表!AO17</f>
        <v>220872924.22</v>
      </c>
      <c r="AP35" s="33">
        <f>资产资本表!AP17</f>
        <v>199696425.72999999</v>
      </c>
      <c r="AQ35" s="33">
        <f>资产资本表!AQ17</f>
        <v>197194136.16</v>
      </c>
      <c r="AR35" s="33">
        <f>资产资本表!AR17</f>
        <v>213530237.34</v>
      </c>
      <c r="AS35" s="33">
        <f>资产资本表!AS17</f>
        <v>193271908.84</v>
      </c>
      <c r="AT35" s="33">
        <f>资产资本表!AT17</f>
        <v>215218834.06999999</v>
      </c>
      <c r="AU35" s="33">
        <f>资产资本表!AU17</f>
        <v>207338394.83000001</v>
      </c>
      <c r="AV35" s="33">
        <f>资产资本表!AV17</f>
        <v>211450304.50999999</v>
      </c>
      <c r="AW35" s="33">
        <f>资产资本表!AW17</f>
        <v>191685368.28</v>
      </c>
      <c r="AX35" s="33">
        <f>资产资本表!AX17</f>
        <v>182578604.40000001</v>
      </c>
      <c r="AY35" s="33">
        <f>资产资本表!AY17</f>
        <v>193175878.59999999</v>
      </c>
      <c r="AZ35" s="33">
        <f>资产资本表!AZ17</f>
        <v>192939801.01999998</v>
      </c>
      <c r="BA35" s="33">
        <f>资产资本表!BA17</f>
        <v>193568074.75999999</v>
      </c>
      <c r="BB35" s="33">
        <f>资产资本表!BB17</f>
        <v>208930897.93000001</v>
      </c>
      <c r="BC35" s="33">
        <f>资产资本表!BC17</f>
        <v>205913291.03999999</v>
      </c>
      <c r="BD35" s="33">
        <f>资产资本表!BD17</f>
        <v>58053432.25</v>
      </c>
      <c r="BE35" s="33">
        <f>资产资本表!BE17</f>
        <v>63735657.420000002</v>
      </c>
      <c r="BF35" s="33">
        <f>资产资本表!BF17</f>
        <v>50449967.939999998</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25569</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741</v>
      </c>
      <c r="B40" s="193">
        <v>14750000</v>
      </c>
      <c r="C40" s="193">
        <v>14750000</v>
      </c>
      <c r="D40" s="193">
        <v>0</v>
      </c>
      <c r="E40" s="193">
        <v>486674987.37</v>
      </c>
      <c r="F40" s="193">
        <v>0</v>
      </c>
      <c r="G40" s="193">
        <v>0</v>
      </c>
      <c r="H40" s="193">
        <v>0</v>
      </c>
      <c r="I40" s="193">
        <v>7000000</v>
      </c>
      <c r="J40" s="193">
        <v>7000000</v>
      </c>
      <c r="K40" s="193">
        <v>7000000</v>
      </c>
      <c r="L40" s="193">
        <v>5000000</v>
      </c>
      <c r="M40" s="193">
        <v>1481909988.9000001</v>
      </c>
      <c r="N40" s="193">
        <v>1418639988.9000001</v>
      </c>
      <c r="O40" s="193">
        <v>0</v>
      </c>
      <c r="P40" s="193">
        <v>0</v>
      </c>
      <c r="Q40" s="193">
        <v>0</v>
      </c>
      <c r="R40" s="193">
        <v>0</v>
      </c>
      <c r="S40" s="193">
        <v>0</v>
      </c>
      <c r="T40" s="193">
        <v>0</v>
      </c>
      <c r="U40" s="193">
        <v>0</v>
      </c>
      <c r="V40" s="193">
        <v>5000000</v>
      </c>
      <c r="W40" s="193">
        <v>0</v>
      </c>
      <c r="X40" s="193">
        <v>0</v>
      </c>
      <c r="Y40" s="193">
        <v>0</v>
      </c>
      <c r="Z40" s="193">
        <v>0</v>
      </c>
      <c r="AA40" s="193">
        <v>0</v>
      </c>
      <c r="AB40" s="193">
        <v>0</v>
      </c>
      <c r="AC40" s="193">
        <v>0</v>
      </c>
      <c r="AD40" s="193">
        <v>0</v>
      </c>
      <c r="AE40" s="193">
        <v>0</v>
      </c>
      <c r="AF40" s="193">
        <v>0</v>
      </c>
      <c r="AG40" s="193">
        <v>0</v>
      </c>
      <c r="AH40" s="193">
        <v>0</v>
      </c>
      <c r="AI40" s="193">
        <v>0</v>
      </c>
      <c r="AJ40" s="193">
        <v>0</v>
      </c>
      <c r="AK40" s="193">
        <v>0</v>
      </c>
      <c r="AL40" s="193">
        <v>0</v>
      </c>
      <c r="AM40" s="193">
        <v>0</v>
      </c>
      <c r="AN40" s="193">
        <v>0</v>
      </c>
      <c r="AO40" s="193">
        <v>4150000</v>
      </c>
      <c r="AP40" s="193">
        <v>4150000</v>
      </c>
      <c r="AQ40" s="193">
        <v>4150000</v>
      </c>
      <c r="AR40" s="193">
        <v>0</v>
      </c>
      <c r="AS40" s="193">
        <v>1250000</v>
      </c>
      <c r="AT40" s="193">
        <v>0</v>
      </c>
      <c r="AU40" s="193">
        <v>0</v>
      </c>
      <c r="AV40" s="193">
        <v>0</v>
      </c>
      <c r="AW40" s="193">
        <v>0</v>
      </c>
      <c r="AX40" s="193">
        <v>0</v>
      </c>
      <c r="AY40" s="193">
        <v>0</v>
      </c>
      <c r="AZ40" s="193">
        <v>0</v>
      </c>
      <c r="BA40" s="193">
        <v>149815823.77000001</v>
      </c>
      <c r="BB40" s="193">
        <v>146275823.77000001</v>
      </c>
      <c r="BC40" s="193">
        <v>149815823.77000001</v>
      </c>
      <c r="BD40" s="193">
        <v>0</v>
      </c>
      <c r="BE40" s="193">
        <v>0</v>
      </c>
      <c r="BF40" s="193">
        <v>0</v>
      </c>
      <c r="BG40" s="193">
        <v>0</v>
      </c>
      <c r="BH40" s="193">
        <v>0</v>
      </c>
      <c r="BI40" s="193">
        <v>0</v>
      </c>
      <c r="BJ40" s="193">
        <v>0</v>
      </c>
      <c r="BK40" s="193">
        <v>0</v>
      </c>
      <c r="BL40" s="193">
        <v>0</v>
      </c>
      <c r="BM40" s="193">
        <v>0</v>
      </c>
      <c r="BN40" s="193">
        <v>0</v>
      </c>
      <c r="BO40" s="193">
        <v>0</v>
      </c>
      <c r="BP40" s="193">
        <v>0</v>
      </c>
      <c r="BQ40" s="193">
        <v>1786060.49</v>
      </c>
      <c r="BR40" s="193">
        <v>0</v>
      </c>
      <c r="BS40" s="193">
        <v>1392020681</v>
      </c>
      <c r="BT40" s="193">
        <v>0</v>
      </c>
      <c r="BU40" s="193">
        <v>0</v>
      </c>
      <c r="BV40" s="193">
        <v>0</v>
      </c>
    </row>
    <row r="41" spans="1:74" s="53" customFormat="1" ht="21.75" customHeight="1" x14ac:dyDescent="0.25">
      <c r="A41" s="141" t="s">
        <v>634</v>
      </c>
      <c r="B41" s="53">
        <v>1419647033.29</v>
      </c>
      <c r="C41" s="53">
        <v>682396282.87</v>
      </c>
      <c r="D41" s="53">
        <v>73246783.790000007</v>
      </c>
      <c r="E41" s="53">
        <v>36322240.590000004</v>
      </c>
      <c r="M41" s="53">
        <v>4485000</v>
      </c>
      <c r="Q41" s="53">
        <v>11212500</v>
      </c>
      <c r="U41" s="53">
        <v>44850000</v>
      </c>
    </row>
    <row r="42" spans="1:74" s="26" customFormat="1" x14ac:dyDescent="0.25">
      <c r="A42" s="17" t="s">
        <v>322</v>
      </c>
      <c r="E42" s="26">
        <f>E40-E41</f>
        <v>450352746.77999997</v>
      </c>
      <c r="F42" s="26">
        <f t="shared" ref="F42:Y42" si="82">F40-F41</f>
        <v>0</v>
      </c>
      <c r="G42" s="26">
        <f t="shared" si="82"/>
        <v>0</v>
      </c>
      <c r="H42" s="26">
        <f t="shared" si="82"/>
        <v>0</v>
      </c>
      <c r="I42" s="26">
        <f>I40-I41</f>
        <v>7000000</v>
      </c>
      <c r="J42" s="26">
        <f t="shared" si="82"/>
        <v>7000000</v>
      </c>
      <c r="K42" s="26">
        <f t="shared" si="82"/>
        <v>7000000</v>
      </c>
      <c r="L42" s="26">
        <f t="shared" si="82"/>
        <v>5000000</v>
      </c>
      <c r="M42" s="26">
        <f t="shared" si="82"/>
        <v>1477424988.9000001</v>
      </c>
      <c r="N42" s="26">
        <f t="shared" si="82"/>
        <v>1418639988.9000001</v>
      </c>
      <c r="O42" s="26">
        <f t="shared" si="82"/>
        <v>0</v>
      </c>
      <c r="P42" s="26">
        <f t="shared" si="82"/>
        <v>0</v>
      </c>
      <c r="Q42" s="26">
        <f t="shared" si="82"/>
        <v>-11212500</v>
      </c>
      <c r="R42" s="26">
        <f t="shared" si="82"/>
        <v>0</v>
      </c>
      <c r="S42" s="26">
        <f t="shared" si="82"/>
        <v>0</v>
      </c>
      <c r="T42" s="26">
        <f t="shared" si="82"/>
        <v>0</v>
      </c>
      <c r="U42" s="26">
        <f t="shared" si="82"/>
        <v>-44850000</v>
      </c>
      <c r="V42" s="26">
        <f t="shared" si="82"/>
        <v>5000000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3">
        <f t="shared" si="83"/>
        <v>0</v>
      </c>
      <c r="AM42" s="193">
        <f t="shared" si="83"/>
        <v>0</v>
      </c>
      <c r="AN42" s="193">
        <f t="shared" si="83"/>
        <v>0</v>
      </c>
      <c r="AO42" s="193">
        <f t="shared" si="83"/>
        <v>4150000</v>
      </c>
      <c r="AP42" s="193">
        <f t="shared" si="83"/>
        <v>4150000</v>
      </c>
      <c r="AQ42" s="193">
        <f t="shared" si="83"/>
        <v>4150000</v>
      </c>
      <c r="AR42" s="193">
        <f t="shared" si="83"/>
        <v>0</v>
      </c>
      <c r="AS42" s="193">
        <f t="shared" si="83"/>
        <v>1250000</v>
      </c>
      <c r="AT42" s="193">
        <f t="shared" si="83"/>
        <v>0</v>
      </c>
      <c r="AU42" s="193">
        <f t="shared" si="83"/>
        <v>0</v>
      </c>
      <c r="AV42" s="193">
        <f t="shared" si="83"/>
        <v>0</v>
      </c>
      <c r="AW42" s="193">
        <f t="shared" si="83"/>
        <v>0</v>
      </c>
      <c r="AX42" s="193">
        <f t="shared" si="83"/>
        <v>0</v>
      </c>
      <c r="AY42" s="193">
        <f t="shared" si="83"/>
        <v>0</v>
      </c>
      <c r="AZ42" s="193">
        <f t="shared" si="83"/>
        <v>0</v>
      </c>
      <c r="BA42" s="26">
        <f t="shared" si="83"/>
        <v>149815823.77000001</v>
      </c>
      <c r="BB42" s="26">
        <f t="shared" si="83"/>
        <v>146275823.77000001</v>
      </c>
      <c r="BC42" s="26">
        <f t="shared" si="83"/>
        <v>149815823.77000001</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3">
        <v>3899741460.3299999</v>
      </c>
      <c r="C44" s="193">
        <v>3033564883.52</v>
      </c>
      <c r="D44" s="193">
        <v>1401900833.8699999</v>
      </c>
      <c r="E44" s="193">
        <v>2125360745.3699999</v>
      </c>
      <c r="F44" s="193">
        <v>1355743901.3599999</v>
      </c>
      <c r="G44" s="193">
        <v>755896388.47000003</v>
      </c>
      <c r="H44" s="193">
        <v>581350473.92999995</v>
      </c>
      <c r="I44" s="193">
        <v>1155078168</v>
      </c>
      <c r="J44" s="193">
        <v>778822000</v>
      </c>
      <c r="K44" s="193">
        <v>272600000</v>
      </c>
      <c r="L44" s="193">
        <v>149950000</v>
      </c>
      <c r="M44" s="193">
        <v>628000000</v>
      </c>
      <c r="N44" s="193">
        <v>350000000</v>
      </c>
      <c r="O44" s="193">
        <v>85000000</v>
      </c>
      <c r="P44" s="193">
        <v>35000000</v>
      </c>
      <c r="Q44" s="193">
        <v>186000000</v>
      </c>
      <c r="R44" s="193">
        <v>140000000</v>
      </c>
      <c r="S44" s="193">
        <v>80000000</v>
      </c>
      <c r="T44" s="193">
        <v>60000000</v>
      </c>
      <c r="U44" s="193">
        <v>160000000</v>
      </c>
      <c r="V44" s="193">
        <v>0</v>
      </c>
      <c r="W44" s="193">
        <v>0</v>
      </c>
      <c r="X44" s="193">
        <v>0</v>
      </c>
      <c r="Y44" s="193">
        <v>86000000</v>
      </c>
      <c r="Z44" s="193">
        <v>30000000</v>
      </c>
      <c r="AA44" s="193">
        <v>30000000</v>
      </c>
      <c r="AB44" s="193">
        <v>3000000</v>
      </c>
      <c r="AC44" s="193">
        <v>20000000</v>
      </c>
      <c r="AD44" s="193">
        <v>20000000</v>
      </c>
      <c r="AE44" s="193">
        <v>20000000</v>
      </c>
      <c r="AF44" s="193">
        <v>3000000</v>
      </c>
      <c r="AG44" s="193">
        <v>12000000</v>
      </c>
      <c r="AH44" s="193">
        <v>0</v>
      </c>
      <c r="AI44" s="193">
        <v>7000000</v>
      </c>
      <c r="AJ44" s="193">
        <v>3000000</v>
      </c>
      <c r="AK44" s="193">
        <v>20000000</v>
      </c>
      <c r="AL44" s="193">
        <v>15000000</v>
      </c>
      <c r="AM44" s="193">
        <v>15000000</v>
      </c>
      <c r="AN44" s="193">
        <v>0</v>
      </c>
      <c r="AO44" s="193">
        <v>19500000</v>
      </c>
      <c r="AP44" s="193">
        <v>7000000</v>
      </c>
      <c r="AQ44" s="193">
        <v>10500000</v>
      </c>
      <c r="AR44" s="193">
        <v>0</v>
      </c>
      <c r="AS44" s="193">
        <v>24000000</v>
      </c>
      <c r="AT44" s="193">
        <v>24000000</v>
      </c>
      <c r="AU44" s="193">
        <v>20000000</v>
      </c>
      <c r="AV44" s="193">
        <v>5000000</v>
      </c>
      <c r="AW44" s="193">
        <v>17000000</v>
      </c>
      <c r="AX44" s="193">
        <v>12000000</v>
      </c>
      <c r="AY44" s="193">
        <v>2000000</v>
      </c>
      <c r="AZ44" s="193">
        <v>0</v>
      </c>
      <c r="BA44" s="193">
        <v>20000000</v>
      </c>
      <c r="BB44" s="193">
        <v>20000000</v>
      </c>
      <c r="BC44" s="193">
        <v>11000000</v>
      </c>
      <c r="BD44" s="193">
        <v>1800000</v>
      </c>
      <c r="BE44" s="193">
        <v>0</v>
      </c>
      <c r="BF44" s="193">
        <v>635600000</v>
      </c>
      <c r="BG44" s="193">
        <v>577100000</v>
      </c>
      <c r="BH44" s="193">
        <v>295100000</v>
      </c>
      <c r="BI44" s="193">
        <v>1233394800</v>
      </c>
      <c r="BJ44" s="193">
        <v>955764800</v>
      </c>
      <c r="BK44" s="193">
        <v>861764800</v>
      </c>
      <c r="BL44" s="193">
        <v>369100000</v>
      </c>
      <c r="BM44" s="193">
        <v>1552612000</v>
      </c>
      <c r="BN44" s="193">
        <v>712640000</v>
      </c>
      <c r="BO44" s="193">
        <v>1014556500</v>
      </c>
      <c r="BP44" s="193">
        <v>558107500</v>
      </c>
      <c r="BQ44" s="193">
        <v>1389655020</v>
      </c>
      <c r="BR44" s="193">
        <v>725073780</v>
      </c>
      <c r="BS44" s="193">
        <v>1114468379.3299999</v>
      </c>
      <c r="BT44" s="193">
        <v>520820580</v>
      </c>
      <c r="BU44" s="193">
        <v>1402441570</v>
      </c>
      <c r="BV44" s="193">
        <v>0</v>
      </c>
    </row>
    <row r="45" spans="1:74" s="193" customFormat="1" x14ac:dyDescent="0.25">
      <c r="A45" s="193" t="s">
        <v>323</v>
      </c>
      <c r="E45" s="193">
        <f>股权价值增加表!E53</f>
        <v>104905656.48999999</v>
      </c>
      <c r="F45" s="193">
        <f>股权价值增加表!F53</f>
        <v>0</v>
      </c>
      <c r="G45" s="193">
        <f>股权价值增加表!G53</f>
        <v>0</v>
      </c>
      <c r="H45" s="193">
        <f>股权价值增加表!H53</f>
        <v>0</v>
      </c>
      <c r="I45" s="193">
        <f>股权价值增加表!I53</f>
        <v>42676593.899999999</v>
      </c>
      <c r="J45" s="193">
        <f>股权价值增加表!J53</f>
        <v>0</v>
      </c>
      <c r="K45" s="193">
        <f>股权价值增加表!K53</f>
        <v>0</v>
      </c>
      <c r="L45" s="193">
        <f>股权价值增加表!L53</f>
        <v>0</v>
      </c>
      <c r="M45" s="193">
        <f>股权价值增加表!M53</f>
        <v>17351234.460000001</v>
      </c>
      <c r="N45" s="193">
        <f>股权价值增加表!N53</f>
        <v>0</v>
      </c>
      <c r="O45" s="193">
        <f>股权价值增加表!O53</f>
        <v>0</v>
      </c>
      <c r="P45" s="193">
        <f>股权价值增加表!P53</f>
        <v>0</v>
      </c>
      <c r="Q45" s="193">
        <f>股权价值增加表!Q53</f>
        <v>11301301.67</v>
      </c>
      <c r="R45" s="193">
        <f>股权价值增加表!R53</f>
        <v>0</v>
      </c>
      <c r="S45" s="193">
        <f>股权价值增加表!S53</f>
        <v>0</v>
      </c>
      <c r="T45" s="193">
        <f>股权价值增加表!T53</f>
        <v>0</v>
      </c>
      <c r="U45" s="193">
        <f>股权价值增加表!U53</f>
        <v>3255174.84</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3">
        <v>0</v>
      </c>
      <c r="C46" s="193">
        <v>21710241.640000001</v>
      </c>
      <c r="D46" s="193">
        <v>34521103.68</v>
      </c>
      <c r="E46" s="193">
        <v>34571686.479999997</v>
      </c>
      <c r="F46" s="193">
        <v>20761522.449999999</v>
      </c>
      <c r="G46" s="193">
        <v>8321447.4800000004</v>
      </c>
      <c r="H46" s="193">
        <v>2253263.31</v>
      </c>
      <c r="I46" s="193">
        <v>1950490.82</v>
      </c>
      <c r="J46" s="193">
        <v>1251335.03</v>
      </c>
      <c r="K46" s="193">
        <v>935563.65</v>
      </c>
      <c r="L46" s="193">
        <v>821847.92</v>
      </c>
      <c r="M46" s="193">
        <v>810416.35</v>
      </c>
      <c r="N46" s="193">
        <v>700000</v>
      </c>
      <c r="O46" s="193">
        <v>0</v>
      </c>
      <c r="P46" s="193">
        <v>22123.98</v>
      </c>
      <c r="Q46" s="193">
        <v>5299.33</v>
      </c>
      <c r="R46" s="193">
        <v>0</v>
      </c>
      <c r="S46" s="193">
        <v>0</v>
      </c>
      <c r="T46" s="193">
        <v>0</v>
      </c>
      <c r="U46" s="193">
        <v>0</v>
      </c>
      <c r="V46" s="193">
        <v>0</v>
      </c>
      <c r="W46" s="193">
        <v>0</v>
      </c>
      <c r="X46" s="193">
        <v>0</v>
      </c>
      <c r="Y46" s="193">
        <v>0</v>
      </c>
      <c r="Z46" s="193">
        <v>0</v>
      </c>
      <c r="AA46" s="193">
        <v>0</v>
      </c>
      <c r="AB46" s="193">
        <v>0</v>
      </c>
      <c r="AC46" s="193">
        <v>18790.41</v>
      </c>
      <c r="AD46" s="193">
        <v>0</v>
      </c>
      <c r="AE46" s="193">
        <v>0</v>
      </c>
      <c r="AF46" s="193">
        <v>48799.73</v>
      </c>
      <c r="AG46" s="193">
        <v>48799.73</v>
      </c>
      <c r="AH46" s="193">
        <v>0</v>
      </c>
      <c r="AI46" s="193">
        <v>0</v>
      </c>
      <c r="AJ46" s="193">
        <v>0</v>
      </c>
      <c r="AK46" s="193">
        <v>0</v>
      </c>
      <c r="AL46" s="193">
        <v>0</v>
      </c>
      <c r="AM46" s="193">
        <v>0</v>
      </c>
      <c r="AN46" s="193">
        <v>0</v>
      </c>
      <c r="AO46" s="193">
        <v>0</v>
      </c>
      <c r="AP46" s="193">
        <v>0</v>
      </c>
      <c r="AQ46" s="193">
        <v>0</v>
      </c>
      <c r="AR46" s="193">
        <v>0</v>
      </c>
      <c r="AS46" s="193">
        <v>0</v>
      </c>
      <c r="AT46" s="193">
        <v>0</v>
      </c>
      <c r="AU46" s="193">
        <v>0</v>
      </c>
      <c r="AV46" s="193">
        <v>151625</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c r="BU46" s="193">
        <v>0</v>
      </c>
      <c r="BV46" s="193">
        <v>0</v>
      </c>
    </row>
    <row r="47" spans="1:74" s="193" customFormat="1" x14ac:dyDescent="0.25">
      <c r="A47" s="193" t="s">
        <v>326</v>
      </c>
      <c r="B47" s="193">
        <v>2181289143.2399998</v>
      </c>
      <c r="C47" s="193">
        <v>1583909947.6700001</v>
      </c>
      <c r="D47" s="193">
        <v>833583963.41999996</v>
      </c>
      <c r="E47" s="193">
        <v>1209251536.3499999</v>
      </c>
      <c r="F47" s="193">
        <v>803503400.62</v>
      </c>
      <c r="G47" s="193">
        <v>343300662.98000002</v>
      </c>
      <c r="H47" s="193">
        <v>182594022.12</v>
      </c>
      <c r="I47" s="193">
        <v>565726605.60000002</v>
      </c>
      <c r="J47" s="193">
        <v>289993000</v>
      </c>
      <c r="K47" s="193">
        <v>160892500</v>
      </c>
      <c r="L47" s="193">
        <v>55792000</v>
      </c>
      <c r="M47" s="193">
        <v>237751600</v>
      </c>
      <c r="N47" s="193">
        <v>135716800</v>
      </c>
      <c r="O47" s="193">
        <v>115000000</v>
      </c>
      <c r="P47" s="193">
        <v>115000000</v>
      </c>
      <c r="Q47" s="193">
        <v>282000000</v>
      </c>
      <c r="R47" s="193">
        <v>141500000</v>
      </c>
      <c r="S47" s="193">
        <v>70000000</v>
      </c>
      <c r="T47" s="193">
        <v>51000000</v>
      </c>
      <c r="U47" s="193">
        <v>38000000</v>
      </c>
      <c r="V47" s="193">
        <v>10000000</v>
      </c>
      <c r="W47" s="193">
        <v>6000000</v>
      </c>
      <c r="X47" s="193">
        <v>3000000</v>
      </c>
      <c r="Y47" s="193">
        <v>30000000</v>
      </c>
      <c r="Z47" s="193">
        <v>4000000</v>
      </c>
      <c r="AA47" s="193">
        <v>4000000</v>
      </c>
      <c r="AB47" s="193">
        <v>0</v>
      </c>
      <c r="AC47" s="193">
        <v>4000000</v>
      </c>
      <c r="AD47" s="193">
        <v>4000000</v>
      </c>
      <c r="AE47" s="193">
        <v>4000000</v>
      </c>
      <c r="AF47" s="193">
        <v>4000000</v>
      </c>
      <c r="AG47" s="193">
        <v>28000000</v>
      </c>
      <c r="AH47" s="193">
        <v>15000000</v>
      </c>
      <c r="AI47" s="193">
        <v>20000000</v>
      </c>
      <c r="AJ47" s="193">
        <v>0</v>
      </c>
      <c r="AK47" s="193">
        <v>11000000</v>
      </c>
      <c r="AL47" s="193">
        <v>6000000</v>
      </c>
      <c r="AM47" s="193">
        <v>3500000</v>
      </c>
      <c r="AN47" s="193">
        <v>2500000</v>
      </c>
      <c r="AO47" s="193">
        <v>20500000</v>
      </c>
      <c r="AP47" s="193">
        <v>8000000</v>
      </c>
      <c r="AQ47" s="193">
        <v>8000000</v>
      </c>
      <c r="AR47" s="193">
        <v>0</v>
      </c>
      <c r="AS47" s="193">
        <v>27000000</v>
      </c>
      <c r="AT47" s="193">
        <v>25000000</v>
      </c>
      <c r="AU47" s="193">
        <v>15000000</v>
      </c>
      <c r="AV47" s="193">
        <v>0</v>
      </c>
      <c r="AW47" s="193">
        <v>12000000</v>
      </c>
      <c r="AX47" s="193">
        <v>10000000</v>
      </c>
      <c r="AY47" s="193">
        <v>0</v>
      </c>
      <c r="AZ47" s="193">
        <v>0</v>
      </c>
      <c r="BA47" s="193">
        <v>20700000</v>
      </c>
      <c r="BB47" s="193">
        <v>20700000</v>
      </c>
      <c r="BC47" s="193">
        <v>9900000</v>
      </c>
      <c r="BD47" s="193">
        <v>6400000</v>
      </c>
      <c r="BE47" s="193">
        <v>0</v>
      </c>
      <c r="BF47" s="193">
        <v>819943970.54999995</v>
      </c>
      <c r="BG47" s="193">
        <v>657530000</v>
      </c>
      <c r="BH47" s="193">
        <v>309300000</v>
      </c>
      <c r="BI47" s="193">
        <v>1774057000</v>
      </c>
      <c r="BJ47" s="193">
        <v>1403407000</v>
      </c>
      <c r="BK47" s="193">
        <v>883307000</v>
      </c>
      <c r="BL47" s="193">
        <v>286825633.25</v>
      </c>
      <c r="BM47" s="193">
        <v>1404572000</v>
      </c>
      <c r="BN47" s="193">
        <v>598117200</v>
      </c>
      <c r="BO47" s="193">
        <v>904921200</v>
      </c>
      <c r="BP47" s="193">
        <v>416192587</v>
      </c>
      <c r="BQ47" s="193">
        <v>1366971380</v>
      </c>
      <c r="BR47" s="193">
        <v>677586562.88</v>
      </c>
      <c r="BS47" s="193">
        <v>1121086840</v>
      </c>
      <c r="BT47" s="193">
        <v>465202780</v>
      </c>
      <c r="BU47" s="193">
        <v>1350144890</v>
      </c>
      <c r="BV47" s="193">
        <v>0</v>
      </c>
    </row>
    <row r="48" spans="1:74" s="193" customFormat="1" x14ac:dyDescent="0.25">
      <c r="A48" s="193" t="s">
        <v>599</v>
      </c>
      <c r="B48" s="193">
        <v>497500000</v>
      </c>
      <c r="C48" s="193">
        <v>497500000</v>
      </c>
      <c r="D48" s="193">
        <v>497500000</v>
      </c>
      <c r="E48" s="193">
        <v>794400000</v>
      </c>
      <c r="F48" s="193">
        <v>794400000</v>
      </c>
      <c r="G48" s="193">
        <v>794400000</v>
      </c>
      <c r="H48" s="193">
        <v>0</v>
      </c>
      <c r="I48" s="193">
        <v>0</v>
      </c>
      <c r="J48" s="193">
        <v>0</v>
      </c>
      <c r="K48" s="193">
        <v>0</v>
      </c>
      <c r="L48" s="193">
        <v>0</v>
      </c>
      <c r="M48" s="193">
        <v>0</v>
      </c>
      <c r="N48" s="193">
        <v>0</v>
      </c>
      <c r="O48" s="193">
        <v>0</v>
      </c>
      <c r="P48" s="193">
        <v>0</v>
      </c>
      <c r="Q48" s="193">
        <v>0</v>
      </c>
      <c r="R48" s="193">
        <v>0</v>
      </c>
      <c r="S48" s="193">
        <v>0</v>
      </c>
      <c r="T48" s="193">
        <v>0</v>
      </c>
      <c r="U48" s="193">
        <v>0</v>
      </c>
      <c r="V48" s="193">
        <v>0</v>
      </c>
      <c r="W48" s="193">
        <v>0</v>
      </c>
      <c r="X48" s="193">
        <v>0</v>
      </c>
      <c r="Y48" s="193">
        <v>0</v>
      </c>
      <c r="Z48" s="193">
        <v>0</v>
      </c>
      <c r="AA48" s="193">
        <v>0</v>
      </c>
      <c r="AB48" s="193">
        <v>0</v>
      </c>
      <c r="AC48" s="193">
        <v>0</v>
      </c>
      <c r="AD48" s="193">
        <v>0</v>
      </c>
      <c r="AE48" s="193">
        <v>0</v>
      </c>
      <c r="AF48" s="193">
        <v>0</v>
      </c>
      <c r="AG48" s="193">
        <v>0</v>
      </c>
      <c r="AH48" s="193">
        <v>0</v>
      </c>
      <c r="AI48" s="193">
        <v>0</v>
      </c>
      <c r="AJ48" s="193">
        <v>0</v>
      </c>
      <c r="AK48" s="193">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c r="BU48" s="193">
        <v>0</v>
      </c>
      <c r="BV48" s="193">
        <v>0</v>
      </c>
    </row>
    <row r="49" spans="1:74" s="193" customFormat="1" x14ac:dyDescent="0.25">
      <c r="A49" s="193" t="s">
        <v>600</v>
      </c>
      <c r="E49" s="193">
        <f>E44+E48-E45-E46-E47</f>
        <v>1571031866.0500002</v>
      </c>
      <c r="F49" s="193">
        <f t="shared" ref="F49:BQ49" si="85">F44+F48-F45-F46-F47</f>
        <v>1325878978.2899995</v>
      </c>
      <c r="G49" s="193">
        <f t="shared" si="85"/>
        <v>1198674278.01</v>
      </c>
      <c r="H49" s="193">
        <f t="shared" si="85"/>
        <v>396503188.5</v>
      </c>
      <c r="I49" s="193">
        <f t="shared" si="85"/>
        <v>544724477.67999995</v>
      </c>
      <c r="J49" s="193">
        <f t="shared" si="85"/>
        <v>487577664.97000003</v>
      </c>
      <c r="K49" s="193">
        <f t="shared" si="85"/>
        <v>110771936.35000002</v>
      </c>
      <c r="L49" s="193">
        <f t="shared" si="85"/>
        <v>93336152.080000013</v>
      </c>
      <c r="M49" s="193">
        <f t="shared" si="85"/>
        <v>372086749.18999994</v>
      </c>
      <c r="N49" s="193">
        <f t="shared" si="85"/>
        <v>213583200</v>
      </c>
      <c r="O49" s="193">
        <f t="shared" si="85"/>
        <v>-30000000</v>
      </c>
      <c r="P49" s="193">
        <f t="shared" si="85"/>
        <v>-80022123.979999989</v>
      </c>
      <c r="Q49" s="193">
        <f t="shared" si="85"/>
        <v>-107306601</v>
      </c>
      <c r="R49" s="193">
        <f t="shared" si="85"/>
        <v>-1500000</v>
      </c>
      <c r="S49" s="193">
        <f t="shared" si="85"/>
        <v>10000000</v>
      </c>
      <c r="T49" s="193">
        <f t="shared" si="85"/>
        <v>9000000</v>
      </c>
      <c r="U49" s="193">
        <f t="shared" si="85"/>
        <v>118744825.16</v>
      </c>
      <c r="V49" s="193">
        <f t="shared" si="85"/>
        <v>-10000000</v>
      </c>
      <c r="W49" s="193">
        <f t="shared" si="85"/>
        <v>-6000000</v>
      </c>
      <c r="X49" s="193">
        <f t="shared" si="85"/>
        <v>-3000000</v>
      </c>
      <c r="Y49" s="193">
        <f t="shared" si="85"/>
        <v>56000000</v>
      </c>
      <c r="Z49" s="193">
        <f t="shared" si="85"/>
        <v>26000000</v>
      </c>
      <c r="AA49" s="193">
        <f t="shared" si="85"/>
        <v>26000000</v>
      </c>
      <c r="AB49" s="193">
        <f t="shared" si="85"/>
        <v>3000000</v>
      </c>
      <c r="AC49" s="193">
        <f t="shared" si="85"/>
        <v>15981209.59</v>
      </c>
      <c r="AD49" s="193">
        <f t="shared" si="85"/>
        <v>16000000</v>
      </c>
      <c r="AE49" s="193">
        <f t="shared" si="85"/>
        <v>16000000</v>
      </c>
      <c r="AF49" s="193">
        <f t="shared" si="85"/>
        <v>-1048799.73</v>
      </c>
      <c r="AG49" s="193">
        <f t="shared" si="85"/>
        <v>-16048799.73</v>
      </c>
      <c r="AH49" s="193">
        <f t="shared" si="85"/>
        <v>-15000000</v>
      </c>
      <c r="AI49" s="193">
        <f t="shared" si="85"/>
        <v>-13000000</v>
      </c>
      <c r="AJ49" s="193">
        <f t="shared" si="85"/>
        <v>3000000</v>
      </c>
      <c r="AK49" s="193">
        <f t="shared" si="85"/>
        <v>9000000</v>
      </c>
      <c r="AL49" s="193">
        <f t="shared" si="85"/>
        <v>9000000</v>
      </c>
      <c r="AM49" s="193">
        <f t="shared" si="85"/>
        <v>11500000</v>
      </c>
      <c r="AN49" s="193">
        <f t="shared" si="85"/>
        <v>-2500000</v>
      </c>
      <c r="AO49" s="193">
        <f t="shared" si="85"/>
        <v>-1000000</v>
      </c>
      <c r="AP49" s="193">
        <f t="shared" si="85"/>
        <v>-1000000</v>
      </c>
      <c r="AQ49" s="193">
        <f t="shared" si="85"/>
        <v>2500000</v>
      </c>
      <c r="AR49" s="193">
        <f t="shared" si="85"/>
        <v>0</v>
      </c>
      <c r="AS49" s="193">
        <f t="shared" si="85"/>
        <v>-3000000</v>
      </c>
      <c r="AT49" s="193">
        <f t="shared" si="85"/>
        <v>-1000000</v>
      </c>
      <c r="AU49" s="193">
        <f t="shared" si="85"/>
        <v>5000000</v>
      </c>
      <c r="AV49" s="193">
        <f t="shared" si="85"/>
        <v>4848375</v>
      </c>
      <c r="AW49" s="193">
        <f t="shared" si="85"/>
        <v>5000000</v>
      </c>
      <c r="AX49" s="193">
        <f t="shared" si="85"/>
        <v>2000000</v>
      </c>
      <c r="AY49" s="193">
        <f t="shared" si="85"/>
        <v>2000000</v>
      </c>
      <c r="AZ49" s="193">
        <f t="shared" si="85"/>
        <v>0</v>
      </c>
      <c r="BA49" s="193">
        <f t="shared" si="85"/>
        <v>-700000</v>
      </c>
      <c r="BB49" s="193">
        <f t="shared" si="85"/>
        <v>-700000</v>
      </c>
      <c r="BC49" s="193">
        <f t="shared" si="85"/>
        <v>1100000</v>
      </c>
      <c r="BD49" s="193">
        <f t="shared" si="85"/>
        <v>-4600000</v>
      </c>
      <c r="BE49" s="193">
        <f t="shared" si="85"/>
        <v>0</v>
      </c>
      <c r="BF49" s="193">
        <f t="shared" si="85"/>
        <v>-184343970.54999995</v>
      </c>
      <c r="BG49" s="193">
        <f t="shared" si="85"/>
        <v>-80430000</v>
      </c>
      <c r="BH49" s="193">
        <f t="shared" si="85"/>
        <v>-14200000</v>
      </c>
      <c r="BI49" s="193">
        <f t="shared" si="85"/>
        <v>-540662200</v>
      </c>
      <c r="BJ49" s="193">
        <f t="shared" si="85"/>
        <v>-447642200</v>
      </c>
      <c r="BK49" s="193">
        <f t="shared" si="85"/>
        <v>-21542200</v>
      </c>
      <c r="BL49" s="193">
        <f t="shared" si="85"/>
        <v>82274366.75</v>
      </c>
      <c r="BM49" s="193">
        <f t="shared" si="85"/>
        <v>148040000</v>
      </c>
      <c r="BN49" s="193">
        <f t="shared" si="85"/>
        <v>114522800</v>
      </c>
      <c r="BO49" s="193">
        <f t="shared" si="85"/>
        <v>109635300</v>
      </c>
      <c r="BP49" s="193">
        <f t="shared" si="85"/>
        <v>141914913</v>
      </c>
      <c r="BQ49" s="193">
        <f t="shared" si="85"/>
        <v>22683640</v>
      </c>
      <c r="BR49" s="193">
        <f t="shared" ref="BR49:BV49" si="86">BR44+BR48-BR45-BR46-BR47</f>
        <v>47487217.120000005</v>
      </c>
      <c r="BS49" s="193">
        <f t="shared" si="86"/>
        <v>-6618460.6700000763</v>
      </c>
      <c r="BT49" s="193">
        <f t="shared" si="86"/>
        <v>55617800</v>
      </c>
      <c r="BU49" s="193">
        <f t="shared" si="86"/>
        <v>52296680</v>
      </c>
      <c r="BV49" s="193">
        <f t="shared" si="86"/>
        <v>0</v>
      </c>
    </row>
    <row r="50" spans="1:74" s="26" customFormat="1" x14ac:dyDescent="0.25"/>
    <row r="51" spans="1:74" s="16" customFormat="1" ht="120" customHeight="1" x14ac:dyDescent="0.25">
      <c r="A51" s="276" t="s">
        <v>667</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5" width="17.21875" hidden="1" customWidth="1"/>
    <col min="56" max="56" width="17.21875" bestFit="1" customWidth="1"/>
    <col min="57" max="58" width="17.21875" hidden="1" customWidth="1"/>
    <col min="59" max="59" width="10.5546875" hidden="1" customWidth="1"/>
    <col min="60"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104905656.48999999</v>
      </c>
      <c r="F3" s="26">
        <f>股权价值增加表!F53</f>
        <v>0</v>
      </c>
      <c r="G3" s="26">
        <f>股权价值增加表!G53</f>
        <v>0</v>
      </c>
      <c r="H3" s="26">
        <f>股权价值增加表!H53</f>
        <v>0</v>
      </c>
      <c r="I3" s="26">
        <f>股权价值增加表!I53</f>
        <v>42676593.899999999</v>
      </c>
      <c r="J3" s="26">
        <f>股权价值增加表!J53</f>
        <v>0</v>
      </c>
      <c r="K3" s="26">
        <f>股权价值增加表!K53</f>
        <v>0</v>
      </c>
      <c r="L3" s="26">
        <f>股权价值增加表!L53</f>
        <v>0</v>
      </c>
      <c r="M3" s="26">
        <f>股权价值增加表!M53</f>
        <v>17351234.460000001</v>
      </c>
      <c r="N3" s="26">
        <f>股权价值增加表!N53</f>
        <v>0</v>
      </c>
      <c r="O3" s="26">
        <f>股权价值增加表!O53</f>
        <v>0</v>
      </c>
      <c r="P3" s="26">
        <f>股权价值增加表!P53</f>
        <v>0</v>
      </c>
      <c r="Q3" s="26">
        <f>股权价值增加表!Q53</f>
        <v>11301301.67</v>
      </c>
      <c r="R3" s="26">
        <f>股权价值增加表!R53</f>
        <v>0</v>
      </c>
      <c r="S3" s="26">
        <f>股权价值增加表!S53</f>
        <v>0</v>
      </c>
      <c r="T3" s="26">
        <f>股权价值增加表!T53</f>
        <v>0</v>
      </c>
      <c r="U3" s="26">
        <f>股权价值增加表!U53</f>
        <v>3255174.84</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2679639168.3899999</v>
      </c>
      <c r="F4" s="26">
        <f>资产资本表!F89</f>
        <v>2227924405.3900003</v>
      </c>
      <c r="G4" s="26">
        <f>资产资本表!G89</f>
        <v>2096942034.48</v>
      </c>
      <c r="H4" s="26">
        <f>资产资本表!H89</f>
        <v>1749140425.74</v>
      </c>
      <c r="I4" s="26">
        <f>资产资本表!I89</f>
        <v>1284098142.1400001</v>
      </c>
      <c r="J4" s="26">
        <f>资产资本表!J89</f>
        <v>1156547823.48</v>
      </c>
      <c r="K4" s="26">
        <f>资产资本表!K89</f>
        <v>785716590.77999997</v>
      </c>
      <c r="L4" s="26">
        <f>资产资本表!L89</f>
        <v>754378178.45000005</v>
      </c>
      <c r="M4" s="26">
        <f>资产资本表!M89</f>
        <v>664452325.94000006</v>
      </c>
      <c r="N4" s="26">
        <f>资产资本表!N89</f>
        <v>475838921.75</v>
      </c>
      <c r="O4" s="26">
        <f>资产资本表!O89</f>
        <v>72000000</v>
      </c>
      <c r="P4" s="26">
        <f>资产资本表!P89</f>
        <v>22022123.98</v>
      </c>
      <c r="Q4" s="26">
        <f>资产资本表!Q89</f>
        <v>102005299.33</v>
      </c>
      <c r="R4" s="26">
        <f>资产资本表!R89</f>
        <v>200747500</v>
      </c>
      <c r="S4" s="26">
        <f>资产资本表!S89</f>
        <v>224965000</v>
      </c>
      <c r="T4" s="26">
        <f>资产资本表!T89</f>
        <v>224400000</v>
      </c>
      <c r="U4" s="26">
        <f>资产资本表!U89</f>
        <v>215400000</v>
      </c>
      <c r="V4" s="26">
        <f>资产资本表!V89</f>
        <v>83400000</v>
      </c>
      <c r="W4" s="26">
        <f>资产资本表!W89</f>
        <v>87400000</v>
      </c>
      <c r="X4" s="26">
        <f>资产资本表!X89</f>
        <v>90400000</v>
      </c>
      <c r="Y4" s="26">
        <f>资产资本表!Y89</f>
        <v>93400000</v>
      </c>
      <c r="Z4" s="26">
        <f>资产资本表!Z89</f>
        <v>63400000</v>
      </c>
      <c r="AA4" s="26">
        <f>资产资本表!AA89</f>
        <v>63400000</v>
      </c>
      <c r="AB4" s="26">
        <f>资产资本表!AB89</f>
        <v>40400000</v>
      </c>
      <c r="AC4" s="26">
        <f>资产资本表!AC89</f>
        <v>37418790.409999996</v>
      </c>
      <c r="AD4" s="26">
        <f>资产资本表!AD89</f>
        <v>38337760.390000001</v>
      </c>
      <c r="AE4" s="26">
        <f>资产资本表!AE89</f>
        <v>38250760.390000001</v>
      </c>
      <c r="AF4" s="26">
        <f>资产资本表!AF89</f>
        <v>3626560.12</v>
      </c>
      <c r="AG4" s="26">
        <f>资产资本表!AG89</f>
        <v>4626560.12</v>
      </c>
      <c r="AH4" s="26">
        <f>资产资本表!AH89</f>
        <v>5577760.3899999997</v>
      </c>
      <c r="AI4" s="26">
        <f>资产资本表!AI89</f>
        <v>7577760.3899999997</v>
      </c>
      <c r="AJ4" s="26">
        <f>资产资本表!AJ89</f>
        <v>24057760.390000001</v>
      </c>
      <c r="AK4" s="26">
        <f>资产资本表!AK89</f>
        <v>21057760.390000001</v>
      </c>
      <c r="AL4" s="26">
        <f>资产资本表!AL89</f>
        <v>22142258.16</v>
      </c>
      <c r="AM4" s="26">
        <f>资产资本表!AM89</f>
        <v>24677034.16</v>
      </c>
      <c r="AN4" s="26">
        <f>资产资本表!AN89</f>
        <v>11760960</v>
      </c>
      <c r="AO4" s="26">
        <f>资产资本表!AO89</f>
        <v>14260960</v>
      </c>
      <c r="AP4" s="26">
        <f>资产资本表!AP89</f>
        <v>11480000</v>
      </c>
      <c r="AQ4" s="26">
        <f>资产资本表!AQ89</f>
        <v>14980000</v>
      </c>
      <c r="AR4" s="26">
        <f>资产资本表!AR89</f>
        <v>13647552.460000001</v>
      </c>
      <c r="AS4" s="26">
        <f>资产资本表!AS89</f>
        <v>13647552.460000001</v>
      </c>
      <c r="AT4" s="26">
        <f>资产资本表!AT89</f>
        <v>15167552.460000001</v>
      </c>
      <c r="AU4" s="26">
        <f>资产资本表!AU89</f>
        <v>21167552.460000001</v>
      </c>
      <c r="AV4" s="26">
        <f>资产资本表!AV89</f>
        <v>21319177.460000001</v>
      </c>
      <c r="AW4" s="26">
        <f>资产资本表!AW89</f>
        <v>16167552.460000001</v>
      </c>
      <c r="AX4" s="26">
        <f>资产资本表!AX89</f>
        <v>13167552.460000001</v>
      </c>
      <c r="AY4" s="26">
        <f>资产资本表!AY89</f>
        <v>13167552.460000001</v>
      </c>
      <c r="AZ4" s="26">
        <f>资产资本表!AZ89</f>
        <v>11167552.460000001</v>
      </c>
      <c r="BA4" s="26">
        <f>资产资本表!BA89</f>
        <v>11167552.460000001</v>
      </c>
      <c r="BB4" s="26">
        <f>资产资本表!BB89</f>
        <v>11167552.460000001</v>
      </c>
      <c r="BC4" s="26">
        <f>资产资本表!BC89</f>
        <v>12967552.460000001</v>
      </c>
      <c r="BD4" s="26">
        <f>资产资本表!BD89</f>
        <v>11867552.460000001</v>
      </c>
      <c r="BE4" s="26">
        <f>资产资本表!BE89</f>
        <v>12467552.460000001</v>
      </c>
      <c r="BF4" s="26">
        <f>资产资本表!BF89</f>
        <v>1167552.46</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5.2932698749389544E-2</v>
      </c>
      <c r="F5" s="63">
        <f t="shared" ref="F5:BQ5" si="0">IF(F4+J4=0,0,F3/((F4+J4)/2))</f>
        <v>0</v>
      </c>
      <c r="G5" s="63">
        <f t="shared" si="0"/>
        <v>0</v>
      </c>
      <c r="H5" s="63">
        <f t="shared" si="0"/>
        <v>0</v>
      </c>
      <c r="I5" s="63">
        <f t="shared" si="0"/>
        <v>4.3803426802746646E-2</v>
      </c>
      <c r="J5" s="63">
        <f t="shared" si="0"/>
        <v>0</v>
      </c>
      <c r="K5" s="63">
        <f t="shared" si="0"/>
        <v>0</v>
      </c>
      <c r="L5" s="63">
        <f t="shared" si="0"/>
        <v>0</v>
      </c>
      <c r="M5" s="63">
        <f t="shared" si="0"/>
        <v>4.5276435090296559E-2</v>
      </c>
      <c r="N5" s="63">
        <f t="shared" si="0"/>
        <v>0</v>
      </c>
      <c r="O5" s="63">
        <f t="shared" si="0"/>
        <v>0</v>
      </c>
      <c r="P5" s="63">
        <f t="shared" si="0"/>
        <v>0</v>
      </c>
      <c r="Q5" s="63">
        <f t="shared" si="0"/>
        <v>7.121054181423897E-2</v>
      </c>
      <c r="R5" s="63">
        <f t="shared" si="0"/>
        <v>0</v>
      </c>
      <c r="S5" s="63">
        <f t="shared" si="0"/>
        <v>0</v>
      </c>
      <c r="T5" s="63">
        <f t="shared" si="0"/>
        <v>0</v>
      </c>
      <c r="U5" s="63">
        <f t="shared" si="0"/>
        <v>2.108273860103627E-2</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0.23550078319377424</v>
      </c>
      <c r="F6" s="63">
        <f>股权价值增加表!F41</f>
        <v>0.25781974239307248</v>
      </c>
      <c r="G6" s="63">
        <f>股权价值增加表!G41</f>
        <v>0.42366678055564599</v>
      </c>
      <c r="H6" s="63">
        <f>股权价值增加表!H41</f>
        <v>0.16556919359524405</v>
      </c>
      <c r="I6" s="63">
        <f>股权价值增加表!I41</f>
        <v>0.24686305949647108</v>
      </c>
      <c r="J6" s="63">
        <f>股权价值增加表!J41</f>
        <v>0.27037594536078313</v>
      </c>
      <c r="K6" s="63">
        <f>股权价值增加表!K41</f>
        <v>-1.9575178842552016E-2</v>
      </c>
      <c r="L6" s="63">
        <f>股权价值增加表!L41</f>
        <v>0.18814790078770022</v>
      </c>
      <c r="M6" s="63">
        <f>股权价值增加表!M41</f>
        <v>0.20586285401505189</v>
      </c>
      <c r="N6" s="63">
        <f>股权价值增加表!N41</f>
        <v>0.13375196101558318</v>
      </c>
      <c r="O6" s="63">
        <f>股权价值增加表!O41</f>
        <v>0.75779868719523547</v>
      </c>
      <c r="P6" s="63">
        <f>股权价值增加表!P41</f>
        <v>0.94924576258809046</v>
      </c>
      <c r="Q6" s="63">
        <f>股权价值增加表!Q41</f>
        <v>0.46465235179926356</v>
      </c>
      <c r="R6" s="63">
        <f>股权价值增加表!R41</f>
        <v>0.41758267507526325</v>
      </c>
      <c r="S6" s="63">
        <f>股权价值增加表!S41</f>
        <v>0.60394711740290552</v>
      </c>
      <c r="T6" s="63">
        <f>股权价值增加表!T41</f>
        <v>0.65857249157340414</v>
      </c>
      <c r="U6" s="63">
        <f>股权价值增加表!U41</f>
        <v>-0.65484985211554669</v>
      </c>
      <c r="V6" s="63">
        <f>股权价值增加表!V41</f>
        <v>0.29167995954578207</v>
      </c>
      <c r="W6" s="63">
        <f>股权价值增加表!W41</f>
        <v>0.34205926378184753</v>
      </c>
      <c r="X6" s="63">
        <f>股权价值增加表!X41</f>
        <v>0.27198705300720122</v>
      </c>
      <c r="Y6" s="63">
        <f>股权价值增加表!Y41</f>
        <v>0.27387469847947221</v>
      </c>
      <c r="Z6" s="63">
        <f>股权价值增加表!Z41</f>
        <v>0.2834191928632469</v>
      </c>
      <c r="AA6" s="63">
        <f>股权价值增加表!AA41</f>
        <v>0.37101162761089346</v>
      </c>
      <c r="AB6" s="63">
        <f>股权价值增加表!AB41</f>
        <v>0.3552551025600354</v>
      </c>
      <c r="AC6" s="63">
        <f>股权价值增加表!AC41</f>
        <v>0.26190037128085064</v>
      </c>
      <c r="AD6" s="63">
        <f>股权价值增加表!AD41</f>
        <v>0.27531807802215569</v>
      </c>
      <c r="AE6" s="63">
        <f>股权价值增加表!AE41</f>
        <v>0.32374915400354942</v>
      </c>
      <c r="AF6" s="63">
        <f>股权价值增加表!AF41</f>
        <v>0.22743016174152447</v>
      </c>
      <c r="AG6" s="63">
        <f>股权价值增加表!AG41</f>
        <v>0.24735692203161647</v>
      </c>
      <c r="AH6" s="63">
        <f>股权价值增加表!AH41</f>
        <v>0.24516061778186951</v>
      </c>
      <c r="AI6" s="63">
        <f>股权价值增加表!AI41</f>
        <v>0.2565499437309437</v>
      </c>
      <c r="AJ6" s="63">
        <f>股权价值增加表!AJ41</f>
        <v>0.26889470584694408</v>
      </c>
      <c r="AK6" s="63">
        <f>股权价值增加表!AK41</f>
        <v>0.39557908826386851</v>
      </c>
      <c r="AL6" s="63">
        <f>股权价值增加表!AL41</f>
        <v>0.32255584287468908</v>
      </c>
      <c r="AM6" s="63">
        <f>股权价值增加表!AM41</f>
        <v>0.40152871431142889</v>
      </c>
      <c r="AN6" s="63">
        <f>股权价值增加表!AN41</f>
        <v>0.34878722640857224</v>
      </c>
      <c r="AO6" s="63">
        <f>股权价值增加表!AO41</f>
        <v>0.28870416853279751</v>
      </c>
      <c r="AP6" s="63">
        <f>股权价值增加表!AP41</f>
        <v>0.26391253864036524</v>
      </c>
      <c r="AQ6" s="63">
        <f>股权价值增加表!AQ41</f>
        <v>0.2117259798486216</v>
      </c>
      <c r="AR6" s="63">
        <f>股权价值增加表!AR41</f>
        <v>0.24382074791858219</v>
      </c>
      <c r="AS6" s="63">
        <f>股权价值增加表!AS41</f>
        <v>0.17887390492655511</v>
      </c>
      <c r="AT6" s="63">
        <f>股权价值增加表!AT41</f>
        <v>0.16982466728150988</v>
      </c>
      <c r="AU6" s="63">
        <f>股权价值增加表!AU41</f>
        <v>0.21791072848520712</v>
      </c>
      <c r="AV6" s="63">
        <f>股权价值增加表!AV41</f>
        <v>0.16813410313294194</v>
      </c>
      <c r="AW6" s="63">
        <f>股权价值增加表!AW41</f>
        <v>0.1600534017953574</v>
      </c>
      <c r="AX6" s="63">
        <f>股权价值增加表!AX41</f>
        <v>0.17094346936344426</v>
      </c>
      <c r="AY6" s="63">
        <f>股权价值增加表!AY41</f>
        <v>0.2298232466823639</v>
      </c>
      <c r="AZ6" s="63">
        <f>股权价值增加表!AZ41</f>
        <v>0.10062833972920647</v>
      </c>
      <c r="BA6" s="63">
        <f>股权价值增加表!BA41</f>
        <v>0.15345165927475829</v>
      </c>
      <c r="BB6" s="63">
        <f>股权价值增加表!BB41</f>
        <v>0.16263623993085149</v>
      </c>
      <c r="BC6" s="63">
        <f>股权价值增加表!BC41</f>
        <v>0.16876662003554438</v>
      </c>
      <c r="BD6" s="63">
        <f>股权价值增加表!BD41</f>
        <v>0.18107252783081973</v>
      </c>
      <c r="BE6" s="63">
        <f>股权价值增加表!BE41</f>
        <v>0.19687404501741029</v>
      </c>
      <c r="BF6" s="63">
        <f>股权价值增加表!BF41</f>
        <v>0.18789706092261205</v>
      </c>
      <c r="BG6" s="63">
        <f>股权价值增加表!BG41</f>
        <v>0.34788191186188916</v>
      </c>
      <c r="BH6" s="63">
        <f>股权价值增加表!BH41</f>
        <v>0.18027554966894413</v>
      </c>
      <c r="BI6" s="63">
        <f>股权价值增加表!BI41</f>
        <v>0.19578796305149876</v>
      </c>
      <c r="BJ6" s="63" t="e">
        <f>股权价值增加表!BJ41</f>
        <v>#DIV/0!</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x14ac:dyDescent="0.25">
      <c r="A7" s="63" t="s">
        <v>330</v>
      </c>
      <c r="E7" s="63">
        <f>E5*(1-E6)</f>
        <v>4.0467006737348196E-2</v>
      </c>
      <c r="F7" s="63">
        <f t="shared" ref="F7:BQ7" si="2">F5*(1-F6)</f>
        <v>0</v>
      </c>
      <c r="G7" s="63">
        <f t="shared" si="2"/>
        <v>0</v>
      </c>
      <c r="H7" s="63">
        <f t="shared" si="2"/>
        <v>0</v>
      </c>
      <c r="I7" s="63">
        <f t="shared" si="2"/>
        <v>3.2989978845790885E-2</v>
      </c>
      <c r="J7" s="63">
        <f t="shared" si="2"/>
        <v>0</v>
      </c>
      <c r="K7" s="63">
        <f t="shared" si="2"/>
        <v>0</v>
      </c>
      <c r="L7" s="63">
        <f t="shared" si="2"/>
        <v>0</v>
      </c>
      <c r="M7" s="63">
        <f t="shared" si="2"/>
        <v>3.5955698942980868E-2</v>
      </c>
      <c r="N7" s="63">
        <f t="shared" si="2"/>
        <v>0</v>
      </c>
      <c r="O7" s="63">
        <f t="shared" si="2"/>
        <v>0</v>
      </c>
      <c r="P7" s="63">
        <f t="shared" si="2"/>
        <v>0</v>
      </c>
      <c r="Q7" s="63">
        <f t="shared" si="2"/>
        <v>3.8122396087353037E-2</v>
      </c>
      <c r="R7" s="63">
        <f t="shared" si="2"/>
        <v>0</v>
      </c>
      <c r="S7" s="63">
        <f t="shared" si="2"/>
        <v>0</v>
      </c>
      <c r="T7" s="63">
        <f t="shared" si="2"/>
        <v>0</v>
      </c>
      <c r="U7" s="63">
        <f t="shared" si="2"/>
        <v>3.4888766856115597E-2</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t="e">
        <f t="shared" si="2"/>
        <v>#DIV/0!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6902872091.8999996</v>
      </c>
      <c r="F8" s="26">
        <f>资产资本表!F107</f>
        <v>3839391237.1199999</v>
      </c>
      <c r="G8" s="26">
        <f>资产资本表!G107</f>
        <v>3603259961.5200005</v>
      </c>
      <c r="H8" s="26">
        <f>资产资本表!H107</f>
        <v>3476992311.9700003</v>
      </c>
      <c r="I8" s="26">
        <f>资产资本表!I107</f>
        <v>3583924066.8499999</v>
      </c>
      <c r="J8" s="26">
        <f>资产资本表!J107</f>
        <v>3336239965.3200002</v>
      </c>
      <c r="K8" s="26">
        <f>资产资本表!K107</f>
        <v>3255200771.9900002</v>
      </c>
      <c r="L8" s="26">
        <f>资产资本表!L107</f>
        <v>3109351322.9200001</v>
      </c>
      <c r="M8" s="26">
        <f>资产资本表!M107</f>
        <v>3241527925.3400002</v>
      </c>
      <c r="N8" s="26">
        <f>资产资本表!N107</f>
        <v>2951750128.5999999</v>
      </c>
      <c r="O8" s="26">
        <f>资产资本表!O107</f>
        <v>440303637.82999998</v>
      </c>
      <c r="P8" s="26">
        <f>资产资本表!P107</f>
        <v>452429120.55000001</v>
      </c>
      <c r="Q8" s="26">
        <f>资产资本表!Q107</f>
        <v>448112981.39999998</v>
      </c>
      <c r="R8" s="26">
        <f>资产资本表!R107</f>
        <v>453870276.15000004</v>
      </c>
      <c r="S8" s="26">
        <f>资产资本表!S107</f>
        <v>426116392.37</v>
      </c>
      <c r="T8" s="26">
        <f>资产资本表!T107</f>
        <v>431349959.06999999</v>
      </c>
      <c r="U8" s="26">
        <f>资产资本表!U107</f>
        <v>426816791.44000006</v>
      </c>
      <c r="V8" s="26">
        <f>资产资本表!V107</f>
        <v>477814642.62</v>
      </c>
      <c r="W8" s="26">
        <f>资产资本表!W107</f>
        <v>450862261.86000001</v>
      </c>
      <c r="X8" s="26">
        <f>资产资本表!X107</f>
        <v>492994219.73000002</v>
      </c>
      <c r="Y8" s="26">
        <f>资产资本表!Y107</f>
        <v>488234219.13999999</v>
      </c>
      <c r="Z8" s="26">
        <f>资产资本表!Z107</f>
        <v>408435221.54000002</v>
      </c>
      <c r="AA8" s="26">
        <f>资产资本表!AA107</f>
        <v>380627389.35000002</v>
      </c>
      <c r="AB8" s="26">
        <f>资产资本表!AB107</f>
        <v>400532487.43000001</v>
      </c>
      <c r="AC8" s="26">
        <f>资产资本表!AC107</f>
        <v>395884939.36000001</v>
      </c>
      <c r="AD8" s="26">
        <f>资产资本表!AD107</f>
        <v>369365533.97000003</v>
      </c>
      <c r="AE8" s="26">
        <f>资产资本表!AE107</f>
        <v>345855337.39999998</v>
      </c>
      <c r="AF8" s="26">
        <f>资产资本表!AF107</f>
        <v>352818517.24000001</v>
      </c>
      <c r="AG8" s="26">
        <f>资产资本表!AG107</f>
        <v>347622442.78000003</v>
      </c>
      <c r="AH8" s="26">
        <f>资产资本表!AH107</f>
        <v>340272474.61000001</v>
      </c>
      <c r="AI8" s="26">
        <f>资产资本表!AI107</f>
        <v>329236905.42999995</v>
      </c>
      <c r="AJ8" s="26">
        <f>资产资本表!AJ107</f>
        <v>342502968.53000003</v>
      </c>
      <c r="AK8" s="26">
        <f>资产资本表!AK107</f>
        <v>338679644.94</v>
      </c>
      <c r="AL8" s="26">
        <f>资产资本表!AL107</f>
        <v>334403218.31999999</v>
      </c>
      <c r="AM8" s="26">
        <f>资产资本表!AM107</f>
        <v>325670927.31999999</v>
      </c>
      <c r="AN8" s="26">
        <f>资产资本表!AN107</f>
        <v>333514320.54000002</v>
      </c>
      <c r="AO8" s="26">
        <f>资产资本表!AO107</f>
        <v>330681077.72000003</v>
      </c>
      <c r="AP8" s="26">
        <f>资产资本表!AP107</f>
        <v>328037204.15999997</v>
      </c>
      <c r="AQ8" s="26">
        <f>资产资本表!AQ107</f>
        <v>322269181.74000001</v>
      </c>
      <c r="AR8" s="26">
        <f>资产资本表!AR107</f>
        <v>319871563.45000005</v>
      </c>
      <c r="AS8" s="26">
        <f>资产资本表!AS107</f>
        <v>316993617.54000002</v>
      </c>
      <c r="AT8" s="26">
        <f>资产资本表!AT107</f>
        <v>311675467.13</v>
      </c>
      <c r="AU8" s="26">
        <f>资产资本表!AU107</f>
        <v>296571476.04000002</v>
      </c>
      <c r="AV8" s="26">
        <f>资产资本表!AV107</f>
        <v>310169394.54000002</v>
      </c>
      <c r="AW8" s="26">
        <f>资产资本表!AW107</f>
        <v>305754012.97000003</v>
      </c>
      <c r="AX8" s="26">
        <f>资产资本表!AX107</f>
        <v>299992255.19</v>
      </c>
      <c r="AY8" s="26">
        <f>资产资本表!AY107</f>
        <v>284163393.33999997</v>
      </c>
      <c r="AZ8" s="26">
        <f>资产资本表!AZ107</f>
        <v>294789176.83000004</v>
      </c>
      <c r="BA8" s="26">
        <f>资产资本表!BA107</f>
        <v>291094580.5</v>
      </c>
      <c r="BB8" s="26">
        <f>资产资本表!BB107</f>
        <v>312235581.91999996</v>
      </c>
      <c r="BC8" s="26">
        <f>资产资本表!BC107</f>
        <v>298900963.18000001</v>
      </c>
      <c r="BD8" s="26">
        <f>资产资本表!BD107</f>
        <v>151809450.71000001</v>
      </c>
      <c r="BE8" s="26">
        <f>资产资本表!BE107</f>
        <v>145145762.82999998</v>
      </c>
      <c r="BF8" s="26">
        <f>资产资本表!BF107</f>
        <v>126785218.7</v>
      </c>
      <c r="BG8" s="26">
        <f>资产资本表!BG107</f>
        <v>0</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739</v>
      </c>
      <c r="E9" s="63">
        <f>股东权益回报率分析表!E14</f>
        <v>9.7468822148609358E-2</v>
      </c>
      <c r="F9" s="63">
        <f>股东权益回报率分析表!F14</f>
        <v>6.6228648680445104E-2</v>
      </c>
      <c r="G9" s="63">
        <f>股东权益回报率分析表!G14</f>
        <v>1.0121550795523321E-2</v>
      </c>
      <c r="H9" s="63">
        <f>股东权益回报率分析表!H14</f>
        <v>-3.2489691139407605E-2</v>
      </c>
      <c r="I9" s="63">
        <f>股东权益回报率分析表!I14</f>
        <v>0.10254062213516787</v>
      </c>
      <c r="J9" s="63">
        <f>股东权益回报率分析表!J14</f>
        <v>3.3637384938297162E-2</v>
      </c>
      <c r="K9" s="63">
        <f>股东权益回报率分析表!K14</f>
        <v>-6.7155448684156184E-3</v>
      </c>
      <c r="L9" s="63">
        <f>股东权益回报率分析表!L14</f>
        <v>-4.4760655186850629E-2</v>
      </c>
      <c r="M9" s="63">
        <f>股东权益回报率分析表!M14</f>
        <v>8.6555484219859424E-2</v>
      </c>
      <c r="N9" s="63">
        <f>股东权益回报率分析表!N14</f>
        <v>2.8968111518489312E-2</v>
      </c>
      <c r="O9" s="63">
        <f>股东权益回报率分析表!O14</f>
        <v>3.4789763435736426E-3</v>
      </c>
      <c r="P9" s="63">
        <f>股东权益回报率分析表!P14</f>
        <v>2.3764058305816209E-4</v>
      </c>
      <c r="Q9" s="63">
        <f>股东权益回报率分析表!Q14</f>
        <v>5.8182965395342449E-2</v>
      </c>
      <c r="R9" s="63">
        <f>股东权益回报率分析表!R14</f>
        <v>5.6048869636910609E-2</v>
      </c>
      <c r="S9" s="63">
        <f>股东权益回报率分析表!S14</f>
        <v>7.8387853643040496E-3</v>
      </c>
      <c r="T9" s="63">
        <f>股东权益回报率分析表!T14</f>
        <v>1.8046928569979811E-3</v>
      </c>
      <c r="U9" s="63">
        <f>股东权益回报率分析表!U14</f>
        <v>-0.15343377569344285</v>
      </c>
      <c r="V9" s="63">
        <f>股东权益回报率分析表!V14</f>
        <v>7.4156367154657038E-2</v>
      </c>
      <c r="W9" s="63">
        <f>股东权益回报率分析表!W14</f>
        <v>1.8809774131491531E-2</v>
      </c>
      <c r="X9" s="63">
        <f>股东权益回报率分析表!X14</f>
        <v>9.6552868766025986E-3</v>
      </c>
      <c r="Y9" s="63">
        <f>股东权益回报率分析表!Y14</f>
        <v>0.12059315068843431</v>
      </c>
      <c r="Z9" s="63">
        <f>股东权益回报率分析表!Z14</f>
        <v>8.8512579800759175E-2</v>
      </c>
      <c r="AA9" s="63">
        <f>股东权益回报率分析表!AA14</f>
        <v>2.192123631525526E-2</v>
      </c>
      <c r="AB9" s="63">
        <f>股东权益回报率分析表!AB14</f>
        <v>1.1510548094568075E-2</v>
      </c>
      <c r="AC9" s="63">
        <f>股东权益回报率分析表!AC14</f>
        <v>0.14732775599973522</v>
      </c>
      <c r="AD9" s="63">
        <f>股东权益回报率分析表!AD14</f>
        <v>8.3967915296934439E-2</v>
      </c>
      <c r="AE9" s="63">
        <f>股东权益回报率分析表!AE14</f>
        <v>2.1698833264846937E-2</v>
      </c>
      <c r="AF9" s="63">
        <f>股东权益回报率分析表!AF14</f>
        <v>1.460234635727873E-2</v>
      </c>
      <c r="AG9" s="63">
        <f>股东权益回报率分析表!AG14</f>
        <v>7.0122062531580737E-2</v>
      </c>
      <c r="AH9" s="63">
        <f>股东权益回报率分析表!AH14</f>
        <v>5.0011863403011406E-2</v>
      </c>
      <c r="AI9" s="63">
        <f>股东权益回报率分析表!AI14</f>
        <v>1.746604112467166E-2</v>
      </c>
      <c r="AJ9" s="63">
        <f>股东权益回报率分析表!AJ14</f>
        <v>1.1098149970244905E-2</v>
      </c>
      <c r="AK9" s="63">
        <f>股东权益回报率分析表!AK14</f>
        <v>5.1423317640141547E-2</v>
      </c>
      <c r="AL9" s="63">
        <f>股东权益回报率分析表!AL14</f>
        <v>3.8814232785222426E-2</v>
      </c>
      <c r="AM9" s="63">
        <f>股东权益回报率分析表!AM14</f>
        <v>1.3041733184327626E-2</v>
      </c>
      <c r="AN9" s="63">
        <f>股东权益回报率分析表!AN14</f>
        <v>8.4966127553738093E-3</v>
      </c>
      <c r="AO9" s="63">
        <f>股东权益回报率分析表!AO14</f>
        <v>4.1769094788348747E-2</v>
      </c>
      <c r="AP9" s="63">
        <f>股东权益回报率分析表!AP14</f>
        <v>3.5481738267476831E-2</v>
      </c>
      <c r="AQ9" s="63">
        <f>股东权益回报率分析表!AQ14</f>
        <v>1.3572704458997522E-2</v>
      </c>
      <c r="AR9" s="63">
        <f>股东权益回报率分析表!AR14</f>
        <v>8.9971921509986209E-3</v>
      </c>
      <c r="AS9" s="63">
        <f>股东权益回报率分析表!AS14</f>
        <v>8.4897594528394793E-2</v>
      </c>
      <c r="AT9" s="63">
        <f>股东权益回报率分析表!AT14</f>
        <v>7.2972335485466958E-2</v>
      </c>
      <c r="AU9" s="63">
        <f>股东权益回报率分析表!AU14</f>
        <v>2.5096378550566165E-2</v>
      </c>
      <c r="AV9" s="63">
        <f>股东权益回报率分析表!AV14</f>
        <v>1.4393201259011598E-2</v>
      </c>
      <c r="AW9" s="63">
        <f>股东权益回报率分析表!AW14</f>
        <v>9.1456600547524983E-2</v>
      </c>
      <c r="AX9" s="63">
        <f>股东权益回报率分析表!AX14</f>
        <v>7.3793489855194003E-2</v>
      </c>
      <c r="AY9" s="63">
        <f>股东权益回报率分析表!AY14</f>
        <v>2.2115715807491915E-2</v>
      </c>
      <c r="AZ9" s="63">
        <f>股东权益回报率分析表!AZ14</f>
        <v>1.3395206881279691E-2</v>
      </c>
      <c r="BA9" s="63">
        <f>股东权益回报率分析表!BA14</f>
        <v>8.1531572416203096E-2</v>
      </c>
      <c r="BB9" s="63">
        <f>股东权益回报率分析表!BB14</f>
        <v>5.3639083563164013E-2</v>
      </c>
      <c r="BC9" s="63">
        <f>股东权益回报率分析表!BC14</f>
        <v>1.1467684424743062E-2</v>
      </c>
      <c r="BD9" s="63">
        <f>股东权益回报率分析表!BD14</f>
        <v>1.5123485851917166E-2</v>
      </c>
      <c r="BE9" s="63">
        <f>股东权益回报率分析表!BE14</f>
        <v>0.1522419429210701</v>
      </c>
      <c r="BF9" s="63">
        <f>股东权益回报率分析表!BF14</f>
        <v>0.11054807621671159</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9588355108.5199986</v>
      </c>
      <c r="F10" s="26">
        <f>资产资本表!F70</f>
        <v>6068225844.1000004</v>
      </c>
      <c r="G10" s="26">
        <f>资产资本表!G70</f>
        <v>5701498539.0600014</v>
      </c>
      <c r="H10" s="26">
        <f>资产资本表!H70</f>
        <v>5227042939.2999992</v>
      </c>
      <c r="I10" s="26">
        <f>资产资本表!I70</f>
        <v>4868932410.5799999</v>
      </c>
      <c r="J10" s="26">
        <f>资产资本表!J70</f>
        <v>4493697990.3899994</v>
      </c>
      <c r="K10" s="26">
        <f>资产资本表!K70</f>
        <v>4041827564.3599997</v>
      </c>
      <c r="L10" s="26">
        <f>资产资本表!L70</f>
        <v>3864579702.96</v>
      </c>
      <c r="M10" s="26">
        <f>资产资本表!M70</f>
        <v>3906830452.8699999</v>
      </c>
      <c r="N10" s="26">
        <f>资产资本表!N70</f>
        <v>3428439251.9400005</v>
      </c>
      <c r="O10" s="26">
        <f>资产资本表!O70</f>
        <v>513337376.82999992</v>
      </c>
      <c r="P10" s="26">
        <f>资产资本表!P70</f>
        <v>475484983.52999997</v>
      </c>
      <c r="Q10" s="26">
        <f>资产资本表!Q70</f>
        <v>551152019.73000002</v>
      </c>
      <c r="R10" s="26">
        <f>资产资本表!R70</f>
        <v>667968071.6500001</v>
      </c>
      <c r="S10" s="26">
        <f>资产资本表!S70</f>
        <v>653504306.26999998</v>
      </c>
      <c r="T10" s="26">
        <f>资产资本表!T70</f>
        <v>655749959.06999993</v>
      </c>
      <c r="U10" s="26">
        <f>资产资本表!U70</f>
        <v>643067086.94000006</v>
      </c>
      <c r="V10" s="26">
        <f>资产资本表!V70</f>
        <v>561214642.62</v>
      </c>
      <c r="W10" s="26">
        <f>资产资本表!W70</f>
        <v>538262261.86000001</v>
      </c>
      <c r="X10" s="26">
        <f>资产资本表!X70</f>
        <v>583394219.73000002</v>
      </c>
      <c r="Y10" s="26">
        <f>资产资本表!Y70</f>
        <v>581634219.13999999</v>
      </c>
      <c r="Z10" s="26">
        <f>资产资本表!Z70</f>
        <v>471835221.53999996</v>
      </c>
      <c r="AA10" s="26">
        <f>资产资本表!AA70</f>
        <v>444027389.35000002</v>
      </c>
      <c r="AB10" s="26">
        <f>资产资本表!AB70</f>
        <v>440932487.42999995</v>
      </c>
      <c r="AC10" s="26">
        <f>资产资本表!AC70</f>
        <v>433303729.76999998</v>
      </c>
      <c r="AD10" s="26">
        <f>资产资本表!AD70</f>
        <v>407703294.36000001</v>
      </c>
      <c r="AE10" s="26">
        <f>资产资本表!AE70</f>
        <v>385292777.78999996</v>
      </c>
      <c r="AF10" s="26">
        <f>资产资本表!AF70</f>
        <v>356445077.36000001</v>
      </c>
      <c r="AG10" s="26">
        <f>资产资本表!AG70</f>
        <v>352249002.89999998</v>
      </c>
      <c r="AH10" s="26">
        <f>资产资本表!AH70</f>
        <v>346315323</v>
      </c>
      <c r="AI10" s="26">
        <f>资产资本表!AI70</f>
        <v>339423753.81999993</v>
      </c>
      <c r="AJ10" s="26">
        <f>资产资本表!AJ70</f>
        <v>366560728.91999996</v>
      </c>
      <c r="AK10" s="26">
        <f>资产资本表!AK70</f>
        <v>359737405.33000004</v>
      </c>
      <c r="AL10" s="26">
        <f>资产资本表!AL70</f>
        <v>356545476.48000002</v>
      </c>
      <c r="AM10" s="26">
        <f>资产资本表!AM70</f>
        <v>353575415.81999999</v>
      </c>
      <c r="AN10" s="26">
        <f>资产资本表!AN70</f>
        <v>346406484.88</v>
      </c>
      <c r="AO10" s="26">
        <f>资产资本表!AO70</f>
        <v>346073242.06</v>
      </c>
      <c r="AP10" s="26">
        <f>资产资本表!AP70</f>
        <v>339517204.15999997</v>
      </c>
      <c r="AQ10" s="26">
        <f>资产资本表!AQ70</f>
        <v>337249181.74000001</v>
      </c>
      <c r="AR10" s="26">
        <f>资产资本表!AR70</f>
        <v>333519115.91000003</v>
      </c>
      <c r="AS10" s="26">
        <f>资产资本表!AS70</f>
        <v>331772374.34000003</v>
      </c>
      <c r="AT10" s="26">
        <f>资产资本表!AT70</f>
        <v>326843019.59000003</v>
      </c>
      <c r="AU10" s="26">
        <f>资产资本表!AU70</f>
        <v>317739028.5</v>
      </c>
      <c r="AV10" s="26">
        <f>资产资本表!AV70</f>
        <v>331488572</v>
      </c>
      <c r="AW10" s="26">
        <f>资产资本表!AW70</f>
        <v>321921565.42999995</v>
      </c>
      <c r="AX10" s="26">
        <f>资产资本表!AX70</f>
        <v>311997842.06</v>
      </c>
      <c r="AY10" s="26">
        <f>资产资本表!AY70</f>
        <v>306444749.17000002</v>
      </c>
      <c r="AZ10" s="26">
        <f>资产资本表!AZ70</f>
        <v>307142895.07999998</v>
      </c>
      <c r="BA10" s="26">
        <f>资产资本表!BA70</f>
        <v>302468173.07999998</v>
      </c>
      <c r="BB10" s="26">
        <f>资产资本表!BB70</f>
        <v>324277573.09000003</v>
      </c>
      <c r="BC10" s="26">
        <f>资产资本表!BC70</f>
        <v>310852297.63</v>
      </c>
      <c r="BD10" s="26">
        <f>资产资本表!BD70</f>
        <v>166984462.97</v>
      </c>
      <c r="BE10" s="26">
        <f>资产资本表!BE70</f>
        <v>145684772.47</v>
      </c>
      <c r="BF10" s="26">
        <f>资产资本表!BF70</f>
        <v>117460417.88</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0.27946807748170821</v>
      </c>
      <c r="F11" s="63">
        <f t="shared" ref="F11:BQ11" si="3">F4/F10</f>
        <v>0.36714592743052915</v>
      </c>
      <c r="G11" s="63">
        <f t="shared" si="3"/>
        <v>0.36778787543559033</v>
      </c>
      <c r="H11" s="63">
        <f t="shared" si="3"/>
        <v>0.33463287867580505</v>
      </c>
      <c r="I11" s="63">
        <f t="shared" si="3"/>
        <v>0.26373299809003409</v>
      </c>
      <c r="J11" s="63">
        <f t="shared" si="3"/>
        <v>0.25737106186337755</v>
      </c>
      <c r="K11" s="63">
        <f t="shared" si="3"/>
        <v>0.19439636606674826</v>
      </c>
      <c r="L11" s="63">
        <f t="shared" si="3"/>
        <v>0.19520316216332625</v>
      </c>
      <c r="M11" s="63">
        <f t="shared" si="3"/>
        <v>0.17007452305791418</v>
      </c>
      <c r="N11" s="63">
        <f t="shared" si="3"/>
        <v>0.13879170280784298</v>
      </c>
      <c r="O11" s="63">
        <f t="shared" si="3"/>
        <v>0.14025863545066578</v>
      </c>
      <c r="P11" s="63">
        <f t="shared" si="3"/>
        <v>4.6315077747582645E-2</v>
      </c>
      <c r="Q11" s="63">
        <f t="shared" si="3"/>
        <v>0.18507652277128669</v>
      </c>
      <c r="R11" s="63">
        <f t="shared" si="3"/>
        <v>0.30053457421118634</v>
      </c>
      <c r="S11" s="63">
        <f t="shared" si="3"/>
        <v>0.34424409730982569</v>
      </c>
      <c r="T11" s="63">
        <f t="shared" si="3"/>
        <v>0.34220360504215569</v>
      </c>
      <c r="U11" s="63">
        <f t="shared" si="3"/>
        <v>0.33495727642502937</v>
      </c>
      <c r="V11" s="63">
        <f t="shared" si="3"/>
        <v>0.14860624379052484</v>
      </c>
      <c r="W11" s="63">
        <f t="shared" si="3"/>
        <v>0.16237437805500921</v>
      </c>
      <c r="X11" s="63">
        <f t="shared" si="3"/>
        <v>0.15495525485637809</v>
      </c>
      <c r="Y11" s="63">
        <f t="shared" si="3"/>
        <v>0.16058202376418043</v>
      </c>
      <c r="Z11" s="63">
        <f t="shared" si="3"/>
        <v>0.13436894302437158</v>
      </c>
      <c r="AA11" s="63">
        <f t="shared" si="3"/>
        <v>0.14278398477357351</v>
      </c>
      <c r="AB11" s="63">
        <f t="shared" si="3"/>
        <v>9.1624004018106484E-2</v>
      </c>
      <c r="AC11" s="63">
        <f t="shared" si="3"/>
        <v>8.6356954346693715E-2</v>
      </c>
      <c r="AD11" s="63">
        <f t="shared" si="3"/>
        <v>9.4033481996218415E-2</v>
      </c>
      <c r="AE11" s="63">
        <f t="shared" si="3"/>
        <v>9.9277127926981804E-2</v>
      </c>
      <c r="AF11" s="63">
        <f t="shared" si="3"/>
        <v>1.0174246610052834E-2</v>
      </c>
      <c r="AG11" s="63">
        <f t="shared" si="3"/>
        <v>1.3134345539406496E-2</v>
      </c>
      <c r="AH11" s="63">
        <f t="shared" si="3"/>
        <v>1.6106016741280604E-2</v>
      </c>
      <c r="AI11" s="63">
        <f t="shared" si="3"/>
        <v>2.2325368524498044E-2</v>
      </c>
      <c r="AJ11" s="63">
        <f t="shared" si="3"/>
        <v>6.5631035983809621E-2</v>
      </c>
      <c r="AK11" s="63">
        <f t="shared" si="3"/>
        <v>5.8536477102465782E-2</v>
      </c>
      <c r="AL11" s="63">
        <f t="shared" si="3"/>
        <v>6.2102199075976895E-2</v>
      </c>
      <c r="AM11" s="63">
        <f t="shared" si="3"/>
        <v>6.9792844909111876E-2</v>
      </c>
      <c r="AN11" s="63">
        <f t="shared" si="3"/>
        <v>3.3951327452989684E-2</v>
      </c>
      <c r="AO11" s="63">
        <f t="shared" si="3"/>
        <v>4.1207924412507813E-2</v>
      </c>
      <c r="AP11" s="63">
        <f t="shared" si="3"/>
        <v>3.3812719530377511E-2</v>
      </c>
      <c r="AQ11" s="63">
        <f t="shared" si="3"/>
        <v>4.441819524279448E-2</v>
      </c>
      <c r="AR11" s="63">
        <f t="shared" si="3"/>
        <v>4.0919850794047995E-2</v>
      </c>
      <c r="AS11" s="63">
        <f t="shared" si="3"/>
        <v>4.1135288877349387E-2</v>
      </c>
      <c r="AT11" s="63">
        <f t="shared" si="3"/>
        <v>4.6406230364125729E-2</v>
      </c>
      <c r="AU11" s="63">
        <f t="shared" si="3"/>
        <v>6.6619302513540604E-2</v>
      </c>
      <c r="AV11" s="63">
        <f t="shared" si="3"/>
        <v>6.4313461340079023E-2</v>
      </c>
      <c r="AW11" s="63">
        <f t="shared" si="3"/>
        <v>5.0222023611262372E-2</v>
      </c>
      <c r="AX11" s="63">
        <f t="shared" si="3"/>
        <v>4.2203985684836118E-2</v>
      </c>
      <c r="AY11" s="63">
        <f t="shared" si="3"/>
        <v>4.2968765154776108E-2</v>
      </c>
      <c r="AZ11" s="63">
        <f t="shared" si="3"/>
        <v>3.6359468634595125E-2</v>
      </c>
      <c r="BA11" s="63">
        <f t="shared" si="3"/>
        <v>3.6921413404531291E-2</v>
      </c>
      <c r="BB11" s="63">
        <f t="shared" si="3"/>
        <v>3.4438251013123741E-2</v>
      </c>
      <c r="BC11" s="63">
        <f t="shared" si="3"/>
        <v>4.1716122283371272E-2</v>
      </c>
      <c r="BD11" s="63">
        <f t="shared" si="3"/>
        <v>7.1069800440847569E-2</v>
      </c>
      <c r="BE11" s="63">
        <f t="shared" si="3"/>
        <v>8.5578967853811694E-2</v>
      </c>
      <c r="BF11" s="63">
        <f t="shared" si="3"/>
        <v>9.9399651480279582E-3</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0.71992244903051839</v>
      </c>
      <c r="F12" s="63">
        <f t="shared" ref="F12:BQ12" si="4">F8/F10</f>
        <v>0.63270407789007288</v>
      </c>
      <c r="G12" s="63">
        <f t="shared" si="4"/>
        <v>0.63198472065452205</v>
      </c>
      <c r="H12" s="63">
        <f t="shared" si="4"/>
        <v>0.66519298814783334</v>
      </c>
      <c r="I12" s="63">
        <f t="shared" si="4"/>
        <v>0.7360800612188152</v>
      </c>
      <c r="J12" s="63">
        <f t="shared" si="4"/>
        <v>0.7424263874552135</v>
      </c>
      <c r="K12" s="63">
        <f t="shared" si="4"/>
        <v>0.80537843838111456</v>
      </c>
      <c r="L12" s="63">
        <f t="shared" si="4"/>
        <v>0.80457683937491387</v>
      </c>
      <c r="M12" s="63">
        <f t="shared" si="4"/>
        <v>0.82970785767238475</v>
      </c>
      <c r="N12" s="63">
        <f t="shared" si="4"/>
        <v>0.8609603121682079</v>
      </c>
      <c r="O12" s="63">
        <f t="shared" si="4"/>
        <v>0.85772760313888796</v>
      </c>
      <c r="P12" s="63">
        <f t="shared" si="4"/>
        <v>0.95151084938827457</v>
      </c>
      <c r="Q12" s="63">
        <f t="shared" si="4"/>
        <v>0.81304788036433739</v>
      </c>
      <c r="R12" s="63">
        <f t="shared" si="4"/>
        <v>0.67947899819352087</v>
      </c>
      <c r="S12" s="63">
        <f t="shared" si="4"/>
        <v>0.65204833125299555</v>
      </c>
      <c r="T12" s="63">
        <f t="shared" si="4"/>
        <v>0.65779639495784448</v>
      </c>
      <c r="U12" s="63">
        <f t="shared" si="4"/>
        <v>0.66372047350609198</v>
      </c>
      <c r="V12" s="63">
        <f t="shared" si="4"/>
        <v>0.85139375620947511</v>
      </c>
      <c r="W12" s="63">
        <f t="shared" si="4"/>
        <v>0.83762562194499079</v>
      </c>
      <c r="X12" s="63">
        <f t="shared" si="4"/>
        <v>0.84504474514362193</v>
      </c>
      <c r="Y12" s="63">
        <f t="shared" si="4"/>
        <v>0.8394179762358196</v>
      </c>
      <c r="Z12" s="63">
        <f t="shared" si="4"/>
        <v>0.86563105697562859</v>
      </c>
      <c r="AA12" s="63">
        <f t="shared" si="4"/>
        <v>0.85721601522642654</v>
      </c>
      <c r="AB12" s="63">
        <f t="shared" si="4"/>
        <v>0.90837599598189367</v>
      </c>
      <c r="AC12" s="63">
        <f t="shared" si="4"/>
        <v>0.91364304565330634</v>
      </c>
      <c r="AD12" s="63">
        <f t="shared" si="4"/>
        <v>0.90596651800378158</v>
      </c>
      <c r="AE12" s="63">
        <f t="shared" si="4"/>
        <v>0.89764292853811301</v>
      </c>
      <c r="AF12" s="63">
        <f t="shared" si="4"/>
        <v>0.98982575338994716</v>
      </c>
      <c r="AG12" s="63">
        <f t="shared" si="4"/>
        <v>0.98686565446059371</v>
      </c>
      <c r="AH12" s="63">
        <f t="shared" si="4"/>
        <v>0.98255102217928725</v>
      </c>
      <c r="AI12" s="63">
        <f t="shared" si="4"/>
        <v>0.96998781530357425</v>
      </c>
      <c r="AJ12" s="63">
        <f t="shared" si="4"/>
        <v>0.93436896401619063</v>
      </c>
      <c r="AK12" s="63">
        <f t="shared" si="4"/>
        <v>0.9414635228975341</v>
      </c>
      <c r="AL12" s="63">
        <f t="shared" si="4"/>
        <v>0.93789780092402297</v>
      </c>
      <c r="AM12" s="63">
        <f t="shared" si="4"/>
        <v>0.92107910433963613</v>
      </c>
      <c r="AN12" s="63">
        <f t="shared" si="4"/>
        <v>0.96278313223707113</v>
      </c>
      <c r="AO12" s="63">
        <f t="shared" si="4"/>
        <v>0.95552339080485349</v>
      </c>
      <c r="AP12" s="63">
        <f t="shared" si="4"/>
        <v>0.96618728046962243</v>
      </c>
      <c r="AQ12" s="63">
        <f t="shared" si="4"/>
        <v>0.95558180475720556</v>
      </c>
      <c r="AR12" s="63">
        <f t="shared" si="4"/>
        <v>0.95908014920595208</v>
      </c>
      <c r="AS12" s="63">
        <f t="shared" si="4"/>
        <v>0.9554551314605394</v>
      </c>
      <c r="AT12" s="63">
        <f t="shared" si="4"/>
        <v>0.95359376963587417</v>
      </c>
      <c r="AU12" s="63">
        <f t="shared" si="4"/>
        <v>0.93338069748645947</v>
      </c>
      <c r="AV12" s="63">
        <f t="shared" si="4"/>
        <v>0.93568653865992102</v>
      </c>
      <c r="AW12" s="63">
        <f t="shared" si="4"/>
        <v>0.94977797638873784</v>
      </c>
      <c r="AX12" s="63">
        <f t="shared" si="4"/>
        <v>0.96152028875991002</v>
      </c>
      <c r="AY12" s="63">
        <f t="shared" si="4"/>
        <v>0.92729078931732822</v>
      </c>
      <c r="AZ12" s="63">
        <f t="shared" si="4"/>
        <v>0.95977859671218435</v>
      </c>
      <c r="BA12" s="63">
        <f t="shared" si="4"/>
        <v>0.96239739056118223</v>
      </c>
      <c r="BB12" s="63">
        <f t="shared" si="4"/>
        <v>0.96286517425410134</v>
      </c>
      <c r="BC12" s="63">
        <f t="shared" si="4"/>
        <v>0.9615530123434205</v>
      </c>
      <c r="BD12" s="63">
        <f t="shared" si="4"/>
        <v>0.90912320829078397</v>
      </c>
      <c r="BE12" s="63">
        <f t="shared" si="4"/>
        <v>0.99630016486375739</v>
      </c>
      <c r="BF12" s="63">
        <f t="shared" si="4"/>
        <v>1.0793867499222285</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8.1479229719672919E-2</v>
      </c>
      <c r="F13" s="63">
        <f t="shared" ref="F13:J13" si="5">F5*F11*(1-F6)+F9*F12</f>
        <v>4.190313609326661E-2</v>
      </c>
      <c r="G13" s="63">
        <f t="shared" si="5"/>
        <v>6.3966654520993616E-3</v>
      </c>
      <c r="H13" s="63">
        <f t="shared" si="5"/>
        <v>-2.1611914733022729E-2</v>
      </c>
      <c r="I13" s="63">
        <f t="shared" si="5"/>
        <v>8.4178653446597002E-2</v>
      </c>
      <c r="J13" s="63">
        <f t="shared" si="5"/>
        <v>2.497328218318037E-2</v>
      </c>
      <c r="K13" s="63">
        <f t="shared" ref="K13" si="6">K5*K11*(1-K6)+K9*K12</f>
        <v>-5.408555039002878E-3</v>
      </c>
      <c r="L13" s="63">
        <f t="shared" ref="L13" si="7">L5*L11*(1-L6)+L9*L12</f>
        <v>-3.6013386478586623E-2</v>
      </c>
      <c r="M13" s="63">
        <f t="shared" ref="M13" si="8">M5*M11*(1-M6)+M9*M12</f>
        <v>7.7930913730796886E-2</v>
      </c>
      <c r="N13" s="63">
        <f t="shared" ref="N13:O13" si="9">N5*N11*(1-N6)+N9*N12</f>
        <v>2.4940394335882018E-2</v>
      </c>
      <c r="O13" s="63">
        <f t="shared" si="9"/>
        <v>2.9840140405503128E-3</v>
      </c>
      <c r="P13" s="63">
        <f t="shared" ref="P13" si="10">P5*P11*(1-P6)+P9*P12</f>
        <v>2.2611759303479663E-4</v>
      </c>
      <c r="Q13" s="63">
        <f t="shared" ref="Q13" si="11">Q5*Q11*(1-Q6)+Q9*Q12</f>
        <v>5.4361097195551773E-2</v>
      </c>
      <c r="R13" s="63">
        <f t="shared" ref="R13" si="12">R5*R11*(1-R6)+R9*R12</f>
        <v>3.808402979076727E-2</v>
      </c>
      <c r="S13" s="63">
        <f t="shared" ref="S13:T13" si="13">S5*S11*(1-S6)+S9*S12</f>
        <v>5.1112669158448606E-3</v>
      </c>
      <c r="T13" s="63">
        <f t="shared" si="13"/>
        <v>1.1871204553394448E-3</v>
      </c>
      <c r="U13" s="63">
        <f t="shared" ref="U13" si="14">U5*U11*(1-U6)+U9*U12</f>
        <v>-9.0150891931127075E-2</v>
      </c>
      <c r="V13" s="63">
        <f t="shared" ref="V13" si="15">V5*V11*(1-V6)+V9*V12</f>
        <v>6.3136267978652405E-2</v>
      </c>
      <c r="W13" s="63">
        <f t="shared" ref="W13" si="16">W5*W11*(1-W6)+W9*W12</f>
        <v>1.5755548755535392E-2</v>
      </c>
      <c r="X13" s="63">
        <f t="shared" ref="X13:Y13" si="17">X5*X11*(1-X6)+X9*X12</f>
        <v>8.1591494379272007E-3</v>
      </c>
      <c r="Y13" s="63">
        <f t="shared" si="17"/>
        <v>0.10122805849878676</v>
      </c>
      <c r="Z13" s="63">
        <f t="shared" ref="Z13" si="18">Z5*Z11*(1-Z6)+Z9*Z12</f>
        <v>7.6619238008570831E-2</v>
      </c>
      <c r="AA13" s="63">
        <f t="shared" ref="AA13" si="19">AA5*AA11*(1-AA6)+AA9*AA12</f>
        <v>1.8791234842999948E-2</v>
      </c>
      <c r="AB13" s="63">
        <f t="shared" ref="AB13" si="20">AB5*AB11*(1-AB6)+AB9*AB12</f>
        <v>1.0455905589700764E-2</v>
      </c>
      <c r="AC13" s="63">
        <f t="shared" ref="AC13:AD13" si="21">AC5*AC11*(1-AC6)+AC9*AC12</f>
        <v>0.13460497970086527</v>
      </c>
      <c r="AD13" s="63">
        <f t="shared" si="21"/>
        <v>7.6072119845600167E-2</v>
      </c>
      <c r="AE13" s="63">
        <f t="shared" ref="AE13" si="22">AE5*AE11*(1-AE6)+AE9*AE12</f>
        <v>1.9477804237717427E-2</v>
      </c>
      <c r="AF13" s="63">
        <f t="shared" ref="AF13" si="23">AF5*AF11*(1-AF6)+AF9*AF12</f>
        <v>1.445377848435437E-2</v>
      </c>
      <c r="AG13" s="63">
        <f t="shared" ref="AG13" si="24">AG5*AG11*(1-AG6)+AG9*AG12</f>
        <v>6.9201055132355097E-2</v>
      </c>
      <c r="AH13" s="63">
        <f t="shared" ref="AH13:AI13" si="25">AH5*AH11*(1-AH6)+AH9*AH12</f>
        <v>4.9139207507719745E-2</v>
      </c>
      <c r="AI13" s="63">
        <f t="shared" si="25"/>
        <v>1.6941847072522647E-2</v>
      </c>
      <c r="AJ13" s="63">
        <f t="shared" ref="AJ13" si="26">AJ5*AJ11*(1-AJ6)+AJ9*AJ12</f>
        <v>1.0369766890194049E-2</v>
      </c>
      <c r="AK13" s="63">
        <f t="shared" ref="AK13" si="27">AK5*AK11*(1-AK6)+AK9*AK12</f>
        <v>4.8413177784566573E-2</v>
      </c>
      <c r="AL13" s="63">
        <f t="shared" ref="AL13" si="28">AL5*AL11*(1-AL6)+AL9*AL12</f>
        <v>3.6403783573813228E-2</v>
      </c>
      <c r="AM13" s="63">
        <f t="shared" ref="AM13:AN13" si="29">AM5*AM11*(1-AM6)+AM9*AM12</f>
        <v>1.2012467920457001E-2</v>
      </c>
      <c r="AN13" s="63">
        <f t="shared" si="29"/>
        <v>8.1803954420242471E-3</v>
      </c>
      <c r="AO13" s="63">
        <f t="shared" ref="AO13" si="30">AO5*AO11*(1-AO6)+AO9*AO12</f>
        <v>3.9911347083012326E-2</v>
      </c>
      <c r="AP13" s="63">
        <f t="shared" ref="AP13" si="31">AP5*AP11*(1-AP6)+AP9*AP12</f>
        <v>3.4282004202988374E-2</v>
      </c>
      <c r="AQ13" s="63">
        <f t="shared" ref="AQ13" si="32">AQ5*AQ11*(1-AQ6)+AQ9*AQ12</f>
        <v>1.2969829422365024E-2</v>
      </c>
      <c r="AR13" s="63">
        <f t="shared" ref="AR13:AS13" si="33">AR5*AR11*(1-AR6)+AR9*AR12</f>
        <v>8.629028390614378E-3</v>
      </c>
      <c r="AS13" s="63">
        <f t="shared" si="33"/>
        <v>8.1115842340811012E-2</v>
      </c>
      <c r="AT13" s="63">
        <f t="shared" ref="AT13" si="34">AT5*AT11*(1-AT6)+AT9*AT12</f>
        <v>6.9585964474720111E-2</v>
      </c>
      <c r="AU13" s="63">
        <f t="shared" ref="AU13" si="35">AU5*AU11*(1-AU6)+AU9*AU12</f>
        <v>2.3424475315911669E-2</v>
      </c>
      <c r="AV13" s="63">
        <f t="shared" ref="AV13" si="36">AV5*AV11*(1-AV6)+AV9*AV12</f>
        <v>1.346752466628018E-2</v>
      </c>
      <c r="AW13" s="63">
        <f t="shared" ref="AW13:AX13" si="37">AW5*AW11*(1-AW6)+AW9*AW12</f>
        <v>8.6863464995421413E-2</v>
      </c>
      <c r="AX13" s="63">
        <f t="shared" si="37"/>
        <v>7.0953937674167633E-2</v>
      </c>
      <c r="AY13" s="63">
        <f t="shared" ref="AY13" si="38">AY5*AY11*(1-AY6)+AY9*AY12</f>
        <v>2.0507699567446889E-2</v>
      </c>
      <c r="AZ13" s="63">
        <f t="shared" ref="AZ13" si="39">AZ5*AZ11*(1-AZ6)+AZ9*AZ12</f>
        <v>1.2856432863184018E-2</v>
      </c>
      <c r="BA13" s="63">
        <f t="shared" ref="BA13" si="40">BA5*BA11*(1-BA6)+BA9*BA12</f>
        <v>7.8465772541703921E-2</v>
      </c>
      <c r="BB13" s="63">
        <f t="shared" ref="BB13:BC13" si="41">BB5*BB11*(1-BB6)+BB9*BB12</f>
        <v>5.1647205541876219E-2</v>
      </c>
      <c r="BC13" s="63">
        <f t="shared" si="41"/>
        <v>1.1026786503215417E-2</v>
      </c>
      <c r="BD13" s="63">
        <f t="shared" ref="BD13" si="42">BD5*BD11*(1-BD6)+BD9*BD12</f>
        <v>1.3749111978235215E-2</v>
      </c>
      <c r="BE13" s="63">
        <f t="shared" ref="BE13" si="43">BE5*BE11*(1-BE6)+BE9*BE12</f>
        <v>0.15167867283144087</v>
      </c>
      <c r="BF13" s="63">
        <f t="shared" ref="BF13" si="44">BF5*BF11*(1-BF6)+BF9*BF12</f>
        <v>0.11932412869771113</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8" t="s">
        <v>668</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t="s">
        <v>334</v>
      </c>
      <c r="E16" s="45">
        <f>(股东权益回报率分析表!E14+股东权益回报率分析表!I14+股东权益回报率分析表!M14)/3</f>
        <v>9.5521642834545561E-2</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6" sqref="E46"/>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4" width="21.44140625" hidden="1" customWidth="1"/>
    <col min="15" max="16" width="19"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40" width="19" hidden="1" customWidth="1"/>
    <col min="41" max="41" width="19"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5" width="19" hidden="1" customWidth="1"/>
    <col min="56" max="58" width="19" bestFit="1" customWidth="1"/>
    <col min="59" max="59" width="9.5546875" hidden="1" customWidth="1"/>
    <col min="60" max="90" width="8.5546875" bestFit="1" customWidth="1"/>
  </cols>
  <sheetData>
    <row r="1" spans="1:90"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37621</v>
      </c>
      <c r="BG1" s="1">
        <v>25569</v>
      </c>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2943099285.9800005</v>
      </c>
      <c r="F2" s="26">
        <f>资产资本表!F17</f>
        <v>1486843365.49</v>
      </c>
      <c r="G2" s="26">
        <f>资产资本表!G17</f>
        <v>1697111072.54</v>
      </c>
      <c r="H2" s="26">
        <f>资产资本表!H17</f>
        <v>1332722304.03</v>
      </c>
      <c r="I2" s="26">
        <f>资产资本表!I17</f>
        <v>1340180690.2400002</v>
      </c>
      <c r="J2" s="26">
        <f>资产资本表!J17</f>
        <v>1818600868.71</v>
      </c>
      <c r="K2" s="26">
        <f>资产资本表!K17</f>
        <v>1647513041.4200001</v>
      </c>
      <c r="L2" s="26">
        <f>资产资本表!L17</f>
        <v>1950363915.3699999</v>
      </c>
      <c r="M2" s="26">
        <f>资产资本表!M17</f>
        <v>2176602709.8800001</v>
      </c>
      <c r="N2" s="26">
        <f>资产资本表!N17</f>
        <v>1697736404.26</v>
      </c>
      <c r="O2" s="26">
        <f>资产资本表!O17</f>
        <v>240919388.28999999</v>
      </c>
      <c r="P2" s="26">
        <f>资产资本表!P17</f>
        <v>261414883.90000001</v>
      </c>
      <c r="Q2" s="26">
        <f>资产资本表!Q17</f>
        <v>356030353.00000006</v>
      </c>
      <c r="R2" s="26">
        <f>资产资本表!R17</f>
        <v>348409772.12</v>
      </c>
      <c r="S2" s="26">
        <f>资产资本表!S17</f>
        <v>299956852.39999998</v>
      </c>
      <c r="T2" s="26">
        <f>资产资本表!T17</f>
        <v>421060595.31999999</v>
      </c>
      <c r="U2" s="26">
        <f>资产资本表!U17</f>
        <v>435168969.68000001</v>
      </c>
      <c r="V2" s="26">
        <f>资产资本表!V17</f>
        <v>193356230.24000001</v>
      </c>
      <c r="W2" s="26">
        <f>资产资本表!W17</f>
        <v>167504627.19</v>
      </c>
      <c r="X2" s="26">
        <f>资产资本表!X17</f>
        <v>264834236.38999999</v>
      </c>
      <c r="Y2" s="26">
        <f>资产资本表!Y17</f>
        <v>279165938.43000001</v>
      </c>
      <c r="Z2" s="26">
        <f>资产资本表!Z17</f>
        <v>225751809.45999998</v>
      </c>
      <c r="AA2" s="26">
        <f>资产资本表!AA17</f>
        <v>150374092.89000002</v>
      </c>
      <c r="AB2" s="26">
        <f>资产资本表!AB17</f>
        <v>204775222.93000001</v>
      </c>
      <c r="AC2" s="26">
        <f>资产资本表!AC17</f>
        <v>196521614.52000001</v>
      </c>
      <c r="AD2" s="26">
        <f>资产资本表!AD17</f>
        <v>182339924.76000002</v>
      </c>
      <c r="AE2" s="26">
        <f>资产资本表!AE17</f>
        <v>138344803.64000002</v>
      </c>
      <c r="AF2" s="26">
        <f>资产资本表!AF17</f>
        <v>167287829.82000002</v>
      </c>
      <c r="AG2" s="26">
        <f>资产资本表!AG17</f>
        <v>197141114.66</v>
      </c>
      <c r="AH2" s="26">
        <f>资产资本表!AH17</f>
        <v>210666714.99000001</v>
      </c>
      <c r="AI2" s="26">
        <f>资产资本表!AI17</f>
        <v>233979628.69999999</v>
      </c>
      <c r="AJ2" s="26">
        <f>资产资本表!AJ17</f>
        <v>279400520.47999996</v>
      </c>
      <c r="AK2" s="26">
        <f>资产资本表!AK17</f>
        <v>263581908.06</v>
      </c>
      <c r="AL2" s="26">
        <f>资产资本表!AL17</f>
        <v>246088409.93000001</v>
      </c>
      <c r="AM2" s="26">
        <f>资产资本表!AM17</f>
        <v>239803928.44</v>
      </c>
      <c r="AN2" s="26">
        <f>资产资本表!AN17</f>
        <v>233117678.14000002</v>
      </c>
      <c r="AO2" s="26">
        <f>资产资本表!AO17</f>
        <v>220872924.22</v>
      </c>
      <c r="AP2" s="26">
        <f>资产资本表!AP17</f>
        <v>199696425.72999999</v>
      </c>
      <c r="AQ2" s="26">
        <f>资产资本表!AQ17</f>
        <v>197194136.16</v>
      </c>
      <c r="AR2" s="26">
        <f>资产资本表!AR17</f>
        <v>213530237.34</v>
      </c>
      <c r="AS2" s="26">
        <f>资产资本表!AS17</f>
        <v>193271908.84</v>
      </c>
      <c r="AT2" s="26">
        <f>资产资本表!AT17</f>
        <v>215218834.06999999</v>
      </c>
      <c r="AU2" s="26">
        <f>资产资本表!AU17</f>
        <v>207338394.83000001</v>
      </c>
      <c r="AV2" s="26">
        <f>资产资本表!AV17</f>
        <v>211450304.50999999</v>
      </c>
      <c r="AW2" s="26">
        <f>资产资本表!AW17</f>
        <v>191685368.28</v>
      </c>
      <c r="AX2" s="26">
        <f>资产资本表!AX17</f>
        <v>182578604.40000001</v>
      </c>
      <c r="AY2" s="26">
        <f>资产资本表!AY17</f>
        <v>193175878.59999999</v>
      </c>
      <c r="AZ2" s="26">
        <f>资产资本表!AZ17</f>
        <v>192939801.01999998</v>
      </c>
      <c r="BA2" s="26">
        <f>资产资本表!BA17</f>
        <v>193568074.75999999</v>
      </c>
      <c r="BB2" s="26">
        <f>资产资本表!BB17</f>
        <v>208930897.93000001</v>
      </c>
      <c r="BC2" s="26">
        <f>资产资本表!BC17</f>
        <v>205913291.03999999</v>
      </c>
      <c r="BD2" s="26">
        <f>资产资本表!BD17</f>
        <v>58053432.25</v>
      </c>
      <c r="BE2" s="26">
        <f>资产资本表!BE17</f>
        <v>63735657.420000002</v>
      </c>
      <c r="BF2" s="26">
        <f>资产资本表!BF17</f>
        <v>50449967.939999998</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31322043.289999999</v>
      </c>
      <c r="F3" s="26">
        <f>资产资本表!F19</f>
        <v>1068683008.58</v>
      </c>
      <c r="G3" s="26">
        <f>资产资本表!G19</f>
        <v>1050837392.97</v>
      </c>
      <c r="H3" s="26">
        <f>资产资本表!H19</f>
        <v>1044092745.36</v>
      </c>
      <c r="I3" s="26">
        <f>资产资本表!I19</f>
        <v>1061182445</v>
      </c>
      <c r="J3" s="26">
        <f>资产资本表!J19</f>
        <v>123759708.87</v>
      </c>
      <c r="K3" s="26">
        <f>资产资本表!K19</f>
        <v>28246919.280000001</v>
      </c>
      <c r="L3" s="26">
        <f>资产资本表!L19</f>
        <v>43253333.289999999</v>
      </c>
      <c r="M3" s="26">
        <f>资产资本表!M19</f>
        <v>39954303.869999997</v>
      </c>
      <c r="N3" s="26">
        <f>资产资本表!N19</f>
        <v>77905231.219999999</v>
      </c>
      <c r="O3" s="26">
        <f>资产资本表!O19</f>
        <v>2916125.61</v>
      </c>
      <c r="P3" s="26">
        <f>资产资本表!P19</f>
        <v>2785149</v>
      </c>
      <c r="Q3" s="26">
        <f>资产资本表!Q19</f>
        <v>2761283.73</v>
      </c>
      <c r="R3" s="26">
        <f>资产资本表!R19</f>
        <v>2827707.96</v>
      </c>
      <c r="S3" s="26">
        <f>资产资本表!S19</f>
        <v>2805769.23</v>
      </c>
      <c r="T3" s="26">
        <f>资产资本表!T19</f>
        <v>2750616.9</v>
      </c>
      <c r="U3" s="26">
        <f>资产资本表!U19</f>
        <v>2725792.98</v>
      </c>
      <c r="V3" s="26">
        <f>资产资本表!V19</f>
        <v>2735605.26</v>
      </c>
      <c r="W3" s="26">
        <f>资产资本表!W19</f>
        <v>2733230.21</v>
      </c>
      <c r="X3" s="26">
        <f>资产资本表!X19</f>
        <v>2730474.45</v>
      </c>
      <c r="Y3" s="26">
        <f>资产资本表!Y19</f>
        <v>2747206.44</v>
      </c>
      <c r="Z3" s="26">
        <f>资产资本表!Z19</f>
        <v>2754439.95</v>
      </c>
      <c r="AA3" s="26">
        <f>资产资本表!AA19</f>
        <v>2756731.44</v>
      </c>
      <c r="AB3" s="26">
        <f>资产资本表!AB19</f>
        <v>2692966.02</v>
      </c>
      <c r="AC3" s="26">
        <f>资产资本表!AC19</f>
        <v>2734631.71</v>
      </c>
      <c r="AD3" s="26">
        <f>资产资本表!AD19</f>
        <v>2713514.46</v>
      </c>
      <c r="AE3" s="26">
        <f>资产资本表!AE19</f>
        <v>2725867.85</v>
      </c>
      <c r="AF3" s="26">
        <f>资产资本表!AF19</f>
        <v>2716832.36</v>
      </c>
      <c r="AG3" s="26">
        <f>资产资本表!AG19</f>
        <v>2705794.89</v>
      </c>
      <c r="AH3" s="26">
        <f>资产资本表!AH19</f>
        <v>2811608.99</v>
      </c>
      <c r="AI3" s="26">
        <f>资产资本表!AI19</f>
        <v>2810299.45</v>
      </c>
      <c r="AJ3" s="26">
        <f>资产资本表!AJ19</f>
        <v>2279723.42</v>
      </c>
      <c r="AK3" s="26">
        <f>资产资本表!AK19</f>
        <v>2729933.08</v>
      </c>
      <c r="AL3" s="26">
        <f>资产资本表!AL19</f>
        <v>2799194.23</v>
      </c>
      <c r="AM3" s="26">
        <f>资产资本表!AM19</f>
        <v>2773354.54</v>
      </c>
      <c r="AN3" s="26">
        <f>资产资本表!AN19</f>
        <v>2791132.97</v>
      </c>
      <c r="AO3" s="26">
        <f>资产资本表!AO19</f>
        <v>2796491.88</v>
      </c>
      <c r="AP3" s="26">
        <f>资产资本表!AP19</f>
        <v>6837123.4500000002</v>
      </c>
      <c r="AQ3" s="26">
        <f>资产资本表!AQ19</f>
        <v>6915037.2999999998</v>
      </c>
      <c r="AR3" s="26">
        <f>资产资本表!AR19</f>
        <v>3288006.45</v>
      </c>
      <c r="AS3" s="26">
        <f>资产资本表!AS19</f>
        <v>3187552.81</v>
      </c>
      <c r="AT3" s="26">
        <f>资产资本表!AT19</f>
        <v>3130487.03</v>
      </c>
      <c r="AU3" s="26">
        <f>资产资本表!AU19</f>
        <v>3044051.32</v>
      </c>
      <c r="AV3" s="26">
        <f>资产资本表!AV19</f>
        <v>3971947.84</v>
      </c>
      <c r="AW3" s="26">
        <f>资产资本表!AW19</f>
        <v>4152812.54</v>
      </c>
      <c r="AX3" s="26">
        <f>资产资本表!AX19</f>
        <v>3793242.87</v>
      </c>
      <c r="AY3" s="26">
        <f>资产资本表!AY19</f>
        <v>4564992.99</v>
      </c>
      <c r="AZ3" s="26">
        <f>资产资本表!AZ19</f>
        <v>5104126.8600000003</v>
      </c>
      <c r="BA3" s="26">
        <f>资产资本表!BA19</f>
        <v>5298474.76</v>
      </c>
      <c r="BB3" s="26">
        <f>资产资本表!BB19</f>
        <v>3732981.37</v>
      </c>
      <c r="BC3" s="26">
        <f>资产资本表!BC19</f>
        <v>3704850.2</v>
      </c>
      <c r="BD3" s="26">
        <f>资产资本表!BD19</f>
        <v>215328.24</v>
      </c>
      <c r="BE3" s="26">
        <f>资产资本表!BE19</f>
        <v>-118094.19</v>
      </c>
      <c r="BF3" s="26">
        <f>资产资本表!BF19</f>
        <v>4294054.37</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-312268224.6600008</v>
      </c>
      <c r="F4" s="26">
        <f>资产资本表!F50</f>
        <v>424747124.86000013</v>
      </c>
      <c r="G4" s="26">
        <f>资产资本表!G50</f>
        <v>279626473.51000023</v>
      </c>
      <c r="H4" s="26">
        <f>资产资本表!H50</f>
        <v>582962209.35000002</v>
      </c>
      <c r="I4" s="26">
        <f>资产资本表!I50</f>
        <v>315784890.97000003</v>
      </c>
      <c r="J4" s="26">
        <f>资产资本表!J50</f>
        <v>734462584.79000008</v>
      </c>
      <c r="K4" s="26">
        <f>资产资本表!K50</f>
        <v>639576355.18000019</v>
      </c>
      <c r="L4" s="26">
        <f>资产资本表!L50</f>
        <v>351434600.71000004</v>
      </c>
      <c r="M4" s="26">
        <f>资产资本表!M50</f>
        <v>225295058.41999996</v>
      </c>
      <c r="N4" s="26">
        <f>资产资本表!N50</f>
        <v>312015427.48999995</v>
      </c>
      <c r="O4" s="26">
        <f>资产资本表!O50</f>
        <v>118565902.59999996</v>
      </c>
      <c r="P4" s="26">
        <f>资产资本表!P50</f>
        <v>60630703.030000001</v>
      </c>
      <c r="Q4" s="26">
        <f>资产资本表!Q50</f>
        <v>39658732.99000001</v>
      </c>
      <c r="R4" s="26">
        <f>资产资本表!R50</f>
        <v>148432104.87</v>
      </c>
      <c r="S4" s="26">
        <f>资产资本表!S50</f>
        <v>178830571.69999996</v>
      </c>
      <c r="T4" s="26">
        <f>资产资本表!T50</f>
        <v>61094073.419999987</v>
      </c>
      <c r="U4" s="26">
        <f>资产资本表!U50</f>
        <v>31394280.930000007</v>
      </c>
      <c r="V4" s="26">
        <f>资产资本表!V50</f>
        <v>96390218.479999989</v>
      </c>
      <c r="W4" s="26">
        <f>资产资本表!W50</f>
        <v>110934022.71999998</v>
      </c>
      <c r="X4" s="26">
        <f>资产资本表!X50</f>
        <v>58841995.13000001</v>
      </c>
      <c r="Y4" s="26">
        <f>资产资本表!Y50</f>
        <v>45244946.259999976</v>
      </c>
      <c r="Z4" s="26">
        <f>资产资本表!Z50</f>
        <v>41891993.579999983</v>
      </c>
      <c r="AA4" s="26">
        <f>资产资本表!AA50</f>
        <v>87231020.269999981</v>
      </c>
      <c r="AB4" s="26">
        <f>资产资本表!AB50</f>
        <v>30160653.829999983</v>
      </c>
      <c r="AC4" s="26">
        <f>资产资本表!AC50</f>
        <v>29535910.109999985</v>
      </c>
      <c r="AD4" s="26">
        <f>资产资本表!AD50</f>
        <v>90482233.389999971</v>
      </c>
      <c r="AE4" s="26">
        <f>资产资本表!AE50</f>
        <v>96979767.079999983</v>
      </c>
      <c r="AF4" s="26">
        <f>资产资本表!AF50</f>
        <v>53498714.480000004</v>
      </c>
      <c r="AG4" s="26">
        <f>资产资本表!AG50</f>
        <v>55041803.75999999</v>
      </c>
      <c r="AH4" s="26">
        <f>资产资本表!AH50</f>
        <v>43542971.260000005</v>
      </c>
      <c r="AI4" s="26">
        <f>资产资本表!AI50</f>
        <v>11430932.269999996</v>
      </c>
      <c r="AJ4" s="26">
        <f>资产资本表!AJ50</f>
        <v>-7657517.0900000036</v>
      </c>
      <c r="AK4" s="26">
        <f>资产资本表!AK50</f>
        <v>-2181416.4100000113</v>
      </c>
      <c r="AL4" s="26">
        <f>资产资本表!AL50</f>
        <v>7346321.3900000155</v>
      </c>
      <c r="AM4" s="26">
        <f>资产资本表!AM50</f>
        <v>7837426.5799999982</v>
      </c>
      <c r="AN4" s="26">
        <f>资产资本表!AN50</f>
        <v>4745664.3399999961</v>
      </c>
      <c r="AO4" s="26">
        <f>资产资本表!AO50</f>
        <v>13865395.109999992</v>
      </c>
      <c r="AP4" s="26">
        <f>资产资本表!AP50</f>
        <v>13229101.739999995</v>
      </c>
      <c r="AQ4" s="26">
        <f>资产资本表!AQ50</f>
        <v>10150174.269999996</v>
      </c>
      <c r="AR4" s="26">
        <f>资产资本表!AR50</f>
        <v>-13662225.409999996</v>
      </c>
      <c r="AS4" s="26">
        <f>资产资本表!AS50</f>
        <v>3841461.8200000077</v>
      </c>
      <c r="AT4" s="26">
        <f>资产资本表!AT50</f>
        <v>-22620970.74000001</v>
      </c>
      <c r="AU4" s="26">
        <f>资产资本表!AU50</f>
        <v>-27690029.810000002</v>
      </c>
      <c r="AV4" s="26">
        <f>资产资本表!AV50</f>
        <v>-20517571.450000003</v>
      </c>
      <c r="AW4" s="26">
        <f>资产资本表!AW50</f>
        <v>-13917482.660000004</v>
      </c>
      <c r="AX4" s="26">
        <f>资产资本表!AX50</f>
        <v>-14088259.640000001</v>
      </c>
      <c r="AY4" s="26">
        <f>资产资本表!AY50</f>
        <v>-27790462.890000001</v>
      </c>
      <c r="AZ4" s="26">
        <f>资产资本表!AZ50</f>
        <v>-18872408.280000001</v>
      </c>
      <c r="BA4" s="26">
        <f>资产资本表!BA50</f>
        <v>-25687714.910000004</v>
      </c>
      <c r="BB4" s="26">
        <f>资产资本表!BB50</f>
        <v>-9852926.4899999946</v>
      </c>
      <c r="BC4" s="26">
        <f>资产资本表!BC50</f>
        <v>-18835104.50999999</v>
      </c>
      <c r="BD4" s="26">
        <f>资产资本表!BD50</f>
        <v>-13805307.769999996</v>
      </c>
      <c r="BE4" s="26">
        <f>资产资本表!BE50</f>
        <v>-14967783.209999993</v>
      </c>
      <c r="BF4" s="26">
        <f>资产资本表!BF50</f>
        <v>-17233205.170000002</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2560187172.0799994</v>
      </c>
      <c r="F5" s="26">
        <f>资产资本表!F33</f>
        <v>2418629354.0999999</v>
      </c>
      <c r="G5" s="26">
        <f>资产资本表!G33</f>
        <v>1935521495.3600001</v>
      </c>
      <c r="H5" s="26">
        <f>资产资本表!H33</f>
        <v>1536089170.49</v>
      </c>
      <c r="I5" s="26">
        <f>资产资本表!I33</f>
        <v>1425360364.72</v>
      </c>
      <c r="J5" s="26">
        <f>资产资本表!J33</f>
        <v>1551518962.28</v>
      </c>
      <c r="K5" s="26">
        <f>资产资本表!K33</f>
        <v>1280002680.8300002</v>
      </c>
      <c r="L5" s="26">
        <f>资产资本表!L33</f>
        <v>866816698.28999996</v>
      </c>
      <c r="M5" s="26">
        <f>资产资本表!M33</f>
        <v>798124700.94999993</v>
      </c>
      <c r="N5" s="26">
        <f>资产资本表!N33</f>
        <v>813495642.57999992</v>
      </c>
      <c r="O5" s="26">
        <f>资产资本表!O33</f>
        <v>268845950.94999999</v>
      </c>
      <c r="P5" s="26">
        <f>资产资本表!P33</f>
        <v>170073237.18000001</v>
      </c>
      <c r="Q5" s="26">
        <f>资产资本表!Q33</f>
        <v>172110581.65000001</v>
      </c>
      <c r="R5" s="26">
        <f>资产资本表!R33</f>
        <v>259200037.72999999</v>
      </c>
      <c r="S5" s="26">
        <f>资产资本表!S33</f>
        <v>266360411.27999997</v>
      </c>
      <c r="T5" s="26">
        <f>资产资本表!T33</f>
        <v>164623500.88</v>
      </c>
      <c r="U5" s="26">
        <f>资产资本表!U33</f>
        <v>148250313.79000002</v>
      </c>
      <c r="V5" s="26">
        <f>资产资本表!V33</f>
        <v>235692393.88999999</v>
      </c>
      <c r="W5" s="26">
        <f>资产资本表!W33</f>
        <v>234267645.56</v>
      </c>
      <c r="X5" s="26">
        <f>资产资本表!X33</f>
        <v>170573698.62</v>
      </c>
      <c r="Y5" s="26">
        <f>资产资本表!Y33</f>
        <v>175478162.83999997</v>
      </c>
      <c r="Z5" s="26">
        <f>资产资本表!Z33</f>
        <v>178611860.00999999</v>
      </c>
      <c r="AA5" s="26">
        <f>资产资本表!AA33</f>
        <v>216561325.25999999</v>
      </c>
      <c r="AB5" s="26">
        <f>资产资本表!AB33</f>
        <v>148519186.13999999</v>
      </c>
      <c r="AC5" s="26">
        <f>资产资本表!AC33</f>
        <v>162674104.13999999</v>
      </c>
      <c r="AD5" s="26">
        <f>资产资本表!AD33</f>
        <v>206167257.21999997</v>
      </c>
      <c r="AE5" s="26">
        <f>资产资本表!AE33</f>
        <v>211772092.81999999</v>
      </c>
      <c r="AF5" s="26">
        <f>资产资本表!AF33</f>
        <v>122314519.95</v>
      </c>
      <c r="AG5" s="26">
        <f>资产资本表!AG33</f>
        <v>132935498.35999998</v>
      </c>
      <c r="AH5" s="26">
        <f>资产资本表!AH33</f>
        <v>152600393.18000001</v>
      </c>
      <c r="AI5" s="26">
        <f>资产资本表!AI33</f>
        <v>114703922.78999999</v>
      </c>
      <c r="AJ5" s="26">
        <f>资产资本表!AJ33</f>
        <v>62265136.049999997</v>
      </c>
      <c r="AK5" s="26">
        <f>资产资本表!AK33</f>
        <v>85723737.909999996</v>
      </c>
      <c r="AL5" s="26">
        <f>资产资本表!AL33</f>
        <v>104590138.87</v>
      </c>
      <c r="AM5" s="26">
        <f>资产资本表!AM33</f>
        <v>98389144.080000013</v>
      </c>
      <c r="AN5" s="26">
        <f>资产资本表!AN33</f>
        <v>69641365.269999996</v>
      </c>
      <c r="AO5" s="26">
        <f>资产资本表!AO33</f>
        <v>76716988.189999998</v>
      </c>
      <c r="AP5" s="26">
        <f>资产资本表!AP33</f>
        <v>86175404.989999995</v>
      </c>
      <c r="AQ5" s="26">
        <f>资产资本表!AQ33</f>
        <v>78739437.469999999</v>
      </c>
      <c r="AR5" s="26">
        <f>资产资本表!AR33</f>
        <v>52194276.960000001</v>
      </c>
      <c r="AS5" s="26">
        <f>资产资本表!AS33</f>
        <v>82289738.189999998</v>
      </c>
      <c r="AT5" s="26">
        <f>资产资本表!AT33</f>
        <v>68802320.25</v>
      </c>
      <c r="AU5" s="26">
        <f>资产资本表!AU33</f>
        <v>63291440.640000001</v>
      </c>
      <c r="AV5" s="26">
        <f>资产资本表!AV33</f>
        <v>65744730.099999994</v>
      </c>
      <c r="AW5" s="26">
        <f>资产资本表!AW33</f>
        <v>61445776.149999999</v>
      </c>
      <c r="AX5" s="26">
        <f>资产资本表!AX33</f>
        <v>76188432.329999998</v>
      </c>
      <c r="AY5" s="26">
        <f>资产资本表!AY33</f>
        <v>60820910.579999998</v>
      </c>
      <c r="AZ5" s="26">
        <f>资产资本表!AZ33</f>
        <v>75649141.659999996</v>
      </c>
      <c r="BA5" s="26">
        <f>资产资本表!BA33</f>
        <v>50144298.039999999</v>
      </c>
      <c r="BB5" s="26">
        <f>资产资本表!BB33</f>
        <v>85719418.870000005</v>
      </c>
      <c r="BC5" s="26">
        <f>资产资本表!BC33</f>
        <v>82745394.480000004</v>
      </c>
      <c r="BD5" s="26">
        <f>资产资本表!BD33</f>
        <v>94599244.459999993</v>
      </c>
      <c r="BE5" s="26">
        <f>资产资本表!BE33</f>
        <v>67796140.370000005</v>
      </c>
      <c r="BF5" s="26">
        <f>资产资本表!BF33</f>
        <v>46075811.280000001</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2872455396.7400002</v>
      </c>
      <c r="F6" s="26">
        <f>资产资本表!F49</f>
        <v>1993882229.2399998</v>
      </c>
      <c r="G6" s="26">
        <f>资产资本表!G49</f>
        <v>1655895021.8499999</v>
      </c>
      <c r="H6" s="26">
        <f>资产资本表!H49</f>
        <v>953126961.13999999</v>
      </c>
      <c r="I6" s="26">
        <f>资产资本表!I49</f>
        <v>1109575473.75</v>
      </c>
      <c r="J6" s="26">
        <f>资产资本表!J49</f>
        <v>817056377.48999989</v>
      </c>
      <c r="K6" s="26">
        <f>资产资本表!K49</f>
        <v>640426325.64999998</v>
      </c>
      <c r="L6" s="26">
        <f>资产资本表!L49</f>
        <v>515382097.57999992</v>
      </c>
      <c r="M6" s="26">
        <f>资产资本表!M49</f>
        <v>572829642.52999997</v>
      </c>
      <c r="N6" s="26">
        <f>资产资本表!N49</f>
        <v>501480215.08999997</v>
      </c>
      <c r="O6" s="26">
        <f>资产资本表!O49</f>
        <v>150280048.35000002</v>
      </c>
      <c r="P6" s="26">
        <f>资产资本表!P49</f>
        <v>109442534.15000001</v>
      </c>
      <c r="Q6" s="26">
        <f>资产资本表!Q49</f>
        <v>132451848.66</v>
      </c>
      <c r="R6" s="26">
        <f>资产资本表!R49</f>
        <v>110767932.85999998</v>
      </c>
      <c r="S6" s="26">
        <f>资产资本表!S49</f>
        <v>87529839.580000013</v>
      </c>
      <c r="T6" s="26">
        <f>资产资本表!T49</f>
        <v>103529427.46000001</v>
      </c>
      <c r="U6" s="26">
        <f>资产资本表!U49</f>
        <v>116856032.86000001</v>
      </c>
      <c r="V6" s="26">
        <f>资产资本表!V49</f>
        <v>139302175.41</v>
      </c>
      <c r="W6" s="26">
        <f>资产资本表!W49</f>
        <v>123333622.84000002</v>
      </c>
      <c r="X6" s="26">
        <f>资产资本表!X49</f>
        <v>111731703.48999999</v>
      </c>
      <c r="Y6" s="26">
        <f>资产资本表!Y49</f>
        <v>130233216.58</v>
      </c>
      <c r="Z6" s="26">
        <f>资产资本表!Z49</f>
        <v>136719866.43000001</v>
      </c>
      <c r="AA6" s="26">
        <f>资产资本表!AA49</f>
        <v>129330304.99000001</v>
      </c>
      <c r="AB6" s="26">
        <f>资产资本表!AB49</f>
        <v>118358532.31</v>
      </c>
      <c r="AC6" s="26">
        <f>资产资本表!AC49</f>
        <v>133138194.03</v>
      </c>
      <c r="AD6" s="26">
        <f>资产资本表!AD49</f>
        <v>115685023.83</v>
      </c>
      <c r="AE6" s="26">
        <f>资产资本表!AE49</f>
        <v>114792325.74000001</v>
      </c>
      <c r="AF6" s="26">
        <f>资产资本表!AF49</f>
        <v>68815805.469999999</v>
      </c>
      <c r="AG6" s="26">
        <f>资产资本表!AG49</f>
        <v>77893694.599999994</v>
      </c>
      <c r="AH6" s="26">
        <f>资产资本表!AH49</f>
        <v>109057421.92</v>
      </c>
      <c r="AI6" s="26">
        <f>资产资本表!AI49</f>
        <v>103272990.52</v>
      </c>
      <c r="AJ6" s="26">
        <f>资产资本表!AJ49</f>
        <v>69922653.140000001</v>
      </c>
      <c r="AK6" s="26">
        <f>资产资本表!AK49</f>
        <v>87905154.320000008</v>
      </c>
      <c r="AL6" s="26">
        <f>资产资本表!AL49</f>
        <v>97243817.479999989</v>
      </c>
      <c r="AM6" s="26">
        <f>资产资本表!AM49</f>
        <v>90551717.500000015</v>
      </c>
      <c r="AN6" s="26">
        <f>资产资本表!AN49</f>
        <v>64895700.93</v>
      </c>
      <c r="AO6" s="26">
        <f>资产资本表!AO49</f>
        <v>62851593.080000006</v>
      </c>
      <c r="AP6" s="26">
        <f>资产资本表!AP49</f>
        <v>72946303.25</v>
      </c>
      <c r="AQ6" s="26">
        <f>资产资本表!AQ49</f>
        <v>68589263.200000003</v>
      </c>
      <c r="AR6" s="26">
        <f>资产资本表!AR49</f>
        <v>65856502.369999997</v>
      </c>
      <c r="AS6" s="26">
        <f>资产资本表!AS49</f>
        <v>78448276.36999999</v>
      </c>
      <c r="AT6" s="26">
        <f>资产资本表!AT49</f>
        <v>91423290.99000001</v>
      </c>
      <c r="AU6" s="26">
        <f>资产资本表!AU49</f>
        <v>90981470.450000003</v>
      </c>
      <c r="AV6" s="26">
        <f>资产资本表!AV49</f>
        <v>86262301.549999997</v>
      </c>
      <c r="AW6" s="26">
        <f>资产资本表!AW49</f>
        <v>75363258.810000002</v>
      </c>
      <c r="AX6" s="26">
        <f>资产资本表!AX49</f>
        <v>90276691.969999999</v>
      </c>
      <c r="AY6" s="26">
        <f>资产资本表!AY49</f>
        <v>88611373.469999999</v>
      </c>
      <c r="AZ6" s="26">
        <f>资产资本表!AZ49</f>
        <v>94521549.939999998</v>
      </c>
      <c r="BA6" s="26">
        <f>资产资本表!BA49</f>
        <v>75832012.950000003</v>
      </c>
      <c r="BB6" s="26">
        <f>资产资本表!BB49</f>
        <v>95572345.359999999</v>
      </c>
      <c r="BC6" s="26">
        <f>资产资本表!BC49</f>
        <v>101580498.98999999</v>
      </c>
      <c r="BD6" s="26">
        <f>资产资本表!BD49</f>
        <v>108404552.22999999</v>
      </c>
      <c r="BE6" s="26">
        <f>资产资本表!BE49</f>
        <v>82763923.579999998</v>
      </c>
      <c r="BF6" s="26">
        <f>资产资本表!BF49</f>
        <v>63309016.450000003</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6926202003.9099989</v>
      </c>
      <c r="F7" s="26">
        <f>资产资本表!F68</f>
        <v>3087952345.1700001</v>
      </c>
      <c r="G7" s="26">
        <f>资产资本表!G68</f>
        <v>2673923600.0400004</v>
      </c>
      <c r="H7" s="26">
        <f>资产资本表!H68</f>
        <v>2267265680.5599995</v>
      </c>
      <c r="I7" s="26">
        <f>资产资本表!I68</f>
        <v>2151784384.3699999</v>
      </c>
      <c r="J7" s="26">
        <f>资产资本表!J68</f>
        <v>1816874828.02</v>
      </c>
      <c r="K7" s="26">
        <f>资产资本表!K68</f>
        <v>1726491248.4799998</v>
      </c>
      <c r="L7" s="26">
        <f>资产资本表!L68</f>
        <v>1519527853.5900002</v>
      </c>
      <c r="M7" s="26">
        <f>资产资本表!M68</f>
        <v>1464978380.7</v>
      </c>
      <c r="N7" s="26">
        <f>资产资本表!N68</f>
        <v>1340782188.9700003</v>
      </c>
      <c r="O7" s="26">
        <f>资产资本表!O68</f>
        <v>150935960.32999998</v>
      </c>
      <c r="P7" s="26">
        <f>资产资本表!P68</f>
        <v>150654247.59999999</v>
      </c>
      <c r="Q7" s="26">
        <f>资产资本表!Q68</f>
        <v>152701650.00999999</v>
      </c>
      <c r="R7" s="26">
        <f>资产资本表!R68</f>
        <v>168298486.70000002</v>
      </c>
      <c r="S7" s="26">
        <f>资产资本表!S68</f>
        <v>171911112.94</v>
      </c>
      <c r="T7" s="26">
        <f>资产资本表!T68</f>
        <v>170844673.42999998</v>
      </c>
      <c r="U7" s="26">
        <f>资产资本表!U68</f>
        <v>173778043.35000002</v>
      </c>
      <c r="V7" s="26">
        <f>资产资本表!V68</f>
        <v>268732588.63999999</v>
      </c>
      <c r="W7" s="26">
        <f>资产资本表!W68</f>
        <v>257090381.74000001</v>
      </c>
      <c r="X7" s="26">
        <f>资产资本表!X68</f>
        <v>256987513.76000002</v>
      </c>
      <c r="Y7" s="26">
        <f>资产资本表!Y68</f>
        <v>254476128.01000002</v>
      </c>
      <c r="Z7" s="26">
        <f>资产资本表!Z68</f>
        <v>201436978.55000001</v>
      </c>
      <c r="AA7" s="26">
        <f>资产资本表!AA68</f>
        <v>203665544.75</v>
      </c>
      <c r="AB7" s="26">
        <f>资产资本表!AB68</f>
        <v>203303644.64999998</v>
      </c>
      <c r="AC7" s="26">
        <f>资产资本表!AC68</f>
        <v>204511573.42999998</v>
      </c>
      <c r="AD7" s="26">
        <f>资产资本表!AD68</f>
        <v>132167621.75</v>
      </c>
      <c r="AE7" s="26">
        <f>资产资本表!AE68</f>
        <v>147242339.22</v>
      </c>
      <c r="AF7" s="26">
        <f>资产资本表!AF68</f>
        <v>132941700.69999999</v>
      </c>
      <c r="AG7" s="26">
        <f>资产资本表!AG68</f>
        <v>97360289.589999989</v>
      </c>
      <c r="AH7" s="26">
        <f>资产资本表!AH68</f>
        <v>89294027.760000005</v>
      </c>
      <c r="AI7" s="26">
        <f>资产资本表!AI68</f>
        <v>91202893.399999991</v>
      </c>
      <c r="AJ7" s="26">
        <f>资产资本表!AJ68</f>
        <v>92538002.109999999</v>
      </c>
      <c r="AK7" s="26">
        <f>资产资本表!AK68</f>
        <v>95606980.600000009</v>
      </c>
      <c r="AL7" s="26">
        <f>资产资本表!AL68</f>
        <v>100311550.92999999</v>
      </c>
      <c r="AM7" s="26">
        <f>资产资本表!AM68</f>
        <v>103160706.26000001</v>
      </c>
      <c r="AN7" s="26">
        <f>资产资本表!AN68</f>
        <v>105752009.43000001</v>
      </c>
      <c r="AO7" s="26">
        <f>资产资本表!AO68</f>
        <v>108538430.85000001</v>
      </c>
      <c r="AP7" s="26">
        <f>资产资本表!AP68</f>
        <v>119754553.23999999</v>
      </c>
      <c r="AQ7" s="26">
        <f>资产资本表!AQ68</f>
        <v>122989834.01000001</v>
      </c>
      <c r="AR7" s="26">
        <f>资产资本表!AR68</f>
        <v>130363097.53000002</v>
      </c>
      <c r="AS7" s="26">
        <f>资产资本表!AS68</f>
        <v>131471450.87</v>
      </c>
      <c r="AT7" s="26">
        <f>资产资本表!AT68</f>
        <v>131114669.23000002</v>
      </c>
      <c r="AU7" s="26">
        <f>资产资本表!AU68</f>
        <v>135046612.16</v>
      </c>
      <c r="AV7" s="26">
        <f>资产资本表!AV68</f>
        <v>136583891.10000002</v>
      </c>
      <c r="AW7" s="26">
        <f>资产资本表!AW68</f>
        <v>140000867.26999998</v>
      </c>
      <c r="AX7" s="26">
        <f>资产资本表!AX68</f>
        <v>139714254.43000001</v>
      </c>
      <c r="AY7" s="26">
        <f>资产资本表!AY68</f>
        <v>136494340.47</v>
      </c>
      <c r="AZ7" s="26">
        <f>资产资本表!AZ68</f>
        <v>127971375.47999999</v>
      </c>
      <c r="BA7" s="26">
        <f>资产资本表!BA68</f>
        <v>129289338.47</v>
      </c>
      <c r="BB7" s="26">
        <f>资产资本表!BB68</f>
        <v>121466620.28</v>
      </c>
      <c r="BC7" s="26">
        <f>资产资本表!BC68</f>
        <v>120069260.89999999</v>
      </c>
      <c r="BD7" s="26">
        <f>资产资本表!BD68</f>
        <v>122521010.25</v>
      </c>
      <c r="BE7" s="26">
        <f>资产资本表!BE68</f>
        <v>97034992.449999988</v>
      </c>
      <c r="BF7" s="26">
        <f>资产资本表!BF68</f>
        <v>79949600.739999995</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6613933779.2499981</v>
      </c>
      <c r="F8" s="26">
        <f>资产资本表!F69</f>
        <v>3512699470.0300002</v>
      </c>
      <c r="G8" s="26">
        <f>资产资本表!G69</f>
        <v>2953550073.5500007</v>
      </c>
      <c r="H8" s="26">
        <f>资产资本表!H69</f>
        <v>2850227889.9099994</v>
      </c>
      <c r="I8" s="26">
        <f>资产资本表!I69</f>
        <v>2467569275.3400002</v>
      </c>
      <c r="J8" s="26">
        <f>资产资本表!J69</f>
        <v>2551337412.8099999</v>
      </c>
      <c r="K8" s="26">
        <f>资产资本表!K69</f>
        <v>2366067603.6599998</v>
      </c>
      <c r="L8" s="26">
        <f>资产资本表!L69</f>
        <v>1870962454.3000002</v>
      </c>
      <c r="M8" s="26">
        <f>资产资本表!M69</f>
        <v>1690273439.1199999</v>
      </c>
      <c r="N8" s="26">
        <f>资产资本表!N69</f>
        <v>1652797616.4600003</v>
      </c>
      <c r="O8" s="26">
        <f>资产资本表!O69</f>
        <v>269501862.92999995</v>
      </c>
      <c r="P8" s="26">
        <f>资产资本表!P69</f>
        <v>211284950.63</v>
      </c>
      <c r="Q8" s="26">
        <f>资产资本表!Q69</f>
        <v>192360383</v>
      </c>
      <c r="R8" s="26">
        <f>资产资本表!R69</f>
        <v>316730591.57000005</v>
      </c>
      <c r="S8" s="26">
        <f>资产资本表!S69</f>
        <v>350741684.63999999</v>
      </c>
      <c r="T8" s="26">
        <f>资产资本表!T69</f>
        <v>231938746.84999996</v>
      </c>
      <c r="U8" s="26">
        <f>资产资本表!U69</f>
        <v>205172324.28000003</v>
      </c>
      <c r="V8" s="26">
        <f>资产资本表!V69</f>
        <v>365122807.12</v>
      </c>
      <c r="W8" s="26">
        <f>资产资本表!W69</f>
        <v>368024404.45999998</v>
      </c>
      <c r="X8" s="26">
        <f>资产资本表!X69</f>
        <v>315829508.89000005</v>
      </c>
      <c r="Y8" s="26">
        <f>资产资本表!Y69</f>
        <v>299721074.26999998</v>
      </c>
      <c r="Z8" s="26">
        <f>资产资本表!Z69</f>
        <v>243328972.13</v>
      </c>
      <c r="AA8" s="26">
        <f>资产资本表!AA69</f>
        <v>290896565.01999998</v>
      </c>
      <c r="AB8" s="26">
        <f>资产资本表!AB69</f>
        <v>233464298.47999996</v>
      </c>
      <c r="AC8" s="26">
        <f>资产资本表!AC69</f>
        <v>234047483.53999996</v>
      </c>
      <c r="AD8" s="26">
        <f>资产资本表!AD69</f>
        <v>222649855.13999999</v>
      </c>
      <c r="AE8" s="26">
        <f>资产资本表!AE69</f>
        <v>244222106.29999998</v>
      </c>
      <c r="AF8" s="26">
        <f>资产资本表!AF69</f>
        <v>186440415.18000001</v>
      </c>
      <c r="AG8" s="26">
        <f>资产资本表!AG69</f>
        <v>152402093.34999996</v>
      </c>
      <c r="AH8" s="26">
        <f>资产资本表!AH69</f>
        <v>132836999.02000001</v>
      </c>
      <c r="AI8" s="26">
        <f>资产资本表!AI69</f>
        <v>102633825.66999999</v>
      </c>
      <c r="AJ8" s="26">
        <f>资产资本表!AJ69</f>
        <v>84880485.019999996</v>
      </c>
      <c r="AK8" s="26">
        <f>资产资本表!AK69</f>
        <v>93425564.189999998</v>
      </c>
      <c r="AL8" s="26">
        <f>资产资本表!AL69</f>
        <v>107657872.32000001</v>
      </c>
      <c r="AM8" s="26">
        <f>资产资本表!AM69</f>
        <v>110998132.84</v>
      </c>
      <c r="AN8" s="26">
        <f>资产资本表!AN69</f>
        <v>110497673.77000001</v>
      </c>
      <c r="AO8" s="26">
        <f>资产资本表!AO69</f>
        <v>122403825.96000001</v>
      </c>
      <c r="AP8" s="26">
        <f>资产资本表!AP69</f>
        <v>132983654.97999999</v>
      </c>
      <c r="AQ8" s="26">
        <f>资产资本表!AQ69</f>
        <v>133140008.28</v>
      </c>
      <c r="AR8" s="26">
        <f>资产资本表!AR69</f>
        <v>116700872.12000002</v>
      </c>
      <c r="AS8" s="26">
        <f>资产资本表!AS69</f>
        <v>135312912.69</v>
      </c>
      <c r="AT8" s="26">
        <f>资产资本表!AT69</f>
        <v>108493698.49000001</v>
      </c>
      <c r="AU8" s="26">
        <f>资产资本表!AU69</f>
        <v>107356582.34999999</v>
      </c>
      <c r="AV8" s="26">
        <f>资产资本表!AV69</f>
        <v>116066319.65000002</v>
      </c>
      <c r="AW8" s="26">
        <f>资产资本表!AW69</f>
        <v>126083384.60999998</v>
      </c>
      <c r="AX8" s="26">
        <f>资产资本表!AX69</f>
        <v>125625994.79000001</v>
      </c>
      <c r="AY8" s="26">
        <f>资产资本表!AY69</f>
        <v>108703877.58</v>
      </c>
      <c r="AZ8" s="26">
        <f>资产资本表!AZ69</f>
        <v>109098967.19999999</v>
      </c>
      <c r="BA8" s="26">
        <f>资产资本表!BA69</f>
        <v>103601623.56</v>
      </c>
      <c r="BB8" s="26">
        <f>资产资本表!BB69</f>
        <v>111613693.79000001</v>
      </c>
      <c r="BC8" s="26">
        <f>资产资本表!BC69</f>
        <v>101234156.39</v>
      </c>
      <c r="BD8" s="26">
        <f>资产资本表!BD69</f>
        <v>108715702.48</v>
      </c>
      <c r="BE8" s="26">
        <f>资产资本表!BE69</f>
        <v>82067209.239999995</v>
      </c>
      <c r="BF8" s="26">
        <f>资产资本表!BF69</f>
        <v>62716395.569999993</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9588355108.5199986</v>
      </c>
      <c r="F9" s="48">
        <f>资产资本表!F70</f>
        <v>6068225844.1000004</v>
      </c>
      <c r="G9" s="48">
        <f>资产资本表!G70</f>
        <v>5701498539.0600014</v>
      </c>
      <c r="H9" s="48">
        <f>资产资本表!H70</f>
        <v>5227042939.2999992</v>
      </c>
      <c r="I9" s="48">
        <f>资产资本表!I70</f>
        <v>4868932410.5799999</v>
      </c>
      <c r="J9" s="48">
        <f>资产资本表!J70</f>
        <v>4493697990.3899994</v>
      </c>
      <c r="K9" s="48">
        <f>资产资本表!K70</f>
        <v>4041827564.3599997</v>
      </c>
      <c r="L9" s="48">
        <f>资产资本表!L70</f>
        <v>3864579702.96</v>
      </c>
      <c r="M9" s="48">
        <f>资产资本表!M70</f>
        <v>3906830452.8699999</v>
      </c>
      <c r="N9" s="48">
        <f>资产资本表!N70</f>
        <v>3428439251.9400005</v>
      </c>
      <c r="O9" s="48">
        <f>资产资本表!O70</f>
        <v>513337376.82999992</v>
      </c>
      <c r="P9" s="48">
        <f>资产资本表!P70</f>
        <v>475484983.52999997</v>
      </c>
      <c r="Q9" s="48">
        <f>资产资本表!Q70</f>
        <v>551152019.73000002</v>
      </c>
      <c r="R9" s="48">
        <f>资产资本表!R70</f>
        <v>667968071.6500001</v>
      </c>
      <c r="S9" s="48">
        <f>资产资本表!S70</f>
        <v>653504306.26999998</v>
      </c>
      <c r="T9" s="48">
        <f>资产资本表!T70</f>
        <v>655749959.06999993</v>
      </c>
      <c r="U9" s="48">
        <f>资产资本表!U70</f>
        <v>643067086.94000006</v>
      </c>
      <c r="V9" s="48">
        <f>资产资本表!V70</f>
        <v>561214642.62</v>
      </c>
      <c r="W9" s="48">
        <f>资产资本表!W70</f>
        <v>538262261.86000001</v>
      </c>
      <c r="X9" s="48">
        <f>资产资本表!X70</f>
        <v>583394219.73000002</v>
      </c>
      <c r="Y9" s="48">
        <f>资产资本表!Y70</f>
        <v>581634219.13999999</v>
      </c>
      <c r="Z9" s="48">
        <f>资产资本表!Z70</f>
        <v>471835221.53999996</v>
      </c>
      <c r="AA9" s="48">
        <f>资产资本表!AA70</f>
        <v>444027389.35000002</v>
      </c>
      <c r="AB9" s="48">
        <f>资产资本表!AB70</f>
        <v>440932487.42999995</v>
      </c>
      <c r="AC9" s="48">
        <f>资产资本表!AC70</f>
        <v>433303729.76999998</v>
      </c>
      <c r="AD9" s="48">
        <f>资产资本表!AD70</f>
        <v>407703294.36000001</v>
      </c>
      <c r="AE9" s="48">
        <f>资产资本表!AE70</f>
        <v>385292777.78999996</v>
      </c>
      <c r="AF9" s="48">
        <f>资产资本表!AF70</f>
        <v>356445077.36000001</v>
      </c>
      <c r="AG9" s="48">
        <f>资产资本表!AG70</f>
        <v>352249002.89999998</v>
      </c>
      <c r="AH9" s="48">
        <f>资产资本表!AH70</f>
        <v>346315323</v>
      </c>
      <c r="AI9" s="48">
        <f>资产资本表!AI70</f>
        <v>339423753.81999993</v>
      </c>
      <c r="AJ9" s="48">
        <f>资产资本表!AJ70</f>
        <v>366560728.91999996</v>
      </c>
      <c r="AK9" s="48">
        <f>资产资本表!AK70</f>
        <v>359737405.33000004</v>
      </c>
      <c r="AL9" s="48">
        <f>资产资本表!AL70</f>
        <v>356545476.48000002</v>
      </c>
      <c r="AM9" s="48">
        <f>资产资本表!AM70</f>
        <v>353575415.81999999</v>
      </c>
      <c r="AN9" s="48">
        <f>资产资本表!AN70</f>
        <v>346406484.88</v>
      </c>
      <c r="AO9" s="48">
        <f>资产资本表!AO70</f>
        <v>346073242.06</v>
      </c>
      <c r="AP9" s="48">
        <f>资产资本表!AP70</f>
        <v>339517204.15999997</v>
      </c>
      <c r="AQ9" s="48">
        <f>资产资本表!AQ70</f>
        <v>337249181.74000001</v>
      </c>
      <c r="AR9" s="48">
        <f>资产资本表!AR70</f>
        <v>333519115.91000003</v>
      </c>
      <c r="AS9" s="48">
        <f>资产资本表!AS70</f>
        <v>331772374.34000003</v>
      </c>
      <c r="AT9" s="48">
        <f>资产资本表!AT70</f>
        <v>326843019.59000003</v>
      </c>
      <c r="AU9" s="48">
        <f>资产资本表!AU70</f>
        <v>317739028.5</v>
      </c>
      <c r="AV9" s="48">
        <f>资产资本表!AV70</f>
        <v>331488572</v>
      </c>
      <c r="AW9" s="48">
        <f>资产资本表!AW70</f>
        <v>321921565.42999995</v>
      </c>
      <c r="AX9" s="48">
        <f>资产资本表!AX70</f>
        <v>311997842.06</v>
      </c>
      <c r="AY9" s="48">
        <f>资产资本表!AY70</f>
        <v>306444749.17000002</v>
      </c>
      <c r="AZ9" s="48">
        <f>资产资本表!AZ70</f>
        <v>307142895.07999998</v>
      </c>
      <c r="BA9" s="48">
        <f>资产资本表!BA70</f>
        <v>302468173.07999998</v>
      </c>
      <c r="BB9" s="48">
        <f>资产资本表!BB70</f>
        <v>324277573.09000003</v>
      </c>
      <c r="BC9" s="48">
        <f>资产资本表!BC70</f>
        <v>310852297.63</v>
      </c>
      <c r="BD9" s="48">
        <f>资产资本表!BD70</f>
        <v>166984462.97</v>
      </c>
      <c r="BE9" s="48">
        <f>资产资本表!BE70</f>
        <v>145684772.47</v>
      </c>
      <c r="BF9" s="48">
        <f>资产资本表!BF70</f>
        <v>117460417.88</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1587771274.52</v>
      </c>
      <c r="F10" s="26">
        <f>资产资本表!F72</f>
        <v>1316384375.6600001</v>
      </c>
      <c r="G10" s="26">
        <f>资产资本表!G72</f>
        <v>1266217843.97</v>
      </c>
      <c r="H10" s="26">
        <f>资产资本表!H72</f>
        <v>1315622928.47</v>
      </c>
      <c r="I10" s="26">
        <f>资产资本表!I72</f>
        <v>988673986.13000011</v>
      </c>
      <c r="J10" s="26">
        <f>资产资本表!J72</f>
        <v>948778018.99000001</v>
      </c>
      <c r="K10" s="26">
        <f>资产资本表!K72</f>
        <v>675854418.39999998</v>
      </c>
      <c r="L10" s="26">
        <f>资产资本表!L72</f>
        <v>639190330.73000002</v>
      </c>
      <c r="M10" s="26">
        <f>资产资本表!M72</f>
        <v>544149414.96000004</v>
      </c>
      <c r="N10" s="26">
        <f>资产资本表!N72</f>
        <v>388075646.63999999</v>
      </c>
      <c r="O10" s="26">
        <f>资产资本表!O72</f>
        <v>52000000</v>
      </c>
      <c r="P10" s="26">
        <f>资产资本表!P72</f>
        <v>2022123.98</v>
      </c>
      <c r="Q10" s="26">
        <f>资产资本表!Q72</f>
        <v>80005299.329999998</v>
      </c>
      <c r="R10" s="26">
        <f>资产资本表!R72</f>
        <v>162000000</v>
      </c>
      <c r="S10" s="26">
        <f>资产资本表!S72</f>
        <v>186000000</v>
      </c>
      <c r="T10" s="26">
        <f>资产资本表!T72</f>
        <v>185000000</v>
      </c>
      <c r="U10" s="26">
        <f>资产资本表!U72</f>
        <v>176000000</v>
      </c>
      <c r="V10" s="26">
        <f>资产资本表!V72</f>
        <v>14000000</v>
      </c>
      <c r="W10" s="26">
        <f>资产资本表!W72</f>
        <v>18000000</v>
      </c>
      <c r="X10" s="26">
        <f>资产资本表!X72</f>
        <v>21000000</v>
      </c>
      <c r="Y10" s="26">
        <f>资产资本表!Y72</f>
        <v>24000000</v>
      </c>
      <c r="Z10" s="26">
        <f>资产资本表!Z72</f>
        <v>16000000</v>
      </c>
      <c r="AA10" s="26">
        <f>资产资本表!AA72</f>
        <v>16000000</v>
      </c>
      <c r="AB10" s="26">
        <f>资产资本表!AB72</f>
        <v>23000000</v>
      </c>
      <c r="AC10" s="26">
        <f>资产资本表!AC72</f>
        <v>20018790.41</v>
      </c>
      <c r="AD10" s="26">
        <f>资产资本表!AD72</f>
        <v>20000000</v>
      </c>
      <c r="AE10" s="26">
        <f>资产资本表!AE72</f>
        <v>10000000</v>
      </c>
      <c r="AF10" s="26">
        <f>资产资本表!AF72</f>
        <v>3048799.73</v>
      </c>
      <c r="AG10" s="26">
        <f>资产资本表!AG72</f>
        <v>4048799.73</v>
      </c>
      <c r="AH10" s="26">
        <f>资产资本表!AH72</f>
        <v>5000000</v>
      </c>
      <c r="AI10" s="26">
        <f>资产资本表!AI72</f>
        <v>7000000</v>
      </c>
      <c r="AJ10" s="26">
        <f>资产资本表!AJ72</f>
        <v>23000000</v>
      </c>
      <c r="AK10" s="26">
        <f>资产资本表!AK72</f>
        <v>20000000</v>
      </c>
      <c r="AL10" s="26">
        <f>资产资本表!AL72</f>
        <v>20000000</v>
      </c>
      <c r="AM10" s="26">
        <f>资产资本表!AM72</f>
        <v>22500000</v>
      </c>
      <c r="AN10" s="26">
        <f>资产资本表!AN72</f>
        <v>8500000</v>
      </c>
      <c r="AO10" s="26">
        <f>资产资本表!AO72</f>
        <v>11000000</v>
      </c>
      <c r="AP10" s="26">
        <f>资产资本表!AP72</f>
        <v>11000000</v>
      </c>
      <c r="AQ10" s="26">
        <f>资产资本表!AQ72</f>
        <v>14500000</v>
      </c>
      <c r="AR10" s="26">
        <f>资产资本表!AR72</f>
        <v>12000000</v>
      </c>
      <c r="AS10" s="26">
        <f>资产资本表!AS72</f>
        <v>12000000</v>
      </c>
      <c r="AT10" s="26">
        <f>资产资本表!AT72</f>
        <v>14000000</v>
      </c>
      <c r="AU10" s="26">
        <f>资产资本表!AU72</f>
        <v>20000000</v>
      </c>
      <c r="AV10" s="26">
        <f>资产资本表!AV72</f>
        <v>20151625</v>
      </c>
      <c r="AW10" s="26">
        <f>资产资本表!AW72</f>
        <v>15000000</v>
      </c>
      <c r="AX10" s="26">
        <f>资产资本表!AX72</f>
        <v>12000000</v>
      </c>
      <c r="AY10" s="26">
        <f>资产资本表!AY72</f>
        <v>12000000</v>
      </c>
      <c r="AZ10" s="26">
        <f>资产资本表!AZ72</f>
        <v>10000000</v>
      </c>
      <c r="BA10" s="26">
        <f>资产资本表!BA72</f>
        <v>10000000</v>
      </c>
      <c r="BB10" s="26">
        <f>资产资本表!BB72</f>
        <v>10000000</v>
      </c>
      <c r="BC10" s="26">
        <f>资产资本表!BC72</f>
        <v>11800000</v>
      </c>
      <c r="BD10" s="26">
        <f>资产资本表!BD72</f>
        <v>10700000</v>
      </c>
      <c r="BE10" s="26">
        <f>资产资本表!BE72</f>
        <v>11300000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1091867893.8699999</v>
      </c>
      <c r="F11" s="26">
        <f>资产资本表!F81</f>
        <v>911540029.73000002</v>
      </c>
      <c r="G11" s="26">
        <f>资产资本表!G81</f>
        <v>830724190.50999999</v>
      </c>
      <c r="H11" s="26">
        <f>资产资本表!H81</f>
        <v>433517497.26999998</v>
      </c>
      <c r="I11" s="26">
        <f>资产资本表!I81</f>
        <v>295424156.00999999</v>
      </c>
      <c r="J11" s="26">
        <f>资产资本表!J81</f>
        <v>207769804.49000001</v>
      </c>
      <c r="K11" s="26">
        <f>资产资本表!K81</f>
        <v>109862172.38</v>
      </c>
      <c r="L11" s="26">
        <f>资产资本表!L81</f>
        <v>115187847.72</v>
      </c>
      <c r="M11" s="26">
        <f>资产资本表!M81</f>
        <v>120302910.97999999</v>
      </c>
      <c r="N11" s="26">
        <f>资产资本表!N81</f>
        <v>87763275.109999999</v>
      </c>
      <c r="O11" s="26">
        <f>资产资本表!O81</f>
        <v>20000000</v>
      </c>
      <c r="P11" s="26">
        <f>资产资本表!P81</f>
        <v>20000000</v>
      </c>
      <c r="Q11" s="26">
        <f>资产资本表!Q81</f>
        <v>22000000</v>
      </c>
      <c r="R11" s="26">
        <f>资产资本表!R81</f>
        <v>38747500</v>
      </c>
      <c r="S11" s="26">
        <f>资产资本表!S81</f>
        <v>38965000</v>
      </c>
      <c r="T11" s="26">
        <f>资产资本表!T81</f>
        <v>39400000</v>
      </c>
      <c r="U11" s="26">
        <f>资产资本表!U81</f>
        <v>39400000</v>
      </c>
      <c r="V11" s="26">
        <f>资产资本表!V81</f>
        <v>69400000</v>
      </c>
      <c r="W11" s="26">
        <f>资产资本表!W81</f>
        <v>69400000</v>
      </c>
      <c r="X11" s="26">
        <f>资产资本表!X81</f>
        <v>69400000</v>
      </c>
      <c r="Y11" s="26">
        <f>资产资本表!Y81</f>
        <v>69400000</v>
      </c>
      <c r="Z11" s="26">
        <f>资产资本表!Z81</f>
        <v>47400000</v>
      </c>
      <c r="AA11" s="26">
        <f>资产资本表!AA81</f>
        <v>47400000</v>
      </c>
      <c r="AB11" s="26">
        <f>资产资本表!AB81</f>
        <v>17400000</v>
      </c>
      <c r="AC11" s="26">
        <f>资产资本表!AC81</f>
        <v>17400000</v>
      </c>
      <c r="AD11" s="26">
        <f>资产资本表!AD81</f>
        <v>18337760.390000001</v>
      </c>
      <c r="AE11" s="26">
        <f>资产资本表!AE81</f>
        <v>28250760.390000001</v>
      </c>
      <c r="AF11" s="26">
        <f>资产资本表!AF81</f>
        <v>577760.39</v>
      </c>
      <c r="AG11" s="26">
        <f>资产资本表!AG81</f>
        <v>577760.39</v>
      </c>
      <c r="AH11" s="26">
        <f>资产资本表!AH81</f>
        <v>577760.39</v>
      </c>
      <c r="AI11" s="26">
        <f>资产资本表!AI81</f>
        <v>577760.39</v>
      </c>
      <c r="AJ11" s="26">
        <f>资产资本表!AJ81</f>
        <v>1057760.3899999999</v>
      </c>
      <c r="AK11" s="26">
        <f>资产资本表!AK81</f>
        <v>1057760.3899999999</v>
      </c>
      <c r="AL11" s="26">
        <f>资产资本表!AL81</f>
        <v>2142258.16</v>
      </c>
      <c r="AM11" s="26">
        <f>资产资本表!AM81</f>
        <v>2177034.16</v>
      </c>
      <c r="AN11" s="26">
        <f>资产资本表!AN81</f>
        <v>3260960</v>
      </c>
      <c r="AO11" s="26">
        <f>资产资本表!AO81</f>
        <v>3260960</v>
      </c>
      <c r="AP11" s="26">
        <f>资产资本表!AP81</f>
        <v>480000</v>
      </c>
      <c r="AQ11" s="26">
        <f>资产资本表!AQ81</f>
        <v>480000</v>
      </c>
      <c r="AR11" s="26">
        <f>资产资本表!AR81</f>
        <v>1647552.46</v>
      </c>
      <c r="AS11" s="26">
        <f>资产资本表!AS81</f>
        <v>1647552.46</v>
      </c>
      <c r="AT11" s="26">
        <f>资产资本表!AT81</f>
        <v>1167552.46</v>
      </c>
      <c r="AU11" s="26">
        <f>资产资本表!AU81</f>
        <v>1167552.46</v>
      </c>
      <c r="AV11" s="26">
        <f>资产资本表!AV81</f>
        <v>1167552.46</v>
      </c>
      <c r="AW11" s="26">
        <f>资产资本表!AW81</f>
        <v>1167552.46</v>
      </c>
      <c r="AX11" s="26">
        <f>资产资本表!AX81</f>
        <v>1167552.46</v>
      </c>
      <c r="AY11" s="26">
        <f>资产资本表!AY81</f>
        <v>1167552.46</v>
      </c>
      <c r="AZ11" s="26">
        <f>资产资本表!AZ81</f>
        <v>1167552.46</v>
      </c>
      <c r="BA11" s="26">
        <f>资产资本表!BA81</f>
        <v>1167552.46</v>
      </c>
      <c r="BB11" s="26">
        <f>资产资本表!BB81</f>
        <v>1167552.46</v>
      </c>
      <c r="BC11" s="26">
        <f>资产资本表!BC81</f>
        <v>1167552.46</v>
      </c>
      <c r="BD11" s="26">
        <f>资产资本表!BD81</f>
        <v>1167552.46</v>
      </c>
      <c r="BE11" s="26">
        <f>资产资本表!BE81</f>
        <v>1167552.46</v>
      </c>
      <c r="BF11" s="26">
        <f>资产资本表!BF81</f>
        <v>1167552.46</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2679639168.3899999</v>
      </c>
      <c r="F12" s="26">
        <f>资产资本表!F89</f>
        <v>2227924405.3900003</v>
      </c>
      <c r="G12" s="26">
        <f>资产资本表!G89</f>
        <v>2096942034.48</v>
      </c>
      <c r="H12" s="26">
        <f>资产资本表!H89</f>
        <v>1749140425.74</v>
      </c>
      <c r="I12" s="26">
        <f>资产资本表!I89</f>
        <v>1284098142.1400001</v>
      </c>
      <c r="J12" s="26">
        <f>资产资本表!J89</f>
        <v>1156547823.48</v>
      </c>
      <c r="K12" s="26">
        <f>资产资本表!K89</f>
        <v>785716590.77999997</v>
      </c>
      <c r="L12" s="26">
        <f>资产资本表!L89</f>
        <v>754378178.45000005</v>
      </c>
      <c r="M12" s="26">
        <f>资产资本表!M89</f>
        <v>664452325.94000006</v>
      </c>
      <c r="N12" s="26">
        <f>资产资本表!N89</f>
        <v>475838921.75</v>
      </c>
      <c r="O12" s="26">
        <f>资产资本表!O89</f>
        <v>72000000</v>
      </c>
      <c r="P12" s="26">
        <f>资产资本表!P89</f>
        <v>22022123.98</v>
      </c>
      <c r="Q12" s="26">
        <f>资产资本表!Q89</f>
        <v>102005299.33</v>
      </c>
      <c r="R12" s="26">
        <f>资产资本表!R89</f>
        <v>200747500</v>
      </c>
      <c r="S12" s="26">
        <f>资产资本表!S89</f>
        <v>224965000</v>
      </c>
      <c r="T12" s="26">
        <f>资产资本表!T89</f>
        <v>224400000</v>
      </c>
      <c r="U12" s="26">
        <f>资产资本表!U89</f>
        <v>215400000</v>
      </c>
      <c r="V12" s="26">
        <f>资产资本表!V89</f>
        <v>83400000</v>
      </c>
      <c r="W12" s="26">
        <f>资产资本表!W89</f>
        <v>87400000</v>
      </c>
      <c r="X12" s="26">
        <f>资产资本表!X89</f>
        <v>90400000</v>
      </c>
      <c r="Y12" s="26">
        <f>资产资本表!Y89</f>
        <v>93400000</v>
      </c>
      <c r="Z12" s="26">
        <f>资产资本表!Z89</f>
        <v>63400000</v>
      </c>
      <c r="AA12" s="26">
        <f>资产资本表!AA89</f>
        <v>63400000</v>
      </c>
      <c r="AB12" s="26">
        <f>资产资本表!AB89</f>
        <v>40400000</v>
      </c>
      <c r="AC12" s="26">
        <f>资产资本表!AC89</f>
        <v>37418790.409999996</v>
      </c>
      <c r="AD12" s="26">
        <f>资产资本表!AD89</f>
        <v>38337760.390000001</v>
      </c>
      <c r="AE12" s="26">
        <f>资产资本表!AE89</f>
        <v>38250760.390000001</v>
      </c>
      <c r="AF12" s="26">
        <f>资产资本表!AF89</f>
        <v>3626560.12</v>
      </c>
      <c r="AG12" s="26">
        <f>资产资本表!AG89</f>
        <v>4626560.12</v>
      </c>
      <c r="AH12" s="26">
        <f>资产资本表!AH89</f>
        <v>5577760.3899999997</v>
      </c>
      <c r="AI12" s="26">
        <f>资产资本表!AI89</f>
        <v>7577760.3899999997</v>
      </c>
      <c r="AJ12" s="26">
        <f>资产资本表!AJ89</f>
        <v>24057760.390000001</v>
      </c>
      <c r="AK12" s="26">
        <f>资产资本表!AK89</f>
        <v>21057760.390000001</v>
      </c>
      <c r="AL12" s="26">
        <f>资产资本表!AL89</f>
        <v>22142258.16</v>
      </c>
      <c r="AM12" s="26">
        <f>资产资本表!AM89</f>
        <v>24677034.16</v>
      </c>
      <c r="AN12" s="26">
        <f>资产资本表!AN89</f>
        <v>11760960</v>
      </c>
      <c r="AO12" s="26">
        <f>资产资本表!AO89</f>
        <v>14260960</v>
      </c>
      <c r="AP12" s="26">
        <f>资产资本表!AP89</f>
        <v>11480000</v>
      </c>
      <c r="AQ12" s="26">
        <f>资产资本表!AQ89</f>
        <v>14980000</v>
      </c>
      <c r="AR12" s="26">
        <f>资产资本表!AR89</f>
        <v>13647552.460000001</v>
      </c>
      <c r="AS12" s="26">
        <f>资产资本表!AS89</f>
        <v>13647552.460000001</v>
      </c>
      <c r="AT12" s="26">
        <f>资产资本表!AT89</f>
        <v>15167552.460000001</v>
      </c>
      <c r="AU12" s="26">
        <f>资产资本表!AU89</f>
        <v>21167552.460000001</v>
      </c>
      <c r="AV12" s="26">
        <f>资产资本表!AV89</f>
        <v>21319177.460000001</v>
      </c>
      <c r="AW12" s="26">
        <f>资产资本表!AW89</f>
        <v>16167552.460000001</v>
      </c>
      <c r="AX12" s="26">
        <f>资产资本表!AX89</f>
        <v>13167552.460000001</v>
      </c>
      <c r="AY12" s="26">
        <f>资产资本表!AY89</f>
        <v>13167552.460000001</v>
      </c>
      <c r="AZ12" s="26">
        <f>资产资本表!AZ89</f>
        <v>11167552.460000001</v>
      </c>
      <c r="BA12" s="26">
        <f>资产资本表!BA89</f>
        <v>11167552.460000001</v>
      </c>
      <c r="BB12" s="26">
        <f>资产资本表!BB89</f>
        <v>11167552.460000001</v>
      </c>
      <c r="BC12" s="26">
        <f>资产资本表!BC89</f>
        <v>12967552.460000001</v>
      </c>
      <c r="BD12" s="26">
        <f>资产资本表!BD89</f>
        <v>11867552.460000001</v>
      </c>
      <c r="BE12" s="26">
        <f>资产资本表!BE89</f>
        <v>12467552.460000001</v>
      </c>
      <c r="BF12" s="26">
        <f>资产资本表!BF89</f>
        <v>1167552.46</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6908715940.1299992</v>
      </c>
      <c r="F13" s="26">
        <f t="shared" ref="F13:BQ13" si="0">F9-F12</f>
        <v>3840301438.71</v>
      </c>
      <c r="G13" s="26">
        <f t="shared" si="0"/>
        <v>3604556504.5800014</v>
      </c>
      <c r="H13" s="26">
        <f t="shared" si="0"/>
        <v>3477902513.5599995</v>
      </c>
      <c r="I13" s="26">
        <f t="shared" si="0"/>
        <v>3584834268.4399996</v>
      </c>
      <c r="J13" s="26">
        <f t="shared" si="0"/>
        <v>3337150166.9099994</v>
      </c>
      <c r="K13" s="26">
        <f t="shared" si="0"/>
        <v>3256110973.5799999</v>
      </c>
      <c r="L13" s="26">
        <f t="shared" si="0"/>
        <v>3110201524.5100002</v>
      </c>
      <c r="M13" s="26">
        <f t="shared" si="0"/>
        <v>3242378126.9299998</v>
      </c>
      <c r="N13" s="26">
        <f t="shared" si="0"/>
        <v>2952600330.1900005</v>
      </c>
      <c r="O13" s="26">
        <f t="shared" si="0"/>
        <v>441337376.82999992</v>
      </c>
      <c r="P13" s="26">
        <f t="shared" si="0"/>
        <v>453462859.54999995</v>
      </c>
      <c r="Q13" s="26">
        <f t="shared" si="0"/>
        <v>449146720.40000004</v>
      </c>
      <c r="R13" s="26">
        <f t="shared" si="0"/>
        <v>467220571.6500001</v>
      </c>
      <c r="S13" s="26">
        <f t="shared" si="0"/>
        <v>428539306.26999998</v>
      </c>
      <c r="T13" s="26">
        <f t="shared" si="0"/>
        <v>431349959.06999993</v>
      </c>
      <c r="U13" s="26">
        <f t="shared" si="0"/>
        <v>427667086.94000006</v>
      </c>
      <c r="V13" s="26">
        <f t="shared" si="0"/>
        <v>477814642.62</v>
      </c>
      <c r="W13" s="26">
        <f t="shared" si="0"/>
        <v>450862261.86000001</v>
      </c>
      <c r="X13" s="26">
        <f t="shared" si="0"/>
        <v>492994219.73000002</v>
      </c>
      <c r="Y13" s="26">
        <f t="shared" si="0"/>
        <v>488234219.13999999</v>
      </c>
      <c r="Z13" s="26">
        <f t="shared" si="0"/>
        <v>408435221.53999996</v>
      </c>
      <c r="AA13" s="26">
        <f t="shared" si="0"/>
        <v>380627389.35000002</v>
      </c>
      <c r="AB13" s="26">
        <f t="shared" si="0"/>
        <v>400532487.42999995</v>
      </c>
      <c r="AC13" s="26">
        <f t="shared" si="0"/>
        <v>395884939.36000001</v>
      </c>
      <c r="AD13" s="26">
        <f t="shared" si="0"/>
        <v>369365533.97000003</v>
      </c>
      <c r="AE13" s="26">
        <f t="shared" si="0"/>
        <v>347042017.39999998</v>
      </c>
      <c r="AF13" s="26">
        <f t="shared" si="0"/>
        <v>352818517.24000001</v>
      </c>
      <c r="AG13" s="26">
        <f t="shared" si="0"/>
        <v>347622442.77999997</v>
      </c>
      <c r="AH13" s="26">
        <f t="shared" si="0"/>
        <v>340737562.61000001</v>
      </c>
      <c r="AI13" s="26">
        <f t="shared" si="0"/>
        <v>331845993.42999995</v>
      </c>
      <c r="AJ13" s="26">
        <f t="shared" si="0"/>
        <v>342502968.52999997</v>
      </c>
      <c r="AK13" s="26">
        <f t="shared" si="0"/>
        <v>338679644.94000006</v>
      </c>
      <c r="AL13" s="26">
        <f t="shared" si="0"/>
        <v>334403218.31999999</v>
      </c>
      <c r="AM13" s="26">
        <f t="shared" si="0"/>
        <v>328898381.65999997</v>
      </c>
      <c r="AN13" s="26">
        <f t="shared" si="0"/>
        <v>334645524.88</v>
      </c>
      <c r="AO13" s="26">
        <f t="shared" si="0"/>
        <v>331812282.06</v>
      </c>
      <c r="AP13" s="26">
        <f t="shared" si="0"/>
        <v>328037204.15999997</v>
      </c>
      <c r="AQ13" s="26">
        <f t="shared" si="0"/>
        <v>322269181.74000001</v>
      </c>
      <c r="AR13" s="26">
        <f t="shared" si="0"/>
        <v>319871563.45000005</v>
      </c>
      <c r="AS13" s="26">
        <f t="shared" si="0"/>
        <v>318124821.88000005</v>
      </c>
      <c r="AT13" s="26">
        <f t="shared" si="0"/>
        <v>311675467.13000005</v>
      </c>
      <c r="AU13" s="26">
        <f t="shared" si="0"/>
        <v>296571476.04000002</v>
      </c>
      <c r="AV13" s="26">
        <f t="shared" si="0"/>
        <v>310169394.54000002</v>
      </c>
      <c r="AW13" s="26">
        <f t="shared" si="0"/>
        <v>305754012.96999997</v>
      </c>
      <c r="AX13" s="26">
        <f t="shared" si="0"/>
        <v>298830289.60000002</v>
      </c>
      <c r="AY13" s="26">
        <f t="shared" si="0"/>
        <v>293277196.71000004</v>
      </c>
      <c r="AZ13" s="26">
        <f t="shared" si="0"/>
        <v>295975342.62</v>
      </c>
      <c r="BA13" s="26">
        <f t="shared" si="0"/>
        <v>291300620.62</v>
      </c>
      <c r="BB13" s="26">
        <f t="shared" si="0"/>
        <v>313110020.63000005</v>
      </c>
      <c r="BC13" s="26">
        <f t="shared" si="0"/>
        <v>297884745.17000002</v>
      </c>
      <c r="BD13" s="26">
        <f t="shared" si="0"/>
        <v>155116910.50999999</v>
      </c>
      <c r="BE13" s="26">
        <f t="shared" si="0"/>
        <v>133217220.00999999</v>
      </c>
      <c r="BF13" s="26">
        <f t="shared" si="0"/>
        <v>116292865.42</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9588355108.5199986</v>
      </c>
      <c r="F14" s="48">
        <f t="shared" ref="F14:BQ14" si="2">F9</f>
        <v>6068225844.1000004</v>
      </c>
      <c r="G14" s="48">
        <f t="shared" si="2"/>
        <v>5701498539.0600014</v>
      </c>
      <c r="H14" s="48">
        <f t="shared" si="2"/>
        <v>5227042939.2999992</v>
      </c>
      <c r="I14" s="48">
        <f t="shared" si="2"/>
        <v>4868932410.5799999</v>
      </c>
      <c r="J14" s="48">
        <f t="shared" si="2"/>
        <v>4493697990.3899994</v>
      </c>
      <c r="K14" s="48">
        <f t="shared" si="2"/>
        <v>4041827564.3599997</v>
      </c>
      <c r="L14" s="48">
        <f t="shared" si="2"/>
        <v>3864579702.96</v>
      </c>
      <c r="M14" s="48">
        <f t="shared" si="2"/>
        <v>3906830452.8699999</v>
      </c>
      <c r="N14" s="48">
        <f t="shared" si="2"/>
        <v>3428439251.9400005</v>
      </c>
      <c r="O14" s="48">
        <f t="shared" si="2"/>
        <v>513337376.82999992</v>
      </c>
      <c r="P14" s="48">
        <f t="shared" si="2"/>
        <v>475484983.52999997</v>
      </c>
      <c r="Q14" s="48">
        <f t="shared" si="2"/>
        <v>551152019.73000002</v>
      </c>
      <c r="R14" s="48">
        <f t="shared" si="2"/>
        <v>667968071.6500001</v>
      </c>
      <c r="S14" s="48">
        <f t="shared" si="2"/>
        <v>653504306.26999998</v>
      </c>
      <c r="T14" s="48">
        <f t="shared" si="2"/>
        <v>655749959.06999993</v>
      </c>
      <c r="U14" s="48">
        <f t="shared" si="2"/>
        <v>643067086.94000006</v>
      </c>
      <c r="V14" s="48">
        <f t="shared" si="2"/>
        <v>561214642.62</v>
      </c>
      <c r="W14" s="48">
        <f t="shared" si="2"/>
        <v>538262261.86000001</v>
      </c>
      <c r="X14" s="48">
        <f t="shared" si="2"/>
        <v>583394219.73000002</v>
      </c>
      <c r="Y14" s="48">
        <f t="shared" si="2"/>
        <v>581634219.13999999</v>
      </c>
      <c r="Z14" s="48">
        <f t="shared" si="2"/>
        <v>471835221.53999996</v>
      </c>
      <c r="AA14" s="48">
        <f t="shared" si="2"/>
        <v>444027389.35000002</v>
      </c>
      <c r="AB14" s="48">
        <f t="shared" si="2"/>
        <v>440932487.42999995</v>
      </c>
      <c r="AC14" s="48">
        <f t="shared" si="2"/>
        <v>433303729.76999998</v>
      </c>
      <c r="AD14" s="48">
        <f t="shared" si="2"/>
        <v>407703294.36000001</v>
      </c>
      <c r="AE14" s="48">
        <f t="shared" si="2"/>
        <v>385292777.78999996</v>
      </c>
      <c r="AF14" s="48">
        <f t="shared" si="2"/>
        <v>356445077.36000001</v>
      </c>
      <c r="AG14" s="48">
        <f t="shared" si="2"/>
        <v>352249002.89999998</v>
      </c>
      <c r="AH14" s="48">
        <f t="shared" si="2"/>
        <v>346315323</v>
      </c>
      <c r="AI14" s="48">
        <f t="shared" si="2"/>
        <v>339423753.81999993</v>
      </c>
      <c r="AJ14" s="48">
        <f t="shared" si="2"/>
        <v>366560728.91999996</v>
      </c>
      <c r="AK14" s="48">
        <f t="shared" si="2"/>
        <v>359737405.33000004</v>
      </c>
      <c r="AL14" s="48">
        <f t="shared" si="2"/>
        <v>356545476.48000002</v>
      </c>
      <c r="AM14" s="48">
        <f t="shared" si="2"/>
        <v>353575415.81999999</v>
      </c>
      <c r="AN14" s="48">
        <f t="shared" si="2"/>
        <v>346406484.88</v>
      </c>
      <c r="AO14" s="48">
        <f t="shared" si="2"/>
        <v>346073242.06</v>
      </c>
      <c r="AP14" s="48">
        <f t="shared" si="2"/>
        <v>339517204.15999997</v>
      </c>
      <c r="AQ14" s="48">
        <f t="shared" si="2"/>
        <v>337249181.74000001</v>
      </c>
      <c r="AR14" s="48">
        <f t="shared" si="2"/>
        <v>333519115.91000003</v>
      </c>
      <c r="AS14" s="48">
        <f t="shared" si="2"/>
        <v>331772374.34000003</v>
      </c>
      <c r="AT14" s="48">
        <f t="shared" si="2"/>
        <v>326843019.59000003</v>
      </c>
      <c r="AU14" s="48">
        <f t="shared" si="2"/>
        <v>317739028.5</v>
      </c>
      <c r="AV14" s="48">
        <f t="shared" si="2"/>
        <v>331488572</v>
      </c>
      <c r="AW14" s="48">
        <f t="shared" si="2"/>
        <v>321921565.42999995</v>
      </c>
      <c r="AX14" s="48">
        <f t="shared" si="2"/>
        <v>311997842.06</v>
      </c>
      <c r="AY14" s="48">
        <f t="shared" si="2"/>
        <v>306444749.17000002</v>
      </c>
      <c r="AZ14" s="48">
        <f t="shared" si="2"/>
        <v>307142895.07999998</v>
      </c>
      <c r="BA14" s="48">
        <f t="shared" si="2"/>
        <v>302468173.07999998</v>
      </c>
      <c r="BB14" s="48">
        <f t="shared" si="2"/>
        <v>324277573.09000003</v>
      </c>
      <c r="BC14" s="48">
        <f t="shared" si="2"/>
        <v>310852297.63</v>
      </c>
      <c r="BD14" s="48">
        <f t="shared" si="2"/>
        <v>166984462.97</v>
      </c>
      <c r="BE14" s="48">
        <f t="shared" si="2"/>
        <v>145684772.47</v>
      </c>
      <c r="BF14" s="48">
        <f t="shared" si="2"/>
        <v>117460417.88</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1355328011.460001</v>
      </c>
      <c r="F15" s="58">
        <f t="shared" ref="F15:BQ15" si="4">F11+F13-F3-F4-F7</f>
        <v>170458989.8300004</v>
      </c>
      <c r="G15" s="58">
        <f t="shared" si="4"/>
        <v>430893228.57000017</v>
      </c>
      <c r="H15" s="58">
        <f t="shared" si="4"/>
        <v>17099375.559999943</v>
      </c>
      <c r="I15" s="58">
        <f t="shared" si="4"/>
        <v>351506704.10999966</v>
      </c>
      <c r="J15" s="58">
        <f t="shared" si="4"/>
        <v>869822849.71999979</v>
      </c>
      <c r="K15" s="58">
        <f t="shared" si="4"/>
        <v>971658623.01999974</v>
      </c>
      <c r="L15" s="58">
        <f t="shared" si="4"/>
        <v>1311173584.6399999</v>
      </c>
      <c r="M15" s="58">
        <f t="shared" si="4"/>
        <v>1632453294.9199998</v>
      </c>
      <c r="N15" s="58">
        <f t="shared" si="4"/>
        <v>1309660757.6200008</v>
      </c>
      <c r="O15" s="58">
        <f t="shared" si="4"/>
        <v>188919388.28999996</v>
      </c>
      <c r="P15" s="58">
        <f t="shared" si="4"/>
        <v>259392759.91999999</v>
      </c>
      <c r="Q15" s="58">
        <f t="shared" si="4"/>
        <v>276025053.67000002</v>
      </c>
      <c r="R15" s="58">
        <f t="shared" si="4"/>
        <v>186409772.12000009</v>
      </c>
      <c r="S15" s="58">
        <f t="shared" si="4"/>
        <v>113956852.40000004</v>
      </c>
      <c r="T15" s="58">
        <f t="shared" si="4"/>
        <v>236060595.32000002</v>
      </c>
      <c r="U15" s="58">
        <f t="shared" si="4"/>
        <v>259168969.68000001</v>
      </c>
      <c r="V15" s="58">
        <f t="shared" si="4"/>
        <v>179356230.24000001</v>
      </c>
      <c r="W15" s="58">
        <f t="shared" si="4"/>
        <v>149504627.19000006</v>
      </c>
      <c r="X15" s="58">
        <f t="shared" si="4"/>
        <v>243834236.38999996</v>
      </c>
      <c r="Y15" s="58">
        <f t="shared" si="4"/>
        <v>255165938.42999992</v>
      </c>
      <c r="Z15" s="58">
        <f t="shared" si="4"/>
        <v>209751809.45999998</v>
      </c>
      <c r="AA15" s="58">
        <f t="shared" si="4"/>
        <v>134374092.89000005</v>
      </c>
      <c r="AB15" s="58">
        <f t="shared" si="4"/>
        <v>181775222.93000001</v>
      </c>
      <c r="AC15" s="58">
        <f t="shared" si="4"/>
        <v>176502824.1100001</v>
      </c>
      <c r="AD15" s="58">
        <f t="shared" si="4"/>
        <v>162339924.76000005</v>
      </c>
      <c r="AE15" s="58">
        <f t="shared" si="4"/>
        <v>128344803.63999996</v>
      </c>
      <c r="AF15" s="58">
        <f t="shared" si="4"/>
        <v>164239030.08999997</v>
      </c>
      <c r="AG15" s="58">
        <f t="shared" si="4"/>
        <v>193092314.93000001</v>
      </c>
      <c r="AH15" s="58">
        <f t="shared" si="4"/>
        <v>205666714.99000001</v>
      </c>
      <c r="AI15" s="58">
        <f t="shared" si="4"/>
        <v>226979628.69999999</v>
      </c>
      <c r="AJ15" s="58">
        <f t="shared" si="4"/>
        <v>256400520.4799999</v>
      </c>
      <c r="AK15" s="58">
        <f t="shared" si="4"/>
        <v>243581908.06000006</v>
      </c>
      <c r="AL15" s="58">
        <f t="shared" si="4"/>
        <v>226088409.93000001</v>
      </c>
      <c r="AM15" s="58">
        <f t="shared" si="4"/>
        <v>217303928.44</v>
      </c>
      <c r="AN15" s="58">
        <f t="shared" si="4"/>
        <v>224617678.13999999</v>
      </c>
      <c r="AO15" s="58">
        <f t="shared" si="4"/>
        <v>209872924.21999997</v>
      </c>
      <c r="AP15" s="58">
        <f t="shared" si="4"/>
        <v>188696425.72999996</v>
      </c>
      <c r="AQ15" s="58">
        <f t="shared" si="4"/>
        <v>182694136.16000003</v>
      </c>
      <c r="AR15" s="58">
        <f t="shared" si="4"/>
        <v>201530237.33999997</v>
      </c>
      <c r="AS15" s="58">
        <f t="shared" si="4"/>
        <v>181271908.84000003</v>
      </c>
      <c r="AT15" s="58">
        <f t="shared" si="4"/>
        <v>201218834.07000005</v>
      </c>
      <c r="AU15" s="58">
        <f t="shared" si="4"/>
        <v>187338394.83000001</v>
      </c>
      <c r="AV15" s="58">
        <f t="shared" si="4"/>
        <v>191298679.50999999</v>
      </c>
      <c r="AW15" s="58">
        <f t="shared" si="4"/>
        <v>176685368.27999997</v>
      </c>
      <c r="AX15" s="58">
        <f t="shared" si="4"/>
        <v>170578604.39999998</v>
      </c>
      <c r="AY15" s="58">
        <f t="shared" si="4"/>
        <v>181175878.59999999</v>
      </c>
      <c r="AZ15" s="58">
        <f t="shared" si="4"/>
        <v>182939801.02000001</v>
      </c>
      <c r="BA15" s="58">
        <f t="shared" si="4"/>
        <v>183568074.76000002</v>
      </c>
      <c r="BB15" s="58">
        <f t="shared" si="4"/>
        <v>198930897.93000004</v>
      </c>
      <c r="BC15" s="58">
        <f t="shared" si="4"/>
        <v>194113291.04000002</v>
      </c>
      <c r="BD15" s="58">
        <f t="shared" si="4"/>
        <v>47353432.25</v>
      </c>
      <c r="BE15" s="58">
        <f t="shared" si="4"/>
        <v>52435657.420000017</v>
      </c>
      <c r="BF15" s="58">
        <f t="shared" si="4"/>
        <v>50449967.939999998</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-1355328011.4600005</v>
      </c>
      <c r="F16" s="58">
        <f t="shared" ref="F16:BQ16" si="6">F10-F2</f>
        <v>-170458989.82999992</v>
      </c>
      <c r="G16" s="58">
        <f t="shared" si="6"/>
        <v>-430893228.56999993</v>
      </c>
      <c r="H16" s="58">
        <f t="shared" si="6"/>
        <v>-17099375.559999943</v>
      </c>
      <c r="I16" s="58">
        <f t="shared" si="6"/>
        <v>-351506704.11000013</v>
      </c>
      <c r="J16" s="58">
        <f t="shared" si="6"/>
        <v>-869822849.72000003</v>
      </c>
      <c r="K16" s="58">
        <f t="shared" si="6"/>
        <v>-971658623.0200001</v>
      </c>
      <c r="L16" s="58">
        <f t="shared" si="6"/>
        <v>-1311173584.6399999</v>
      </c>
      <c r="M16" s="58">
        <f t="shared" si="6"/>
        <v>-1632453294.9200001</v>
      </c>
      <c r="N16" s="58">
        <f t="shared" si="6"/>
        <v>-1309660757.6199999</v>
      </c>
      <c r="O16" s="58">
        <f t="shared" si="6"/>
        <v>-188919388.28999999</v>
      </c>
      <c r="P16" s="58">
        <f t="shared" si="6"/>
        <v>-259392759.92000002</v>
      </c>
      <c r="Q16" s="58">
        <f t="shared" si="6"/>
        <v>-276025053.67000008</v>
      </c>
      <c r="R16" s="58">
        <f t="shared" si="6"/>
        <v>-186409772.12</v>
      </c>
      <c r="S16" s="58">
        <f t="shared" si="6"/>
        <v>-113956852.39999998</v>
      </c>
      <c r="T16" s="58">
        <f t="shared" si="6"/>
        <v>-236060595.31999999</v>
      </c>
      <c r="U16" s="58">
        <f t="shared" si="6"/>
        <v>-259168969.68000001</v>
      </c>
      <c r="V16" s="58">
        <f t="shared" si="6"/>
        <v>-179356230.24000001</v>
      </c>
      <c r="W16" s="58">
        <f t="shared" si="6"/>
        <v>-149504627.19</v>
      </c>
      <c r="X16" s="58">
        <f t="shared" si="6"/>
        <v>-243834236.38999999</v>
      </c>
      <c r="Y16" s="58">
        <f t="shared" si="6"/>
        <v>-255165938.43000001</v>
      </c>
      <c r="Z16" s="58">
        <f t="shared" si="6"/>
        <v>-209751809.45999998</v>
      </c>
      <c r="AA16" s="58">
        <f t="shared" si="6"/>
        <v>-134374092.89000002</v>
      </c>
      <c r="AB16" s="58">
        <f t="shared" si="6"/>
        <v>-181775222.93000001</v>
      </c>
      <c r="AC16" s="58">
        <f t="shared" si="6"/>
        <v>-176502824.11000001</v>
      </c>
      <c r="AD16" s="58">
        <f t="shared" si="6"/>
        <v>-162339924.76000002</v>
      </c>
      <c r="AE16" s="58">
        <f t="shared" si="6"/>
        <v>-128344803.64000002</v>
      </c>
      <c r="AF16" s="58">
        <f t="shared" si="6"/>
        <v>-164239030.09000003</v>
      </c>
      <c r="AG16" s="58">
        <f t="shared" si="6"/>
        <v>-193092314.93000001</v>
      </c>
      <c r="AH16" s="58">
        <f t="shared" si="6"/>
        <v>-205666714.99000001</v>
      </c>
      <c r="AI16" s="58">
        <f t="shared" si="6"/>
        <v>-226979628.69999999</v>
      </c>
      <c r="AJ16" s="58">
        <f t="shared" si="6"/>
        <v>-256400520.47999996</v>
      </c>
      <c r="AK16" s="58">
        <f t="shared" si="6"/>
        <v>-243581908.06</v>
      </c>
      <c r="AL16" s="58">
        <f t="shared" si="6"/>
        <v>-226088409.93000001</v>
      </c>
      <c r="AM16" s="58">
        <f t="shared" si="6"/>
        <v>-217303928.44</v>
      </c>
      <c r="AN16" s="58">
        <f t="shared" si="6"/>
        <v>-224617678.14000002</v>
      </c>
      <c r="AO16" s="58">
        <f t="shared" si="6"/>
        <v>-209872924.22</v>
      </c>
      <c r="AP16" s="58">
        <f t="shared" si="6"/>
        <v>-188696425.72999999</v>
      </c>
      <c r="AQ16" s="58">
        <f t="shared" si="6"/>
        <v>-182694136.16</v>
      </c>
      <c r="AR16" s="58">
        <f t="shared" si="6"/>
        <v>-201530237.34</v>
      </c>
      <c r="AS16" s="58">
        <f t="shared" si="6"/>
        <v>-181271908.84</v>
      </c>
      <c r="AT16" s="58">
        <f t="shared" si="6"/>
        <v>-201218834.06999999</v>
      </c>
      <c r="AU16" s="58">
        <f t="shared" si="6"/>
        <v>-187338394.83000001</v>
      </c>
      <c r="AV16" s="58">
        <f t="shared" si="6"/>
        <v>-191298679.50999999</v>
      </c>
      <c r="AW16" s="58">
        <f t="shared" si="6"/>
        <v>-176685368.28</v>
      </c>
      <c r="AX16" s="58">
        <f t="shared" si="6"/>
        <v>-170578604.40000001</v>
      </c>
      <c r="AY16" s="58">
        <f t="shared" si="6"/>
        <v>-181175878.59999999</v>
      </c>
      <c r="AZ16" s="58">
        <f t="shared" si="6"/>
        <v>-182939801.01999998</v>
      </c>
      <c r="BA16" s="58">
        <f t="shared" si="6"/>
        <v>-183568074.75999999</v>
      </c>
      <c r="BB16" s="58">
        <f t="shared" si="6"/>
        <v>-198930897.93000001</v>
      </c>
      <c r="BC16" s="58">
        <f t="shared" si="6"/>
        <v>-194113291.03999999</v>
      </c>
      <c r="BD16" s="58">
        <f t="shared" si="6"/>
        <v>-47353432.25</v>
      </c>
      <c r="BE16" s="58">
        <f t="shared" si="6"/>
        <v>-52435657.420000002</v>
      </c>
      <c r="BF16" s="58">
        <f t="shared" si="6"/>
        <v>-50449967.939999998</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-3.3402687319072855</v>
      </c>
      <c r="F17" s="59">
        <f t="shared" ref="F17:BQ17" si="8">(F11+F13-F7-F3)/F4</f>
        <v>1.4013187608655029</v>
      </c>
      <c r="G17" s="59">
        <f t="shared" si="8"/>
        <v>2.5409600641928862</v>
      </c>
      <c r="H17" s="59">
        <f t="shared" si="8"/>
        <v>1.0293318765534831</v>
      </c>
      <c r="I17" s="59">
        <f t="shared" si="8"/>
        <v>2.1131207165430643</v>
      </c>
      <c r="J17" s="59">
        <f t="shared" si="8"/>
        <v>2.1842983805209113</v>
      </c>
      <c r="K17" s="59">
        <f t="shared" si="8"/>
        <v>2.5192222400819366</v>
      </c>
      <c r="L17" s="59">
        <f t="shared" si="8"/>
        <v>4.730917735450773</v>
      </c>
      <c r="M17" s="59">
        <f t="shared" si="8"/>
        <v>8.2458459868957483</v>
      </c>
      <c r="N17" s="59">
        <f t="shared" si="8"/>
        <v>5.1974230830684638</v>
      </c>
      <c r="O17" s="59">
        <f t="shared" si="8"/>
        <v>2.5933703041704002</v>
      </c>
      <c r="P17" s="59">
        <f t="shared" si="8"/>
        <v>5.278241005908388</v>
      </c>
      <c r="Q17" s="59">
        <f t="shared" si="8"/>
        <v>7.9600068600174394</v>
      </c>
      <c r="R17" s="59">
        <f t="shared" si="8"/>
        <v>2.2558588472706878</v>
      </c>
      <c r="S17" s="59">
        <f t="shared" si="8"/>
        <v>1.6372336190434493</v>
      </c>
      <c r="T17" s="59">
        <f t="shared" si="8"/>
        <v>4.8638869878125091</v>
      </c>
      <c r="U17" s="59">
        <f t="shared" si="8"/>
        <v>9.2552924291488132</v>
      </c>
      <c r="V17" s="59">
        <f t="shared" si="8"/>
        <v>2.8607306121752871</v>
      </c>
      <c r="W17" s="59">
        <f t="shared" si="8"/>
        <v>2.347689586335052</v>
      </c>
      <c r="X17" s="59">
        <f t="shared" si="8"/>
        <v>5.1438811830104578</v>
      </c>
      <c r="Y17" s="59">
        <f t="shared" si="8"/>
        <v>6.6396561278620947</v>
      </c>
      <c r="Z17" s="59">
        <f t="shared" si="8"/>
        <v>6.0069665235540235</v>
      </c>
      <c r="AA17" s="59">
        <f t="shared" si="8"/>
        <v>2.5404393124611113</v>
      </c>
      <c r="AB17" s="59">
        <f t="shared" si="8"/>
        <v>7.0268992825743419</v>
      </c>
      <c r="AC17" s="59">
        <f t="shared" si="8"/>
        <v>6.9758721993889541</v>
      </c>
      <c r="AD17" s="59">
        <f t="shared" si="8"/>
        <v>2.7941635465636252</v>
      </c>
      <c r="AE17" s="59">
        <f t="shared" si="8"/>
        <v>2.3234183531718173</v>
      </c>
      <c r="AF17" s="59">
        <f t="shared" si="8"/>
        <v>4.0699621792108527</v>
      </c>
      <c r="AG17" s="59">
        <f t="shared" si="8"/>
        <v>4.508102964284106</v>
      </c>
      <c r="AH17" s="59">
        <f t="shared" si="8"/>
        <v>5.7233045664693112</v>
      </c>
      <c r="AI17" s="59">
        <f t="shared" si="8"/>
        <v>20.856615658173265</v>
      </c>
      <c r="AJ17" s="59">
        <f t="shared" si="8"/>
        <v>-32.483506137365978</v>
      </c>
      <c r="AK17" s="59">
        <f t="shared" si="8"/>
        <v>-110.66226995605976</v>
      </c>
      <c r="AL17" s="59">
        <f t="shared" si="8"/>
        <v>31.775730862763076</v>
      </c>
      <c r="AM17" s="59">
        <f t="shared" si="8"/>
        <v>28.726438802569309</v>
      </c>
      <c r="AN17" s="59">
        <f t="shared" si="8"/>
        <v>48.331134704735604</v>
      </c>
      <c r="AO17" s="59">
        <f t="shared" si="8"/>
        <v>16.136454645178887</v>
      </c>
      <c r="AP17" s="59">
        <f t="shared" si="8"/>
        <v>15.263736831008758</v>
      </c>
      <c r="AQ17" s="59">
        <f t="shared" si="8"/>
        <v>18.999113246752174</v>
      </c>
      <c r="AR17" s="59">
        <f t="shared" si="8"/>
        <v>-13.750908530062091</v>
      </c>
      <c r="AS17" s="59">
        <f t="shared" si="8"/>
        <v>48.188262524498981</v>
      </c>
      <c r="AT17" s="59">
        <f t="shared" si="8"/>
        <v>-7.8952342665909807</v>
      </c>
      <c r="AU17" s="59">
        <f t="shared" si="8"/>
        <v>-5.7655541043276326</v>
      </c>
      <c r="AV17" s="59">
        <f t="shared" si="8"/>
        <v>-8.3236511921589997</v>
      </c>
      <c r="AW17" s="59">
        <f t="shared" si="8"/>
        <v>-11.695210232796505</v>
      </c>
      <c r="AX17" s="59">
        <f t="shared" si="8"/>
        <v>-11.107854962843373</v>
      </c>
      <c r="AY17" s="59">
        <f t="shared" si="8"/>
        <v>-5.519354474847324</v>
      </c>
      <c r="AZ17" s="59">
        <f t="shared" si="8"/>
        <v>-8.6935059005622559</v>
      </c>
      <c r="BA17" s="59">
        <f t="shared" si="8"/>
        <v>-6.1461426367877721</v>
      </c>
      <c r="BB17" s="59">
        <f t="shared" si="8"/>
        <v>-19.190031675553495</v>
      </c>
      <c r="BC17" s="59">
        <f t="shared" si="8"/>
        <v>-9.3059311901848378</v>
      </c>
      <c r="BD17" s="59">
        <f t="shared" si="8"/>
        <v>-2.4300888498047595</v>
      </c>
      <c r="BE17" s="59">
        <f t="shared" si="8"/>
        <v>-2.5032346930952123</v>
      </c>
      <c r="BF17" s="59">
        <f t="shared" si="8"/>
        <v>-1.9274860620718761</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742</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0.71671248460520043</v>
      </c>
      <c r="F20" s="115"/>
      <c r="G20" s="115"/>
      <c r="H20" s="115"/>
      <c r="I20" s="115">
        <f>POWER(E9/Y9,1/6)-1</f>
        <v>0.59532447022512547</v>
      </c>
      <c r="M20" s="115">
        <f>POWER(E9/AC9,1/7)-1</f>
        <v>0.55645279847594775</v>
      </c>
    </row>
    <row r="21" spans="1:90" s="63" customFormat="1" ht="14.25" customHeight="1" x14ac:dyDescent="0.25">
      <c r="A21" s="113" t="s">
        <v>574</v>
      </c>
      <c r="B21" s="115"/>
      <c r="C21" s="115"/>
      <c r="D21" s="115"/>
      <c r="E21" s="115">
        <f>POWER(E4/U4,1/5)-1</f>
        <v>-2.5831987955138356</v>
      </c>
      <c r="F21" s="115"/>
      <c r="G21" s="115"/>
      <c r="H21" s="115"/>
      <c r="I21" s="115" t="e">
        <f>POWER(E4/Y4,1/6)-1</f>
        <v>#NUM!</v>
      </c>
      <c r="M21" s="115">
        <f>POWER(E4/AC4,1/7)-1</f>
        <v>-2.400590132671871</v>
      </c>
    </row>
    <row r="22" spans="1:90" s="63" customFormat="1" ht="14.25" customHeight="1" x14ac:dyDescent="0.25">
      <c r="A22" s="113" t="s">
        <v>577</v>
      </c>
      <c r="B22" s="115"/>
      <c r="C22" s="115"/>
      <c r="D22" s="115"/>
      <c r="E22" s="115">
        <f>POWER(E5/U5,1/5)-1</f>
        <v>0.7678899183111727</v>
      </c>
      <c r="F22" s="115"/>
      <c r="G22" s="115"/>
      <c r="H22" s="115"/>
      <c r="I22" s="115">
        <f>POWER(E5/Y5,1/6)-1</f>
        <v>0.56317682004035485</v>
      </c>
      <c r="M22" s="115">
        <f>POWER(E5/AC5,1/7)-1</f>
        <v>0.48249530839357457</v>
      </c>
    </row>
    <row r="23" spans="1:90" s="63" customFormat="1" ht="14.25" customHeight="1" x14ac:dyDescent="0.25">
      <c r="A23" s="113" t="s">
        <v>578</v>
      </c>
      <c r="B23" s="115"/>
      <c r="C23" s="115"/>
      <c r="D23" s="115"/>
      <c r="E23" s="115">
        <f>POWER(E6/U6,1/5)-1</f>
        <v>0.8972319559724391</v>
      </c>
      <c r="F23" s="115"/>
      <c r="G23" s="115"/>
      <c r="H23" s="115"/>
      <c r="I23" s="115">
        <f>POWER(E6/Y6,1/6)-1</f>
        <v>0.67464177629126287</v>
      </c>
      <c r="M23" s="115">
        <f>POWER(E6/AC6,1/7)-1</f>
        <v>0.55083065132944919</v>
      </c>
    </row>
    <row r="24" spans="1:90" s="63" customFormat="1" ht="14.25" customHeight="1" x14ac:dyDescent="0.25">
      <c r="A24" s="113" t="s">
        <v>579</v>
      </c>
      <c r="B24" s="115"/>
      <c r="C24" s="115"/>
      <c r="D24" s="115"/>
      <c r="E24" s="115">
        <f>POWER(E7/U7,1/5)-1</f>
        <v>1.0897775057140331</v>
      </c>
      <c r="F24" s="115"/>
      <c r="G24" s="115"/>
      <c r="H24" s="115"/>
      <c r="I24" s="115">
        <f>POWER(E7/Y7,1/6)-1</f>
        <v>0.73436839517314167</v>
      </c>
      <c r="M24" s="115">
        <f>POWER(E7/AC7,1/7)-1</f>
        <v>0.65401562959016668</v>
      </c>
    </row>
    <row r="25" spans="1:90" s="107" customFormat="1" x14ac:dyDescent="0.25">
      <c r="A25" s="143" t="s">
        <v>555</v>
      </c>
      <c r="B25" s="108"/>
      <c r="C25" s="108"/>
      <c r="D25" s="108"/>
      <c r="E25" s="108">
        <f>(E2-I2)/I2</f>
        <v>1.1960466281997757</v>
      </c>
      <c r="F25" s="108">
        <f t="shared" ref="F25:BQ25" si="10">(F2-J2)/J2</f>
        <v>-0.18242458195641781</v>
      </c>
      <c r="G25" s="108">
        <f t="shared" si="10"/>
        <v>3.0104788170448159E-2</v>
      </c>
      <c r="H25" s="108">
        <f t="shared" si="10"/>
        <v>-0.31668018797549802</v>
      </c>
      <c r="I25" s="108">
        <f t="shared" si="10"/>
        <v>-0.38427868156339529</v>
      </c>
      <c r="J25" s="107">
        <f t="shared" si="10"/>
        <v>7.1191537241425754E-2</v>
      </c>
      <c r="K25" s="107">
        <f t="shared" si="10"/>
        <v>5.8384410782118215</v>
      </c>
      <c r="L25" s="107">
        <f t="shared" si="10"/>
        <v>6.4607990420165962</v>
      </c>
      <c r="M25" s="108">
        <f t="shared" si="10"/>
        <v>5.113531308607274</v>
      </c>
      <c r="N25" s="108">
        <f t="shared" si="10"/>
        <v>3.8728151163201647</v>
      </c>
      <c r="O25" s="108">
        <f t="shared" si="10"/>
        <v>-0.19681985471454425</v>
      </c>
      <c r="P25" s="108">
        <f t="shared" si="10"/>
        <v>-0.37915139339664766</v>
      </c>
      <c r="Q25" s="108">
        <f t="shared" si="10"/>
        <v>-0.1818572145394334</v>
      </c>
      <c r="R25" s="108">
        <f t="shared" si="10"/>
        <v>0.80190610712436072</v>
      </c>
      <c r="S25" s="108">
        <f t="shared" si="10"/>
        <v>0.79073770935151433</v>
      </c>
      <c r="T25" s="108">
        <f t="shared" si="10"/>
        <v>0.5899024274940724</v>
      </c>
      <c r="U25" s="108">
        <f t="shared" si="10"/>
        <v>0.55881828609659434</v>
      </c>
      <c r="V25" s="107">
        <f t="shared" si="10"/>
        <v>-0.14350086184243854</v>
      </c>
      <c r="W25" s="107">
        <f t="shared" si="10"/>
        <v>0.11391945228578117</v>
      </c>
      <c r="X25" s="107">
        <f t="shared" si="10"/>
        <v>0.29329238469700236</v>
      </c>
      <c r="Y25" s="107">
        <f t="shared" si="10"/>
        <v>0.42053554318621417</v>
      </c>
      <c r="Z25" s="107">
        <f t="shared" si="10"/>
        <v>0.23808216854942588</v>
      </c>
      <c r="AA25" s="107">
        <f t="shared" si="10"/>
        <v>8.6951507635245492E-2</v>
      </c>
      <c r="AB25" s="107">
        <f t="shared" si="10"/>
        <v>0.22408918299876346</v>
      </c>
      <c r="AC25" s="107">
        <f t="shared" si="10"/>
        <v>-3.142419789339268E-3</v>
      </c>
      <c r="AD25" s="107">
        <f t="shared" si="10"/>
        <v>-0.13446258100784747</v>
      </c>
      <c r="AE25" s="107">
        <f t="shared" si="10"/>
        <v>-0.40873141645429056</v>
      </c>
      <c r="AF25" s="107">
        <f t="shared" si="10"/>
        <v>-0.40126156696986248</v>
      </c>
      <c r="AG25" s="107">
        <f t="shared" si="10"/>
        <v>-0.25206886879685186</v>
      </c>
      <c r="AH25" s="107">
        <f t="shared" si="10"/>
        <v>-0.14393889964210715</v>
      </c>
      <c r="AI25" s="107">
        <f t="shared" si="10"/>
        <v>-2.4287757827358841E-2</v>
      </c>
      <c r="AJ25" s="107">
        <f t="shared" si="10"/>
        <v>0.19853853516936862</v>
      </c>
      <c r="AK25" s="107">
        <f t="shared" si="10"/>
        <v>0.19336450581629377</v>
      </c>
      <c r="AL25" s="107">
        <f t="shared" si="10"/>
        <v>0.23231254155106615</v>
      </c>
      <c r="AM25" s="107">
        <f t="shared" si="10"/>
        <v>0.21608042262183261</v>
      </c>
      <c r="AN25" s="107">
        <f t="shared" si="10"/>
        <v>9.1731461754577248E-2</v>
      </c>
      <c r="AO25" s="107">
        <f t="shared" si="10"/>
        <v>0.14280924499405381</v>
      </c>
      <c r="AP25" s="107">
        <f t="shared" si="10"/>
        <v>-7.2123838078926375E-2</v>
      </c>
      <c r="AQ25" s="107">
        <f t="shared" si="10"/>
        <v>-4.8926098218892128E-2</v>
      </c>
      <c r="AR25" s="107">
        <f t="shared" si="10"/>
        <v>9.8365090313769117E-3</v>
      </c>
      <c r="AS25" s="107">
        <f t="shared" si="10"/>
        <v>8.2767953247349559E-3</v>
      </c>
      <c r="AT25" s="107">
        <f t="shared" si="10"/>
        <v>0.17877357413955555</v>
      </c>
      <c r="AU25" s="107">
        <f t="shared" si="10"/>
        <v>7.3314102840581152E-2</v>
      </c>
      <c r="AV25" s="107">
        <f t="shared" si="10"/>
        <v>9.5939269099179936E-2</v>
      </c>
      <c r="AW25" s="107">
        <f t="shared" si="10"/>
        <v>-9.7263274552599026E-3</v>
      </c>
      <c r="AX25" s="107">
        <f t="shared" si="10"/>
        <v>-0.1261292312007822</v>
      </c>
      <c r="AY25" s="107">
        <f t="shared" si="10"/>
        <v>-6.1858136381908797E-2</v>
      </c>
      <c r="AZ25" s="107">
        <f t="shared" si="10"/>
        <v>2.3234865457933362</v>
      </c>
      <c r="BA25" s="107">
        <f t="shared" si="10"/>
        <v>2.0370452364590985</v>
      </c>
      <c r="BB25" s="107">
        <f t="shared" si="10"/>
        <v>3.1413484777330467</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0.30694516970536773</v>
      </c>
      <c r="F26" s="108">
        <f t="shared" ref="F26:BQ26" si="12">F2/F9</f>
        <v>0.24502109903104949</v>
      </c>
      <c r="G26" s="108">
        <f t="shared" si="12"/>
        <v>0.29766052922988218</v>
      </c>
      <c r="H26" s="108">
        <f t="shared" si="12"/>
        <v>0.25496677940213686</v>
      </c>
      <c r="I26" s="108">
        <f t="shared" si="12"/>
        <v>0.27525144677051583</v>
      </c>
      <c r="J26" s="108">
        <f t="shared" si="12"/>
        <v>0.40470028751357345</v>
      </c>
      <c r="K26" s="108">
        <f t="shared" si="12"/>
        <v>0.40761586564143154</v>
      </c>
      <c r="L26" s="108">
        <f t="shared" si="12"/>
        <v>0.50467685111427674</v>
      </c>
      <c r="M26" s="108">
        <f t="shared" si="12"/>
        <v>0.55712750684664192</v>
      </c>
      <c r="N26" s="108">
        <f t="shared" si="12"/>
        <v>0.49519220832025151</v>
      </c>
      <c r="O26" s="108">
        <f t="shared" si="12"/>
        <v>0.46931978687728476</v>
      </c>
      <c r="P26" s="108">
        <f t="shared" si="12"/>
        <v>0.54978578284272239</v>
      </c>
      <c r="Q26" s="108">
        <f t="shared" si="12"/>
        <v>0.64597486764978795</v>
      </c>
      <c r="R26" s="108">
        <f t="shared" si="12"/>
        <v>0.52159644585910492</v>
      </c>
      <c r="S26" s="108">
        <f t="shared" si="12"/>
        <v>0.4589975146637682</v>
      </c>
      <c r="T26" s="108">
        <f t="shared" si="12"/>
        <v>0.6421054084656872</v>
      </c>
      <c r="U26" s="108">
        <f t="shared" si="12"/>
        <v>0.67670850913973535</v>
      </c>
      <c r="V26" s="108">
        <f t="shared" si="12"/>
        <v>0.3445316917201714</v>
      </c>
      <c r="W26" s="108">
        <f t="shared" si="12"/>
        <v>0.31119519063286538</v>
      </c>
      <c r="X26" s="108">
        <f t="shared" si="12"/>
        <v>0.45395416586843729</v>
      </c>
      <c r="Y26" s="108">
        <f t="shared" si="12"/>
        <v>0.47996821583635962</v>
      </c>
      <c r="Z26" s="108">
        <f t="shared" si="12"/>
        <v>0.47845476376939317</v>
      </c>
      <c r="AA26" s="108">
        <f t="shared" si="12"/>
        <v>0.33865949825781849</v>
      </c>
      <c r="AB26" s="108">
        <f t="shared" si="12"/>
        <v>0.46441400615215273</v>
      </c>
      <c r="AC26" s="108">
        <f t="shared" si="12"/>
        <v>0.45354240228745496</v>
      </c>
      <c r="AD26" s="108">
        <f t="shared" si="12"/>
        <v>0.44723681972261614</v>
      </c>
      <c r="AE26" s="108">
        <f t="shared" si="12"/>
        <v>0.35906409778436982</v>
      </c>
      <c r="AF26" s="108">
        <f t="shared" si="12"/>
        <v>0.46932287874197176</v>
      </c>
      <c r="AG26" s="108">
        <f t="shared" si="12"/>
        <v>0.5596640814792212</v>
      </c>
      <c r="AH26" s="108">
        <f t="shared" si="12"/>
        <v>0.60830896295628245</v>
      </c>
      <c r="AI26" s="108">
        <f t="shared" si="12"/>
        <v>0.68934370699371239</v>
      </c>
      <c r="AJ26" s="108">
        <f t="shared" si="12"/>
        <v>0.76222164142678173</v>
      </c>
      <c r="AK26" s="108">
        <f t="shared" si="12"/>
        <v>0.73270642461605251</v>
      </c>
      <c r="AL26" s="108">
        <f t="shared" si="12"/>
        <v>0.69020202516523588</v>
      </c>
      <c r="AM26" s="108">
        <f t="shared" si="12"/>
        <v>0.67822568456535626</v>
      </c>
      <c r="AN26" s="108">
        <f t="shared" si="12"/>
        <v>0.67295991361349716</v>
      </c>
      <c r="AO26" s="108">
        <f t="shared" si="12"/>
        <v>0.63822595155076001</v>
      </c>
      <c r="AP26" s="108">
        <f t="shared" si="12"/>
        <v>0.58817763366091924</v>
      </c>
      <c r="AQ26" s="108">
        <f t="shared" si="12"/>
        <v>0.58471346066015217</v>
      </c>
      <c r="AR26" s="108">
        <f t="shared" si="12"/>
        <v>0.64023387912080287</v>
      </c>
      <c r="AS26" s="108">
        <f t="shared" si="12"/>
        <v>0.5825437070355205</v>
      </c>
      <c r="AT26" s="108">
        <f t="shared" si="12"/>
        <v>0.65847768246657312</v>
      </c>
      <c r="AU26" s="108">
        <f t="shared" si="12"/>
        <v>0.65254305021581571</v>
      </c>
      <c r="AV26" s="108">
        <f t="shared" si="12"/>
        <v>0.63788112885532589</v>
      </c>
      <c r="AW26" s="108">
        <f t="shared" si="12"/>
        <v>0.59544121570097464</v>
      </c>
      <c r="AX26" s="108">
        <f t="shared" si="12"/>
        <v>0.58519188208003214</v>
      </c>
      <c r="AY26" s="108">
        <f t="shared" si="12"/>
        <v>0.63037751217213978</v>
      </c>
      <c r="AZ26" s="108">
        <f t="shared" si="12"/>
        <v>0.62817601875422158</v>
      </c>
      <c r="BA26" s="108">
        <f t="shared" si="12"/>
        <v>0.63996179429034694</v>
      </c>
      <c r="BB26" s="108">
        <f t="shared" si="12"/>
        <v>0.64429647705551718</v>
      </c>
      <c r="BC26" s="108">
        <f t="shared" si="12"/>
        <v>0.66241521330202169</v>
      </c>
      <c r="BD26" s="108">
        <f t="shared" si="12"/>
        <v>0.34765768753246062</v>
      </c>
      <c r="BE26" s="108">
        <f t="shared" si="12"/>
        <v>0.43749018060981432</v>
      </c>
      <c r="BF26" s="108">
        <f t="shared" si="12"/>
        <v>0.42950611661828697</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-0.97048382826385715</v>
      </c>
      <c r="F27" s="109">
        <f t="shared" ref="F27:BQ27" si="14">(F3-J3)/J3</f>
        <v>7.635144816820544</v>
      </c>
      <c r="G27" s="109">
        <f t="shared" si="14"/>
        <v>36.20184075840217</v>
      </c>
      <c r="H27" s="109">
        <f t="shared" si="14"/>
        <v>23.139012324430269</v>
      </c>
      <c r="I27" s="109">
        <f t="shared" si="14"/>
        <v>25.559903244786533</v>
      </c>
      <c r="J27" s="109">
        <f t="shared" si="14"/>
        <v>0.58859304993922079</v>
      </c>
      <c r="K27" s="109">
        <f t="shared" si="14"/>
        <v>8.6864549260619821</v>
      </c>
      <c r="L27" s="109">
        <f t="shared" si="14"/>
        <v>14.529988984431354</v>
      </c>
      <c r="M27" s="109">
        <f t="shared" si="14"/>
        <v>13.469467022137563</v>
      </c>
      <c r="N27" s="109">
        <f t="shared" si="14"/>
        <v>26.550663760906911</v>
      </c>
      <c r="O27" s="109">
        <f t="shared" si="14"/>
        <v>3.9331951758555674E-2</v>
      </c>
      <c r="P27" s="109">
        <f t="shared" si="14"/>
        <v>1.255431099838007E-2</v>
      </c>
      <c r="Q27" s="109">
        <f t="shared" si="14"/>
        <v>1.3020339497682616E-2</v>
      </c>
      <c r="R27" s="109">
        <f t="shared" si="14"/>
        <v>3.3668125056902469E-2</v>
      </c>
      <c r="S27" s="109">
        <f t="shared" si="14"/>
        <v>2.6539667143515151E-2</v>
      </c>
      <c r="T27" s="109">
        <f t="shared" si="14"/>
        <v>7.3769047719892487E-3</v>
      </c>
      <c r="U27" s="109">
        <f t="shared" si="14"/>
        <v>-7.7946308250500329E-3</v>
      </c>
      <c r="V27" s="109">
        <f t="shared" si="14"/>
        <v>-6.837938144195305E-3</v>
      </c>
      <c r="W27" s="109">
        <f t="shared" si="14"/>
        <v>-8.5250342702951083E-3</v>
      </c>
      <c r="X27" s="109">
        <f t="shared" si="14"/>
        <v>1.3928296800417916E-2</v>
      </c>
      <c r="Y27" s="109">
        <f t="shared" si="14"/>
        <v>4.5983266975281219E-3</v>
      </c>
      <c r="Z27" s="109">
        <f t="shared" si="14"/>
        <v>1.5082097627738539E-2</v>
      </c>
      <c r="AA27" s="109">
        <f t="shared" si="14"/>
        <v>1.1322482122528371E-2</v>
      </c>
      <c r="AB27" s="109">
        <f t="shared" si="14"/>
        <v>-8.7846200418489756E-3</v>
      </c>
      <c r="AC27" s="109">
        <f t="shared" si="14"/>
        <v>1.0657430135068306E-2</v>
      </c>
      <c r="AD27" s="109">
        <f t="shared" si="14"/>
        <v>-3.48891081046089E-2</v>
      </c>
      <c r="AE27" s="109">
        <f t="shared" si="14"/>
        <v>-3.0043631115538271E-2</v>
      </c>
      <c r="AF27" s="109">
        <f t="shared" si="14"/>
        <v>0.19173770649774696</v>
      </c>
      <c r="AG27" s="109">
        <f t="shared" si="14"/>
        <v>-8.8420445822796293E-3</v>
      </c>
      <c r="AH27" s="109">
        <f t="shared" si="14"/>
        <v>4.4351191735631157E-3</v>
      </c>
      <c r="AI27" s="109">
        <f t="shared" si="14"/>
        <v>1.3321380107427646E-2</v>
      </c>
      <c r="AJ27" s="109">
        <f t="shared" si="14"/>
        <v>-0.1832265089111825</v>
      </c>
      <c r="AK27" s="109">
        <f t="shared" si="14"/>
        <v>-2.380082004743737E-2</v>
      </c>
      <c r="AL27" s="109">
        <f t="shared" si="14"/>
        <v>-0.590588900365694</v>
      </c>
      <c r="AM27" s="109">
        <f t="shared" si="14"/>
        <v>-0.59893860008535316</v>
      </c>
      <c r="AN27" s="109">
        <f t="shared" si="14"/>
        <v>-0.15111694199991607</v>
      </c>
      <c r="AO27" s="109">
        <f t="shared" si="14"/>
        <v>-0.12268374935566954</v>
      </c>
      <c r="AP27" s="109">
        <f t="shared" si="14"/>
        <v>1.1840446500747843</v>
      </c>
      <c r="AQ27" s="109">
        <f t="shared" si="14"/>
        <v>1.2716559522393336</v>
      </c>
      <c r="AR27" s="109">
        <f t="shared" si="14"/>
        <v>-0.17219294350048658</v>
      </c>
      <c r="AS27" s="109">
        <f t="shared" si="14"/>
        <v>-0.23243517994192919</v>
      </c>
      <c r="AT27" s="109">
        <f t="shared" si="14"/>
        <v>-0.17472011751253891</v>
      </c>
      <c r="AU27" s="109">
        <f t="shared" si="14"/>
        <v>-0.33317502859955112</v>
      </c>
      <c r="AV27" s="109">
        <f t="shared" si="14"/>
        <v>-0.22181639505723422</v>
      </c>
      <c r="AW27" s="109">
        <f t="shared" si="14"/>
        <v>-0.21622490846780967</v>
      </c>
      <c r="AX27" s="109">
        <f t="shared" si="14"/>
        <v>1.6142995109563057E-2</v>
      </c>
      <c r="AY27" s="109">
        <f t="shared" si="14"/>
        <v>0.23216668517393765</v>
      </c>
      <c r="AZ27" s="109">
        <f t="shared" si="14"/>
        <v>22.703936185982851</v>
      </c>
      <c r="BA27" s="109">
        <f t="shared" si="14"/>
        <v>-45.866515109676435</v>
      </c>
      <c r="BB27" s="109">
        <f t="shared" si="14"/>
        <v>-0.13066276103066668</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3.2666753510378365E-3</v>
      </c>
      <c r="F28" s="109">
        <f t="shared" ref="F28:BQ28" si="16">F3/F9</f>
        <v>0.17611127799718537</v>
      </c>
      <c r="G28" s="109">
        <f t="shared" si="16"/>
        <v>0.18430898223877301</v>
      </c>
      <c r="H28" s="109">
        <f t="shared" si="16"/>
        <v>0.19974826254245845</v>
      </c>
      <c r="I28" s="109">
        <f t="shared" si="16"/>
        <v>0.2179497178260458</v>
      </c>
      <c r="J28" s="109">
        <f t="shared" si="16"/>
        <v>2.7540726843385203E-2</v>
      </c>
      <c r="K28" s="109">
        <f t="shared" si="16"/>
        <v>6.9886502653095589E-3</v>
      </c>
      <c r="L28" s="109">
        <f t="shared" si="16"/>
        <v>1.1192247699502987E-2</v>
      </c>
      <c r="M28" s="109">
        <f t="shared" si="16"/>
        <v>1.0226782132469848E-2</v>
      </c>
      <c r="N28" s="109">
        <f t="shared" si="16"/>
        <v>2.2723235121029754E-2</v>
      </c>
      <c r="O28" s="109">
        <f t="shared" si="16"/>
        <v>5.6807194286297271E-3</v>
      </c>
      <c r="P28" s="109">
        <f t="shared" si="16"/>
        <v>5.8574909754732039E-3</v>
      </c>
      <c r="Q28" s="109">
        <f t="shared" si="16"/>
        <v>5.0100219742507807E-3</v>
      </c>
      <c r="R28" s="109">
        <f t="shared" si="16"/>
        <v>4.2332980871601505E-3</v>
      </c>
      <c r="S28" s="109">
        <f t="shared" si="16"/>
        <v>4.293421180365989E-3</v>
      </c>
      <c r="T28" s="109">
        <f t="shared" si="16"/>
        <v>4.1946123853381393E-3</v>
      </c>
      <c r="U28" s="109">
        <f t="shared" si="16"/>
        <v>4.2387381275731878E-3</v>
      </c>
      <c r="V28" s="109">
        <f t="shared" si="16"/>
        <v>4.8744367168129746E-3</v>
      </c>
      <c r="W28" s="109">
        <f t="shared" si="16"/>
        <v>5.0778782085802304E-3</v>
      </c>
      <c r="X28" s="109">
        <f t="shared" si="16"/>
        <v>4.6803248260904743E-3</v>
      </c>
      <c r="Y28" s="109">
        <f t="shared" si="16"/>
        <v>4.7232544950020286E-3</v>
      </c>
      <c r="Z28" s="109">
        <f t="shared" si="16"/>
        <v>5.8377158470915291E-3</v>
      </c>
      <c r="AA28" s="109">
        <f t="shared" si="16"/>
        <v>6.2084716081039649E-3</v>
      </c>
      <c r="AB28" s="109">
        <f t="shared" si="16"/>
        <v>6.107433896958025E-3</v>
      </c>
      <c r="AC28" s="109">
        <f t="shared" si="16"/>
        <v>6.311119711458652E-3</v>
      </c>
      <c r="AD28" s="109">
        <f t="shared" si="16"/>
        <v>6.6556108266419356E-3</v>
      </c>
      <c r="AE28" s="109">
        <f t="shared" si="16"/>
        <v>7.0747961216280769E-3</v>
      </c>
      <c r="AF28" s="109">
        <f t="shared" si="16"/>
        <v>7.6220223887566042E-3</v>
      </c>
      <c r="AG28" s="109">
        <f t="shared" si="16"/>
        <v>7.6814834611984659E-3</v>
      </c>
      <c r="AH28" s="109">
        <f t="shared" si="16"/>
        <v>8.118638718160329E-3</v>
      </c>
      <c r="AI28" s="109">
        <f t="shared" si="16"/>
        <v>8.2796192616805837E-3</v>
      </c>
      <c r="AJ28" s="109">
        <f t="shared" si="16"/>
        <v>6.2192243744079254E-3</v>
      </c>
      <c r="AK28" s="109">
        <f t="shared" si="16"/>
        <v>7.5886828546387454E-3</v>
      </c>
      <c r="AL28" s="109">
        <f t="shared" si="16"/>
        <v>7.8508757357829417E-3</v>
      </c>
      <c r="AM28" s="109">
        <f t="shared" si="16"/>
        <v>7.8437425678143692E-3</v>
      </c>
      <c r="AN28" s="109">
        <f t="shared" si="16"/>
        <v>8.0573923752232501E-3</v>
      </c>
      <c r="AO28" s="109">
        <f t="shared" si="16"/>
        <v>8.0806359467547675E-3</v>
      </c>
      <c r="AP28" s="109">
        <f t="shared" si="16"/>
        <v>2.0137782021726228E-2</v>
      </c>
      <c r="AQ28" s="109">
        <f t="shared" si="16"/>
        <v>2.0504237443431668E-2</v>
      </c>
      <c r="AR28" s="109">
        <f t="shared" si="16"/>
        <v>9.8585247236241385E-3</v>
      </c>
      <c r="AS28" s="109">
        <f t="shared" si="16"/>
        <v>9.607649872419452E-3</v>
      </c>
      <c r="AT28" s="109">
        <f t="shared" si="16"/>
        <v>9.577952846987401E-3</v>
      </c>
      <c r="AU28" s="109">
        <f t="shared" si="16"/>
        <v>9.5803506870733701E-3</v>
      </c>
      <c r="AV28" s="109">
        <f t="shared" si="16"/>
        <v>1.1982156175205943E-2</v>
      </c>
      <c r="AW28" s="109">
        <f t="shared" si="16"/>
        <v>1.2900075626971335E-2</v>
      </c>
      <c r="AX28" s="109">
        <f t="shared" si="16"/>
        <v>1.2157913801437529E-2</v>
      </c>
      <c r="AY28" s="109">
        <f t="shared" si="16"/>
        <v>1.489662656111485E-2</v>
      </c>
      <c r="AZ28" s="109">
        <f t="shared" si="16"/>
        <v>1.6618085398558718E-2</v>
      </c>
      <c r="BA28" s="109">
        <f t="shared" si="16"/>
        <v>1.751746210533894E-2</v>
      </c>
      <c r="BB28" s="109">
        <f t="shared" si="16"/>
        <v>1.1511685296114968E-2</v>
      </c>
      <c r="BC28" s="109">
        <f t="shared" si="16"/>
        <v>1.191836196240632E-2</v>
      </c>
      <c r="BD28" s="109">
        <f t="shared" si="16"/>
        <v>1.2895106297325716E-3</v>
      </c>
      <c r="BE28" s="109">
        <f t="shared" si="16"/>
        <v>-8.1061450690955662E-4</v>
      </c>
      <c r="BF28" s="109">
        <f t="shared" si="16"/>
        <v>3.655745865289612E-2</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-1.9888637284095605</v>
      </c>
      <c r="F29" s="108">
        <f t="shared" ref="F29:BQ29" si="18">(F4-J4)/J4</f>
        <v>-0.42168990816401464</v>
      </c>
      <c r="G29" s="108">
        <f t="shared" si="18"/>
        <v>-0.56279422895284625</v>
      </c>
      <c r="H29" s="108">
        <f t="shared" si="18"/>
        <v>0.65880709575052354</v>
      </c>
      <c r="I29" s="108">
        <f t="shared" si="18"/>
        <v>0.40165032107054455</v>
      </c>
      <c r="J29" s="108">
        <f t="shared" si="18"/>
        <v>1.3539303511315623</v>
      </c>
      <c r="K29" s="108">
        <f t="shared" si="18"/>
        <v>4.3942688509504109</v>
      </c>
      <c r="L29" s="108">
        <f t="shared" si="18"/>
        <v>4.7963141304185548</v>
      </c>
      <c r="M29" s="108">
        <f t="shared" si="18"/>
        <v>4.6808435730109768</v>
      </c>
      <c r="N29" s="108">
        <f t="shared" si="18"/>
        <v>1.1020750717189498</v>
      </c>
      <c r="O29" s="108">
        <f t="shared" si="18"/>
        <v>-0.33699310205806388</v>
      </c>
      <c r="P29" s="108">
        <f t="shared" si="18"/>
        <v>-7.5845391223871971E-3</v>
      </c>
      <c r="Q29" s="108">
        <f t="shared" si="18"/>
        <v>0.26324705695369466</v>
      </c>
      <c r="R29" s="108">
        <f t="shared" si="18"/>
        <v>0.53990837670731273</v>
      </c>
      <c r="S29" s="108">
        <f t="shared" si="18"/>
        <v>0.61204441446581648</v>
      </c>
      <c r="T29" s="108">
        <f t="shared" si="18"/>
        <v>3.8273316277336371E-2</v>
      </c>
      <c r="U29" s="108">
        <f t="shared" si="18"/>
        <v>-0.30612624115867337</v>
      </c>
      <c r="V29" s="108">
        <f t="shared" si="18"/>
        <v>1.3009222107304645</v>
      </c>
      <c r="W29" s="108">
        <f t="shared" si="18"/>
        <v>0.2717267593183455</v>
      </c>
      <c r="X29" s="108">
        <f t="shared" si="18"/>
        <v>0.95095223935336159</v>
      </c>
      <c r="Y29" s="108">
        <f t="shared" si="18"/>
        <v>0.53186226838770667</v>
      </c>
      <c r="Z29" s="108">
        <f t="shared" si="18"/>
        <v>-0.53701415172373657</v>
      </c>
      <c r="AA29" s="108">
        <f t="shared" si="18"/>
        <v>-0.10052351231116201</v>
      </c>
      <c r="AB29" s="108">
        <f t="shared" si="18"/>
        <v>-0.43623591476622747</v>
      </c>
      <c r="AC29" s="108">
        <f t="shared" si="18"/>
        <v>-0.46339131183298288</v>
      </c>
      <c r="AD29" s="108">
        <f t="shared" si="18"/>
        <v>1.0779986016507768</v>
      </c>
      <c r="AE29" s="108">
        <f t="shared" si="18"/>
        <v>7.4839770536056216</v>
      </c>
      <c r="AF29" s="108">
        <f t="shared" si="18"/>
        <v>-7.9864309607436974</v>
      </c>
      <c r="AG29" s="108">
        <f t="shared" si="18"/>
        <v>-26.232139772891735</v>
      </c>
      <c r="AH29" s="108">
        <f t="shared" si="18"/>
        <v>4.9271802781827265</v>
      </c>
      <c r="AI29" s="108">
        <f t="shared" si="18"/>
        <v>0.45850581862803219</v>
      </c>
      <c r="AJ29" s="108">
        <f t="shared" si="18"/>
        <v>-2.6135816908618552</v>
      </c>
      <c r="AK29" s="108">
        <f t="shared" si="18"/>
        <v>-1.1573281102120727</v>
      </c>
      <c r="AL29" s="108">
        <f t="shared" si="18"/>
        <v>-0.44468479157678481</v>
      </c>
      <c r="AM29" s="108">
        <f t="shared" si="18"/>
        <v>-0.22785300315833873</v>
      </c>
      <c r="AN29" s="108">
        <f t="shared" si="18"/>
        <v>-1.3473566126735423</v>
      </c>
      <c r="AO29" s="108">
        <f t="shared" si="18"/>
        <v>2.609405939637834</v>
      </c>
      <c r="AP29" s="108">
        <f t="shared" si="18"/>
        <v>-1.584815828288366</v>
      </c>
      <c r="AQ29" s="108">
        <f t="shared" si="18"/>
        <v>-1.3665642232835138</v>
      </c>
      <c r="AR29" s="108">
        <f t="shared" si="18"/>
        <v>-0.33412073435231077</v>
      </c>
      <c r="AS29" s="108">
        <f t="shared" si="18"/>
        <v>-1.2760170006204274</v>
      </c>
      <c r="AT29" s="108">
        <f t="shared" si="18"/>
        <v>0.60566111911889842</v>
      </c>
      <c r="AU29" s="108">
        <f t="shared" si="18"/>
        <v>-3.6139405233202365E-3</v>
      </c>
      <c r="AV29" s="108">
        <f t="shared" si="18"/>
        <v>8.7172932335480485E-2</v>
      </c>
      <c r="AW29" s="108">
        <f t="shared" si="18"/>
        <v>-0.45820472125443712</v>
      </c>
      <c r="AX29" s="108">
        <f t="shared" si="18"/>
        <v>0.42985534848946266</v>
      </c>
      <c r="AY29" s="108">
        <f t="shared" si="18"/>
        <v>0.47546104006194412</v>
      </c>
      <c r="AZ29" s="108">
        <f t="shared" si="18"/>
        <v>0.36704002507001021</v>
      </c>
      <c r="BA29" s="108">
        <f t="shared" si="18"/>
        <v>0.71620035843637897</v>
      </c>
      <c r="BB29" s="108">
        <f t="shared" si="18"/>
        <v>-0.42825920118723954</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0.79616834833409056</v>
      </c>
      <c r="F30" s="108">
        <f t="shared" ref="F30:BQ30" si="20">(F5-J5)/J5</f>
        <v>0.55887837203469126</v>
      </c>
      <c r="G30" s="108">
        <f t="shared" si="20"/>
        <v>0.51212300126194876</v>
      </c>
      <c r="H30" s="108">
        <f t="shared" si="20"/>
        <v>0.77210380639908949</v>
      </c>
      <c r="I30" s="108">
        <f t="shared" si="20"/>
        <v>0.78588679566414588</v>
      </c>
      <c r="J30" s="108">
        <f t="shared" si="20"/>
        <v>0.90722467468831236</v>
      </c>
      <c r="K30" s="108">
        <f t="shared" si="20"/>
        <v>3.7611008323054684</v>
      </c>
      <c r="L30" s="108">
        <f t="shared" si="20"/>
        <v>4.0967260496875779</v>
      </c>
      <c r="M30" s="108">
        <f t="shared" si="20"/>
        <v>3.6372785060540171</v>
      </c>
      <c r="N30" s="108">
        <f t="shared" si="20"/>
        <v>2.1384858185375384</v>
      </c>
      <c r="O30" s="108">
        <f t="shared" si="20"/>
        <v>9.3314905847145559E-3</v>
      </c>
      <c r="P30" s="108">
        <f t="shared" si="20"/>
        <v>3.3104242534439367E-2</v>
      </c>
      <c r="Q30" s="108">
        <f t="shared" si="20"/>
        <v>0.16094581690935644</v>
      </c>
      <c r="R30" s="108">
        <f t="shared" si="20"/>
        <v>9.9738661278018406E-2</v>
      </c>
      <c r="S30" s="108">
        <f t="shared" si="20"/>
        <v>0.13699188226903683</v>
      </c>
      <c r="T30" s="108">
        <f t="shared" si="20"/>
        <v>-3.4883442102382485E-2</v>
      </c>
      <c r="U30" s="108">
        <f t="shared" si="20"/>
        <v>-0.15516374578656922</v>
      </c>
      <c r="V30" s="108">
        <f t="shared" si="20"/>
        <v>0.31957863199456188</v>
      </c>
      <c r="W30" s="108">
        <f t="shared" si="20"/>
        <v>8.1761229890619166E-2</v>
      </c>
      <c r="X30" s="108">
        <f t="shared" si="20"/>
        <v>0.14849604992590368</v>
      </c>
      <c r="Y30" s="108">
        <f t="shared" si="20"/>
        <v>7.8709876828217271E-2</v>
      </c>
      <c r="Z30" s="108">
        <f t="shared" si="20"/>
        <v>-0.13365554541279928</v>
      </c>
      <c r="AA30" s="108">
        <f t="shared" si="20"/>
        <v>2.2615030980832319E-2</v>
      </c>
      <c r="AB30" s="108">
        <f t="shared" si="20"/>
        <v>0.21424002809079398</v>
      </c>
      <c r="AC30" s="108">
        <f t="shared" si="20"/>
        <v>0.22370703195820182</v>
      </c>
      <c r="AD30" s="108">
        <f t="shared" si="20"/>
        <v>0.35102703815982367</v>
      </c>
      <c r="AE30" s="108">
        <f t="shared" si="20"/>
        <v>0.84624978526420991</v>
      </c>
      <c r="AF30" s="108">
        <f t="shared" si="20"/>
        <v>0.96441424060776637</v>
      </c>
      <c r="AG30" s="108">
        <f t="shared" si="20"/>
        <v>0.55074313837745703</v>
      </c>
      <c r="AH30" s="108">
        <f t="shared" si="20"/>
        <v>0.45903232205929284</v>
      </c>
      <c r="AI30" s="108">
        <f t="shared" si="20"/>
        <v>0.16581889051432813</v>
      </c>
      <c r="AJ30" s="108">
        <f t="shared" si="20"/>
        <v>-0.1059173551724943</v>
      </c>
      <c r="AK30" s="108">
        <f t="shared" si="20"/>
        <v>0.11740228510657333</v>
      </c>
      <c r="AL30" s="108">
        <f t="shared" si="20"/>
        <v>0.21368897404238368</v>
      </c>
      <c r="AM30" s="108">
        <f t="shared" si="20"/>
        <v>0.24955355589740683</v>
      </c>
      <c r="AN30" s="108">
        <f t="shared" si="20"/>
        <v>0.33427205675003174</v>
      </c>
      <c r="AO30" s="108">
        <f t="shared" si="20"/>
        <v>-6.7721080690924002E-2</v>
      </c>
      <c r="AP30" s="108">
        <f t="shared" si="20"/>
        <v>0.2525072508728366</v>
      </c>
      <c r="AQ30" s="108">
        <f t="shared" si="20"/>
        <v>0.24407718759109601</v>
      </c>
      <c r="AR30" s="108">
        <f t="shared" si="20"/>
        <v>-0.20610706165177481</v>
      </c>
      <c r="AS30" s="108">
        <f t="shared" si="20"/>
        <v>0.33922530312118127</v>
      </c>
      <c r="AT30" s="108">
        <f t="shared" si="20"/>
        <v>-9.6945321673086046E-2</v>
      </c>
      <c r="AU30" s="108">
        <f t="shared" si="20"/>
        <v>4.0619747985364718E-2</v>
      </c>
      <c r="AV30" s="108">
        <f t="shared" si="20"/>
        <v>-0.13092563038606198</v>
      </c>
      <c r="AW30" s="108">
        <f t="shared" si="20"/>
        <v>0.22537912687470138</v>
      </c>
      <c r="AX30" s="108">
        <f t="shared" si="20"/>
        <v>-0.11118818426026045</v>
      </c>
      <c r="AY30" s="108">
        <f t="shared" si="20"/>
        <v>-0.26496319266807372</v>
      </c>
      <c r="AZ30" s="108">
        <f t="shared" si="20"/>
        <v>-0.20031981130687351</v>
      </c>
      <c r="BA30" s="108">
        <f t="shared" si="20"/>
        <v>-0.26036647858807904</v>
      </c>
      <c r="BB30" s="108">
        <f t="shared" si="20"/>
        <v>0.8603995564850313</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1.5887877523392313</v>
      </c>
      <c r="F31" s="108">
        <f t="shared" ref="F31:BQ31" si="22">(F6-J6)/J6</f>
        <v>1.4403239288887424</v>
      </c>
      <c r="G31" s="108">
        <f t="shared" si="22"/>
        <v>1.5856136069505748</v>
      </c>
      <c r="H31" s="108">
        <f t="shared" si="22"/>
        <v>0.84935985478628573</v>
      </c>
      <c r="I31" s="108">
        <f t="shared" si="22"/>
        <v>0.93700777922275524</v>
      </c>
      <c r="J31" s="108">
        <f t="shared" si="22"/>
        <v>0.62928935759382632</v>
      </c>
      <c r="K31" s="108">
        <f t="shared" si="22"/>
        <v>3.261552565903203</v>
      </c>
      <c r="L31" s="108">
        <f t="shared" si="22"/>
        <v>3.7091571990979881</v>
      </c>
      <c r="M31" s="108">
        <f t="shared" si="22"/>
        <v>3.3248142500482336</v>
      </c>
      <c r="N31" s="108">
        <f t="shared" si="22"/>
        <v>3.5273049892862294</v>
      </c>
      <c r="O31" s="108">
        <f t="shared" si="22"/>
        <v>0.71690076288381566</v>
      </c>
      <c r="P31" s="108">
        <f t="shared" si="22"/>
        <v>5.711522641506548E-2</v>
      </c>
      <c r="Q31" s="108">
        <f t="shared" si="22"/>
        <v>0.13346179412649264</v>
      </c>
      <c r="R31" s="108">
        <f t="shared" si="22"/>
        <v>-0.20483702042711704</v>
      </c>
      <c r="S31" s="108">
        <f t="shared" si="22"/>
        <v>-0.29030026391463454</v>
      </c>
      <c r="T31" s="108">
        <f t="shared" si="22"/>
        <v>-7.3410462507931706E-2</v>
      </c>
      <c r="U31" s="108">
        <f t="shared" si="22"/>
        <v>-0.10271714138138185</v>
      </c>
      <c r="V31" s="108">
        <f t="shared" si="22"/>
        <v>1.8887591448329279E-2</v>
      </c>
      <c r="W31" s="108">
        <f t="shared" si="22"/>
        <v>-4.6367184786764881E-2</v>
      </c>
      <c r="X31" s="108">
        <f t="shared" si="22"/>
        <v>-5.5989447407503154E-2</v>
      </c>
      <c r="Y31" s="108">
        <f t="shared" si="22"/>
        <v>-2.181926434532697E-2</v>
      </c>
      <c r="Z31" s="108">
        <f t="shared" si="22"/>
        <v>0.18182857126701954</v>
      </c>
      <c r="AA31" s="108">
        <f t="shared" si="22"/>
        <v>0.12664591605999809</v>
      </c>
      <c r="AB31" s="108">
        <f t="shared" si="22"/>
        <v>0.71993238328944609</v>
      </c>
      <c r="AC31" s="108">
        <f t="shared" si="22"/>
        <v>0.70922941470027556</v>
      </c>
      <c r="AD31" s="108">
        <f t="shared" si="22"/>
        <v>6.0771672329295756E-2</v>
      </c>
      <c r="AE31" s="108">
        <f t="shared" si="22"/>
        <v>0.11154257431684582</v>
      </c>
      <c r="AF31" s="108">
        <f t="shared" si="22"/>
        <v>-1.5829600569987778E-2</v>
      </c>
      <c r="AG31" s="108">
        <f t="shared" si="22"/>
        <v>-0.11388933672257061</v>
      </c>
      <c r="AH31" s="108">
        <f t="shared" si="22"/>
        <v>0.12148437552268761</v>
      </c>
      <c r="AI31" s="108">
        <f t="shared" si="22"/>
        <v>0.14048626984905038</v>
      </c>
      <c r="AJ31" s="108">
        <f t="shared" si="22"/>
        <v>7.7462021951536397E-2</v>
      </c>
      <c r="AK31" s="108">
        <f t="shared" si="22"/>
        <v>0.39861457780570231</v>
      </c>
      <c r="AL31" s="108">
        <f t="shared" si="22"/>
        <v>0.33308767062160877</v>
      </c>
      <c r="AM31" s="108">
        <f t="shared" si="22"/>
        <v>0.32020251093760127</v>
      </c>
      <c r="AN31" s="108">
        <f t="shared" si="22"/>
        <v>-1.4589317765494894E-2</v>
      </c>
      <c r="AO31" s="108">
        <f t="shared" si="22"/>
        <v>-0.19881486262921172</v>
      </c>
      <c r="AP31" s="108">
        <f t="shared" si="22"/>
        <v>-0.20210372586588515</v>
      </c>
      <c r="AQ31" s="108">
        <f t="shared" si="22"/>
        <v>-0.24611832650370183</v>
      </c>
      <c r="AR31" s="108">
        <f t="shared" si="22"/>
        <v>-0.23655523691507627</v>
      </c>
      <c r="AS31" s="108">
        <f t="shared" si="22"/>
        <v>4.0935299358241584E-2</v>
      </c>
      <c r="AT31" s="108">
        <f t="shared" si="22"/>
        <v>1.2700941904041399E-2</v>
      </c>
      <c r="AU31" s="108">
        <f t="shared" si="22"/>
        <v>2.6747096757307538E-2</v>
      </c>
      <c r="AV31" s="108">
        <f t="shared" si="22"/>
        <v>-8.7379527686995959E-2</v>
      </c>
      <c r="AW31" s="108">
        <f t="shared" si="22"/>
        <v>-6.1814809044970836E-3</v>
      </c>
      <c r="AX31" s="108">
        <f t="shared" si="22"/>
        <v>-5.540989257982986E-2</v>
      </c>
      <c r="AY31" s="108">
        <f t="shared" si="22"/>
        <v>-0.12767337873853848</v>
      </c>
      <c r="AZ31" s="108">
        <f t="shared" si="22"/>
        <v>-0.12806659872128501</v>
      </c>
      <c r="BA31" s="108">
        <f t="shared" si="22"/>
        <v>-8.375522003013279E-2</v>
      </c>
      <c r="BB31" s="108">
        <f t="shared" si="22"/>
        <v>0.50961665050476379</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2.2188178584342011</v>
      </c>
      <c r="F32" s="109">
        <f t="shared" ref="F32:BQ32" si="24">(F7-J7)/J7</f>
        <v>0.69959553489724946</v>
      </c>
      <c r="G32" s="109">
        <f t="shared" si="24"/>
        <v>0.54876174576275361</v>
      </c>
      <c r="H32" s="109">
        <f t="shared" si="24"/>
        <v>0.49208563383909798</v>
      </c>
      <c r="I32" s="109">
        <f t="shared" si="24"/>
        <v>0.46881647723827041</v>
      </c>
      <c r="J32" s="109">
        <f t="shared" si="24"/>
        <v>0.35508574246182217</v>
      </c>
      <c r="K32" s="109">
        <f t="shared" si="24"/>
        <v>10.4385680172258</v>
      </c>
      <c r="L32" s="109">
        <f t="shared" si="24"/>
        <v>9.0861932391344027</v>
      </c>
      <c r="M32" s="109">
        <f t="shared" si="24"/>
        <v>8.5937298686953465</v>
      </c>
      <c r="N32" s="109">
        <f t="shared" si="24"/>
        <v>6.9666918892741307</v>
      </c>
      <c r="O32" s="109">
        <f t="shared" si="24"/>
        <v>-0.12201161548713091</v>
      </c>
      <c r="P32" s="109">
        <f t="shared" si="24"/>
        <v>-0.11818001360324873</v>
      </c>
      <c r="Q32" s="109">
        <f t="shared" si="24"/>
        <v>-0.12128340803993769</v>
      </c>
      <c r="R32" s="109">
        <f t="shared" si="24"/>
        <v>-0.37373249909241069</v>
      </c>
      <c r="S32" s="109">
        <f t="shared" si="24"/>
        <v>-0.33132032487369867</v>
      </c>
      <c r="T32" s="109">
        <f t="shared" si="24"/>
        <v>-0.33520243481731421</v>
      </c>
      <c r="U32" s="109">
        <f t="shared" si="24"/>
        <v>-0.31711455723198068</v>
      </c>
      <c r="V32" s="109">
        <f t="shared" si="24"/>
        <v>0.3340777377342169</v>
      </c>
      <c r="W32" s="109">
        <f t="shared" si="24"/>
        <v>0.26231652023212437</v>
      </c>
      <c r="X32" s="109">
        <f t="shared" si="24"/>
        <v>0.26405758343594971</v>
      </c>
      <c r="Y32" s="109">
        <f t="shared" si="24"/>
        <v>0.24431162374828563</v>
      </c>
      <c r="Z32" s="109">
        <f t="shared" si="24"/>
        <v>0.52410231706389931</v>
      </c>
      <c r="AA32" s="109">
        <f t="shared" si="24"/>
        <v>0.38319960025693484</v>
      </c>
      <c r="AB32" s="109">
        <f t="shared" si="24"/>
        <v>0.52926917272392016</v>
      </c>
      <c r="AC32" s="109">
        <f t="shared" si="24"/>
        <v>1.1005645555413965</v>
      </c>
      <c r="AD32" s="109">
        <f t="shared" si="24"/>
        <v>0.48013954645694201</v>
      </c>
      <c r="AE32" s="109">
        <f t="shared" si="24"/>
        <v>0.61444811377003983</v>
      </c>
      <c r="AF32" s="109">
        <f t="shared" si="24"/>
        <v>0.43661736442042565</v>
      </c>
      <c r="AG32" s="109">
        <f t="shared" si="24"/>
        <v>1.833871312530478E-2</v>
      </c>
      <c r="AH32" s="109">
        <f t="shared" si="24"/>
        <v>-0.10983304582428699</v>
      </c>
      <c r="AI32" s="109">
        <f t="shared" si="24"/>
        <v>-0.11591441444635195</v>
      </c>
      <c r="AJ32" s="109">
        <f t="shared" si="24"/>
        <v>-0.12495277764671414</v>
      </c>
      <c r="AK32" s="109">
        <f t="shared" si="24"/>
        <v>-0.11914167312655598</v>
      </c>
      <c r="AL32" s="109">
        <f t="shared" si="24"/>
        <v>-0.16235710279035737</v>
      </c>
      <c r="AM32" s="109">
        <f t="shared" si="24"/>
        <v>-0.16122574609205295</v>
      </c>
      <c r="AN32" s="109">
        <f t="shared" si="24"/>
        <v>-0.18878876435362654</v>
      </c>
      <c r="AO32" s="109">
        <f t="shared" si="24"/>
        <v>-0.17443345964650794</v>
      </c>
      <c r="AP32" s="109">
        <f t="shared" si="24"/>
        <v>-8.6642601142304099E-2</v>
      </c>
      <c r="AQ32" s="109">
        <f t="shared" si="24"/>
        <v>-8.9278642071490166E-2</v>
      </c>
      <c r="AR32" s="109">
        <f t="shared" si="24"/>
        <v>-4.5545587549892304E-2</v>
      </c>
      <c r="AS32" s="109">
        <f t="shared" si="24"/>
        <v>-6.092402544586021E-2</v>
      </c>
      <c r="AT32" s="109">
        <f t="shared" si="24"/>
        <v>-6.1551237095199718E-2</v>
      </c>
      <c r="AU32" s="109">
        <f t="shared" si="24"/>
        <v>-1.0606507969597447E-2</v>
      </c>
      <c r="AV32" s="109">
        <f t="shared" si="24"/>
        <v>6.7300328590638947E-2</v>
      </c>
      <c r="AW32" s="109">
        <f t="shared" si="24"/>
        <v>8.2849281516630707E-2</v>
      </c>
      <c r="AX32" s="109">
        <f t="shared" si="24"/>
        <v>0.15022756134925208</v>
      </c>
      <c r="AY32" s="109">
        <f t="shared" si="24"/>
        <v>0.13679670755764609</v>
      </c>
      <c r="AZ32" s="109">
        <f t="shared" si="24"/>
        <v>4.4485147640218624E-2</v>
      </c>
      <c r="BA32" s="109">
        <f t="shared" si="24"/>
        <v>0.33239911917981518</v>
      </c>
      <c r="BB32" s="109">
        <f t="shared" si="24"/>
        <v>0.51928989207857812</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0.72235559963309348</v>
      </c>
      <c r="F33" s="109">
        <f t="shared" ref="F33:BQ33" si="26">F7/F9</f>
        <v>0.50887234992618913</v>
      </c>
      <c r="G33" s="109">
        <f t="shared" si="26"/>
        <v>0.46898610632299603</v>
      </c>
      <c r="H33" s="109">
        <f t="shared" si="26"/>
        <v>0.4337568500754711</v>
      </c>
      <c r="I33" s="109">
        <f t="shared" si="26"/>
        <v>0.44194172416406036</v>
      </c>
      <c r="J33" s="109">
        <f t="shared" si="26"/>
        <v>0.40431618500074523</v>
      </c>
      <c r="K33" s="109">
        <f t="shared" si="26"/>
        <v>0.42715608743525896</v>
      </c>
      <c r="L33" s="109">
        <f t="shared" si="26"/>
        <v>0.3931935605898223</v>
      </c>
      <c r="M33" s="109">
        <f t="shared" si="26"/>
        <v>0.37497874514206553</v>
      </c>
      <c r="N33" s="109">
        <f t="shared" si="26"/>
        <v>0.39107654837731531</v>
      </c>
      <c r="O33" s="109">
        <f t="shared" si="26"/>
        <v>0.29402877550446693</v>
      </c>
      <c r="P33" s="109">
        <f t="shared" si="26"/>
        <v>0.31684333431845318</v>
      </c>
      <c r="Q33" s="109">
        <f t="shared" si="26"/>
        <v>0.27705904096079687</v>
      </c>
      <c r="R33" s="109">
        <f t="shared" si="26"/>
        <v>0.25195588508335853</v>
      </c>
      <c r="S33" s="109">
        <f t="shared" si="26"/>
        <v>0.26306041336011288</v>
      </c>
      <c r="T33" s="109">
        <f t="shared" si="26"/>
        <v>0.26053325824418794</v>
      </c>
      <c r="U33" s="109">
        <f t="shared" si="26"/>
        <v>0.27023314811043037</v>
      </c>
      <c r="V33" s="109">
        <f t="shared" si="26"/>
        <v>0.4788410141713989</v>
      </c>
      <c r="W33" s="109">
        <f t="shared" si="26"/>
        <v>0.47763032996518756</v>
      </c>
      <c r="X33" s="109">
        <f t="shared" si="26"/>
        <v>0.44050404523880288</v>
      </c>
      <c r="Y33" s="109">
        <f t="shared" si="26"/>
        <v>0.43751918239313109</v>
      </c>
      <c r="Z33" s="109">
        <f t="shared" si="26"/>
        <v>0.42692230116382512</v>
      </c>
      <c r="AA33" s="109">
        <f t="shared" si="26"/>
        <v>0.45867788707390467</v>
      </c>
      <c r="AB33" s="109">
        <f t="shared" si="26"/>
        <v>0.46107658302740817</v>
      </c>
      <c r="AC33" s="109">
        <f t="shared" si="26"/>
        <v>0.47198202872279882</v>
      </c>
      <c r="AD33" s="109">
        <f t="shared" si="26"/>
        <v>0.32417599656012747</v>
      </c>
      <c r="AE33" s="109">
        <f t="shared" si="26"/>
        <v>0.38215701852644895</v>
      </c>
      <c r="AF33" s="109">
        <f t="shared" si="26"/>
        <v>0.37296545567308376</v>
      </c>
      <c r="AG33" s="109">
        <f t="shared" si="26"/>
        <v>0.27639621060230402</v>
      </c>
      <c r="AH33" s="109">
        <f t="shared" si="26"/>
        <v>0.25784024508785597</v>
      </c>
      <c r="AI33" s="109">
        <f t="shared" si="26"/>
        <v>0.26869920673956682</v>
      </c>
      <c r="AJ33" s="109">
        <f t="shared" si="26"/>
        <v>0.25244930732936194</v>
      </c>
      <c r="AK33" s="109">
        <f t="shared" si="26"/>
        <v>0.26576880575512102</v>
      </c>
      <c r="AL33" s="109">
        <f t="shared" si="26"/>
        <v>0.28134293532574617</v>
      </c>
      <c r="AM33" s="109">
        <f t="shared" si="26"/>
        <v>0.29176436382250509</v>
      </c>
      <c r="AN33" s="109">
        <f t="shared" si="26"/>
        <v>0.30528299568824169</v>
      </c>
      <c r="AO33" s="109">
        <f t="shared" si="26"/>
        <v>0.31362849726238673</v>
      </c>
      <c r="AP33" s="109">
        <f t="shared" si="26"/>
        <v>0.35272013250782069</v>
      </c>
      <c r="AQ33" s="109">
        <f t="shared" si="26"/>
        <v>0.36468534445494427</v>
      </c>
      <c r="AR33" s="109">
        <f t="shared" si="26"/>
        <v>0.39087144127948109</v>
      </c>
      <c r="AS33" s="109">
        <f t="shared" si="26"/>
        <v>0.39627003644151571</v>
      </c>
      <c r="AT33" s="109">
        <f t="shared" si="26"/>
        <v>0.40115487059957256</v>
      </c>
      <c r="AU33" s="109">
        <f t="shared" si="26"/>
        <v>0.42502368310728311</v>
      </c>
      <c r="AV33" s="109">
        <f t="shared" si="26"/>
        <v>0.41203197526821533</v>
      </c>
      <c r="AW33" s="109">
        <f t="shared" si="26"/>
        <v>0.43489123533242258</v>
      </c>
      <c r="AX33" s="109">
        <f t="shared" si="26"/>
        <v>0.4478051947651987</v>
      </c>
      <c r="AY33" s="109">
        <f t="shared" si="26"/>
        <v>0.44541256079502883</v>
      </c>
      <c r="AZ33" s="109">
        <f t="shared" si="26"/>
        <v>0.41665093847171014</v>
      </c>
      <c r="BA33" s="109">
        <f t="shared" si="26"/>
        <v>0.42744774484356801</v>
      </c>
      <c r="BB33" s="109">
        <f t="shared" si="26"/>
        <v>0.37457607420260342</v>
      </c>
      <c r="BC33" s="109">
        <f t="shared" si="26"/>
        <v>0.38625823844775159</v>
      </c>
      <c r="BD33" s="109">
        <f t="shared" si="26"/>
        <v>0.73372700711689454</v>
      </c>
      <c r="BE33" s="109">
        <f t="shared" si="26"/>
        <v>0.66606132408232188</v>
      </c>
      <c r="BF33" s="109">
        <f t="shared" si="26"/>
        <v>0.68065142439454085</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0.60596040433415932</v>
      </c>
      <c r="F34" s="108">
        <f t="shared" ref="F34:BQ34" si="28">(F10-J10)/J10</f>
        <v>0.38745243809645491</v>
      </c>
      <c r="G34" s="108">
        <f t="shared" si="28"/>
        <v>0.87350679302742584</v>
      </c>
      <c r="H34" s="108">
        <f t="shared" si="28"/>
        <v>1.0582647534224536</v>
      </c>
      <c r="I34" s="108">
        <f t="shared" si="28"/>
        <v>0.81691638169394465</v>
      </c>
      <c r="J34" s="108">
        <f t="shared" si="28"/>
        <v>1.4448275154718428</v>
      </c>
      <c r="K34" s="108">
        <f t="shared" si="28"/>
        <v>11.997200353846154</v>
      </c>
      <c r="L34" s="108">
        <f t="shared" si="28"/>
        <v>315.09848706210386</v>
      </c>
      <c r="M34" s="108">
        <f t="shared" si="28"/>
        <v>5.801417150075677</v>
      </c>
      <c r="N34" s="108">
        <f t="shared" si="28"/>
        <v>1.395528682962963</v>
      </c>
      <c r="O34" s="108">
        <f t="shared" si="28"/>
        <v>-0.72043010752688175</v>
      </c>
      <c r="P34" s="108">
        <f t="shared" si="28"/>
        <v>-0.98906960010810818</v>
      </c>
      <c r="Q34" s="108">
        <f t="shared" si="28"/>
        <v>-0.54542443562499998</v>
      </c>
      <c r="R34" s="108">
        <f t="shared" si="28"/>
        <v>10.571428571428571</v>
      </c>
      <c r="S34" s="108">
        <f t="shared" si="28"/>
        <v>9.3333333333333339</v>
      </c>
      <c r="T34" s="108">
        <f t="shared" si="28"/>
        <v>7.8095238095238093</v>
      </c>
      <c r="U34" s="108">
        <f t="shared" si="28"/>
        <v>6.333333333333333</v>
      </c>
      <c r="V34" s="108">
        <f t="shared" si="28"/>
        <v>-0.125</v>
      </c>
      <c r="W34" s="108">
        <f t="shared" si="28"/>
        <v>0.125</v>
      </c>
      <c r="X34" s="108">
        <f t="shared" si="28"/>
        <v>-8.6956521739130432E-2</v>
      </c>
      <c r="Y34" s="108">
        <f t="shared" si="28"/>
        <v>0.19887363364428171</v>
      </c>
      <c r="Z34" s="108">
        <f t="shared" si="28"/>
        <v>-0.2</v>
      </c>
      <c r="AA34" s="108">
        <f t="shared" si="28"/>
        <v>0.6</v>
      </c>
      <c r="AB34" s="108">
        <f t="shared" si="28"/>
        <v>6.5439523867971481</v>
      </c>
      <c r="AC34" s="108">
        <f t="shared" si="28"/>
        <v>3.9443765424277974</v>
      </c>
      <c r="AD34" s="108">
        <f t="shared" si="28"/>
        <v>3</v>
      </c>
      <c r="AE34" s="108">
        <f t="shared" si="28"/>
        <v>0.42857142857142855</v>
      </c>
      <c r="AF34" s="108">
        <f t="shared" si="28"/>
        <v>-0.86744348999999998</v>
      </c>
      <c r="AG34" s="108">
        <f t="shared" si="28"/>
        <v>-0.79756001349999994</v>
      </c>
      <c r="AH34" s="108">
        <f t="shared" si="28"/>
        <v>-0.75</v>
      </c>
      <c r="AI34" s="108">
        <f t="shared" si="28"/>
        <v>-0.68888888888888888</v>
      </c>
      <c r="AJ34" s="108">
        <f t="shared" si="28"/>
        <v>1.7058823529411764</v>
      </c>
      <c r="AK34" s="108">
        <f t="shared" si="28"/>
        <v>0.81818181818181823</v>
      </c>
      <c r="AL34" s="108">
        <f t="shared" si="28"/>
        <v>0.81818181818181823</v>
      </c>
      <c r="AM34" s="108">
        <f t="shared" si="28"/>
        <v>0.55172413793103448</v>
      </c>
      <c r="AN34" s="108">
        <f t="shared" si="28"/>
        <v>-0.29166666666666669</v>
      </c>
      <c r="AO34" s="108">
        <f t="shared" si="28"/>
        <v>-8.3333333333333329E-2</v>
      </c>
      <c r="AP34" s="108">
        <f t="shared" si="28"/>
        <v>-0.21428571428571427</v>
      </c>
      <c r="AQ34" s="108">
        <f t="shared" si="28"/>
        <v>-0.27500000000000002</v>
      </c>
      <c r="AR34" s="108">
        <f t="shared" si="28"/>
        <v>-0.40451452426293166</v>
      </c>
      <c r="AS34" s="108">
        <f t="shared" si="28"/>
        <v>-0.2</v>
      </c>
      <c r="AT34" s="108">
        <f t="shared" si="28"/>
        <v>0.16666666666666666</v>
      </c>
      <c r="AU34" s="108">
        <f t="shared" si="28"/>
        <v>0.66666666666666663</v>
      </c>
      <c r="AV34" s="108">
        <f t="shared" si="28"/>
        <v>1.0151625</v>
      </c>
      <c r="AW34" s="108">
        <f t="shared" si="28"/>
        <v>0.5</v>
      </c>
      <c r="AX34" s="108">
        <f t="shared" si="28"/>
        <v>0.2</v>
      </c>
      <c r="AY34" s="108">
        <f t="shared" si="28"/>
        <v>1.6949152542372881E-2</v>
      </c>
      <c r="AZ34" s="108">
        <f t="shared" si="28"/>
        <v>-6.5420560747663545E-2</v>
      </c>
      <c r="BA34" s="108">
        <f t="shared" si="28"/>
        <v>-0.11504424778761062</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0.59253174578500289</v>
      </c>
      <c r="F35" s="108">
        <f t="shared" ref="F35:BQ35" si="30">F10/F12</f>
        <v>0.59085684077757827</v>
      </c>
      <c r="G35" s="108">
        <f t="shared" si="30"/>
        <v>0.60384017447768745</v>
      </c>
      <c r="H35" s="108">
        <f t="shared" si="30"/>
        <v>0.75215397752493551</v>
      </c>
      <c r="I35" s="108">
        <f t="shared" si="30"/>
        <v>0.7699364664466658</v>
      </c>
      <c r="J35" s="108">
        <f t="shared" si="30"/>
        <v>0.82035346894274541</v>
      </c>
      <c r="K35" s="108">
        <f t="shared" si="30"/>
        <v>0.86017582717588137</v>
      </c>
      <c r="L35" s="108">
        <f t="shared" si="30"/>
        <v>0.84730755606336161</v>
      </c>
      <c r="M35" s="108">
        <f t="shared" si="30"/>
        <v>0.81894425486462463</v>
      </c>
      <c r="N35" s="108">
        <f t="shared" si="30"/>
        <v>0.81556095750378788</v>
      </c>
      <c r="O35" s="108">
        <f t="shared" si="30"/>
        <v>0.72222222222222221</v>
      </c>
      <c r="P35" s="108">
        <f t="shared" si="30"/>
        <v>9.1822386516234658E-2</v>
      </c>
      <c r="Q35" s="108">
        <f t="shared" si="30"/>
        <v>0.78432493071926368</v>
      </c>
      <c r="R35" s="108">
        <f t="shared" si="30"/>
        <v>0.80698389768241197</v>
      </c>
      <c r="S35" s="108">
        <f t="shared" si="30"/>
        <v>0.82679527926566354</v>
      </c>
      <c r="T35" s="108">
        <f t="shared" si="30"/>
        <v>0.82442067736185387</v>
      </c>
      <c r="U35" s="108">
        <f t="shared" si="30"/>
        <v>0.81708449396471683</v>
      </c>
      <c r="V35" s="108">
        <f t="shared" si="30"/>
        <v>0.16786570743405277</v>
      </c>
      <c r="W35" s="108">
        <f t="shared" si="30"/>
        <v>0.20594965675057209</v>
      </c>
      <c r="X35" s="108">
        <f t="shared" si="30"/>
        <v>0.23230088495575221</v>
      </c>
      <c r="Y35" s="108">
        <f t="shared" si="30"/>
        <v>0.2569593147751606</v>
      </c>
      <c r="Z35" s="108">
        <f t="shared" si="30"/>
        <v>0.25236593059936907</v>
      </c>
      <c r="AA35" s="108">
        <f t="shared" si="30"/>
        <v>0.25236593059936907</v>
      </c>
      <c r="AB35" s="108">
        <f t="shared" si="30"/>
        <v>0.56930693069306926</v>
      </c>
      <c r="AC35" s="108">
        <f t="shared" si="30"/>
        <v>0.53499298589432953</v>
      </c>
      <c r="AD35" s="108">
        <f t="shared" si="30"/>
        <v>0.52167888255717698</v>
      </c>
      <c r="AE35" s="108">
        <f t="shared" si="30"/>
        <v>0.26143271135112722</v>
      </c>
      <c r="AF35" s="108">
        <f t="shared" si="30"/>
        <v>0.84068638851077415</v>
      </c>
      <c r="AG35" s="108">
        <f t="shared" si="30"/>
        <v>0.87512095919765109</v>
      </c>
      <c r="AH35" s="108">
        <f t="shared" si="30"/>
        <v>0.89641713705812309</v>
      </c>
      <c r="AI35" s="108">
        <f t="shared" si="30"/>
        <v>0.92375578531587754</v>
      </c>
      <c r="AJ35" s="108">
        <f t="shared" si="30"/>
        <v>0.95603246632884098</v>
      </c>
      <c r="AK35" s="108">
        <f t="shared" si="30"/>
        <v>0.94976861877000396</v>
      </c>
      <c r="AL35" s="108">
        <f t="shared" si="30"/>
        <v>0.90325024012817312</v>
      </c>
      <c r="AM35" s="108">
        <f t="shared" si="30"/>
        <v>0.91177893802453613</v>
      </c>
      <c r="AN35" s="108">
        <f t="shared" si="30"/>
        <v>0.72273011726933856</v>
      </c>
      <c r="AO35" s="108">
        <f t="shared" si="30"/>
        <v>0.77133657201198236</v>
      </c>
      <c r="AP35" s="108">
        <f t="shared" si="30"/>
        <v>0.95818815331010454</v>
      </c>
      <c r="AQ35" s="108">
        <f t="shared" si="30"/>
        <v>0.96795727636849127</v>
      </c>
      <c r="AR35" s="108">
        <f t="shared" si="30"/>
        <v>0.87927853988260096</v>
      </c>
      <c r="AS35" s="108">
        <f t="shared" si="30"/>
        <v>0.87927853988260096</v>
      </c>
      <c r="AT35" s="108">
        <f t="shared" si="30"/>
        <v>0.92302301488133431</v>
      </c>
      <c r="AU35" s="108">
        <f t="shared" si="30"/>
        <v>0.94484234952499557</v>
      </c>
      <c r="AV35" s="108">
        <f t="shared" si="30"/>
        <v>0.9452346385224939</v>
      </c>
      <c r="AW35" s="108">
        <f t="shared" si="30"/>
        <v>0.92778421700571978</v>
      </c>
      <c r="AX35" s="108">
        <f t="shared" si="30"/>
        <v>0.91133109486013009</v>
      </c>
      <c r="AY35" s="108">
        <f t="shared" si="30"/>
        <v>0.91133109486013009</v>
      </c>
      <c r="AZ35" s="108">
        <f t="shared" si="30"/>
        <v>0.89545135658131481</v>
      </c>
      <c r="BA35" s="108">
        <f t="shared" si="30"/>
        <v>0.89545135658131481</v>
      </c>
      <c r="BB35" s="108">
        <f t="shared" si="30"/>
        <v>0.89545135658131481</v>
      </c>
      <c r="BC35" s="108">
        <f t="shared" si="30"/>
        <v>0.9099635445006713</v>
      </c>
      <c r="BD35" s="108">
        <f t="shared" si="30"/>
        <v>0.90161809152011108</v>
      </c>
      <c r="BE35" s="108">
        <f t="shared" si="30"/>
        <v>0.9063527132734438</v>
      </c>
      <c r="BF35" s="108">
        <f t="shared" si="30"/>
        <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2.6959330225962992</v>
      </c>
      <c r="F36" s="108">
        <f t="shared" ref="F36:BQ36" si="32">(F11-J11)/J11</f>
        <v>3.3872594093617323</v>
      </c>
      <c r="G36" s="108">
        <f t="shared" si="32"/>
        <v>6.5615125071132336</v>
      </c>
      <c r="H36" s="108">
        <f t="shared" si="32"/>
        <v>2.7635697328402165</v>
      </c>
      <c r="I36" s="108">
        <f t="shared" si="32"/>
        <v>1.4556692236575506</v>
      </c>
      <c r="J36" s="108">
        <f t="shared" si="32"/>
        <v>1.367388913296447</v>
      </c>
      <c r="K36" s="108">
        <f t="shared" si="32"/>
        <v>4.493108619</v>
      </c>
      <c r="L36" s="108">
        <f t="shared" si="32"/>
        <v>4.759392386</v>
      </c>
      <c r="M36" s="108">
        <f t="shared" si="32"/>
        <v>4.4683141354545448</v>
      </c>
      <c r="N36" s="108">
        <f t="shared" si="32"/>
        <v>1.2650048418607651</v>
      </c>
      <c r="O36" s="108">
        <f t="shared" si="32"/>
        <v>-0.48671885025022454</v>
      </c>
      <c r="P36" s="108">
        <f t="shared" si="32"/>
        <v>-0.49238578680203043</v>
      </c>
      <c r="Q36" s="108">
        <f t="shared" si="32"/>
        <v>-0.44162436548223349</v>
      </c>
      <c r="R36" s="108">
        <f t="shared" si="32"/>
        <v>-0.44167867435158503</v>
      </c>
      <c r="S36" s="108">
        <f t="shared" si="32"/>
        <v>-0.43854466858789626</v>
      </c>
      <c r="T36" s="108">
        <f t="shared" si="32"/>
        <v>-0.43227665706051871</v>
      </c>
      <c r="U36" s="108">
        <f t="shared" si="32"/>
        <v>-0.43227665706051871</v>
      </c>
      <c r="V36" s="108">
        <f t="shared" si="32"/>
        <v>0.46413502109704641</v>
      </c>
      <c r="W36" s="108">
        <f t="shared" si="32"/>
        <v>0.46413502109704641</v>
      </c>
      <c r="X36" s="108">
        <f t="shared" si="32"/>
        <v>2.9885057471264367</v>
      </c>
      <c r="Y36" s="108">
        <f t="shared" si="32"/>
        <v>2.9885057471264367</v>
      </c>
      <c r="Z36" s="108">
        <f t="shared" si="32"/>
        <v>1.5848303714257441</v>
      </c>
      <c r="AA36" s="108">
        <f t="shared" si="32"/>
        <v>0.67783094492487739</v>
      </c>
      <c r="AB36" s="108">
        <f t="shared" si="32"/>
        <v>29.116290941994134</v>
      </c>
      <c r="AC36" s="108">
        <f t="shared" si="32"/>
        <v>29.116290941994134</v>
      </c>
      <c r="AD36" s="108">
        <f t="shared" si="32"/>
        <v>30.739386616656084</v>
      </c>
      <c r="AE36" s="108">
        <f t="shared" si="32"/>
        <v>47.897018347000213</v>
      </c>
      <c r="AF36" s="108">
        <f t="shared" si="32"/>
        <v>-0.45378897199960372</v>
      </c>
      <c r="AG36" s="108">
        <f t="shared" si="32"/>
        <v>-0.45378897199960372</v>
      </c>
      <c r="AH36" s="108">
        <f t="shared" si="32"/>
        <v>-0.73030309755011036</v>
      </c>
      <c r="AI36" s="108">
        <f t="shared" si="32"/>
        <v>-0.73461124284793033</v>
      </c>
      <c r="AJ36" s="108">
        <f t="shared" si="32"/>
        <v>-0.6756291429517689</v>
      </c>
      <c r="AK36" s="108">
        <f t="shared" si="32"/>
        <v>-0.6756291429517689</v>
      </c>
      <c r="AL36" s="108">
        <f t="shared" si="32"/>
        <v>3.4630378333333338</v>
      </c>
      <c r="AM36" s="108">
        <f t="shared" si="32"/>
        <v>3.5354878333333337</v>
      </c>
      <c r="AN36" s="108">
        <f t="shared" si="32"/>
        <v>0.97927536704961737</v>
      </c>
      <c r="AO36" s="108">
        <f t="shared" si="32"/>
        <v>0.97927536704961737</v>
      </c>
      <c r="AP36" s="108">
        <f t="shared" si="32"/>
        <v>-0.58888356930874008</v>
      </c>
      <c r="AQ36" s="108">
        <f t="shared" si="32"/>
        <v>-0.58888356930874008</v>
      </c>
      <c r="AR36" s="108">
        <f t="shared" si="32"/>
        <v>0.41111643069125992</v>
      </c>
      <c r="AS36" s="108">
        <f t="shared" si="32"/>
        <v>0.41111643069125992</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0.40746825421499711</v>
      </c>
      <c r="F37" s="108">
        <f t="shared" ref="F37:BQ37" si="34">F11/F12</f>
        <v>0.40914315922242167</v>
      </c>
      <c r="G37" s="108">
        <f t="shared" si="34"/>
        <v>0.3961598255223126</v>
      </c>
      <c r="H37" s="108">
        <f t="shared" si="34"/>
        <v>0.24784602247506454</v>
      </c>
      <c r="I37" s="108">
        <f t="shared" si="34"/>
        <v>0.23006353355333417</v>
      </c>
      <c r="J37" s="108">
        <f t="shared" si="34"/>
        <v>0.17964653105725459</v>
      </c>
      <c r="K37" s="108">
        <f t="shared" si="34"/>
        <v>0.1398241728241186</v>
      </c>
      <c r="L37" s="108">
        <f t="shared" si="34"/>
        <v>0.15269244393663836</v>
      </c>
      <c r="M37" s="108">
        <f t="shared" si="34"/>
        <v>0.18105574513537534</v>
      </c>
      <c r="N37" s="108">
        <f t="shared" si="34"/>
        <v>0.18443904249621212</v>
      </c>
      <c r="O37" s="110">
        <f t="shared" si="34"/>
        <v>0.27777777777777779</v>
      </c>
      <c r="P37" s="110">
        <f t="shared" si="34"/>
        <v>0.90817761348376536</v>
      </c>
      <c r="Q37" s="110">
        <f t="shared" si="34"/>
        <v>0.21567506928073638</v>
      </c>
      <c r="R37" s="110">
        <f t="shared" si="34"/>
        <v>0.19301610231758801</v>
      </c>
      <c r="S37" s="110">
        <f t="shared" si="34"/>
        <v>0.17320472073433646</v>
      </c>
      <c r="T37" s="110">
        <f t="shared" si="34"/>
        <v>0.17557932263814616</v>
      </c>
      <c r="U37" s="110">
        <f t="shared" si="34"/>
        <v>0.1829155060352832</v>
      </c>
      <c r="V37" s="110">
        <f t="shared" si="34"/>
        <v>0.83213429256594729</v>
      </c>
      <c r="W37" s="110">
        <f t="shared" si="34"/>
        <v>0.79405034324942791</v>
      </c>
      <c r="X37" s="110">
        <f t="shared" si="34"/>
        <v>0.76769911504424782</v>
      </c>
      <c r="Y37" s="110">
        <f t="shared" si="34"/>
        <v>0.74304068522483935</v>
      </c>
      <c r="Z37" s="110">
        <f t="shared" si="34"/>
        <v>0.74763406940063093</v>
      </c>
      <c r="AA37" s="110">
        <f t="shared" si="34"/>
        <v>0.74763406940063093</v>
      </c>
      <c r="AB37" s="110">
        <f t="shared" si="34"/>
        <v>0.43069306930693069</v>
      </c>
      <c r="AC37" s="110">
        <f t="shared" si="34"/>
        <v>0.46500701410567058</v>
      </c>
      <c r="AD37" s="110">
        <f t="shared" si="34"/>
        <v>0.47832111744282307</v>
      </c>
      <c r="AE37" s="110">
        <f t="shared" si="34"/>
        <v>0.73856728864887278</v>
      </c>
      <c r="AF37" s="110">
        <f t="shared" si="34"/>
        <v>0.15931361148922576</v>
      </c>
      <c r="AG37" s="110">
        <f t="shared" si="34"/>
        <v>0.12487904080234885</v>
      </c>
      <c r="AH37" s="110">
        <f t="shared" si="34"/>
        <v>0.10358286294187694</v>
      </c>
      <c r="AI37" s="110">
        <f t="shared" si="34"/>
        <v>7.6244214684122527E-2</v>
      </c>
      <c r="AJ37" s="110">
        <f t="shared" si="34"/>
        <v>4.3967533671158986E-2</v>
      </c>
      <c r="AK37" s="110">
        <f t="shared" si="34"/>
        <v>5.0231381229996028E-2</v>
      </c>
      <c r="AL37" s="110">
        <f t="shared" si="34"/>
        <v>9.6749759871826921E-2</v>
      </c>
      <c r="AM37" s="110">
        <f t="shared" si="34"/>
        <v>8.8221061975463921E-2</v>
      </c>
      <c r="AN37" s="110">
        <f t="shared" si="34"/>
        <v>0.27726988273066144</v>
      </c>
      <c r="AO37" s="110">
        <f t="shared" si="34"/>
        <v>0.22866342798801764</v>
      </c>
      <c r="AP37" s="110">
        <f t="shared" si="34"/>
        <v>4.1811846689895474E-2</v>
      </c>
      <c r="AQ37" s="110">
        <f t="shared" si="34"/>
        <v>3.2042723631508681E-2</v>
      </c>
      <c r="AR37" s="110">
        <f t="shared" si="34"/>
        <v>0.12072146011739894</v>
      </c>
      <c r="AS37" s="110">
        <f t="shared" si="34"/>
        <v>0.12072146011739894</v>
      </c>
      <c r="AT37" s="110">
        <f t="shared" si="34"/>
        <v>7.6976985118665603E-2</v>
      </c>
      <c r="AU37" s="110">
        <f t="shared" si="34"/>
        <v>5.515765047500442E-2</v>
      </c>
      <c r="AV37" s="110">
        <f t="shared" si="34"/>
        <v>5.4765361477506082E-2</v>
      </c>
      <c r="AW37" s="110">
        <f t="shared" si="34"/>
        <v>7.2215782994280137E-2</v>
      </c>
      <c r="AX37" s="110">
        <f t="shared" si="34"/>
        <v>8.8668905139869844E-2</v>
      </c>
      <c r="AY37" s="110">
        <f t="shared" si="34"/>
        <v>8.8668905139869844E-2</v>
      </c>
      <c r="AZ37" s="110">
        <f t="shared" si="34"/>
        <v>0.10454864341868512</v>
      </c>
      <c r="BA37" s="110">
        <f t="shared" si="34"/>
        <v>0.10454864341868512</v>
      </c>
      <c r="BB37" s="110">
        <f t="shared" si="34"/>
        <v>0.10454864341868512</v>
      </c>
      <c r="BC37" s="110">
        <f t="shared" si="34"/>
        <v>9.0036455499328663E-2</v>
      </c>
      <c r="BD37" s="110">
        <f t="shared" si="34"/>
        <v>9.8381908479888855E-2</v>
      </c>
      <c r="BE37" s="110">
        <f t="shared" si="34"/>
        <v>9.3647286726556103E-2</v>
      </c>
      <c r="BF37" s="110">
        <f t="shared" si="34"/>
        <v>1</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0.30694516970536773</v>
      </c>
      <c r="F39" s="224">
        <f t="shared" ref="F39:U39" si="37">F2/F9</f>
        <v>0.24502109903104949</v>
      </c>
      <c r="G39" s="224">
        <f t="shared" si="37"/>
        <v>0.29766052922988218</v>
      </c>
      <c r="H39" s="224">
        <f t="shared" si="37"/>
        <v>0.25496677940213686</v>
      </c>
      <c r="I39" s="224">
        <f t="shared" si="37"/>
        <v>0.27525144677051583</v>
      </c>
      <c r="J39" s="224">
        <f t="shared" si="37"/>
        <v>0.40470028751357345</v>
      </c>
      <c r="K39" s="224">
        <f t="shared" si="37"/>
        <v>0.40761586564143154</v>
      </c>
      <c r="L39" s="224">
        <f t="shared" si="37"/>
        <v>0.50467685111427674</v>
      </c>
      <c r="M39" s="224">
        <f t="shared" si="37"/>
        <v>0.55712750684664192</v>
      </c>
      <c r="N39" s="224">
        <f t="shared" si="37"/>
        <v>0.49519220832025151</v>
      </c>
      <c r="O39" s="224">
        <f t="shared" si="37"/>
        <v>0.46931978687728476</v>
      </c>
      <c r="P39" s="224">
        <f t="shared" si="37"/>
        <v>0.54978578284272239</v>
      </c>
      <c r="Q39" s="224">
        <f t="shared" si="37"/>
        <v>0.64597486764978795</v>
      </c>
      <c r="R39" s="224">
        <f t="shared" si="37"/>
        <v>0.52159644585910492</v>
      </c>
      <c r="S39" s="224">
        <f t="shared" si="37"/>
        <v>0.4589975146637682</v>
      </c>
      <c r="T39" s="224">
        <f t="shared" si="37"/>
        <v>0.6421054084656872</v>
      </c>
      <c r="U39" s="224">
        <f t="shared" si="37"/>
        <v>0.67670850913973535</v>
      </c>
    </row>
    <row r="40" spans="1:89" s="225" customFormat="1" x14ac:dyDescent="0.25">
      <c r="A40" s="222" t="s">
        <v>554</v>
      </c>
      <c r="B40" s="223"/>
      <c r="C40" s="223"/>
      <c r="D40" s="223"/>
      <c r="E40" s="224">
        <f>E3/E9</f>
        <v>3.2666753510378365E-3</v>
      </c>
      <c r="F40" s="224">
        <f t="shared" ref="F40:U40" si="38">F3/F9</f>
        <v>0.17611127799718537</v>
      </c>
      <c r="G40" s="224">
        <f t="shared" si="38"/>
        <v>0.18430898223877301</v>
      </c>
      <c r="H40" s="224">
        <f t="shared" si="38"/>
        <v>0.19974826254245845</v>
      </c>
      <c r="I40" s="224">
        <f t="shared" si="38"/>
        <v>0.2179497178260458</v>
      </c>
      <c r="J40" s="224">
        <f t="shared" si="38"/>
        <v>2.7540726843385203E-2</v>
      </c>
      <c r="K40" s="224">
        <f t="shared" si="38"/>
        <v>6.9886502653095589E-3</v>
      </c>
      <c r="L40" s="224">
        <f t="shared" si="38"/>
        <v>1.1192247699502987E-2</v>
      </c>
      <c r="M40" s="224">
        <f t="shared" si="38"/>
        <v>1.0226782132469848E-2</v>
      </c>
      <c r="N40" s="224">
        <f t="shared" si="38"/>
        <v>2.2723235121029754E-2</v>
      </c>
      <c r="O40" s="224">
        <f t="shared" si="38"/>
        <v>5.6807194286297271E-3</v>
      </c>
      <c r="P40" s="224">
        <f t="shared" si="38"/>
        <v>5.8574909754732039E-3</v>
      </c>
      <c r="Q40" s="224">
        <f t="shared" si="38"/>
        <v>5.0100219742507807E-3</v>
      </c>
      <c r="R40" s="224">
        <f t="shared" si="38"/>
        <v>4.2332980871601505E-3</v>
      </c>
      <c r="S40" s="224">
        <f t="shared" si="38"/>
        <v>4.293421180365989E-3</v>
      </c>
      <c r="T40" s="224">
        <f t="shared" si="38"/>
        <v>4.1946123853381393E-3</v>
      </c>
      <c r="U40" s="224">
        <f t="shared" si="38"/>
        <v>4.2387381275731878E-3</v>
      </c>
    </row>
    <row r="41" spans="1:89" x14ac:dyDescent="0.25">
      <c r="A41" s="184" t="s">
        <v>559</v>
      </c>
      <c r="B41" s="64"/>
      <c r="C41" s="64"/>
      <c r="D41" s="64"/>
      <c r="E41" s="90">
        <f>E4/E9</f>
        <v>-3.2567444689499056E-2</v>
      </c>
      <c r="F41" s="90">
        <f t="shared" ref="F41:U41" si="39">F4/F9</f>
        <v>6.9995273045575956E-2</v>
      </c>
      <c r="G41" s="90">
        <f t="shared" si="39"/>
        <v>4.9044382208348662E-2</v>
      </c>
      <c r="H41" s="90">
        <f t="shared" si="39"/>
        <v>0.11152810797993364</v>
      </c>
      <c r="I41" s="90">
        <f t="shared" si="39"/>
        <v>6.4857111239378026E-2</v>
      </c>
      <c r="J41" s="90">
        <f t="shared" si="39"/>
        <v>0.16344280064229627</v>
      </c>
      <c r="K41" s="90">
        <f t="shared" si="39"/>
        <v>0.15823939665800005</v>
      </c>
      <c r="L41" s="90">
        <f t="shared" si="39"/>
        <v>9.0937340596397978E-2</v>
      </c>
      <c r="M41" s="90">
        <f t="shared" si="39"/>
        <v>5.7666965878822758E-2</v>
      </c>
      <c r="N41" s="214">
        <f t="shared" si="39"/>
        <v>9.1008008181403352E-2</v>
      </c>
      <c r="O41" s="214">
        <f t="shared" si="39"/>
        <v>0.23097071818961862</v>
      </c>
      <c r="P41" s="214">
        <f t="shared" si="39"/>
        <v>0.12751339186335126</v>
      </c>
      <c r="Q41" s="214">
        <f t="shared" si="39"/>
        <v>7.1956069415164525E-2</v>
      </c>
      <c r="R41" s="214">
        <f t="shared" si="39"/>
        <v>0.22221437097037627</v>
      </c>
      <c r="S41" s="214">
        <f t="shared" si="39"/>
        <v>0.27364865079575285</v>
      </c>
      <c r="T41" s="214">
        <f t="shared" si="39"/>
        <v>9.3166720904786698E-2</v>
      </c>
      <c r="U41" s="214">
        <f t="shared" si="39"/>
        <v>4.8819604622261099E-2</v>
      </c>
    </row>
    <row r="42" spans="1:89" x14ac:dyDescent="0.25">
      <c r="A42" s="184" t="s">
        <v>335</v>
      </c>
      <c r="B42" s="64"/>
      <c r="C42" s="64"/>
      <c r="D42" s="64"/>
      <c r="E42" s="90">
        <f>E5/E9</f>
        <v>0.26701004949275131</v>
      </c>
      <c r="F42" s="90">
        <f t="shared" ref="F42:U42" si="40">F5/F9</f>
        <v>0.39857273216875716</v>
      </c>
      <c r="G42" s="90">
        <f t="shared" si="40"/>
        <v>0.33947592586406361</v>
      </c>
      <c r="H42" s="90">
        <f t="shared" si="40"/>
        <v>0.29387345547532689</v>
      </c>
      <c r="I42" s="90">
        <f t="shared" si="40"/>
        <v>0.29274597478961661</v>
      </c>
      <c r="J42" s="90">
        <f t="shared" si="40"/>
        <v>0.34526551753099605</v>
      </c>
      <c r="K42" s="90">
        <f t="shared" si="40"/>
        <v>0.31668908691622555</v>
      </c>
      <c r="L42" s="90">
        <f t="shared" si="40"/>
        <v>0.22429779301124997</v>
      </c>
      <c r="M42" s="90">
        <f t="shared" si="40"/>
        <v>0.20428956684406124</v>
      </c>
      <c r="N42" s="214">
        <f t="shared" si="40"/>
        <v>0.23727870987350266</v>
      </c>
      <c r="O42" s="214">
        <f t="shared" si="40"/>
        <v>0.52372175314838354</v>
      </c>
      <c r="P42" s="214">
        <f t="shared" si="40"/>
        <v>0.35768371887872563</v>
      </c>
      <c r="Q42" s="214">
        <f t="shared" si="40"/>
        <v>0.31227424646708912</v>
      </c>
      <c r="R42" s="214">
        <f t="shared" si="40"/>
        <v>0.38804255582116332</v>
      </c>
      <c r="S42" s="214">
        <f t="shared" si="40"/>
        <v>0.40758784406533238</v>
      </c>
      <c r="T42" s="214">
        <f t="shared" si="40"/>
        <v>0.25104614739659753</v>
      </c>
      <c r="U42" s="214">
        <f t="shared" si="40"/>
        <v>0.23053631075327011</v>
      </c>
    </row>
    <row r="43" spans="1:89" x14ac:dyDescent="0.25">
      <c r="A43" s="184" t="s">
        <v>336</v>
      </c>
      <c r="B43" s="64"/>
      <c r="C43" s="64"/>
      <c r="D43" s="64"/>
      <c r="E43" s="90">
        <f>E6/E9</f>
        <v>0.29957749418225033</v>
      </c>
      <c r="F43" s="90">
        <f t="shared" ref="F43:U43" si="41">F6/F9</f>
        <v>0.3285774591231812</v>
      </c>
      <c r="G43" s="90">
        <f t="shared" si="41"/>
        <v>0.29043154365571494</v>
      </c>
      <c r="H43" s="90">
        <f t="shared" si="41"/>
        <v>0.18234534749539322</v>
      </c>
      <c r="I43" s="90">
        <f t="shared" si="41"/>
        <v>0.22788886355023863</v>
      </c>
      <c r="J43" s="90">
        <f t="shared" si="41"/>
        <v>0.18182271688869975</v>
      </c>
      <c r="K43" s="90">
        <f t="shared" si="41"/>
        <v>0.1584496902582255</v>
      </c>
      <c r="L43" s="90">
        <f t="shared" si="41"/>
        <v>0.13336045241485198</v>
      </c>
      <c r="M43" s="90">
        <f t="shared" si="41"/>
        <v>0.14662260096523849</v>
      </c>
      <c r="N43" s="214">
        <f t="shared" si="41"/>
        <v>0.14627070169209933</v>
      </c>
      <c r="O43" s="214">
        <f t="shared" si="41"/>
        <v>0.29275103495876498</v>
      </c>
      <c r="P43" s="214">
        <f t="shared" si="41"/>
        <v>0.2301703270153744</v>
      </c>
      <c r="Q43" s="214">
        <f t="shared" si="41"/>
        <v>0.24031817705192463</v>
      </c>
      <c r="R43" s="214">
        <f t="shared" si="41"/>
        <v>0.16582818485078704</v>
      </c>
      <c r="S43" s="214">
        <f t="shared" si="41"/>
        <v>0.13393919326957951</v>
      </c>
      <c r="T43" s="214">
        <f t="shared" si="41"/>
        <v>0.15787942649181083</v>
      </c>
      <c r="U43" s="214">
        <f t="shared" si="41"/>
        <v>0.18171670613100901</v>
      </c>
    </row>
    <row r="44" spans="1:89" x14ac:dyDescent="0.25">
      <c r="A44" s="184" t="s">
        <v>337</v>
      </c>
      <c r="B44" s="64"/>
      <c r="C44" s="64"/>
      <c r="D44" s="64"/>
      <c r="E44" s="90">
        <f>E7/E9</f>
        <v>0.72235559963309348</v>
      </c>
      <c r="F44" s="90">
        <f t="shared" ref="F44:U44" si="42">F7/F9</f>
        <v>0.50887234992618913</v>
      </c>
      <c r="G44" s="90">
        <f t="shared" si="42"/>
        <v>0.46898610632299603</v>
      </c>
      <c r="H44" s="90">
        <f t="shared" si="42"/>
        <v>0.4337568500754711</v>
      </c>
      <c r="I44" s="90">
        <f t="shared" si="42"/>
        <v>0.44194172416406036</v>
      </c>
      <c r="J44" s="90">
        <f t="shared" si="42"/>
        <v>0.40431618500074523</v>
      </c>
      <c r="K44" s="90">
        <f t="shared" si="42"/>
        <v>0.42715608743525896</v>
      </c>
      <c r="L44" s="90">
        <f t="shared" si="42"/>
        <v>0.3931935605898223</v>
      </c>
      <c r="M44" s="90">
        <f t="shared" si="42"/>
        <v>0.37497874514206553</v>
      </c>
      <c r="N44" s="214">
        <f t="shared" si="42"/>
        <v>0.39107654837731531</v>
      </c>
      <c r="O44" s="214">
        <f t="shared" si="42"/>
        <v>0.29402877550446693</v>
      </c>
      <c r="P44" s="214">
        <f t="shared" si="42"/>
        <v>0.31684333431845318</v>
      </c>
      <c r="Q44" s="214">
        <f t="shared" si="42"/>
        <v>0.27705904096079687</v>
      </c>
      <c r="R44" s="214">
        <f t="shared" si="42"/>
        <v>0.25195588508335853</v>
      </c>
      <c r="S44" s="214">
        <f t="shared" si="42"/>
        <v>0.26306041336011288</v>
      </c>
      <c r="T44" s="214">
        <f t="shared" si="42"/>
        <v>0.26053325824418794</v>
      </c>
      <c r="U44" s="214">
        <f t="shared" si="42"/>
        <v>0.27023314811043037</v>
      </c>
    </row>
    <row r="45" spans="1:89" s="225" customFormat="1" x14ac:dyDescent="0.25">
      <c r="A45" s="222" t="s">
        <v>338</v>
      </c>
      <c r="B45" s="223"/>
      <c r="C45" s="223"/>
      <c r="D45" s="223"/>
      <c r="E45" s="224">
        <f>E8/E9</f>
        <v>0.68978815494359447</v>
      </c>
      <c r="F45" s="224">
        <f t="shared" ref="F45:U45" si="43">F8/F9</f>
        <v>0.57886762297176508</v>
      </c>
      <c r="G45" s="224">
        <f t="shared" si="43"/>
        <v>0.5180304885313447</v>
      </c>
      <c r="H45" s="224">
        <f t="shared" si="43"/>
        <v>0.54528495805540467</v>
      </c>
      <c r="I45" s="224">
        <f t="shared" si="43"/>
        <v>0.5067988354034384</v>
      </c>
      <c r="J45" s="224">
        <f t="shared" si="43"/>
        <v>0.5677589856430415</v>
      </c>
      <c r="K45" s="224">
        <f t="shared" si="43"/>
        <v>0.58539548409325892</v>
      </c>
      <c r="L45" s="224">
        <f t="shared" si="43"/>
        <v>0.48413090118622026</v>
      </c>
      <c r="M45" s="224">
        <f t="shared" si="43"/>
        <v>0.43264571102088822</v>
      </c>
      <c r="N45" s="224">
        <f t="shared" si="43"/>
        <v>0.48208455655871868</v>
      </c>
      <c r="O45" s="224">
        <f t="shared" si="43"/>
        <v>0.5249994936940855</v>
      </c>
      <c r="P45" s="224">
        <f t="shared" si="43"/>
        <v>0.44435672618180444</v>
      </c>
      <c r="Q45" s="224">
        <f t="shared" si="43"/>
        <v>0.34901511037596139</v>
      </c>
      <c r="R45" s="224">
        <f t="shared" si="43"/>
        <v>0.47417025605373486</v>
      </c>
      <c r="S45" s="224">
        <f t="shared" si="43"/>
        <v>0.53670906415586583</v>
      </c>
      <c r="T45" s="224">
        <f t="shared" si="43"/>
        <v>0.35369997914897466</v>
      </c>
      <c r="U45" s="224">
        <f t="shared" si="43"/>
        <v>0.31905275273269146</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0.16559370784141503</v>
      </c>
      <c r="F47" s="90">
        <f t="shared" ref="F47:U47" si="45">F10/F14</f>
        <v>0.21693068278595645</v>
      </c>
      <c r="G47" s="90">
        <f t="shared" si="45"/>
        <v>0.22208509487380482</v>
      </c>
      <c r="H47" s="90">
        <f t="shared" si="45"/>
        <v>0.25169545070662591</v>
      </c>
      <c r="I47" s="90">
        <f t="shared" si="45"/>
        <v>0.20305765263482611</v>
      </c>
      <c r="J47" s="90">
        <f t="shared" si="45"/>
        <v>0.21113524340509973</v>
      </c>
      <c r="K47" s="90">
        <f t="shared" si="45"/>
        <v>0.16721505498145062</v>
      </c>
      <c r="L47" s="90">
        <f t="shared" si="45"/>
        <v>0.16539711426844803</v>
      </c>
      <c r="M47" s="90">
        <f t="shared" si="45"/>
        <v>0.13928155355711994</v>
      </c>
      <c r="N47" s="214">
        <f t="shared" si="45"/>
        <v>0.11319309403554557</v>
      </c>
      <c r="O47" s="214">
        <f t="shared" si="45"/>
        <v>0.10129790338103639</v>
      </c>
      <c r="P47" s="214">
        <f t="shared" si="45"/>
        <v>4.252760970467992E-3</v>
      </c>
      <c r="Q47" s="214">
        <f t="shared" si="45"/>
        <v>0.14516013090035165</v>
      </c>
      <c r="R47" s="214">
        <f t="shared" si="45"/>
        <v>0.24252656208526727</v>
      </c>
      <c r="S47" s="214">
        <f t="shared" si="45"/>
        <v>0.28461939457083357</v>
      </c>
      <c r="T47" s="214">
        <f t="shared" si="45"/>
        <v>0.28211972786452227</v>
      </c>
      <c r="U47" s="214">
        <f t="shared" si="45"/>
        <v>0.27368839670754491</v>
      </c>
    </row>
    <row r="48" spans="1:89" x14ac:dyDescent="0.25">
      <c r="A48" s="184" t="s">
        <v>341</v>
      </c>
      <c r="B48" s="64"/>
      <c r="C48" s="64"/>
      <c r="D48" s="64"/>
      <c r="E48" s="90">
        <f>E11/E14</f>
        <v>0.1138743696402932</v>
      </c>
      <c r="F48" s="90">
        <f t="shared" ref="F48:U48" si="46">F11/F14</f>
        <v>0.15021524464457267</v>
      </c>
      <c r="G48" s="90">
        <f t="shared" si="46"/>
        <v>0.14570278056178551</v>
      </c>
      <c r="H48" s="90">
        <f t="shared" si="46"/>
        <v>8.293742796917912E-2</v>
      </c>
      <c r="I48" s="90">
        <f t="shared" si="46"/>
        <v>6.0675345455207974E-2</v>
      </c>
      <c r="J48" s="90">
        <f t="shared" si="46"/>
        <v>4.6235818458277851E-2</v>
      </c>
      <c r="K48" s="90">
        <f t="shared" si="46"/>
        <v>2.7181311085297633E-2</v>
      </c>
      <c r="L48" s="90">
        <f t="shared" si="46"/>
        <v>2.9806047894878219E-2</v>
      </c>
      <c r="M48" s="90">
        <f t="shared" si="46"/>
        <v>3.0792969500794222E-2</v>
      </c>
      <c r="N48" s="214">
        <f t="shared" si="46"/>
        <v>2.5598608772297391E-2</v>
      </c>
      <c r="O48" s="214">
        <f t="shared" si="46"/>
        <v>3.8960732069629384E-2</v>
      </c>
      <c r="P48" s="214">
        <f t="shared" si="46"/>
        <v>4.2062316777114646E-2</v>
      </c>
      <c r="Q48" s="214">
        <f t="shared" si="46"/>
        <v>3.9916391870935035E-2</v>
      </c>
      <c r="R48" s="214">
        <f t="shared" si="46"/>
        <v>5.8008012125919092E-2</v>
      </c>
      <c r="S48" s="214">
        <f t="shared" si="46"/>
        <v>5.9624702738992098E-2</v>
      </c>
      <c r="T48" s="214">
        <f t="shared" si="46"/>
        <v>6.0083877177633395E-2</v>
      </c>
      <c r="U48" s="214">
        <f t="shared" si="46"/>
        <v>6.126887971748448E-2</v>
      </c>
    </row>
    <row r="49" spans="1:21" x14ac:dyDescent="0.25">
      <c r="A49" s="184" t="s">
        <v>342</v>
      </c>
      <c r="B49" s="64"/>
      <c r="C49" s="64"/>
      <c r="D49" s="64"/>
      <c r="E49" s="90">
        <f>E12/E14</f>
        <v>0.27946807748170821</v>
      </c>
      <c r="F49" s="90">
        <f t="shared" ref="F49:U49" si="47">F12/F14</f>
        <v>0.36714592743052915</v>
      </c>
      <c r="G49" s="90">
        <f t="shared" si="47"/>
        <v>0.36778787543559033</v>
      </c>
      <c r="H49" s="90">
        <f t="shared" si="47"/>
        <v>0.33463287867580505</v>
      </c>
      <c r="I49" s="90">
        <f t="shared" si="47"/>
        <v>0.26373299809003409</v>
      </c>
      <c r="J49" s="90">
        <f t="shared" si="47"/>
        <v>0.25737106186337755</v>
      </c>
      <c r="K49" s="90">
        <f t="shared" si="47"/>
        <v>0.19439636606674826</v>
      </c>
      <c r="L49" s="90">
        <f t="shared" si="47"/>
        <v>0.19520316216332625</v>
      </c>
      <c r="M49" s="90">
        <f t="shared" si="47"/>
        <v>0.17007452305791418</v>
      </c>
      <c r="N49" s="214">
        <f t="shared" si="47"/>
        <v>0.13879170280784298</v>
      </c>
      <c r="O49" s="214">
        <f t="shared" si="47"/>
        <v>0.14025863545066578</v>
      </c>
      <c r="P49" s="214">
        <f t="shared" si="47"/>
        <v>4.6315077747582645E-2</v>
      </c>
      <c r="Q49" s="214">
        <f t="shared" si="47"/>
        <v>0.18507652277128669</v>
      </c>
      <c r="R49" s="214">
        <f t="shared" si="47"/>
        <v>0.30053457421118634</v>
      </c>
      <c r="S49" s="214">
        <f t="shared" si="47"/>
        <v>0.34424409730982569</v>
      </c>
      <c r="T49" s="214">
        <f t="shared" si="47"/>
        <v>0.34220360504215569</v>
      </c>
      <c r="U49" s="214">
        <f t="shared" si="47"/>
        <v>0.33495727642502937</v>
      </c>
    </row>
    <row r="50" spans="1:21" x14ac:dyDescent="0.25">
      <c r="A50" s="184" t="s">
        <v>346</v>
      </c>
      <c r="B50" s="64"/>
      <c r="C50" s="64"/>
      <c r="D50" s="64"/>
      <c r="E50" s="90">
        <f>E13/E14</f>
        <v>0.72053192251829179</v>
      </c>
      <c r="F50" s="90">
        <f t="shared" ref="F50:U50" si="48">F13/F14</f>
        <v>0.63285407256947079</v>
      </c>
      <c r="G50" s="90">
        <f t="shared" si="48"/>
        <v>0.63221212456440967</v>
      </c>
      <c r="H50" s="90">
        <f t="shared" si="48"/>
        <v>0.66536712132419495</v>
      </c>
      <c r="I50" s="90">
        <f t="shared" si="48"/>
        <v>0.73626700190996586</v>
      </c>
      <c r="J50" s="90">
        <f t="shared" si="48"/>
        <v>0.74262893813662245</v>
      </c>
      <c r="K50" s="90">
        <f t="shared" si="48"/>
        <v>0.80560363393325185</v>
      </c>
      <c r="L50" s="90">
        <f t="shared" si="48"/>
        <v>0.80479683783667377</v>
      </c>
      <c r="M50" s="90">
        <f t="shared" si="48"/>
        <v>0.82992547694208585</v>
      </c>
      <c r="N50" s="214">
        <f t="shared" si="48"/>
        <v>0.86120829719215708</v>
      </c>
      <c r="O50" s="214">
        <f t="shared" si="48"/>
        <v>0.85974136454933425</v>
      </c>
      <c r="P50" s="214">
        <f t="shared" si="48"/>
        <v>0.9536849222524173</v>
      </c>
      <c r="Q50" s="214">
        <f t="shared" si="48"/>
        <v>0.81492347722871339</v>
      </c>
      <c r="R50" s="214">
        <f t="shared" si="48"/>
        <v>0.69946542578881366</v>
      </c>
      <c r="S50" s="214">
        <f t="shared" si="48"/>
        <v>0.65575590269017436</v>
      </c>
      <c r="T50" s="214">
        <f t="shared" si="48"/>
        <v>0.65779639495784437</v>
      </c>
      <c r="U50" s="214">
        <f t="shared" si="48"/>
        <v>0.66504272357497063</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0.30694516970536773</v>
      </c>
      <c r="F55" s="214">
        <f t="shared" ref="F55:U55" si="51">F2/F9</f>
        <v>0.24502109903104949</v>
      </c>
      <c r="G55" s="214">
        <f t="shared" si="51"/>
        <v>0.29766052922988218</v>
      </c>
      <c r="H55" s="214">
        <f t="shared" si="51"/>
        <v>0.25496677940213686</v>
      </c>
      <c r="I55" s="214">
        <f t="shared" si="51"/>
        <v>0.27525144677051583</v>
      </c>
      <c r="J55" s="214">
        <f t="shared" si="51"/>
        <v>0.40470028751357345</v>
      </c>
      <c r="K55" s="214">
        <f t="shared" si="51"/>
        <v>0.40761586564143154</v>
      </c>
      <c r="L55" s="214">
        <f t="shared" si="51"/>
        <v>0.50467685111427674</v>
      </c>
      <c r="M55" s="214">
        <f t="shared" si="51"/>
        <v>0.55712750684664192</v>
      </c>
      <c r="N55" s="214">
        <f t="shared" si="51"/>
        <v>0.49519220832025151</v>
      </c>
      <c r="O55" s="214">
        <f t="shared" si="51"/>
        <v>0.46931978687728476</v>
      </c>
      <c r="P55" s="214">
        <f t="shared" si="51"/>
        <v>0.54978578284272239</v>
      </c>
      <c r="Q55" s="214">
        <f t="shared" si="51"/>
        <v>0.64597486764978795</v>
      </c>
      <c r="R55" s="214">
        <f t="shared" si="51"/>
        <v>0.52159644585910492</v>
      </c>
      <c r="S55" s="214">
        <f t="shared" si="51"/>
        <v>0.4589975146637682</v>
      </c>
      <c r="T55" s="214">
        <f t="shared" si="51"/>
        <v>0.6421054084656872</v>
      </c>
      <c r="U55" s="214">
        <f t="shared" si="51"/>
        <v>0.67670850913973535</v>
      </c>
    </row>
    <row r="56" spans="1:21" x14ac:dyDescent="0.25">
      <c r="A56" s="184" t="s">
        <v>646</v>
      </c>
      <c r="B56" s="64"/>
      <c r="C56" s="64"/>
      <c r="D56" s="64"/>
      <c r="E56" s="214">
        <f>E4/E9</f>
        <v>-3.2567444689499056E-2</v>
      </c>
      <c r="F56" s="214">
        <f t="shared" ref="F56:U56" si="52">F4/F9</f>
        <v>6.9995273045575956E-2</v>
      </c>
      <c r="G56" s="214">
        <f t="shared" si="52"/>
        <v>4.9044382208348662E-2</v>
      </c>
      <c r="H56" s="214">
        <f t="shared" si="52"/>
        <v>0.11152810797993364</v>
      </c>
      <c r="I56" s="214">
        <f t="shared" si="52"/>
        <v>6.4857111239378026E-2</v>
      </c>
      <c r="J56" s="214">
        <f t="shared" si="52"/>
        <v>0.16344280064229627</v>
      </c>
      <c r="K56" s="214">
        <f t="shared" si="52"/>
        <v>0.15823939665800005</v>
      </c>
      <c r="L56" s="214">
        <f t="shared" si="52"/>
        <v>9.0937340596397978E-2</v>
      </c>
      <c r="M56" s="214">
        <f t="shared" si="52"/>
        <v>5.7666965878822758E-2</v>
      </c>
      <c r="N56" s="214">
        <f t="shared" si="52"/>
        <v>9.1008008181403352E-2</v>
      </c>
      <c r="O56" s="214">
        <f t="shared" si="52"/>
        <v>0.23097071818961862</v>
      </c>
      <c r="P56" s="214">
        <f t="shared" si="52"/>
        <v>0.12751339186335126</v>
      </c>
      <c r="Q56" s="214">
        <f t="shared" si="52"/>
        <v>7.1956069415164525E-2</v>
      </c>
      <c r="R56" s="214">
        <f t="shared" si="52"/>
        <v>0.22221437097037627</v>
      </c>
      <c r="S56" s="214">
        <f t="shared" si="52"/>
        <v>0.27364865079575285</v>
      </c>
      <c r="T56" s="214">
        <f t="shared" si="52"/>
        <v>9.3166720904786698E-2</v>
      </c>
      <c r="U56" s="214">
        <f t="shared" si="52"/>
        <v>4.8819604622261099E-2</v>
      </c>
    </row>
    <row r="57" spans="1:21" x14ac:dyDescent="0.25">
      <c r="A57" s="184" t="s">
        <v>647</v>
      </c>
      <c r="B57" s="64"/>
      <c r="C57" s="64"/>
      <c r="D57" s="64"/>
      <c r="E57" s="214">
        <f>E5/E9</f>
        <v>0.26701004949275131</v>
      </c>
      <c r="F57" s="214">
        <f t="shared" ref="F57:U57" si="53">F5/F9</f>
        <v>0.39857273216875716</v>
      </c>
      <c r="G57" s="214">
        <f t="shared" si="53"/>
        <v>0.33947592586406361</v>
      </c>
      <c r="H57" s="214">
        <f t="shared" si="53"/>
        <v>0.29387345547532689</v>
      </c>
      <c r="I57" s="214">
        <f t="shared" si="53"/>
        <v>0.29274597478961661</v>
      </c>
      <c r="J57" s="214">
        <f t="shared" si="53"/>
        <v>0.34526551753099605</v>
      </c>
      <c r="K57" s="214">
        <f t="shared" si="53"/>
        <v>0.31668908691622555</v>
      </c>
      <c r="L57" s="214">
        <f t="shared" si="53"/>
        <v>0.22429779301124997</v>
      </c>
      <c r="M57" s="214">
        <f t="shared" si="53"/>
        <v>0.20428956684406124</v>
      </c>
      <c r="N57" s="214">
        <f t="shared" si="53"/>
        <v>0.23727870987350266</v>
      </c>
      <c r="O57" s="214">
        <f t="shared" si="53"/>
        <v>0.52372175314838354</v>
      </c>
      <c r="P57" s="214">
        <f t="shared" si="53"/>
        <v>0.35768371887872563</v>
      </c>
      <c r="Q57" s="214">
        <f t="shared" si="53"/>
        <v>0.31227424646708912</v>
      </c>
      <c r="R57" s="214">
        <f t="shared" si="53"/>
        <v>0.38804255582116332</v>
      </c>
      <c r="S57" s="214">
        <f t="shared" si="53"/>
        <v>0.40758784406533238</v>
      </c>
      <c r="T57" s="214">
        <f t="shared" si="53"/>
        <v>0.25104614739659753</v>
      </c>
      <c r="U57" s="214">
        <f t="shared" si="53"/>
        <v>0.23053631075327011</v>
      </c>
    </row>
    <row r="58" spans="1:21" x14ac:dyDescent="0.25">
      <c r="A58" s="184" t="s">
        <v>648</v>
      </c>
      <c r="B58" s="64"/>
      <c r="C58" s="64"/>
      <c r="D58" s="64"/>
      <c r="E58" s="214">
        <f>E6/E9</f>
        <v>0.29957749418225033</v>
      </c>
      <c r="F58" s="214">
        <f t="shared" ref="F58:U58" si="54">F6/F9</f>
        <v>0.3285774591231812</v>
      </c>
      <c r="G58" s="214">
        <f t="shared" si="54"/>
        <v>0.29043154365571494</v>
      </c>
      <c r="H58" s="214">
        <f t="shared" si="54"/>
        <v>0.18234534749539322</v>
      </c>
      <c r="I58" s="214">
        <f t="shared" si="54"/>
        <v>0.22788886355023863</v>
      </c>
      <c r="J58" s="214">
        <f t="shared" si="54"/>
        <v>0.18182271688869975</v>
      </c>
      <c r="K58" s="214">
        <f t="shared" si="54"/>
        <v>0.1584496902582255</v>
      </c>
      <c r="L58" s="214">
        <f t="shared" si="54"/>
        <v>0.13336045241485198</v>
      </c>
      <c r="M58" s="214">
        <f t="shared" si="54"/>
        <v>0.14662260096523849</v>
      </c>
      <c r="N58" s="214">
        <f t="shared" si="54"/>
        <v>0.14627070169209933</v>
      </c>
      <c r="O58" s="214">
        <f t="shared" si="54"/>
        <v>0.29275103495876498</v>
      </c>
      <c r="P58" s="214">
        <f t="shared" si="54"/>
        <v>0.2301703270153744</v>
      </c>
      <c r="Q58" s="214">
        <f t="shared" si="54"/>
        <v>0.24031817705192463</v>
      </c>
      <c r="R58" s="214">
        <f t="shared" si="54"/>
        <v>0.16582818485078704</v>
      </c>
      <c r="S58" s="214">
        <f t="shared" si="54"/>
        <v>0.13393919326957951</v>
      </c>
      <c r="T58" s="214">
        <f t="shared" si="54"/>
        <v>0.15787942649181083</v>
      </c>
      <c r="U58" s="214">
        <f t="shared" si="54"/>
        <v>0.18171670613100901</v>
      </c>
    </row>
    <row r="59" spans="1:21" s="225" customFormat="1" x14ac:dyDescent="0.25">
      <c r="A59" s="227" t="s">
        <v>642</v>
      </c>
      <c r="B59" s="223"/>
      <c r="C59" s="223"/>
      <c r="D59" s="223"/>
      <c r="E59" s="224">
        <f>E55+E56</f>
        <v>0.27437772501586866</v>
      </c>
      <c r="F59" s="224">
        <f t="shared" ref="F59:U59" si="55">F55+F56</f>
        <v>0.31501637207662547</v>
      </c>
      <c r="G59" s="224">
        <f t="shared" si="55"/>
        <v>0.34670491143823085</v>
      </c>
      <c r="H59" s="224">
        <f t="shared" si="55"/>
        <v>0.36649488738207048</v>
      </c>
      <c r="I59" s="224">
        <f t="shared" si="55"/>
        <v>0.34010855800989387</v>
      </c>
      <c r="J59" s="224">
        <f t="shared" si="55"/>
        <v>0.56814308815586978</v>
      </c>
      <c r="K59" s="224">
        <f t="shared" si="55"/>
        <v>0.56585526229943162</v>
      </c>
      <c r="L59" s="224">
        <f t="shared" si="55"/>
        <v>0.59561419171067476</v>
      </c>
      <c r="M59" s="224">
        <f t="shared" si="55"/>
        <v>0.61479447272546472</v>
      </c>
      <c r="N59" s="224">
        <f t="shared" si="55"/>
        <v>0.58620021650165488</v>
      </c>
      <c r="O59" s="224">
        <f t="shared" si="55"/>
        <v>0.70029050506690338</v>
      </c>
      <c r="P59" s="224">
        <f t="shared" si="55"/>
        <v>0.6772991747060737</v>
      </c>
      <c r="Q59" s="224">
        <f t="shared" si="55"/>
        <v>0.71793093706495248</v>
      </c>
      <c r="R59" s="224">
        <f t="shared" si="55"/>
        <v>0.74381081682948125</v>
      </c>
      <c r="S59" s="224">
        <f t="shared" si="55"/>
        <v>0.7326461654595211</v>
      </c>
      <c r="T59" s="224">
        <f t="shared" si="55"/>
        <v>0.73527212937047393</v>
      </c>
      <c r="U59" s="224">
        <f t="shared" si="55"/>
        <v>0.72552811376199644</v>
      </c>
    </row>
    <row r="60" spans="1:21" x14ac:dyDescent="0.25">
      <c r="A60" s="184" t="s">
        <v>649</v>
      </c>
      <c r="B60" s="64"/>
      <c r="C60" s="64"/>
      <c r="D60" s="64"/>
      <c r="E60" s="214">
        <f>E3/E9</f>
        <v>3.2666753510378365E-3</v>
      </c>
      <c r="F60" s="214">
        <f t="shared" ref="F60:U60" si="56">F3/F9</f>
        <v>0.17611127799718537</v>
      </c>
      <c r="G60" s="214">
        <f t="shared" si="56"/>
        <v>0.18430898223877301</v>
      </c>
      <c r="H60" s="214">
        <f t="shared" si="56"/>
        <v>0.19974826254245845</v>
      </c>
      <c r="I60" s="214">
        <f t="shared" si="56"/>
        <v>0.2179497178260458</v>
      </c>
      <c r="J60" s="214">
        <f t="shared" si="56"/>
        <v>2.7540726843385203E-2</v>
      </c>
      <c r="K60" s="214">
        <f t="shared" si="56"/>
        <v>6.9886502653095589E-3</v>
      </c>
      <c r="L60" s="214">
        <f t="shared" si="56"/>
        <v>1.1192247699502987E-2</v>
      </c>
      <c r="M60" s="214">
        <f t="shared" si="56"/>
        <v>1.0226782132469848E-2</v>
      </c>
      <c r="N60" s="214">
        <f t="shared" si="56"/>
        <v>2.2723235121029754E-2</v>
      </c>
      <c r="O60" s="214">
        <f t="shared" si="56"/>
        <v>5.6807194286297271E-3</v>
      </c>
      <c r="P60" s="214">
        <f t="shared" si="56"/>
        <v>5.8574909754732039E-3</v>
      </c>
      <c r="Q60" s="214">
        <f t="shared" si="56"/>
        <v>5.0100219742507807E-3</v>
      </c>
      <c r="R60" s="214">
        <f t="shared" si="56"/>
        <v>4.2332980871601505E-3</v>
      </c>
      <c r="S60" s="214">
        <f t="shared" si="56"/>
        <v>4.293421180365989E-3</v>
      </c>
      <c r="T60" s="214">
        <f t="shared" si="56"/>
        <v>4.1946123853381393E-3</v>
      </c>
      <c r="U60" s="214">
        <f t="shared" si="56"/>
        <v>4.2387381275731878E-3</v>
      </c>
    </row>
    <row r="61" spans="1:21" x14ac:dyDescent="0.25">
      <c r="A61" s="184" t="s">
        <v>650</v>
      </c>
      <c r="B61" s="64"/>
      <c r="C61" s="64"/>
      <c r="D61" s="64"/>
      <c r="E61" s="214">
        <f>E7/E9</f>
        <v>0.72235559963309348</v>
      </c>
      <c r="F61" s="214">
        <f t="shared" ref="F61:U61" si="57">F7/F9</f>
        <v>0.50887234992618913</v>
      </c>
      <c r="G61" s="214">
        <f t="shared" si="57"/>
        <v>0.46898610632299603</v>
      </c>
      <c r="H61" s="214">
        <f t="shared" si="57"/>
        <v>0.4337568500754711</v>
      </c>
      <c r="I61" s="214">
        <f t="shared" si="57"/>
        <v>0.44194172416406036</v>
      </c>
      <c r="J61" s="214">
        <f t="shared" si="57"/>
        <v>0.40431618500074523</v>
      </c>
      <c r="K61" s="214">
        <f t="shared" si="57"/>
        <v>0.42715608743525896</v>
      </c>
      <c r="L61" s="214">
        <f t="shared" si="57"/>
        <v>0.3931935605898223</v>
      </c>
      <c r="M61" s="214">
        <f t="shared" si="57"/>
        <v>0.37497874514206553</v>
      </c>
      <c r="N61" s="214">
        <f t="shared" si="57"/>
        <v>0.39107654837731531</v>
      </c>
      <c r="O61" s="214">
        <f t="shared" si="57"/>
        <v>0.29402877550446693</v>
      </c>
      <c r="P61" s="214">
        <f t="shared" si="57"/>
        <v>0.31684333431845318</v>
      </c>
      <c r="Q61" s="214">
        <f t="shared" si="57"/>
        <v>0.27705904096079687</v>
      </c>
      <c r="R61" s="214">
        <f t="shared" si="57"/>
        <v>0.25195588508335853</v>
      </c>
      <c r="S61" s="214">
        <f t="shared" si="57"/>
        <v>0.26306041336011288</v>
      </c>
      <c r="T61" s="214">
        <f t="shared" si="57"/>
        <v>0.26053325824418794</v>
      </c>
      <c r="U61" s="214">
        <f t="shared" si="57"/>
        <v>0.27023314811043037</v>
      </c>
    </row>
    <row r="62" spans="1:21" s="225" customFormat="1" x14ac:dyDescent="0.25">
      <c r="A62" s="227" t="s">
        <v>643</v>
      </c>
      <c r="B62" s="223"/>
      <c r="C62" s="223"/>
      <c r="D62" s="223"/>
      <c r="E62" s="224">
        <f>E60+E61</f>
        <v>0.72562227498413134</v>
      </c>
      <c r="F62" s="224">
        <f t="shared" ref="F62:M62" si="58">F60+F61</f>
        <v>0.68498362792337453</v>
      </c>
      <c r="G62" s="224">
        <f t="shared" si="58"/>
        <v>0.65329508856176899</v>
      </c>
      <c r="H62" s="224">
        <f t="shared" si="58"/>
        <v>0.63350511261792952</v>
      </c>
      <c r="I62" s="224">
        <f t="shared" si="58"/>
        <v>0.65989144199010619</v>
      </c>
      <c r="J62" s="224">
        <f t="shared" si="58"/>
        <v>0.43185691184413044</v>
      </c>
      <c r="K62" s="224">
        <f t="shared" si="58"/>
        <v>0.43414473770056849</v>
      </c>
      <c r="L62" s="224">
        <f t="shared" si="58"/>
        <v>0.4043858082893253</v>
      </c>
      <c r="M62" s="224">
        <f t="shared" si="58"/>
        <v>0.38520552727453539</v>
      </c>
      <c r="N62" s="224">
        <f t="shared" ref="N62" si="59">N60+N61</f>
        <v>0.41379978349834506</v>
      </c>
      <c r="O62" s="224">
        <f t="shared" ref="O62" si="60">O60+O61</f>
        <v>0.29970949493309668</v>
      </c>
      <c r="P62" s="224">
        <f t="shared" ref="P62" si="61">P60+P61</f>
        <v>0.32270082529392641</v>
      </c>
      <c r="Q62" s="224">
        <f t="shared" ref="Q62" si="62">Q60+Q61</f>
        <v>0.28206906293504763</v>
      </c>
      <c r="R62" s="224">
        <f t="shared" ref="R62" si="63">R60+R61</f>
        <v>0.2561891831705187</v>
      </c>
      <c r="S62" s="224">
        <f t="shared" ref="S62" si="64">S60+S61</f>
        <v>0.26735383454047884</v>
      </c>
      <c r="T62" s="224">
        <f t="shared" ref="T62" si="65">T60+T61</f>
        <v>0.26472787062952607</v>
      </c>
      <c r="U62" s="224">
        <f t="shared" ref="U62" si="66">U60+U61</f>
        <v>0.27447188623800356</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0" t="s">
        <v>699</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1587771274.52</v>
      </c>
      <c r="F67" s="193">
        <f t="shared" ref="F67:U67" si="68">F10</f>
        <v>1316384375.6600001</v>
      </c>
      <c r="G67" s="193">
        <f t="shared" si="68"/>
        <v>1266217843.97</v>
      </c>
      <c r="H67" s="193">
        <f t="shared" si="68"/>
        <v>1315622928.47</v>
      </c>
      <c r="I67" s="193">
        <f t="shared" si="68"/>
        <v>988673986.13000011</v>
      </c>
      <c r="J67" s="193">
        <f t="shared" si="68"/>
        <v>948778018.99000001</v>
      </c>
      <c r="K67" s="193">
        <f t="shared" si="68"/>
        <v>675854418.39999998</v>
      </c>
      <c r="L67" s="193">
        <f t="shared" si="68"/>
        <v>639190330.73000002</v>
      </c>
      <c r="M67" s="193">
        <f t="shared" si="68"/>
        <v>544149414.96000004</v>
      </c>
      <c r="N67" s="193">
        <f t="shared" si="68"/>
        <v>388075646.63999999</v>
      </c>
      <c r="O67" s="193">
        <f t="shared" si="68"/>
        <v>52000000</v>
      </c>
      <c r="P67" s="193">
        <f t="shared" si="68"/>
        <v>2022123.98</v>
      </c>
      <c r="Q67" s="193">
        <f t="shared" si="68"/>
        <v>80005299.329999998</v>
      </c>
      <c r="R67" s="193">
        <f t="shared" si="68"/>
        <v>162000000</v>
      </c>
      <c r="S67" s="193">
        <f t="shared" si="68"/>
        <v>186000000</v>
      </c>
      <c r="T67" s="193">
        <f t="shared" si="68"/>
        <v>185000000</v>
      </c>
      <c r="U67" s="193">
        <f t="shared" si="68"/>
        <v>176000000</v>
      </c>
    </row>
    <row r="68" spans="1:21" x14ac:dyDescent="0.25">
      <c r="A68" s="17" t="s">
        <v>653</v>
      </c>
      <c r="E68" s="193">
        <f>E11</f>
        <v>1091867893.8699999</v>
      </c>
      <c r="F68" s="193">
        <f t="shared" ref="F68:U68" si="69">F11</f>
        <v>911540029.73000002</v>
      </c>
      <c r="G68" s="193">
        <f t="shared" si="69"/>
        <v>830724190.50999999</v>
      </c>
      <c r="H68" s="193">
        <f t="shared" si="69"/>
        <v>433517497.26999998</v>
      </c>
      <c r="I68" s="193">
        <f t="shared" si="69"/>
        <v>295424156.00999999</v>
      </c>
      <c r="J68" s="193">
        <f t="shared" si="69"/>
        <v>207769804.49000001</v>
      </c>
      <c r="K68" s="193">
        <f t="shared" si="69"/>
        <v>109862172.38</v>
      </c>
      <c r="L68" s="193">
        <f t="shared" si="69"/>
        <v>115187847.72</v>
      </c>
      <c r="M68" s="193">
        <f t="shared" si="69"/>
        <v>120302910.97999999</v>
      </c>
      <c r="N68" s="193">
        <f t="shared" si="69"/>
        <v>87763275.109999999</v>
      </c>
      <c r="O68" s="193">
        <f t="shared" si="69"/>
        <v>20000000</v>
      </c>
      <c r="P68" s="193">
        <f t="shared" si="69"/>
        <v>20000000</v>
      </c>
      <c r="Q68" s="193">
        <f t="shared" si="69"/>
        <v>22000000</v>
      </c>
      <c r="R68" s="193">
        <f t="shared" si="69"/>
        <v>38747500</v>
      </c>
      <c r="S68" s="193">
        <f t="shared" si="69"/>
        <v>38965000</v>
      </c>
      <c r="T68" s="193">
        <f t="shared" si="69"/>
        <v>39400000</v>
      </c>
      <c r="U68" s="193">
        <f t="shared" si="69"/>
        <v>39400000</v>
      </c>
    </row>
    <row r="69" spans="1:21" x14ac:dyDescent="0.25">
      <c r="A69" s="17" t="s">
        <v>654</v>
      </c>
      <c r="E69" s="193">
        <f>E12</f>
        <v>2679639168.3899999</v>
      </c>
      <c r="F69" s="193">
        <f t="shared" ref="F69:U69" si="70">F12</f>
        <v>2227924405.3900003</v>
      </c>
      <c r="G69" s="193">
        <f t="shared" si="70"/>
        <v>2096942034.48</v>
      </c>
      <c r="H69" s="193">
        <f t="shared" si="70"/>
        <v>1749140425.74</v>
      </c>
      <c r="I69" s="193">
        <f t="shared" si="70"/>
        <v>1284098142.1400001</v>
      </c>
      <c r="J69" s="193">
        <f t="shared" si="70"/>
        <v>1156547823.48</v>
      </c>
      <c r="K69" s="193">
        <f t="shared" si="70"/>
        <v>785716590.77999997</v>
      </c>
      <c r="L69" s="193">
        <f t="shared" si="70"/>
        <v>754378178.45000005</v>
      </c>
      <c r="M69" s="193">
        <f t="shared" si="70"/>
        <v>664452325.94000006</v>
      </c>
      <c r="N69" s="193">
        <f t="shared" si="70"/>
        <v>475838921.75</v>
      </c>
      <c r="O69" s="193">
        <f t="shared" si="70"/>
        <v>72000000</v>
      </c>
      <c r="P69" s="193">
        <f t="shared" si="70"/>
        <v>22022123.98</v>
      </c>
      <c r="Q69" s="193">
        <f t="shared" si="70"/>
        <v>102005299.33</v>
      </c>
      <c r="R69" s="193">
        <f t="shared" si="70"/>
        <v>200747500</v>
      </c>
      <c r="S69" s="193">
        <f t="shared" si="70"/>
        <v>224965000</v>
      </c>
      <c r="T69" s="193">
        <f t="shared" si="70"/>
        <v>224400000</v>
      </c>
      <c r="U69" s="193">
        <f t="shared" si="70"/>
        <v>215400000</v>
      </c>
    </row>
    <row r="70" spans="1:21" s="234" customFormat="1" x14ac:dyDescent="0.25">
      <c r="A70" s="234" t="s">
        <v>657</v>
      </c>
      <c r="E70" s="234">
        <f>E69/E74</f>
        <v>0.27946807748170821</v>
      </c>
      <c r="F70" s="234">
        <f t="shared" ref="F70:U70" si="71">F69/F74</f>
        <v>0.36714592743052915</v>
      </c>
      <c r="G70" s="234">
        <f t="shared" si="71"/>
        <v>0.36778787543559033</v>
      </c>
      <c r="H70" s="234">
        <f t="shared" si="71"/>
        <v>0.33463287867580505</v>
      </c>
      <c r="I70" s="234">
        <f t="shared" si="71"/>
        <v>0.26373299809003409</v>
      </c>
      <c r="J70" s="234">
        <f t="shared" si="71"/>
        <v>0.25737106186337755</v>
      </c>
      <c r="K70" s="234">
        <f t="shared" si="71"/>
        <v>0.19439636606674826</v>
      </c>
      <c r="L70" s="234">
        <f t="shared" si="71"/>
        <v>0.19520316216332625</v>
      </c>
      <c r="M70" s="234">
        <f t="shared" si="71"/>
        <v>0.17007452305791418</v>
      </c>
      <c r="N70" s="234">
        <f t="shared" si="71"/>
        <v>0.13879170280784298</v>
      </c>
      <c r="O70" s="234">
        <f t="shared" si="71"/>
        <v>0.14025863545066578</v>
      </c>
      <c r="P70" s="234">
        <f t="shared" si="71"/>
        <v>4.6315077747582645E-2</v>
      </c>
      <c r="Q70" s="234">
        <f t="shared" si="71"/>
        <v>0.18507652277128669</v>
      </c>
      <c r="R70" s="234">
        <f t="shared" si="71"/>
        <v>0.30053457421118634</v>
      </c>
      <c r="S70" s="234">
        <f t="shared" si="71"/>
        <v>0.34424409730982569</v>
      </c>
      <c r="T70" s="234">
        <f t="shared" si="71"/>
        <v>0.34220360504215569</v>
      </c>
      <c r="U70" s="234">
        <f t="shared" si="71"/>
        <v>0.33495727642502937</v>
      </c>
    </row>
    <row r="71" spans="1:21" x14ac:dyDescent="0.25">
      <c r="A71" s="17" t="s">
        <v>655</v>
      </c>
      <c r="E71" s="193">
        <f>E13</f>
        <v>6908715940.1299992</v>
      </c>
      <c r="F71" s="193">
        <f t="shared" ref="F71:U71" si="72">F13</f>
        <v>3840301438.71</v>
      </c>
      <c r="G71" s="193">
        <f t="shared" si="72"/>
        <v>3604556504.5800014</v>
      </c>
      <c r="H71" s="193">
        <f t="shared" si="72"/>
        <v>3477902513.5599995</v>
      </c>
      <c r="I71" s="193">
        <f t="shared" si="72"/>
        <v>3584834268.4399996</v>
      </c>
      <c r="J71" s="193">
        <f t="shared" si="72"/>
        <v>3337150166.9099994</v>
      </c>
      <c r="K71" s="193">
        <f t="shared" si="72"/>
        <v>3256110973.5799999</v>
      </c>
      <c r="L71" s="193">
        <f t="shared" si="72"/>
        <v>3110201524.5100002</v>
      </c>
      <c r="M71" s="193">
        <f t="shared" si="72"/>
        <v>3242378126.9299998</v>
      </c>
      <c r="N71" s="193">
        <f t="shared" si="72"/>
        <v>2952600330.1900005</v>
      </c>
      <c r="O71" s="193">
        <f t="shared" si="72"/>
        <v>441337376.82999992</v>
      </c>
      <c r="P71" s="193">
        <f t="shared" si="72"/>
        <v>453462859.54999995</v>
      </c>
      <c r="Q71" s="193">
        <f t="shared" si="72"/>
        <v>449146720.40000004</v>
      </c>
      <c r="R71" s="193">
        <f t="shared" si="72"/>
        <v>467220571.6500001</v>
      </c>
      <c r="S71" s="193">
        <f t="shared" si="72"/>
        <v>428539306.26999998</v>
      </c>
      <c r="T71" s="193">
        <f t="shared" si="72"/>
        <v>431349959.06999993</v>
      </c>
      <c r="U71" s="193">
        <f t="shared" si="72"/>
        <v>427667086.94000006</v>
      </c>
    </row>
    <row r="72" spans="1:21" s="234" customFormat="1" x14ac:dyDescent="0.25">
      <c r="A72" s="234" t="s">
        <v>658</v>
      </c>
      <c r="E72" s="234">
        <f>E71/E74</f>
        <v>0.72053192251829179</v>
      </c>
      <c r="F72" s="234">
        <f t="shared" ref="F72:U72" si="73">F71/F74</f>
        <v>0.63285407256947079</v>
      </c>
      <c r="G72" s="234">
        <f t="shared" si="73"/>
        <v>0.63221212456440967</v>
      </c>
      <c r="H72" s="234">
        <f t="shared" si="73"/>
        <v>0.66536712132419495</v>
      </c>
      <c r="I72" s="234">
        <f t="shared" si="73"/>
        <v>0.73626700190996586</v>
      </c>
      <c r="J72" s="234">
        <f t="shared" si="73"/>
        <v>0.74262893813662245</v>
      </c>
      <c r="K72" s="234">
        <f t="shared" si="73"/>
        <v>0.80560363393325185</v>
      </c>
      <c r="L72" s="234">
        <f t="shared" si="73"/>
        <v>0.80479683783667377</v>
      </c>
      <c r="M72" s="234">
        <f t="shared" si="73"/>
        <v>0.82992547694208585</v>
      </c>
      <c r="N72" s="234">
        <f t="shared" si="73"/>
        <v>0.86120829719215708</v>
      </c>
      <c r="O72" s="234">
        <f t="shared" si="73"/>
        <v>0.85974136454933425</v>
      </c>
      <c r="P72" s="234">
        <f t="shared" si="73"/>
        <v>0.9536849222524173</v>
      </c>
      <c r="Q72" s="234">
        <f t="shared" si="73"/>
        <v>0.81492347722871339</v>
      </c>
      <c r="R72" s="234">
        <f t="shared" si="73"/>
        <v>0.69946542578881366</v>
      </c>
      <c r="S72" s="234">
        <f t="shared" si="73"/>
        <v>0.65575590269017436</v>
      </c>
      <c r="T72" s="234">
        <f t="shared" si="73"/>
        <v>0.65779639495784437</v>
      </c>
      <c r="U72" s="234">
        <f t="shared" si="73"/>
        <v>0.66504272357497063</v>
      </c>
    </row>
    <row r="73" spans="1:21" s="236" customFormat="1" x14ac:dyDescent="0.25">
      <c r="A73" s="235" t="s">
        <v>659</v>
      </c>
      <c r="E73" s="237">
        <f>E74/E71</f>
        <v>1.3878635612770001</v>
      </c>
      <c r="F73" s="237">
        <f t="shared" ref="F73:U73" si="74">F74/F71</f>
        <v>1.5801431061980344</v>
      </c>
      <c r="G73" s="237">
        <f t="shared" si="74"/>
        <v>1.5817475830426282</v>
      </c>
      <c r="H73" s="237">
        <f t="shared" si="74"/>
        <v>1.5029296879139864</v>
      </c>
      <c r="I73" s="237">
        <f t="shared" si="74"/>
        <v>1.3582029310099173</v>
      </c>
      <c r="J73" s="237">
        <f t="shared" si="74"/>
        <v>1.3465675098914993</v>
      </c>
      <c r="K73" s="237">
        <f t="shared" si="74"/>
        <v>1.2413052249002825</v>
      </c>
      <c r="L73" s="237">
        <f t="shared" si="74"/>
        <v>1.2425496137485332</v>
      </c>
      <c r="M73" s="237">
        <f t="shared" si="74"/>
        <v>1.2049274637098317</v>
      </c>
      <c r="N73" s="237">
        <f t="shared" si="74"/>
        <v>1.1611592726874007</v>
      </c>
      <c r="O73" s="237">
        <f t="shared" si="74"/>
        <v>1.1631404992642032</v>
      </c>
      <c r="P73" s="237">
        <f t="shared" si="74"/>
        <v>1.0485643388785004</v>
      </c>
      <c r="Q73" s="237">
        <f t="shared" si="74"/>
        <v>1.2271090819480022</v>
      </c>
      <c r="R73" s="237">
        <f t="shared" si="74"/>
        <v>1.4296632301335868</v>
      </c>
      <c r="S73" s="237">
        <f t="shared" si="74"/>
        <v>1.5249576799806117</v>
      </c>
      <c r="T73" s="237">
        <f t="shared" si="74"/>
        <v>1.5202272430576123</v>
      </c>
      <c r="U73" s="237">
        <f t="shared" si="74"/>
        <v>1.5036627942103473</v>
      </c>
    </row>
    <row r="74" spans="1:21" x14ac:dyDescent="0.25">
      <c r="A74" s="17" t="s">
        <v>656</v>
      </c>
      <c r="E74" s="193">
        <f>E14</f>
        <v>9588355108.5199986</v>
      </c>
      <c r="F74" s="193">
        <f t="shared" ref="F74:U74" si="75">F14</f>
        <v>6068225844.1000004</v>
      </c>
      <c r="G74" s="193">
        <f t="shared" si="75"/>
        <v>5701498539.0600014</v>
      </c>
      <c r="H74" s="193">
        <f t="shared" si="75"/>
        <v>5227042939.2999992</v>
      </c>
      <c r="I74" s="193">
        <f t="shared" si="75"/>
        <v>4868932410.5799999</v>
      </c>
      <c r="J74" s="193">
        <f t="shared" si="75"/>
        <v>4493697990.3899994</v>
      </c>
      <c r="K74" s="193">
        <f t="shared" si="75"/>
        <v>4041827564.3599997</v>
      </c>
      <c r="L74" s="193">
        <f t="shared" si="75"/>
        <v>3864579702.96</v>
      </c>
      <c r="M74" s="193">
        <f t="shared" si="75"/>
        <v>3906830452.8699999</v>
      </c>
      <c r="N74" s="193">
        <f t="shared" si="75"/>
        <v>3428439251.9400005</v>
      </c>
      <c r="O74" s="193">
        <f t="shared" si="75"/>
        <v>513337376.82999992</v>
      </c>
      <c r="P74" s="193">
        <f t="shared" si="75"/>
        <v>475484983.52999997</v>
      </c>
      <c r="Q74" s="193">
        <f t="shared" si="75"/>
        <v>551152019.73000002</v>
      </c>
      <c r="R74" s="193">
        <f t="shared" si="75"/>
        <v>667968071.6500001</v>
      </c>
      <c r="S74" s="193">
        <f t="shared" si="75"/>
        <v>653504306.26999998</v>
      </c>
      <c r="T74" s="193">
        <f t="shared" si="75"/>
        <v>655749959.06999993</v>
      </c>
      <c r="U74" s="193">
        <f t="shared" si="75"/>
        <v>643067086.94000006</v>
      </c>
    </row>
    <row r="75" spans="1:21" ht="83.4" customHeight="1" x14ac:dyDescent="0.25">
      <c r="A75" s="278" t="s">
        <v>700</v>
      </c>
      <c r="B75" s="277"/>
      <c r="C75" s="277"/>
      <c r="D75" s="277"/>
      <c r="E75" s="277"/>
      <c r="F75" s="277"/>
      <c r="G75" s="277"/>
      <c r="H75" s="277"/>
      <c r="I75" s="277"/>
      <c r="J75" s="277"/>
      <c r="K75" s="277"/>
      <c r="L75" s="277"/>
      <c r="M75" s="277"/>
      <c r="N75" s="277"/>
      <c r="O75" s="277"/>
      <c r="P75" s="277"/>
      <c r="Q75" s="277"/>
      <c r="R75" s="277"/>
      <c r="S75" s="277"/>
      <c r="T75" s="277"/>
      <c r="U75" s="277"/>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1587771274.52</v>
      </c>
      <c r="F78" s="89">
        <f t="shared" ref="F78:U78" si="77">F10</f>
        <v>1316384375.6600001</v>
      </c>
      <c r="G78" s="89">
        <f t="shared" si="77"/>
        <v>1266217843.97</v>
      </c>
      <c r="H78" s="89">
        <f t="shared" si="77"/>
        <v>1315622928.47</v>
      </c>
      <c r="I78" s="89">
        <f t="shared" si="77"/>
        <v>988673986.13000011</v>
      </c>
      <c r="J78" s="89">
        <f t="shared" si="77"/>
        <v>948778018.99000001</v>
      </c>
      <c r="K78" s="89">
        <f t="shared" si="77"/>
        <v>675854418.39999998</v>
      </c>
      <c r="L78" s="89">
        <f t="shared" si="77"/>
        <v>639190330.73000002</v>
      </c>
      <c r="M78" s="89">
        <f t="shared" si="77"/>
        <v>544149414.96000004</v>
      </c>
      <c r="N78" s="89">
        <f t="shared" si="77"/>
        <v>388075646.63999999</v>
      </c>
      <c r="O78" s="89">
        <f t="shared" si="77"/>
        <v>52000000</v>
      </c>
      <c r="P78" s="89">
        <f t="shared" si="77"/>
        <v>2022123.98</v>
      </c>
      <c r="Q78" s="89">
        <f t="shared" si="77"/>
        <v>80005299.329999998</v>
      </c>
      <c r="R78" s="89">
        <f t="shared" si="77"/>
        <v>162000000</v>
      </c>
      <c r="S78" s="89">
        <f t="shared" si="77"/>
        <v>186000000</v>
      </c>
      <c r="T78" s="89">
        <f t="shared" si="77"/>
        <v>185000000</v>
      </c>
      <c r="U78" s="89">
        <f t="shared" si="77"/>
        <v>176000000</v>
      </c>
    </row>
    <row r="79" spans="1:21" x14ac:dyDescent="0.25">
      <c r="A79" s="184" t="s">
        <v>661</v>
      </c>
      <c r="B79" s="64"/>
      <c r="C79" s="64"/>
      <c r="D79" s="64"/>
      <c r="E79" s="89">
        <f>E78</f>
        <v>1587771274.52</v>
      </c>
      <c r="F79" s="89">
        <f t="shared" ref="F79:U79" si="78">F78</f>
        <v>1316384375.6600001</v>
      </c>
      <c r="G79" s="89">
        <f t="shared" si="78"/>
        <v>1266217843.97</v>
      </c>
      <c r="H79" s="89">
        <f t="shared" si="78"/>
        <v>1315622928.47</v>
      </c>
      <c r="I79" s="89">
        <f t="shared" si="78"/>
        <v>988673986.13000011</v>
      </c>
      <c r="J79" s="89">
        <f t="shared" si="78"/>
        <v>948778018.99000001</v>
      </c>
      <c r="K79" s="89">
        <f t="shared" si="78"/>
        <v>675854418.39999998</v>
      </c>
      <c r="L79" s="89">
        <f t="shared" si="78"/>
        <v>639190330.73000002</v>
      </c>
      <c r="M79" s="89">
        <f t="shared" si="78"/>
        <v>544149414.96000004</v>
      </c>
      <c r="N79" s="89">
        <f t="shared" si="78"/>
        <v>388075646.63999999</v>
      </c>
      <c r="O79" s="89">
        <f t="shared" si="78"/>
        <v>52000000</v>
      </c>
      <c r="P79" s="89">
        <f t="shared" si="78"/>
        <v>2022123.98</v>
      </c>
      <c r="Q79" s="89">
        <f t="shared" si="78"/>
        <v>80005299.329999998</v>
      </c>
      <c r="R79" s="89">
        <f t="shared" si="78"/>
        <v>162000000</v>
      </c>
      <c r="S79" s="89">
        <f t="shared" si="78"/>
        <v>186000000</v>
      </c>
      <c r="T79" s="89">
        <f t="shared" si="78"/>
        <v>185000000</v>
      </c>
      <c r="U79" s="89">
        <f t="shared" si="78"/>
        <v>176000000</v>
      </c>
    </row>
    <row r="80" spans="1:21" s="220" customFormat="1" x14ac:dyDescent="0.25">
      <c r="A80" s="224" t="s">
        <v>662</v>
      </c>
      <c r="B80" s="224"/>
      <c r="C80" s="224"/>
      <c r="D80" s="224"/>
      <c r="E80" s="224">
        <f>E79/E85</f>
        <v>0.16559370784141503</v>
      </c>
      <c r="F80" s="224">
        <f t="shared" ref="F80:U80" si="79">F79/F85</f>
        <v>0.21693068278595645</v>
      </c>
      <c r="G80" s="224">
        <f t="shared" si="79"/>
        <v>0.22208509487380482</v>
      </c>
      <c r="H80" s="224">
        <f t="shared" si="79"/>
        <v>0.25169545070662591</v>
      </c>
      <c r="I80" s="224">
        <f t="shared" si="79"/>
        <v>0.20305765263482611</v>
      </c>
      <c r="J80" s="224">
        <f t="shared" si="79"/>
        <v>0.21113524340509973</v>
      </c>
      <c r="K80" s="224">
        <f t="shared" si="79"/>
        <v>0.16721505498145062</v>
      </c>
      <c r="L80" s="224">
        <f t="shared" si="79"/>
        <v>0.16539711426844803</v>
      </c>
      <c r="M80" s="224">
        <f t="shared" si="79"/>
        <v>0.13928155355711994</v>
      </c>
      <c r="N80" s="224">
        <f t="shared" si="79"/>
        <v>0.11319309403554557</v>
      </c>
      <c r="O80" s="224">
        <f t="shared" si="79"/>
        <v>0.10129790338103639</v>
      </c>
      <c r="P80" s="224">
        <f t="shared" si="79"/>
        <v>4.252760970467992E-3</v>
      </c>
      <c r="Q80" s="224">
        <f t="shared" si="79"/>
        <v>0.14516013090035165</v>
      </c>
      <c r="R80" s="224">
        <f t="shared" si="79"/>
        <v>0.24252656208526727</v>
      </c>
      <c r="S80" s="224">
        <f t="shared" si="79"/>
        <v>0.28461939457083357</v>
      </c>
      <c r="T80" s="224">
        <f t="shared" si="79"/>
        <v>0.28211972786452227</v>
      </c>
      <c r="U80" s="224">
        <f t="shared" si="79"/>
        <v>0.27368839670754491</v>
      </c>
    </row>
    <row r="81" spans="1:21" x14ac:dyDescent="0.25">
      <c r="A81" s="184" t="s">
        <v>653</v>
      </c>
      <c r="B81" s="64"/>
      <c r="C81" s="64"/>
      <c r="D81" s="64"/>
      <c r="E81" s="89">
        <f>E11</f>
        <v>1091867893.8699999</v>
      </c>
      <c r="F81" s="89">
        <f t="shared" ref="F81:U81" si="80">F11</f>
        <v>911540029.73000002</v>
      </c>
      <c r="G81" s="89">
        <f t="shared" si="80"/>
        <v>830724190.50999999</v>
      </c>
      <c r="H81" s="89">
        <f t="shared" si="80"/>
        <v>433517497.26999998</v>
      </c>
      <c r="I81" s="89">
        <f t="shared" si="80"/>
        <v>295424156.00999999</v>
      </c>
      <c r="J81" s="89">
        <f t="shared" si="80"/>
        <v>207769804.49000001</v>
      </c>
      <c r="K81" s="89">
        <f t="shared" si="80"/>
        <v>109862172.38</v>
      </c>
      <c r="L81" s="89">
        <f t="shared" si="80"/>
        <v>115187847.72</v>
      </c>
      <c r="M81" s="89">
        <f t="shared" si="80"/>
        <v>120302910.97999999</v>
      </c>
      <c r="N81" s="89">
        <f t="shared" si="80"/>
        <v>87763275.109999999</v>
      </c>
      <c r="O81" s="89">
        <f t="shared" si="80"/>
        <v>20000000</v>
      </c>
      <c r="P81" s="89">
        <f t="shared" si="80"/>
        <v>20000000</v>
      </c>
      <c r="Q81" s="89">
        <f t="shared" si="80"/>
        <v>22000000</v>
      </c>
      <c r="R81" s="89">
        <f t="shared" si="80"/>
        <v>38747500</v>
      </c>
      <c r="S81" s="89">
        <f t="shared" si="80"/>
        <v>38965000</v>
      </c>
      <c r="T81" s="89">
        <f t="shared" si="80"/>
        <v>39400000</v>
      </c>
      <c r="U81" s="89">
        <f t="shared" si="80"/>
        <v>39400000</v>
      </c>
    </row>
    <row r="82" spans="1:21" x14ac:dyDescent="0.25">
      <c r="A82" s="184" t="s">
        <v>655</v>
      </c>
      <c r="B82" s="64"/>
      <c r="C82" s="64"/>
      <c r="D82" s="64"/>
      <c r="E82" s="89">
        <f>E13</f>
        <v>6908715940.1299992</v>
      </c>
      <c r="F82" s="89">
        <f t="shared" ref="F82:U82" si="81">F13</f>
        <v>3840301438.71</v>
      </c>
      <c r="G82" s="89">
        <f t="shared" si="81"/>
        <v>3604556504.5800014</v>
      </c>
      <c r="H82" s="89">
        <f t="shared" si="81"/>
        <v>3477902513.5599995</v>
      </c>
      <c r="I82" s="89">
        <f t="shared" si="81"/>
        <v>3584834268.4399996</v>
      </c>
      <c r="J82" s="89">
        <f t="shared" si="81"/>
        <v>3337150166.9099994</v>
      </c>
      <c r="K82" s="89">
        <f t="shared" si="81"/>
        <v>3256110973.5799999</v>
      </c>
      <c r="L82" s="89">
        <f t="shared" si="81"/>
        <v>3110201524.5100002</v>
      </c>
      <c r="M82" s="89">
        <f t="shared" si="81"/>
        <v>3242378126.9299998</v>
      </c>
      <c r="N82" s="89">
        <f t="shared" si="81"/>
        <v>2952600330.1900005</v>
      </c>
      <c r="O82" s="89">
        <f t="shared" si="81"/>
        <v>441337376.82999992</v>
      </c>
      <c r="P82" s="89">
        <f t="shared" si="81"/>
        <v>453462859.54999995</v>
      </c>
      <c r="Q82" s="89">
        <f t="shared" si="81"/>
        <v>449146720.40000004</v>
      </c>
      <c r="R82" s="89">
        <f t="shared" si="81"/>
        <v>467220571.6500001</v>
      </c>
      <c r="S82" s="89">
        <f t="shared" si="81"/>
        <v>428539306.26999998</v>
      </c>
      <c r="T82" s="89">
        <f t="shared" si="81"/>
        <v>431349959.06999993</v>
      </c>
      <c r="U82" s="89">
        <f t="shared" si="81"/>
        <v>427667086.94000006</v>
      </c>
    </row>
    <row r="83" spans="1:21" x14ac:dyDescent="0.25">
      <c r="A83" s="184" t="s">
        <v>663</v>
      </c>
      <c r="B83" s="64"/>
      <c r="C83" s="64"/>
      <c r="D83" s="64"/>
      <c r="E83" s="89">
        <f>E81+E82</f>
        <v>8000583833.999999</v>
      </c>
      <c r="F83" s="89">
        <f t="shared" ref="F83:U83" si="82">F81+F82</f>
        <v>4751841468.4400005</v>
      </c>
      <c r="G83" s="89">
        <f t="shared" si="82"/>
        <v>4435280695.0900011</v>
      </c>
      <c r="H83" s="89">
        <f t="shared" si="82"/>
        <v>3911420010.8299994</v>
      </c>
      <c r="I83" s="89">
        <f t="shared" si="82"/>
        <v>3880258424.4499998</v>
      </c>
      <c r="J83" s="89">
        <f t="shared" si="82"/>
        <v>3544919971.3999996</v>
      </c>
      <c r="K83" s="89">
        <f t="shared" si="82"/>
        <v>3365973145.96</v>
      </c>
      <c r="L83" s="89">
        <f t="shared" si="82"/>
        <v>3225389372.23</v>
      </c>
      <c r="M83" s="89">
        <f t="shared" si="82"/>
        <v>3362681037.9099998</v>
      </c>
      <c r="N83" s="89">
        <f t="shared" si="82"/>
        <v>3040363605.3000007</v>
      </c>
      <c r="O83" s="89">
        <f t="shared" si="82"/>
        <v>461337376.82999992</v>
      </c>
      <c r="P83" s="89">
        <f t="shared" si="82"/>
        <v>473462859.54999995</v>
      </c>
      <c r="Q83" s="89">
        <f t="shared" si="82"/>
        <v>471146720.40000004</v>
      </c>
      <c r="R83" s="89">
        <f t="shared" si="82"/>
        <v>505968071.6500001</v>
      </c>
      <c r="S83" s="89">
        <f t="shared" si="82"/>
        <v>467504306.26999998</v>
      </c>
      <c r="T83" s="89">
        <f t="shared" si="82"/>
        <v>470749959.06999993</v>
      </c>
      <c r="U83" s="89">
        <f t="shared" si="82"/>
        <v>467067086.94000006</v>
      </c>
    </row>
    <row r="84" spans="1:21" s="220" customFormat="1" x14ac:dyDescent="0.25">
      <c r="A84" s="224" t="s">
        <v>664</v>
      </c>
      <c r="B84" s="224"/>
      <c r="C84" s="224"/>
      <c r="D84" s="224"/>
      <c r="E84" s="224">
        <f>E83/E85</f>
        <v>0.83440629215858497</v>
      </c>
      <c r="F84" s="224">
        <f t="shared" ref="F84:U84" si="83">F83/F85</f>
        <v>0.7830693172140436</v>
      </c>
      <c r="G84" s="224">
        <f t="shared" si="83"/>
        <v>0.7779149051261951</v>
      </c>
      <c r="H84" s="224">
        <f t="shared" si="83"/>
        <v>0.74830454929337409</v>
      </c>
      <c r="I84" s="224">
        <f t="shared" si="83"/>
        <v>0.79694234736517389</v>
      </c>
      <c r="J84" s="224">
        <f t="shared" si="83"/>
        <v>0.7888647565949003</v>
      </c>
      <c r="K84" s="224">
        <f t="shared" si="83"/>
        <v>0.83278494501854949</v>
      </c>
      <c r="L84" s="224">
        <f t="shared" si="83"/>
        <v>0.83460288573155195</v>
      </c>
      <c r="M84" s="224">
        <f t="shared" si="83"/>
        <v>0.86071844644288009</v>
      </c>
      <c r="N84" s="224">
        <f t="shared" si="83"/>
        <v>0.88680690596445444</v>
      </c>
      <c r="O84" s="224">
        <f t="shared" si="83"/>
        <v>0.89870209661896361</v>
      </c>
      <c r="P84" s="224">
        <f t="shared" si="83"/>
        <v>0.99574723902953199</v>
      </c>
      <c r="Q84" s="224">
        <f t="shared" si="83"/>
        <v>0.85483986909964838</v>
      </c>
      <c r="R84" s="224">
        <f t="shared" si="83"/>
        <v>0.75747343791473276</v>
      </c>
      <c r="S84" s="224">
        <f t="shared" si="83"/>
        <v>0.71538060542916637</v>
      </c>
      <c r="T84" s="224">
        <f t="shared" si="83"/>
        <v>0.71788027213547778</v>
      </c>
      <c r="U84" s="224">
        <f t="shared" si="83"/>
        <v>0.72631160329245514</v>
      </c>
    </row>
    <row r="85" spans="1:21" x14ac:dyDescent="0.25">
      <c r="A85" s="184" t="s">
        <v>656</v>
      </c>
      <c r="B85" s="64"/>
      <c r="C85" s="64"/>
      <c r="D85" s="64"/>
      <c r="E85" s="89">
        <f>E14</f>
        <v>9588355108.5199986</v>
      </c>
      <c r="F85" s="89">
        <f t="shared" ref="F85:U85" si="84">F14</f>
        <v>6068225844.1000004</v>
      </c>
      <c r="G85" s="89">
        <f t="shared" si="84"/>
        <v>5701498539.0600014</v>
      </c>
      <c r="H85" s="89">
        <f t="shared" si="84"/>
        <v>5227042939.2999992</v>
      </c>
      <c r="I85" s="89">
        <f t="shared" si="84"/>
        <v>4868932410.5799999</v>
      </c>
      <c r="J85" s="89">
        <f t="shared" si="84"/>
        <v>4493697990.3899994</v>
      </c>
      <c r="K85" s="89">
        <f t="shared" si="84"/>
        <v>4041827564.3599997</v>
      </c>
      <c r="L85" s="89">
        <f t="shared" si="84"/>
        <v>3864579702.96</v>
      </c>
      <c r="M85" s="89">
        <f t="shared" si="84"/>
        <v>3906830452.8699999</v>
      </c>
      <c r="N85" s="89">
        <f t="shared" si="84"/>
        <v>3428439251.9400005</v>
      </c>
      <c r="O85" s="89">
        <f t="shared" si="84"/>
        <v>513337376.82999992</v>
      </c>
      <c r="P85" s="89">
        <f t="shared" si="84"/>
        <v>475484983.52999997</v>
      </c>
      <c r="Q85" s="89">
        <f t="shared" si="84"/>
        <v>551152019.73000002</v>
      </c>
      <c r="R85" s="89">
        <f t="shared" si="84"/>
        <v>667968071.6500001</v>
      </c>
      <c r="S85" s="89">
        <f t="shared" si="84"/>
        <v>653504306.26999998</v>
      </c>
      <c r="T85" s="89">
        <f t="shared" si="84"/>
        <v>655749959.06999993</v>
      </c>
      <c r="U85" s="89">
        <f t="shared" si="84"/>
        <v>643067086.94000006</v>
      </c>
    </row>
    <row r="87" spans="1:21" s="56" customFormat="1" ht="85.8" customHeight="1" x14ac:dyDescent="0.25">
      <c r="A87" s="276" t="s">
        <v>701</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31" zoomScaleNormal="100" workbookViewId="0">
      <selection activeCell="I48" sqref="I48"/>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1" width="19.33203125" hidden="1" customWidth="1"/>
    <col min="12" max="12" width="18.33203125" hidden="1" customWidth="1"/>
    <col min="13" max="13" width="21.5546875" bestFit="1" customWidth="1"/>
    <col min="14" max="14" width="19.33203125" hidden="1" customWidth="1"/>
    <col min="15" max="16" width="17.21875" hidden="1" customWidth="1"/>
    <col min="17" max="17" width="17.21875" bestFit="1" customWidth="1"/>
    <col min="18" max="20" width="17.21875" hidden="1" customWidth="1"/>
    <col min="21" max="21" width="18.3320312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7.21875" bestFit="1" customWidth="1"/>
    <col min="62" max="62" width="9.5546875" hidden="1" customWidth="1"/>
    <col min="63" max="76" width="18.33203125" bestFit="1" customWidth="1"/>
    <col min="77"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6233050789.2700005</v>
      </c>
      <c r="F2" s="26">
        <f>股权价值增加表!F4</f>
        <v>2989216840.73</v>
      </c>
      <c r="G2" s="26">
        <f>股权价值增加表!G4</f>
        <v>1621362138.1800001</v>
      </c>
      <c r="H2" s="26">
        <f>股权价值增加表!H4</f>
        <v>554996254.27999997</v>
      </c>
      <c r="I2" s="26">
        <f>股权价值增加表!I4</f>
        <v>3081860748.46</v>
      </c>
      <c r="J2" s="26">
        <f>股权价值增加表!J4</f>
        <v>1882610155.46</v>
      </c>
      <c r="K2" s="26">
        <f>股权价值增加表!K4</f>
        <v>1042533326.38</v>
      </c>
      <c r="L2" s="26">
        <f>股权价值增加表!L4</f>
        <v>309009125.79000002</v>
      </c>
      <c r="M2" s="26">
        <f>股权价值增加表!M4</f>
        <v>2101482138.0899999</v>
      </c>
      <c r="N2" s="26">
        <f>股权价值增加表!N4</f>
        <v>1287716120.8399999</v>
      </c>
      <c r="O2" s="26">
        <f>股权价值增加表!O4</f>
        <v>234402082.41999999</v>
      </c>
      <c r="P2" s="26">
        <f>股权价值增加表!P4</f>
        <v>98884258.989999995</v>
      </c>
      <c r="Q2" s="26">
        <f>股权价值增加表!Q4</f>
        <v>696008522.04999995</v>
      </c>
      <c r="R2" s="26">
        <f>股权价值增加表!R4</f>
        <v>499824845.88</v>
      </c>
      <c r="S2" s="26">
        <f>股权价值增加表!S4</f>
        <v>218791842.91</v>
      </c>
      <c r="T2" s="26">
        <f>股权价值增加表!T4</f>
        <v>80628835.340000004</v>
      </c>
      <c r="U2" s="26">
        <f>股权价值增加表!U4</f>
        <v>758700415.60000002</v>
      </c>
      <c r="V2" s="26">
        <f>股权价值增加表!V4</f>
        <v>505160617.19999999</v>
      </c>
      <c r="W2" s="26">
        <f>股权价值增加表!W4</f>
        <v>244045439.34</v>
      </c>
      <c r="X2" s="26">
        <f>股权价值增加表!X4</f>
        <v>124255763.25</v>
      </c>
      <c r="Y2" s="26">
        <f>股权价值增加表!Y4</f>
        <v>691214660.60000002</v>
      </c>
      <c r="Z2" s="26">
        <f>股权价值增加表!Z4</f>
        <v>479068814.31999999</v>
      </c>
      <c r="AA2" s="26">
        <f>股权价值增加表!AA4</f>
        <v>247057637.74000001</v>
      </c>
      <c r="AB2" s="26">
        <f>股权价值增加表!AB4</f>
        <v>129105048.27</v>
      </c>
      <c r="AC2" s="26">
        <f>股权价值增加表!AC4</f>
        <v>776359138.99000001</v>
      </c>
      <c r="AD2" s="26">
        <f>股权价值增加表!AD4</f>
        <v>579326555.54999995</v>
      </c>
      <c r="AE2" s="26">
        <f>股权价值增加表!AE4</f>
        <v>304913961.62</v>
      </c>
      <c r="AF2" s="26">
        <f>股权价值增加表!AF4</f>
        <v>129331362.36</v>
      </c>
      <c r="AG2" s="26">
        <f>股权价值增加表!AG4</f>
        <v>554317044.60000002</v>
      </c>
      <c r="AH2" s="26">
        <f>股权价值增加表!AH4</f>
        <v>356208895.57999998</v>
      </c>
      <c r="AI2" s="26">
        <f>股权价值增加表!AI4</f>
        <v>184973928.56</v>
      </c>
      <c r="AJ2" s="26">
        <f>股权价值增加表!AJ4</f>
        <v>104299108.65000001</v>
      </c>
      <c r="AK2" s="26">
        <f>股权价值增加表!AK4</f>
        <v>509839028.19</v>
      </c>
      <c r="AL2" s="26">
        <f>股权价值增加表!AL4</f>
        <v>339390401.16000003</v>
      </c>
      <c r="AM2" s="26">
        <f>股权价值增加表!AM4</f>
        <v>179720032.56</v>
      </c>
      <c r="AN2" s="26">
        <f>股权价值增加表!AN4</f>
        <v>98918353.280000001</v>
      </c>
      <c r="AO2" s="26">
        <f>股权价值增加表!AO4</f>
        <v>412981840.82999998</v>
      </c>
      <c r="AP2" s="26">
        <f>股权价值增加表!AP4</f>
        <v>271774932.64999998</v>
      </c>
      <c r="AQ2" s="26">
        <f>股权价值增加表!AQ4</f>
        <v>163859513.34999999</v>
      </c>
      <c r="AR2" s="26">
        <f>股权价值增加表!AR4</f>
        <v>83742016.219999999</v>
      </c>
      <c r="AS2" s="26">
        <f>股权价值增加表!AS4</f>
        <v>566295103.17999995</v>
      </c>
      <c r="AT2" s="26">
        <f>股权价值增加表!AT4</f>
        <v>419765060.01999998</v>
      </c>
      <c r="AU2" s="26">
        <f>股权价值增加表!AU4</f>
        <v>242760630.49000001</v>
      </c>
      <c r="AV2" s="26">
        <f>股权价值增加表!AV4</f>
        <v>125941160.89</v>
      </c>
      <c r="AW2" s="26">
        <f>股权价值增加表!AW4</f>
        <v>593824099.46000004</v>
      </c>
      <c r="AX2" s="26">
        <f>股权价值增加表!AX4</f>
        <v>439235650.68000001</v>
      </c>
      <c r="AY2" s="26">
        <f>股权价值增加表!AY4</f>
        <v>287317133.20999998</v>
      </c>
      <c r="AZ2" s="26">
        <f>股权价值增加表!AZ4</f>
        <v>136790548.13</v>
      </c>
      <c r="BA2" s="26">
        <f>股权价值增加表!BA4</f>
        <v>528669895.29000002</v>
      </c>
      <c r="BB2" s="26">
        <f>股权价值增加表!BB4</f>
        <v>399564767.79000002</v>
      </c>
      <c r="BC2" s="26">
        <f>股权价值增加表!BC4</f>
        <v>215657508.13999999</v>
      </c>
      <c r="BD2" s="26">
        <f>股权价值增加表!BD4</f>
        <v>122796213.84</v>
      </c>
      <c r="BE2" s="26">
        <f>股权价值增加表!BE4</f>
        <v>563658847.70000005</v>
      </c>
      <c r="BF2" s="26">
        <f>股权价值增加表!BF4</f>
        <v>398889793.47000003</v>
      </c>
      <c r="BG2" s="26">
        <f>股权价值增加表!BG4</f>
        <v>216854594.63</v>
      </c>
      <c r="BH2" s="26">
        <f>股权价值增加表!BH4</f>
        <v>446927130.95999998</v>
      </c>
      <c r="BI2" s="26">
        <f>股权价值增加表!BI4</f>
        <v>335191928.19</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1.0224959198382484</v>
      </c>
      <c r="F3" s="66">
        <f t="shared" ref="F3:BQ3" si="0">(F2-J2)/J2</f>
        <v>0.58780448095458715</v>
      </c>
      <c r="G3" s="66">
        <f t="shared" si="0"/>
        <v>0.55521372521478407</v>
      </c>
      <c r="H3" s="66">
        <f t="shared" si="0"/>
        <v>0.79605133945840389</v>
      </c>
      <c r="I3" s="66">
        <f t="shared" si="0"/>
        <v>0.46651769843785063</v>
      </c>
      <c r="J3" s="66">
        <f t="shared" si="0"/>
        <v>0.4619760714278705</v>
      </c>
      <c r="K3" s="66">
        <f t="shared" si="0"/>
        <v>3.4476282617318912</v>
      </c>
      <c r="L3" s="66">
        <f t="shared" si="0"/>
        <v>2.124957692419474</v>
      </c>
      <c r="M3" s="66">
        <f t="shared" si="0"/>
        <v>2.0193339183554326</v>
      </c>
      <c r="N3" s="66">
        <f t="shared" si="0"/>
        <v>1.5763347529729645</v>
      </c>
      <c r="O3" s="66">
        <f t="shared" si="0"/>
        <v>7.1347447429387312E-2</v>
      </c>
      <c r="P3" s="66">
        <f t="shared" si="0"/>
        <v>0.22641308872960325</v>
      </c>
      <c r="Q3" s="66">
        <f t="shared" si="0"/>
        <v>-8.2630630300131958E-2</v>
      </c>
      <c r="R3" s="66">
        <f t="shared" si="0"/>
        <v>-1.0562524350324579E-2</v>
      </c>
      <c r="S3" s="66">
        <f t="shared" si="0"/>
        <v>-0.10347907544716343</v>
      </c>
      <c r="T3" s="66">
        <f t="shared" si="0"/>
        <v>-0.35110587041523</v>
      </c>
      <c r="U3" s="66">
        <f t="shared" si="0"/>
        <v>9.763357007130008E-2</v>
      </c>
      <c r="V3" s="66">
        <f t="shared" si="0"/>
        <v>5.4463580387788819E-2</v>
      </c>
      <c r="W3" s="66">
        <f t="shared" si="0"/>
        <v>-1.2192290137453678E-2</v>
      </c>
      <c r="X3" s="66">
        <f t="shared" si="0"/>
        <v>-3.7560769969727195E-2</v>
      </c>
      <c r="Y3" s="66">
        <f t="shared" si="0"/>
        <v>-0.10967150911724721</v>
      </c>
      <c r="Z3" s="66">
        <f t="shared" si="0"/>
        <v>-0.17305911539790791</v>
      </c>
      <c r="AA3" s="66">
        <f t="shared" si="0"/>
        <v>-0.18974639131842583</v>
      </c>
      <c r="AB3" s="66">
        <f t="shared" si="0"/>
        <v>-1.7498778785771045E-3</v>
      </c>
      <c r="AC3" s="66">
        <f t="shared" si="0"/>
        <v>0.40056876575070405</v>
      </c>
      <c r="AD3" s="66">
        <f t="shared" si="0"/>
        <v>0.62636745667652927</v>
      </c>
      <c r="AE3" s="66">
        <f t="shared" si="0"/>
        <v>0.64841588213927703</v>
      </c>
      <c r="AF3" s="66">
        <f t="shared" si="0"/>
        <v>0.240004483585776</v>
      </c>
      <c r="AG3" s="66">
        <f t="shared" si="0"/>
        <v>8.7239332320052501E-2</v>
      </c>
      <c r="AH3" s="66">
        <f t="shared" si="0"/>
        <v>4.9555009106080031E-2</v>
      </c>
      <c r="AI3" s="66">
        <f t="shared" si="0"/>
        <v>2.923378059285613E-2</v>
      </c>
      <c r="AJ3" s="66">
        <f t="shared" si="0"/>
        <v>5.4395925443371927E-2</v>
      </c>
      <c r="AK3" s="66">
        <f t="shared" si="0"/>
        <v>0.23453134686343352</v>
      </c>
      <c r="AL3" s="66">
        <f t="shared" si="0"/>
        <v>0.24879214521626727</v>
      </c>
      <c r="AM3" s="66">
        <f t="shared" si="0"/>
        <v>9.6793398721515295E-2</v>
      </c>
      <c r="AN3" s="66">
        <f t="shared" si="0"/>
        <v>0.1812272709093844</v>
      </c>
      <c r="AO3" s="66">
        <f t="shared" si="0"/>
        <v>-0.27073033386493633</v>
      </c>
      <c r="AP3" s="66">
        <f t="shared" si="0"/>
        <v>-0.35255465846287665</v>
      </c>
      <c r="AQ3" s="66">
        <f t="shared" si="0"/>
        <v>-0.32501611558983889</v>
      </c>
      <c r="AR3" s="66">
        <f t="shared" si="0"/>
        <v>-0.33507031673987614</v>
      </c>
      <c r="AS3" s="66">
        <f t="shared" si="0"/>
        <v>-4.6358839772642879E-2</v>
      </c>
      <c r="AT3" s="66">
        <f t="shared" si="0"/>
        <v>-4.432834773283259E-2</v>
      </c>
      <c r="AU3" s="66">
        <f t="shared" si="0"/>
        <v>-0.15507777841926898</v>
      </c>
      <c r="AV3" s="66">
        <f t="shared" si="0"/>
        <v>-7.9313866259890939E-2</v>
      </c>
      <c r="AW3" s="66">
        <f t="shared" si="0"/>
        <v>0.12324175208474829</v>
      </c>
      <c r="AX3" s="66">
        <f t="shared" si="0"/>
        <v>9.9285237558407263E-2</v>
      </c>
      <c r="AY3" s="66">
        <f t="shared" si="0"/>
        <v>0.33228439708892576</v>
      </c>
      <c r="AZ3" s="66">
        <f t="shared" si="0"/>
        <v>0.11396389068016555</v>
      </c>
      <c r="BA3" s="66">
        <f t="shared" si="0"/>
        <v>-6.2074697403885042E-2</v>
      </c>
      <c r="BB3" s="66">
        <f t="shared" si="0"/>
        <v>1.6921323409363111E-3</v>
      </c>
      <c r="BC3" s="66">
        <f t="shared" si="0"/>
        <v>-5.5202265464676615E-3</v>
      </c>
      <c r="BD3" s="66">
        <f t="shared" si="0"/>
        <v>-0.72524332193430829</v>
      </c>
      <c r="BE3" s="66">
        <f t="shared" si="0"/>
        <v>0.68160030208273992</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3305842153.46</v>
      </c>
      <c r="F4" s="26">
        <f>股权价值增加表!F5</f>
        <v>1607703653.8599999</v>
      </c>
      <c r="G4" s="26">
        <f>股权价值增加表!G5</f>
        <v>912262660.67999995</v>
      </c>
      <c r="H4" s="26">
        <f>股权价值增加表!H5</f>
        <v>403895644.81</v>
      </c>
      <c r="I4" s="26">
        <f>股权价值增加表!I5</f>
        <v>1593099881.1400001</v>
      </c>
      <c r="J4" s="26">
        <f>股权价值增加表!J5</f>
        <v>1054987145.26</v>
      </c>
      <c r="K4" s="26">
        <f>股权价值增加表!K5</f>
        <v>645996106.79999995</v>
      </c>
      <c r="L4" s="26">
        <f>股权价值增加表!L5</f>
        <v>287994101.57999998</v>
      </c>
      <c r="M4" s="26">
        <f>股权价值增加表!M5</f>
        <v>1093803294.7</v>
      </c>
      <c r="N4" s="26">
        <f>股权价值增加表!N5</f>
        <v>735007941.15999997</v>
      </c>
      <c r="O4" s="26">
        <f>股权价值增加表!O5</f>
        <v>203239821.19</v>
      </c>
      <c r="P4" s="26">
        <f>股权价值增加表!P5</f>
        <v>85021682.310000002</v>
      </c>
      <c r="Q4" s="26">
        <f>股权价值增加表!Q5</f>
        <v>556375832.12</v>
      </c>
      <c r="R4" s="26">
        <f>股权价值增加表!R5</f>
        <v>390693544.98000002</v>
      </c>
      <c r="S4" s="26">
        <f>股权价值增加表!S5</f>
        <v>180750310.22</v>
      </c>
      <c r="T4" s="26">
        <f>股权价值增加表!T5</f>
        <v>65873397.520000003</v>
      </c>
      <c r="U4" s="26">
        <f>股权价值增加表!U5</f>
        <v>624264230.88999999</v>
      </c>
      <c r="V4" s="26">
        <f>股权价值增加表!V5</f>
        <v>411752426.16000003</v>
      </c>
      <c r="W4" s="26">
        <f>股权价值增加表!W5</f>
        <v>204748056.61000001</v>
      </c>
      <c r="X4" s="26">
        <f>股权价值增加表!X5</f>
        <v>105999396.81999999</v>
      </c>
      <c r="Y4" s="26">
        <f>股权价值增加表!Y5</f>
        <v>552430922.80999994</v>
      </c>
      <c r="Z4" s="26">
        <f>股权价值增加表!Z5</f>
        <v>392694832.89999998</v>
      </c>
      <c r="AA4" s="26">
        <f>股权价值增加表!AA5</f>
        <v>209481156.28999999</v>
      </c>
      <c r="AB4" s="26">
        <f>股权价值增加表!AB5</f>
        <v>108166229.47</v>
      </c>
      <c r="AC4" s="26">
        <f>股权价值增加表!AC5</f>
        <v>643419400.03999996</v>
      </c>
      <c r="AD4" s="26">
        <f>股权价值增加表!AD5</f>
        <v>499522077.79000002</v>
      </c>
      <c r="AE4" s="26">
        <f>股权价值增加表!AE5</f>
        <v>270291582.54000002</v>
      </c>
      <c r="AF4" s="26">
        <f>股权价值增加表!AF5</f>
        <v>113183634.31</v>
      </c>
      <c r="AG4" s="26">
        <f>股权价值增加表!AG5</f>
        <v>487245059.11000001</v>
      </c>
      <c r="AH4" s="26">
        <f>股权价值增加表!AH5</f>
        <v>309240439.19</v>
      </c>
      <c r="AI4" s="26">
        <f>股权价值增加表!AI5</f>
        <v>161559143.69999999</v>
      </c>
      <c r="AJ4" s="26">
        <f>股权价值增加表!AJ5</f>
        <v>92342805.459999993</v>
      </c>
      <c r="AK4" s="26">
        <f>股权价值增加表!AK5</f>
        <v>439583068.93000001</v>
      </c>
      <c r="AL4" s="26">
        <f>股权价值增加表!AL5</f>
        <v>300397846.06999999</v>
      </c>
      <c r="AM4" s="26">
        <f>股权价值增加表!AM5</f>
        <v>159877295.71000001</v>
      </c>
      <c r="AN4" s="26">
        <f>股权价值增加表!AN5</f>
        <v>89069045.790000007</v>
      </c>
      <c r="AO4" s="26">
        <f>股权价值增加表!AO5</f>
        <v>365088505.76999998</v>
      </c>
      <c r="AP4" s="26">
        <f>股权价值增加表!AP5</f>
        <v>236760445.34999999</v>
      </c>
      <c r="AQ4" s="26">
        <f>股权价值增加表!AQ5</f>
        <v>147704653.58000001</v>
      </c>
      <c r="AR4" s="26">
        <f>股权价值增加表!AR5</f>
        <v>76475808.640000001</v>
      </c>
      <c r="AS4" s="26">
        <f>股权价值增加表!AS5</f>
        <v>501552367.08999997</v>
      </c>
      <c r="AT4" s="26">
        <f>股权价值增加表!AT5</f>
        <v>370580841.50999999</v>
      </c>
      <c r="AU4" s="26">
        <f>股权价值增加表!AU5</f>
        <v>219786798.90000001</v>
      </c>
      <c r="AV4" s="26">
        <f>股权价值增加表!AV5</f>
        <v>112239155.43000001</v>
      </c>
      <c r="AW4" s="26">
        <f>股权价值增加表!AW5</f>
        <v>525457022.52999997</v>
      </c>
      <c r="AX4" s="26">
        <f>股权价值增加表!AX5</f>
        <v>383078442.14999998</v>
      </c>
      <c r="AY4" s="26">
        <f>股权价值增加表!AY5</f>
        <v>258654230.25</v>
      </c>
      <c r="AZ4" s="26">
        <f>股权价值增加表!AZ5</f>
        <v>120869082.25</v>
      </c>
      <c r="BA4" s="26">
        <f>股权价值增加表!BA5</f>
        <v>451775599.12</v>
      </c>
      <c r="BB4" s="26">
        <f>股权价值增加表!BB5</f>
        <v>342468923.31</v>
      </c>
      <c r="BC4" s="26">
        <f>股权价值增加表!BC5</f>
        <v>186594625.97</v>
      </c>
      <c r="BD4" s="26">
        <f>股权价值增加表!BD5</f>
        <v>106630749.14</v>
      </c>
      <c r="BE4" s="26">
        <f>股权价值增加表!BE5</f>
        <v>493558949.17000002</v>
      </c>
      <c r="BF4" s="26">
        <f>股权价值增加表!BF5</f>
        <v>353278186.13999999</v>
      </c>
      <c r="BG4" s="26">
        <f>股权价值增加表!BG5</f>
        <v>195848178.13999999</v>
      </c>
      <c r="BH4" s="26">
        <f>股权价值增加表!BH5</f>
        <v>380728387.19</v>
      </c>
      <c r="BI4" s="26">
        <f>股权价值增加表!BI5</f>
        <v>286706185.30000001</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0.53037304928605788</v>
      </c>
      <c r="F5" s="66">
        <f t="shared" si="2"/>
        <v>0.53783440262814153</v>
      </c>
      <c r="G5" s="66">
        <f t="shared" si="2"/>
        <v>0.56265200672813698</v>
      </c>
      <c r="H5" s="66">
        <f t="shared" si="2"/>
        <v>0.727744812141077</v>
      </c>
      <c r="I5" s="66">
        <f t="shared" si="2"/>
        <v>0.51692792477274296</v>
      </c>
      <c r="J5" s="66">
        <f t="shared" si="2"/>
        <v>0.56038534701424825</v>
      </c>
      <c r="K5" s="66">
        <f t="shared" si="2"/>
        <v>0.61964072558054273</v>
      </c>
      <c r="L5" s="66">
        <f t="shared" si="2"/>
        <v>0.93199222140681481</v>
      </c>
      <c r="M5" s="66">
        <f t="shared" si="2"/>
        <v>0.5204913593479974</v>
      </c>
      <c r="N5" s="66">
        <f t="shared" si="2"/>
        <v>0.57078414198972782</v>
      </c>
      <c r="O5" s="66">
        <f t="shared" si="2"/>
        <v>0.86705638060772994</v>
      </c>
      <c r="P5" s="66">
        <f t="shared" si="2"/>
        <v>0.85981007673423637</v>
      </c>
      <c r="Q5" s="66">
        <f t="shared" si="2"/>
        <v>0.79938077551302023</v>
      </c>
      <c r="R5" s="66">
        <f t="shared" si="2"/>
        <v>0.78166091221843603</v>
      </c>
      <c r="S5" s="66">
        <f t="shared" si="2"/>
        <v>0.82612910890993141</v>
      </c>
      <c r="T5" s="66">
        <f t="shared" si="2"/>
        <v>0.81699552327925262</v>
      </c>
      <c r="U5" s="66">
        <f t="shared" si="2"/>
        <v>0.82280728737484032</v>
      </c>
      <c r="V5" s="66">
        <f t="shared" si="2"/>
        <v>0.81509209574225705</v>
      </c>
      <c r="W5" s="66">
        <f t="shared" si="2"/>
        <v>0.83897513989084826</v>
      </c>
      <c r="X5" s="66">
        <f t="shared" si="2"/>
        <v>0.85307428844754207</v>
      </c>
      <c r="Y5" s="66">
        <f t="shared" si="2"/>
        <v>0.79921760098443129</v>
      </c>
      <c r="Z5" s="66">
        <f t="shared" si="2"/>
        <v>0.81970443736230048</v>
      </c>
      <c r="AA5" s="66">
        <f t="shared" si="2"/>
        <v>0.8479039879368353</v>
      </c>
      <c r="AB5" s="66">
        <f t="shared" si="2"/>
        <v>0.83781564640129158</v>
      </c>
      <c r="AC5" s="66">
        <f t="shared" si="2"/>
        <v>0.82876515226838543</v>
      </c>
      <c r="AD5" s="66">
        <f t="shared" si="2"/>
        <v>0.86224612527172118</v>
      </c>
      <c r="AE5" s="66">
        <f t="shared" si="2"/>
        <v>0.88645197190692027</v>
      </c>
      <c r="AF5" s="66">
        <f t="shared" si="2"/>
        <v>0.87514452987008651</v>
      </c>
      <c r="AG5" s="66">
        <f t="shared" si="2"/>
        <v>0.87900067994770081</v>
      </c>
      <c r="AH5" s="66">
        <f t="shared" si="2"/>
        <v>0.86814350519370598</v>
      </c>
      <c r="AI5" s="66">
        <f t="shared" si="2"/>
        <v>0.87341575625126566</v>
      </c>
      <c r="AJ5" s="66">
        <f t="shared" si="2"/>
        <v>0.88536524094254554</v>
      </c>
      <c r="AK5" s="66">
        <f t="shared" ref="AK5:BP5" si="3">AK4/AK2</f>
        <v>0.86219972309805604</v>
      </c>
      <c r="AL5" s="66">
        <f t="shared" si="3"/>
        <v>0.88511002386417625</v>
      </c>
      <c r="AM5" s="66">
        <f t="shared" si="3"/>
        <v>0.88959084545360601</v>
      </c>
      <c r="AN5" s="66">
        <f t="shared" si="3"/>
        <v>0.90042992868956917</v>
      </c>
      <c r="AO5" s="66">
        <f t="shared" si="3"/>
        <v>0.88403040926994458</v>
      </c>
      <c r="AP5" s="66">
        <f t="shared" si="3"/>
        <v>0.87116366120089261</v>
      </c>
      <c r="AQ5" s="66">
        <f t="shared" si="3"/>
        <v>0.90141030301064307</v>
      </c>
      <c r="AR5" s="66">
        <f t="shared" si="3"/>
        <v>0.91323104090411644</v>
      </c>
      <c r="AS5" s="66">
        <f t="shared" si="3"/>
        <v>0.88567314863497748</v>
      </c>
      <c r="AT5" s="66">
        <f t="shared" si="3"/>
        <v>0.88282917471107158</v>
      </c>
      <c r="AU5" s="66">
        <f t="shared" si="3"/>
        <v>0.90536426131523673</v>
      </c>
      <c r="AV5" s="66">
        <f t="shared" si="3"/>
        <v>0.89120311927275586</v>
      </c>
      <c r="AW5" s="66">
        <f t="shared" si="3"/>
        <v>0.88486981752311777</v>
      </c>
      <c r="AX5" s="66">
        <f t="shared" si="3"/>
        <v>0.87214788134100552</v>
      </c>
      <c r="AY5" s="66">
        <f t="shared" si="3"/>
        <v>0.90023949271744164</v>
      </c>
      <c r="AZ5" s="66">
        <f t="shared" si="3"/>
        <v>0.88360697359828622</v>
      </c>
      <c r="BA5" s="66">
        <f t="shared" si="3"/>
        <v>0.85455139992826734</v>
      </c>
      <c r="BB5" s="66">
        <f t="shared" si="3"/>
        <v>0.85710490743265932</v>
      </c>
      <c r="BC5" s="66">
        <f t="shared" si="3"/>
        <v>0.86523593627385775</v>
      </c>
      <c r="BD5" s="66">
        <f t="shared" si="3"/>
        <v>0.8683553491228716</v>
      </c>
      <c r="BE5" s="66">
        <f t="shared" si="3"/>
        <v>0.87563417337270333</v>
      </c>
      <c r="BF5" s="66">
        <f t="shared" si="3"/>
        <v>0.88565361140675458</v>
      </c>
      <c r="BG5" s="66">
        <f t="shared" si="3"/>
        <v>0.90313132850220945</v>
      </c>
      <c r="BH5" s="66">
        <f t="shared" si="3"/>
        <v>0.85188023016681713</v>
      </c>
      <c r="BI5" s="66">
        <f t="shared" si="3"/>
        <v>0.85534931240194911</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1.0751003704139288</v>
      </c>
      <c r="F6" s="66">
        <f t="shared" ref="F6:BQ6" si="5">(F4-J4)/J4</f>
        <v>0.52390828749271989</v>
      </c>
      <c r="G6" s="66">
        <f t="shared" si="5"/>
        <v>0.4121798120409354</v>
      </c>
      <c r="H6" s="66">
        <f t="shared" si="5"/>
        <v>0.4024441563009043</v>
      </c>
      <c r="I6" s="66">
        <f t="shared" si="5"/>
        <v>0.45647749358530071</v>
      </c>
      <c r="J6" s="66">
        <f t="shared" si="5"/>
        <v>0.43534115236225107</v>
      </c>
      <c r="K6" s="66">
        <f t="shared" si="5"/>
        <v>2.1784918084339706</v>
      </c>
      <c r="L6" s="66">
        <f t="shared" si="5"/>
        <v>2.3873018476620635</v>
      </c>
      <c r="M6" s="66">
        <f t="shared" si="5"/>
        <v>0.9659432195898956</v>
      </c>
      <c r="N6" s="66">
        <f t="shared" si="5"/>
        <v>0.88129020969011851</v>
      </c>
      <c r="O6" s="66">
        <f t="shared" si="5"/>
        <v>0.12442308365959051</v>
      </c>
      <c r="P6" s="66">
        <f t="shared" si="5"/>
        <v>0.29068312112163847</v>
      </c>
      <c r="Q6" s="66">
        <f t="shared" si="5"/>
        <v>-0.10874946122287507</v>
      </c>
      <c r="R6" s="66">
        <f t="shared" si="5"/>
        <v>-5.1144522392727522E-2</v>
      </c>
      <c r="S6" s="66">
        <f t="shared" si="5"/>
        <v>-0.11720622303981347</v>
      </c>
      <c r="T6" s="66">
        <f t="shared" si="5"/>
        <v>-0.37854931729601132</v>
      </c>
      <c r="U6" s="66">
        <f t="shared" si="5"/>
        <v>0.13003129461799878</v>
      </c>
      <c r="V6" s="66">
        <f t="shared" si="5"/>
        <v>4.8530287804558613E-2</v>
      </c>
      <c r="W6" s="66">
        <f t="shared" si="5"/>
        <v>-2.2594393518849988E-2</v>
      </c>
      <c r="X6" s="66">
        <f t="shared" si="5"/>
        <v>-2.0032432124307144E-2</v>
      </c>
      <c r="Y6" s="66">
        <f t="shared" si="5"/>
        <v>-0.14141394745688965</v>
      </c>
      <c r="Z6" s="66">
        <f t="shared" si="5"/>
        <v>-0.21385890562160581</v>
      </c>
      <c r="AA6" s="66">
        <f t="shared" si="5"/>
        <v>-0.2249808361716214</v>
      </c>
      <c r="AB6" s="66">
        <f t="shared" si="5"/>
        <v>-4.4329773209594719E-2</v>
      </c>
      <c r="AC6" s="66">
        <f t="shared" si="5"/>
        <v>0.32052524291424817</v>
      </c>
      <c r="AD6" s="66">
        <f t="shared" si="5"/>
        <v>0.6153193906282397</v>
      </c>
      <c r="AE6" s="66">
        <f t="shared" si="5"/>
        <v>0.67301940546247174</v>
      </c>
      <c r="AF6" s="66">
        <f t="shared" si="5"/>
        <v>0.22568979517335114</v>
      </c>
      <c r="AG6" s="66">
        <f t="shared" si="5"/>
        <v>0.10842544572068082</v>
      </c>
      <c r="AH6" s="66">
        <f t="shared" si="5"/>
        <v>2.9436273381066341E-2</v>
      </c>
      <c r="AI6" s="66">
        <f t="shared" si="5"/>
        <v>1.0519617451189997E-2</v>
      </c>
      <c r="AJ6" s="66">
        <f t="shared" si="5"/>
        <v>3.6755301922944142E-2</v>
      </c>
      <c r="AK6" s="66">
        <f t="shared" si="5"/>
        <v>0.20404521638632586</v>
      </c>
      <c r="AL6" s="66">
        <f t="shared" si="5"/>
        <v>0.2687839204978924</v>
      </c>
      <c r="AM6" s="66">
        <f t="shared" si="5"/>
        <v>8.2412042105410241E-2</v>
      </c>
      <c r="AN6" s="66">
        <f t="shared" si="5"/>
        <v>0.1646695520315587</v>
      </c>
      <c r="AO6" s="66">
        <f t="shared" si="5"/>
        <v>-0.27208297732051684</v>
      </c>
      <c r="AP6" s="66">
        <f t="shared" si="5"/>
        <v>-0.36110986098127501</v>
      </c>
      <c r="AQ6" s="66">
        <f t="shared" si="5"/>
        <v>-0.32796394360698788</v>
      </c>
      <c r="AR6" s="66">
        <f t="shared" si="5"/>
        <v>-0.31863520937044532</v>
      </c>
      <c r="AS6" s="66">
        <f t="shared" si="5"/>
        <v>-4.5493074438138673E-2</v>
      </c>
      <c r="AT6" s="66">
        <f t="shared" si="5"/>
        <v>-3.2624129329382537E-2</v>
      </c>
      <c r="AU6" s="66">
        <f t="shared" si="5"/>
        <v>-0.15026791292929181</v>
      </c>
      <c r="AV6" s="66">
        <f t="shared" si="5"/>
        <v>-7.139896042356185E-2</v>
      </c>
      <c r="AW6" s="66">
        <f t="shared" si="5"/>
        <v>0.16309296817606303</v>
      </c>
      <c r="AX6" s="66">
        <f t="shared" si="5"/>
        <v>0.11857869744064509</v>
      </c>
      <c r="AY6" s="66">
        <f t="shared" si="5"/>
        <v>0.38618263471095615</v>
      </c>
      <c r="AZ6" s="66">
        <f t="shared" si="5"/>
        <v>0.13352933581387383</v>
      </c>
      <c r="BA6" s="66">
        <f t="shared" si="5"/>
        <v>-8.4657263575638811E-2</v>
      </c>
      <c r="BB6" s="66">
        <f t="shared" si="5"/>
        <v>-3.0597028783759663E-2</v>
      </c>
      <c r="BC6" s="66">
        <f t="shared" si="5"/>
        <v>-4.7248599695347608E-2</v>
      </c>
      <c r="BD6" s="66">
        <f t="shared" si="5"/>
        <v>-0.71992960670204342</v>
      </c>
      <c r="BE6" s="66">
        <f t="shared" si="5"/>
        <v>0.72147994872714727</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2927208635.8100004</v>
      </c>
      <c r="F7" s="27">
        <f>股权价值增加表!F6</f>
        <v>1381513186.8700001</v>
      </c>
      <c r="G7" s="27">
        <f>股权价值增加表!G6</f>
        <v>709099477.50000012</v>
      </c>
      <c r="H7" s="27">
        <f>股权价值增加表!H6</f>
        <v>151100609.46999997</v>
      </c>
      <c r="I7" s="27">
        <f>股权价值增加表!I6</f>
        <v>1488760867.3199999</v>
      </c>
      <c r="J7" s="27">
        <f>股权价值增加表!J6</f>
        <v>827623010.20000005</v>
      </c>
      <c r="K7" s="27">
        <f>股权价值增加表!K6</f>
        <v>396537219.58000004</v>
      </c>
      <c r="L7" s="27">
        <f>股权价值增加表!L6</f>
        <v>21015024.210000038</v>
      </c>
      <c r="M7" s="27">
        <f>股权价值增加表!M6</f>
        <v>1007678843.3899999</v>
      </c>
      <c r="N7" s="27">
        <f>股权价值增加表!N6</f>
        <v>552708179.67999995</v>
      </c>
      <c r="O7" s="27">
        <f>股权价值增加表!O6</f>
        <v>31162261.229999989</v>
      </c>
      <c r="P7" s="27">
        <f>股权价值增加表!P6</f>
        <v>13862576.679999992</v>
      </c>
      <c r="Q7" s="27">
        <f>股权价值增加表!Q6</f>
        <v>139632689.92999995</v>
      </c>
      <c r="R7" s="27">
        <f>股权价值增加表!R6</f>
        <v>109131300.89999998</v>
      </c>
      <c r="S7" s="27">
        <f>股权价值增加表!S6</f>
        <v>38041532.689999998</v>
      </c>
      <c r="T7" s="27">
        <f>股权价值增加表!T6</f>
        <v>14755437.82</v>
      </c>
      <c r="U7" s="27">
        <f>股权价值增加表!U6</f>
        <v>134436184.71000004</v>
      </c>
      <c r="V7" s="27">
        <f>股权价值增加表!V6</f>
        <v>93408191.039999962</v>
      </c>
      <c r="W7" s="27">
        <f>股权价值增加表!W6</f>
        <v>39297382.729999989</v>
      </c>
      <c r="X7" s="27">
        <f>股权价值增加表!X6</f>
        <v>18256366.430000007</v>
      </c>
      <c r="Y7" s="27">
        <f>股权价值增加表!Y6</f>
        <v>138783737.79000008</v>
      </c>
      <c r="Z7" s="27">
        <f>股权价值增加表!Z6</f>
        <v>86373981.420000017</v>
      </c>
      <c r="AA7" s="27">
        <f>股权价值增加表!AA6</f>
        <v>37576481.450000018</v>
      </c>
      <c r="AB7" s="27">
        <f>股权价值增加表!AB6</f>
        <v>20938818.799999997</v>
      </c>
      <c r="AC7" s="27">
        <f>股权价值增加表!AC6</f>
        <v>132939738.95000005</v>
      </c>
      <c r="AD7" s="27">
        <f>股权价值增加表!AD6</f>
        <v>79804477.759999931</v>
      </c>
      <c r="AE7" s="27">
        <f>股权价值增加表!AE6</f>
        <v>34622379.079999983</v>
      </c>
      <c r="AF7" s="27">
        <f>股权价值增加表!AF6</f>
        <v>16147728.049999997</v>
      </c>
      <c r="AG7" s="27">
        <f>股权价值增加表!AG6</f>
        <v>67071985.49000001</v>
      </c>
      <c r="AH7" s="27">
        <f>股权价值增加表!AH6</f>
        <v>46968456.389999986</v>
      </c>
      <c r="AI7" s="27">
        <f>股权价值增加表!AI6</f>
        <v>23414784.860000014</v>
      </c>
      <c r="AJ7" s="27">
        <f>股权价值增加表!AJ6</f>
        <v>11956303.190000013</v>
      </c>
      <c r="AK7" s="27">
        <f>股权价值增加表!AK6</f>
        <v>70255959.25999999</v>
      </c>
      <c r="AL7" s="27">
        <f>股权价值增加表!AL6</f>
        <v>38992555.090000033</v>
      </c>
      <c r="AM7" s="27">
        <f>股权价值增加表!AM6</f>
        <v>19842736.849999994</v>
      </c>
      <c r="AN7" s="27">
        <f>股权价值增加表!AN6</f>
        <v>9849307.4899999946</v>
      </c>
      <c r="AO7" s="27">
        <f>股权价值增加表!AO6</f>
        <v>47893335.060000002</v>
      </c>
      <c r="AP7" s="27">
        <f>股权价值增加表!AP6</f>
        <v>35014487.299999982</v>
      </c>
      <c r="AQ7" s="27">
        <f>股权价值增加表!AQ6</f>
        <v>16154859.769999981</v>
      </c>
      <c r="AR7" s="27">
        <f>股权价值增加表!AR6</f>
        <v>7266207.5799999982</v>
      </c>
      <c r="AS7" s="27">
        <f>股权价值增加表!AS6</f>
        <v>64742736.089999974</v>
      </c>
      <c r="AT7" s="27">
        <f>股权价值增加表!AT6</f>
        <v>49184218.50999999</v>
      </c>
      <c r="AU7" s="27">
        <f>股权价值增加表!AU6</f>
        <v>22973831.590000004</v>
      </c>
      <c r="AV7" s="27">
        <f>股权价值增加表!AV6</f>
        <v>13702005.459999993</v>
      </c>
      <c r="AW7" s="27">
        <f>股权价值增加表!AW6</f>
        <v>68367076.930000067</v>
      </c>
      <c r="AX7" s="27">
        <f>股权价值增加表!AX6</f>
        <v>56157208.530000031</v>
      </c>
      <c r="AY7" s="27">
        <f>股权价值增加表!AY6</f>
        <v>28662902.959999979</v>
      </c>
      <c r="AZ7" s="27">
        <f>股权价值增加表!AZ6</f>
        <v>15921465.879999995</v>
      </c>
      <c r="BA7" s="27">
        <f>股权价值增加表!BA6</f>
        <v>76894296.170000017</v>
      </c>
      <c r="BB7" s="27">
        <f>股权价值增加表!BB6</f>
        <v>57095844.480000019</v>
      </c>
      <c r="BC7" s="27">
        <f>股权价值增加表!BC6</f>
        <v>29062882.169999987</v>
      </c>
      <c r="BD7" s="27">
        <f>股权价值增加表!BD6</f>
        <v>16165464.700000003</v>
      </c>
      <c r="BE7" s="27">
        <f>股权价值增加表!BE6</f>
        <v>70099898.530000031</v>
      </c>
      <c r="BF7" s="27">
        <f>股权价值增加表!BF6</f>
        <v>45611607.330000043</v>
      </c>
      <c r="BG7" s="27">
        <f>股权价值增加表!BG6</f>
        <v>21006416.49000001</v>
      </c>
      <c r="BH7" s="27">
        <f>股权价值增加表!BH6</f>
        <v>66198743.769999981</v>
      </c>
      <c r="BI7" s="27">
        <f>股权价值增加表!BI6</f>
        <v>48485742.889999986</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0.46962695071394212</v>
      </c>
      <c r="F8" s="66">
        <f t="shared" ref="F8:BQ8" si="7">F7/F2</f>
        <v>0.46216559737185853</v>
      </c>
      <c r="G8" s="66">
        <f t="shared" si="7"/>
        <v>0.43734799327186302</v>
      </c>
      <c r="H8" s="66">
        <f t="shared" si="7"/>
        <v>0.27225518785892294</v>
      </c>
      <c r="I8" s="66">
        <f t="shared" si="7"/>
        <v>0.48307207522725709</v>
      </c>
      <c r="J8" s="66">
        <f t="shared" si="7"/>
        <v>0.43961465298575175</v>
      </c>
      <c r="K8" s="66">
        <f t="shared" si="7"/>
        <v>0.38035927441945727</v>
      </c>
      <c r="L8" s="66">
        <f t="shared" si="7"/>
        <v>6.80077785931852E-2</v>
      </c>
      <c r="M8" s="66">
        <f t="shared" si="7"/>
        <v>0.4795086406520026</v>
      </c>
      <c r="N8" s="66">
        <f t="shared" si="7"/>
        <v>0.42921585801027223</v>
      </c>
      <c r="O8" s="66">
        <f t="shared" si="7"/>
        <v>0.13294361939227003</v>
      </c>
      <c r="P8" s="66">
        <f t="shared" si="7"/>
        <v>0.14018992326576357</v>
      </c>
      <c r="Q8" s="66">
        <f t="shared" si="7"/>
        <v>0.20061922448697977</v>
      </c>
      <c r="R8" s="66">
        <f t="shared" si="7"/>
        <v>0.21833908778156391</v>
      </c>
      <c r="S8" s="66">
        <f t="shared" si="7"/>
        <v>0.17387089109006856</v>
      </c>
      <c r="T8" s="66">
        <f t="shared" si="7"/>
        <v>0.18300447672074732</v>
      </c>
      <c r="U8" s="66">
        <f t="shared" si="7"/>
        <v>0.1771927126251597</v>
      </c>
      <c r="V8" s="66">
        <f t="shared" si="7"/>
        <v>0.18490790425774301</v>
      </c>
      <c r="W8" s="66">
        <f t="shared" si="7"/>
        <v>0.16102486010915179</v>
      </c>
      <c r="X8" s="66">
        <f t="shared" si="7"/>
        <v>0.14692571155245795</v>
      </c>
      <c r="Y8" s="66">
        <f t="shared" si="7"/>
        <v>0.20078239901556869</v>
      </c>
      <c r="Z8" s="66">
        <f t="shared" si="7"/>
        <v>0.18029556263769955</v>
      </c>
      <c r="AA8" s="66">
        <f t="shared" si="7"/>
        <v>0.1520960120631647</v>
      </c>
      <c r="AB8" s="66">
        <f t="shared" si="7"/>
        <v>0.16218435359870842</v>
      </c>
      <c r="AC8" s="66">
        <f t="shared" si="7"/>
        <v>0.17123484773161457</v>
      </c>
      <c r="AD8" s="66">
        <f t="shared" si="7"/>
        <v>0.13775387472827877</v>
      </c>
      <c r="AE8" s="66">
        <f t="shared" si="7"/>
        <v>0.11354802809307969</v>
      </c>
      <c r="AF8" s="66">
        <f t="shared" si="7"/>
        <v>0.12485547012991348</v>
      </c>
      <c r="AG8" s="66">
        <f t="shared" si="7"/>
        <v>0.1209993200522992</v>
      </c>
      <c r="AH8" s="66">
        <f t="shared" si="7"/>
        <v>0.13185649480629399</v>
      </c>
      <c r="AI8" s="66">
        <f t="shared" si="7"/>
        <v>0.12658424374873434</v>
      </c>
      <c r="AJ8" s="66">
        <f t="shared" si="7"/>
        <v>0.11463475905745443</v>
      </c>
      <c r="AK8" s="66">
        <f t="shared" si="7"/>
        <v>0.13780027690194391</v>
      </c>
      <c r="AL8" s="66">
        <f t="shared" si="7"/>
        <v>0.11488997613582369</v>
      </c>
      <c r="AM8" s="66">
        <f t="shared" si="7"/>
        <v>0.11040915454639395</v>
      </c>
      <c r="AN8" s="66">
        <f t="shared" si="7"/>
        <v>9.9570071310430885E-2</v>
      </c>
      <c r="AO8" s="66">
        <f t="shared" si="7"/>
        <v>0.11596959073005546</v>
      </c>
      <c r="AP8" s="66">
        <f t="shared" si="7"/>
        <v>0.12883633879910736</v>
      </c>
      <c r="AQ8" s="66">
        <f t="shared" si="7"/>
        <v>9.8589696989356893E-2</v>
      </c>
      <c r="AR8" s="66">
        <f t="shared" si="7"/>
        <v>8.6768959095883572E-2</v>
      </c>
      <c r="AS8" s="66">
        <f t="shared" si="7"/>
        <v>0.11432685136502257</v>
      </c>
      <c r="AT8" s="66">
        <f t="shared" si="7"/>
        <v>0.11717082528892847</v>
      </c>
      <c r="AU8" s="66">
        <f t="shared" si="7"/>
        <v>9.4635738684763215E-2</v>
      </c>
      <c r="AV8" s="66">
        <f t="shared" si="7"/>
        <v>0.10879688072724412</v>
      </c>
      <c r="AW8" s="66">
        <f t="shared" si="7"/>
        <v>0.11513018247688223</v>
      </c>
      <c r="AX8" s="66">
        <f t="shared" si="7"/>
        <v>0.12785211865899454</v>
      </c>
      <c r="AY8" s="66">
        <f t="shared" si="7"/>
        <v>9.9760507282558308E-2</v>
      </c>
      <c r="AZ8" s="66">
        <f t="shared" si="7"/>
        <v>0.11639302640171383</v>
      </c>
      <c r="BA8" s="66">
        <f t="shared" si="7"/>
        <v>0.14544860007173271</v>
      </c>
      <c r="BB8" s="66">
        <f t="shared" si="7"/>
        <v>0.14289509256734065</v>
      </c>
      <c r="BC8" s="66">
        <f t="shared" si="7"/>
        <v>0.13476406372614219</v>
      </c>
      <c r="BD8" s="66">
        <f t="shared" si="7"/>
        <v>0.1316446508771284</v>
      </c>
      <c r="BE8" s="66">
        <f t="shared" si="7"/>
        <v>0.12436582662729669</v>
      </c>
      <c r="BF8" s="66">
        <f t="shared" si="7"/>
        <v>0.11434638859324545</v>
      </c>
      <c r="BG8" s="66">
        <f t="shared" si="7"/>
        <v>9.6868671497790576E-2</v>
      </c>
      <c r="BH8" s="66">
        <f t="shared" si="7"/>
        <v>0.1481197698331829</v>
      </c>
      <c r="BI8" s="66">
        <f t="shared" si="7"/>
        <v>0.14465068759805086</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0.9662047143134741</v>
      </c>
      <c r="F9" s="66">
        <f t="shared" ref="F9:BQ9" si="9">(F7-J7)/J7</f>
        <v>0.66925420130132585</v>
      </c>
      <c r="G9" s="66">
        <f t="shared" si="9"/>
        <v>0.78822930732972896</v>
      </c>
      <c r="H9" s="66">
        <f t="shared" si="9"/>
        <v>6.1901230262727207</v>
      </c>
      <c r="I9" s="66">
        <f t="shared" si="9"/>
        <v>0.4774160210723089</v>
      </c>
      <c r="J9" s="66">
        <f t="shared" si="9"/>
        <v>0.49739598693684406</v>
      </c>
      <c r="K9" s="66">
        <f t="shared" si="9"/>
        <v>11.724918023543575</v>
      </c>
      <c r="L9" s="66">
        <f t="shared" si="9"/>
        <v>0.51595368560298915</v>
      </c>
      <c r="M9" s="66">
        <f t="shared" si="9"/>
        <v>6.216639913584455</v>
      </c>
      <c r="N9" s="66">
        <f t="shared" si="9"/>
        <v>4.064616431049985</v>
      </c>
      <c r="O9" s="66">
        <f t="shared" si="9"/>
        <v>-0.1808358121650647</v>
      </c>
      <c r="P9" s="66">
        <f t="shared" si="9"/>
        <v>-6.0510650438972066E-2</v>
      </c>
      <c r="Q9" s="66">
        <f t="shared" si="9"/>
        <v>3.8654066471832615E-2</v>
      </c>
      <c r="R9" s="66">
        <f t="shared" si="9"/>
        <v>0.16832688530780932</v>
      </c>
      <c r="S9" s="66">
        <f t="shared" si="9"/>
        <v>-3.1957600042439062E-2</v>
      </c>
      <c r="T9" s="66">
        <f t="shared" si="9"/>
        <v>-0.19176480837101634</v>
      </c>
      <c r="U9" s="66">
        <f t="shared" si="9"/>
        <v>-3.1326098786721837E-2</v>
      </c>
      <c r="V9" s="66">
        <f t="shared" si="9"/>
        <v>8.1438987810409813E-2</v>
      </c>
      <c r="W9" s="66">
        <f t="shared" si="9"/>
        <v>4.5797296968579544E-2</v>
      </c>
      <c r="X9" s="66">
        <f t="shared" si="9"/>
        <v>-0.12810905885483809</v>
      </c>
      <c r="Y9" s="66">
        <f t="shared" si="9"/>
        <v>4.3959758655747166E-2</v>
      </c>
      <c r="Z9" s="66">
        <f t="shared" si="9"/>
        <v>8.2319988105891612E-2</v>
      </c>
      <c r="AA9" s="66">
        <f t="shared" si="9"/>
        <v>8.5323494470849512E-2</v>
      </c>
      <c r="AB9" s="66">
        <f t="shared" si="9"/>
        <v>0.29670370563368514</v>
      </c>
      <c r="AC9" s="66">
        <f t="shared" si="9"/>
        <v>0.98204567792048569</v>
      </c>
      <c r="AD9" s="66">
        <f t="shared" si="9"/>
        <v>0.69910795231054335</v>
      </c>
      <c r="AE9" s="66">
        <f t="shared" si="9"/>
        <v>0.47865458884254564</v>
      </c>
      <c r="AF9" s="66">
        <f t="shared" si="9"/>
        <v>0.35056194154607917</v>
      </c>
      <c r="AG9" s="66">
        <f t="shared" si="9"/>
        <v>-4.5319625602390237E-2</v>
      </c>
      <c r="AH9" s="66">
        <f t="shared" si="9"/>
        <v>0.20454933721554039</v>
      </c>
      <c r="AI9" s="66">
        <f t="shared" si="9"/>
        <v>0.18001790967660902</v>
      </c>
      <c r="AJ9" s="66">
        <f t="shared" si="9"/>
        <v>0.21392323289117041</v>
      </c>
      <c r="AK9" s="66">
        <f t="shared" si="9"/>
        <v>0.46692559981434684</v>
      </c>
      <c r="AL9" s="66">
        <f t="shared" si="9"/>
        <v>0.11361205308866691</v>
      </c>
      <c r="AM9" s="66">
        <f t="shared" si="9"/>
        <v>0.22828282835661021</v>
      </c>
      <c r="AN9" s="66">
        <f t="shared" si="9"/>
        <v>0.35549492380452985</v>
      </c>
      <c r="AO9" s="66">
        <f t="shared" si="9"/>
        <v>-0.26025160577979489</v>
      </c>
      <c r="AP9" s="66">
        <f t="shared" si="9"/>
        <v>-0.28809507682060781</v>
      </c>
      <c r="AQ9" s="66">
        <f t="shared" si="9"/>
        <v>-0.2968147386859129</v>
      </c>
      <c r="AR9" s="66">
        <f t="shared" si="9"/>
        <v>-0.46969751243990515</v>
      </c>
      <c r="AS9" s="66">
        <f t="shared" si="9"/>
        <v>-5.3012955983345558E-2</v>
      </c>
      <c r="AT9" s="66">
        <f t="shared" si="9"/>
        <v>-0.12416909961389844</v>
      </c>
      <c r="AU9" s="66">
        <f t="shared" si="9"/>
        <v>-0.19848203714533941</v>
      </c>
      <c r="AV9" s="66">
        <f t="shared" si="9"/>
        <v>-0.13940050726032788</v>
      </c>
      <c r="AW9" s="66">
        <f t="shared" si="9"/>
        <v>-0.11089534158876674</v>
      </c>
      <c r="AX9" s="66">
        <f t="shared" si="9"/>
        <v>-1.6439654383757839E-2</v>
      </c>
      <c r="AY9" s="66">
        <f t="shared" si="9"/>
        <v>-1.376254452880399E-2</v>
      </c>
      <c r="AZ9" s="66">
        <f t="shared" si="9"/>
        <v>-1.5093832718586043E-2</v>
      </c>
      <c r="BA9" s="66">
        <f t="shared" si="9"/>
        <v>9.6924500355621029E-2</v>
      </c>
      <c r="BB9" s="66">
        <f t="shared" si="9"/>
        <v>0.25178321533182341</v>
      </c>
      <c r="BC9" s="66">
        <f t="shared" si="9"/>
        <v>0.38352403818305775</v>
      </c>
      <c r="BD9" s="66">
        <f t="shared" si="9"/>
        <v>-0.75580405640075177</v>
      </c>
      <c r="BE9" s="66">
        <f t="shared" si="9"/>
        <v>0.44578373665504645</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7779361.5499999998</v>
      </c>
      <c r="F10" s="27">
        <f>股权价值增加表!F8</f>
        <v>609410.35</v>
      </c>
      <c r="G10" s="27">
        <f>股权价值增加表!G8</f>
        <v>289899.03999999998</v>
      </c>
      <c r="H10" s="27">
        <f>股权价值增加表!H8</f>
        <v>44951.11</v>
      </c>
      <c r="I10" s="27">
        <f>股权价值增加表!I8</f>
        <v>815109.12</v>
      </c>
      <c r="J10" s="27">
        <f>股权价值增加表!J8</f>
        <v>216155.37</v>
      </c>
      <c r="K10" s="27">
        <f>股权价值增加表!K8</f>
        <v>123487</v>
      </c>
      <c r="L10" s="27">
        <f>股权价值增加表!L8</f>
        <v>53201.64</v>
      </c>
      <c r="M10" s="27">
        <f>股权价值增加表!M8</f>
        <v>2354162.14</v>
      </c>
      <c r="N10" s="27">
        <f>股权价值增加表!N8</f>
        <v>655348.03</v>
      </c>
      <c r="O10" s="27">
        <f>股权价值增加表!O8</f>
        <v>2024948.34</v>
      </c>
      <c r="P10" s="27">
        <f>股权价值增加表!P8</f>
        <v>1401204.46</v>
      </c>
      <c r="Q10" s="27">
        <f>股权价值增加表!Q8</f>
        <v>5794018.9400000004</v>
      </c>
      <c r="R10" s="27">
        <f>股权价值增加表!R8</f>
        <v>2923435.89</v>
      </c>
      <c r="S10" s="27">
        <f>股权价值增加表!S8</f>
        <v>2361889.4300000002</v>
      </c>
      <c r="T10" s="27">
        <f>股权价值增加表!T8</f>
        <v>2018220.45</v>
      </c>
      <c r="U10" s="27">
        <f>股权价值增加表!U8</f>
        <v>4530749.54</v>
      </c>
      <c r="V10" s="27">
        <f>股权价值增加表!V8</f>
        <v>1679468.93</v>
      </c>
      <c r="W10" s="27">
        <f>股权价值增加表!W8</f>
        <v>1661713.03</v>
      </c>
      <c r="X10" s="27">
        <f>股权价值增加表!X8</f>
        <v>1042669.28</v>
      </c>
      <c r="Y10" s="27">
        <f>股权价值增加表!Y8</f>
        <v>4857444.91</v>
      </c>
      <c r="Z10" s="27">
        <f>股权价值增加表!Z8</f>
        <v>3130687.74</v>
      </c>
      <c r="AA10" s="27">
        <f>股权价值增加表!AA8</f>
        <v>2569636.8199999998</v>
      </c>
      <c r="AB10" s="27">
        <f>股权价值增加表!AB8</f>
        <v>1948066.91</v>
      </c>
      <c r="AC10" s="27">
        <f>股权价值增加表!AC8</f>
        <v>3136069.67</v>
      </c>
      <c r="AD10" s="27">
        <f>股权价值增加表!AD8</f>
        <v>1478208</v>
      </c>
      <c r="AE10" s="27">
        <f>股权价值增加表!AE8</f>
        <v>1290432.23</v>
      </c>
      <c r="AF10" s="27">
        <f>股权价值增加表!AF8</f>
        <v>373720.48</v>
      </c>
      <c r="AG10" s="27">
        <f>股权价值增加表!AG8</f>
        <v>824735.49</v>
      </c>
      <c r="AH10" s="27">
        <f>股权价值增加表!AH8</f>
        <v>545994.86</v>
      </c>
      <c r="AI10" s="27">
        <f>股权价值增加表!AI8</f>
        <v>536286.68000000005</v>
      </c>
      <c r="AJ10" s="27">
        <f>股权价值增加表!AJ8</f>
        <v>155584.76999999999</v>
      </c>
      <c r="AK10" s="27">
        <f>股权价值增加表!AK8</f>
        <v>555155.07999999996</v>
      </c>
      <c r="AL10" s="27">
        <f>股权价值增加表!AL8</f>
        <v>435891.13</v>
      </c>
      <c r="AM10" s="27">
        <f>股权价值增加表!AM8</f>
        <v>220558.07999999999</v>
      </c>
      <c r="AN10" s="27">
        <f>股权价值增加表!AN8</f>
        <v>127518.08</v>
      </c>
      <c r="AO10" s="27">
        <f>股权价值增加表!AO8</f>
        <v>796320.63</v>
      </c>
      <c r="AP10" s="27">
        <f>股权价值增加表!AP8</f>
        <v>574148.56000000006</v>
      </c>
      <c r="AQ10" s="27">
        <f>股权价值增加表!AQ8</f>
        <v>440939.33</v>
      </c>
      <c r="AR10" s="27">
        <f>股权价值增加表!AR8</f>
        <v>340998.51</v>
      </c>
      <c r="AS10" s="27">
        <f>股权价值增加表!AS8</f>
        <v>893734.55</v>
      </c>
      <c r="AT10" s="27">
        <f>股权价值增加表!AT8</f>
        <v>624953.15</v>
      </c>
      <c r="AU10" s="27">
        <f>股权价值增加表!AU8</f>
        <v>373929.53</v>
      </c>
      <c r="AV10" s="27">
        <f>股权价值增加表!AV8</f>
        <v>65319.26</v>
      </c>
      <c r="AW10" s="27">
        <f>股权价值增加表!AW8</f>
        <v>1130422.42</v>
      </c>
      <c r="AX10" s="27">
        <f>股权价值增加表!AX8</f>
        <v>618176.18000000005</v>
      </c>
      <c r="AY10" s="27">
        <f>股权价值增加表!AY8</f>
        <v>449690.21</v>
      </c>
      <c r="AZ10" s="27">
        <f>股权价值增加表!AZ8</f>
        <v>107520.55</v>
      </c>
      <c r="BA10" s="27">
        <f>股权价值增加表!BA8</f>
        <v>488426.56</v>
      </c>
      <c r="BB10" s="27">
        <f>股权价值增加表!BB8</f>
        <v>322468.73</v>
      </c>
      <c r="BC10" s="27">
        <f>股权价值增加表!BC8</f>
        <v>230764.04</v>
      </c>
      <c r="BD10" s="27">
        <f>股权价值增加表!BD8</f>
        <v>149907.04</v>
      </c>
      <c r="BE10" s="27">
        <f>股权价值增加表!BE8</f>
        <v>559071.49</v>
      </c>
      <c r="BF10" s="27">
        <f>股权价值增加表!BF8</f>
        <v>360289.04</v>
      </c>
      <c r="BG10" s="27">
        <f>股权价值增加表!BG8</f>
        <v>248176.14</v>
      </c>
      <c r="BH10" s="27">
        <f>股权价值增加表!BH8</f>
        <v>441914.22</v>
      </c>
      <c r="BI10" s="27">
        <f>股权价值增加表!BI8</f>
        <v>497665.04</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1.2480824901013039E-3</v>
      </c>
      <c r="F11" s="57">
        <f t="shared" ref="F11:BQ11" si="11">F10/F2</f>
        <v>2.0386956934551967E-4</v>
      </c>
      <c r="G11" s="57">
        <f t="shared" si="11"/>
        <v>1.7879968526057687E-4</v>
      </c>
      <c r="H11" s="57">
        <f t="shared" si="11"/>
        <v>8.0993537620024754E-5</v>
      </c>
      <c r="I11" s="57">
        <f t="shared" si="11"/>
        <v>2.6448603182584044E-4</v>
      </c>
      <c r="J11" s="57">
        <f t="shared" si="11"/>
        <v>1.1481685115375585E-4</v>
      </c>
      <c r="K11" s="57">
        <f t="shared" si="11"/>
        <v>1.1844897124659341E-4</v>
      </c>
      <c r="L11" s="57">
        <f t="shared" si="11"/>
        <v>1.7216850752865915E-4</v>
      </c>
      <c r="M11" s="57">
        <f t="shared" si="11"/>
        <v>1.1202389481833315E-3</v>
      </c>
      <c r="N11" s="57">
        <f t="shared" si="11"/>
        <v>5.0892275043703345E-4</v>
      </c>
      <c r="O11" s="57">
        <f t="shared" si="11"/>
        <v>8.6387813584851685E-3</v>
      </c>
      <c r="P11" s="57">
        <f t="shared" si="11"/>
        <v>1.4170146738336801E-2</v>
      </c>
      <c r="Q11" s="57">
        <f t="shared" si="11"/>
        <v>8.3246379267519505E-3</v>
      </c>
      <c r="R11" s="57">
        <f t="shared" si="11"/>
        <v>5.8489207051181094E-3</v>
      </c>
      <c r="S11" s="57">
        <f t="shared" si="11"/>
        <v>1.0795143907497334E-2</v>
      </c>
      <c r="T11" s="57">
        <f t="shared" si="11"/>
        <v>2.5031000900477596E-2</v>
      </c>
      <c r="U11" s="57">
        <f t="shared" si="11"/>
        <v>5.9717240782278542E-3</v>
      </c>
      <c r="V11" s="57">
        <f t="shared" si="11"/>
        <v>3.324623640118555E-3</v>
      </c>
      <c r="W11" s="57">
        <f t="shared" si="11"/>
        <v>6.8090312791501476E-3</v>
      </c>
      <c r="X11" s="57">
        <f t="shared" si="11"/>
        <v>8.3913152414682862E-3</v>
      </c>
      <c r="Y11" s="57">
        <f t="shared" si="11"/>
        <v>7.027404346116671E-3</v>
      </c>
      <c r="Z11" s="57">
        <f t="shared" si="11"/>
        <v>6.5349437208593129E-3</v>
      </c>
      <c r="AA11" s="57">
        <f t="shared" si="11"/>
        <v>1.0400960858794616E-2</v>
      </c>
      <c r="AB11" s="57">
        <f t="shared" si="11"/>
        <v>1.508900648041251E-2</v>
      </c>
      <c r="AC11" s="57">
        <f t="shared" si="11"/>
        <v>4.0394574012226504E-3</v>
      </c>
      <c r="AD11" s="57">
        <f t="shared" si="11"/>
        <v>2.551597170608935E-3</v>
      </c>
      <c r="AE11" s="57">
        <f t="shared" si="11"/>
        <v>4.2321191956706961E-3</v>
      </c>
      <c r="AF11" s="57">
        <f t="shared" si="11"/>
        <v>2.8896353767598245E-3</v>
      </c>
      <c r="AG11" s="57">
        <f t="shared" si="11"/>
        <v>1.4878407547347498E-3</v>
      </c>
      <c r="AH11" s="57">
        <f t="shared" si="11"/>
        <v>1.5327940059188569E-3</v>
      </c>
      <c r="AI11" s="57">
        <f t="shared" si="11"/>
        <v>2.8992555014370294E-3</v>
      </c>
      <c r="AJ11" s="57">
        <f t="shared" si="11"/>
        <v>1.4917171586010479E-3</v>
      </c>
      <c r="AK11" s="57">
        <f t="shared" si="11"/>
        <v>1.0888830577974351E-3</v>
      </c>
      <c r="AL11" s="57">
        <f t="shared" si="11"/>
        <v>1.2843354688587857E-3</v>
      </c>
      <c r="AM11" s="57">
        <f t="shared" si="11"/>
        <v>1.2272314714074297E-3</v>
      </c>
      <c r="AN11" s="57">
        <f t="shared" si="11"/>
        <v>1.2891245736677917E-3</v>
      </c>
      <c r="AO11" s="57">
        <f t="shared" si="11"/>
        <v>1.9282219005067531E-3</v>
      </c>
      <c r="AP11" s="57">
        <f t="shared" si="11"/>
        <v>2.1125883627369198E-3</v>
      </c>
      <c r="AQ11" s="57">
        <f t="shared" si="11"/>
        <v>2.6909595969454893E-3</v>
      </c>
      <c r="AR11" s="57">
        <f t="shared" si="11"/>
        <v>4.0720121796943287E-3</v>
      </c>
      <c r="AS11" s="57">
        <f t="shared" si="11"/>
        <v>1.5782134526349978E-3</v>
      </c>
      <c r="AT11" s="57">
        <f t="shared" si="11"/>
        <v>1.4888165060003415E-3</v>
      </c>
      <c r="AU11" s="57">
        <f t="shared" si="11"/>
        <v>1.5403219593112863E-3</v>
      </c>
      <c r="AV11" s="57">
        <f t="shared" si="11"/>
        <v>5.1864902259437953E-4</v>
      </c>
      <c r="AW11" s="57">
        <f t="shared" si="11"/>
        <v>1.9036317674340955E-3</v>
      </c>
      <c r="AX11" s="57">
        <f t="shared" si="11"/>
        <v>1.4073907230503133E-3</v>
      </c>
      <c r="AY11" s="57">
        <f t="shared" si="11"/>
        <v>1.5651353783741175E-3</v>
      </c>
      <c r="AZ11" s="57">
        <f t="shared" si="11"/>
        <v>7.8602324115125983E-4</v>
      </c>
      <c r="BA11" s="57">
        <f t="shared" si="11"/>
        <v>9.2387814088047389E-4</v>
      </c>
      <c r="BB11" s="57">
        <f t="shared" si="11"/>
        <v>8.070499603445528E-4</v>
      </c>
      <c r="BC11" s="57">
        <f t="shared" si="11"/>
        <v>1.0700487174793525E-3</v>
      </c>
      <c r="BD11" s="57">
        <f t="shared" si="11"/>
        <v>1.2207790070410856E-3</v>
      </c>
      <c r="BE11" s="57">
        <f t="shared" si="11"/>
        <v>9.9186146421950325E-4</v>
      </c>
      <c r="BF11" s="57">
        <f t="shared" si="11"/>
        <v>9.0322952830102139E-4</v>
      </c>
      <c r="BG11" s="57">
        <f t="shared" si="11"/>
        <v>1.1444357009056747E-3</v>
      </c>
      <c r="BH11" s="57">
        <f t="shared" si="11"/>
        <v>9.8878360561993118E-4</v>
      </c>
      <c r="BI11" s="57">
        <f t="shared" si="11"/>
        <v>1.484716659757701E-3</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1488121514.8800001</v>
      </c>
      <c r="F12" s="27">
        <f>股权价值增加表!F9</f>
        <v>787218730.94000006</v>
      </c>
      <c r="G12" s="27">
        <f>股权价值增加表!G9</f>
        <v>453550589.17000002</v>
      </c>
      <c r="H12" s="27">
        <f>股权价值增加表!H9</f>
        <v>185640586.59</v>
      </c>
      <c r="I12" s="27">
        <f>股权价值增加表!I9</f>
        <v>718023350.42999995</v>
      </c>
      <c r="J12" s="27">
        <f>股权价值增加表!J9</f>
        <v>497367843.00999999</v>
      </c>
      <c r="K12" s="27">
        <f>股权价值增加表!K9</f>
        <v>298292455.66000003</v>
      </c>
      <c r="L12" s="27">
        <f>股权价值增加表!L9</f>
        <v>123044101.31</v>
      </c>
      <c r="M12" s="27">
        <f>股权价值增加表!M9</f>
        <v>483963720.38999999</v>
      </c>
      <c r="N12" s="27">
        <f>股权价值增加表!N9</f>
        <v>342368671.48000002</v>
      </c>
      <c r="O12" s="27">
        <f>股权价值增加表!O9</f>
        <v>3174807.23</v>
      </c>
      <c r="P12" s="27">
        <f>股权价值增加表!P9</f>
        <v>1657360.64</v>
      </c>
      <c r="Q12" s="27">
        <f>股权价值增加表!Q9</f>
        <v>10790437.960000001</v>
      </c>
      <c r="R12" s="27">
        <f>股权价值增加表!R9</f>
        <v>6878197.2199999997</v>
      </c>
      <c r="S12" s="27">
        <f>股权价值增加表!S9</f>
        <v>3407029.8</v>
      </c>
      <c r="T12" s="27">
        <f>股权价值增加表!T9</f>
        <v>1578821.93</v>
      </c>
      <c r="U12" s="27">
        <f>股权价值增加表!U9</f>
        <v>10842038.74</v>
      </c>
      <c r="V12" s="27">
        <f>股权价值增加表!V9</f>
        <v>6755973.3399999999</v>
      </c>
      <c r="W12" s="27">
        <f>股权价值增加表!W9</f>
        <v>3993292.95</v>
      </c>
      <c r="X12" s="27">
        <f>股权价值增加表!X9</f>
        <v>2277423.2999999998</v>
      </c>
      <c r="Y12" s="27">
        <f>股权价值增加表!Y9</f>
        <v>10121159.449999999</v>
      </c>
      <c r="Z12" s="27">
        <f>股权价值增加表!Z9</f>
        <v>6886421.9699999997</v>
      </c>
      <c r="AA12" s="27">
        <f>股权价值增加表!AA9</f>
        <v>4013467.36</v>
      </c>
      <c r="AB12" s="27">
        <f>股权价值增加表!AB9</f>
        <v>2471837.4</v>
      </c>
      <c r="AC12" s="27">
        <f>股权价值增加表!AC9</f>
        <v>10966096.58</v>
      </c>
      <c r="AD12" s="27">
        <f>股权价值增加表!AD9</f>
        <v>7458358.6299999999</v>
      </c>
      <c r="AE12" s="27">
        <f>股权价值增加表!AE9</f>
        <v>4805150.51</v>
      </c>
      <c r="AF12" s="27">
        <f>股权价值增加表!AF9</f>
        <v>2180572.61</v>
      </c>
      <c r="AG12" s="27">
        <f>股权价值增加表!AG9</f>
        <v>9161172.6699999999</v>
      </c>
      <c r="AH12" s="27">
        <f>股权价值增加表!AH9</f>
        <v>6073507.0999999996</v>
      </c>
      <c r="AI12" s="27">
        <f>股权价值增加表!AI9</f>
        <v>3573572.5</v>
      </c>
      <c r="AJ12" s="27">
        <f>股权价值增加表!AJ9</f>
        <v>2031097.27</v>
      </c>
      <c r="AK12" s="27">
        <f>股权价值增加表!AK9</f>
        <v>9233460.9000000004</v>
      </c>
      <c r="AL12" s="27">
        <f>股权价值增加表!AL9</f>
        <v>5424458.4500000002</v>
      </c>
      <c r="AM12" s="27">
        <f>股权价值增加表!AM9</f>
        <v>3418431.18</v>
      </c>
      <c r="AN12" s="27">
        <f>股权价值增加表!AN9</f>
        <v>1467674.65</v>
      </c>
      <c r="AO12" s="27">
        <f>股权价值增加表!AO9</f>
        <v>6606826.7400000002</v>
      </c>
      <c r="AP12" s="27">
        <f>股权价值增加表!AP9</f>
        <v>4537138.16</v>
      </c>
      <c r="AQ12" s="27">
        <f>股权价值增加表!AQ9</f>
        <v>2908525.41</v>
      </c>
      <c r="AR12" s="27">
        <f>股权价值增加表!AR9</f>
        <v>1178748.47</v>
      </c>
      <c r="AS12" s="27">
        <f>股权价值增加表!AS9</f>
        <v>9146015.4499999993</v>
      </c>
      <c r="AT12" s="27">
        <f>股权价值增加表!AT9</f>
        <v>7107999.21</v>
      </c>
      <c r="AU12" s="27">
        <f>股权价值增加表!AU9</f>
        <v>4730788.82</v>
      </c>
      <c r="AV12" s="27">
        <f>股权价值增加表!AV9</f>
        <v>3323357.19</v>
      </c>
      <c r="AW12" s="27">
        <f>股权价值增加表!AW9</f>
        <v>8759969.5700000003</v>
      </c>
      <c r="AX12" s="27">
        <f>股权价值增加表!AX9</f>
        <v>7647869.71</v>
      </c>
      <c r="AY12" s="27">
        <f>股权价值增加表!AY9</f>
        <v>5471102.8799999999</v>
      </c>
      <c r="AZ12" s="27">
        <f>股权价值增加表!AZ9</f>
        <v>3569133.41</v>
      </c>
      <c r="BA12" s="27">
        <f>股权价值增加表!BA9</f>
        <v>9783034.9000000004</v>
      </c>
      <c r="BB12" s="27">
        <f>股权价值增加表!BB9</f>
        <v>7308959.0499999998</v>
      </c>
      <c r="BC12" s="27">
        <f>股权价值增加表!BC9</f>
        <v>5731423.1500000004</v>
      </c>
      <c r="BD12" s="27">
        <f>股权价值增加表!BD9</f>
        <v>4832341.4000000004</v>
      </c>
      <c r="BE12" s="27">
        <f>股权价值增加表!BE9</f>
        <v>9200229.9100000001</v>
      </c>
      <c r="BF12" s="27">
        <f>股权价值增加表!BF9</f>
        <v>5753790.2999999998</v>
      </c>
      <c r="BG12" s="27">
        <f>股权价值增加表!BG9</f>
        <v>3010235.19</v>
      </c>
      <c r="BH12" s="27">
        <f>股权价值增加表!BH9</f>
        <v>6748485.5899999999</v>
      </c>
      <c r="BI12" s="27">
        <f>股权价值增加表!BI9</f>
        <v>3028378.55</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0.23874689380708308</v>
      </c>
      <c r="F13" s="57">
        <f t="shared" ref="F13:BQ13" si="13">F12/F2</f>
        <v>0.26335283550314553</v>
      </c>
      <c r="G13" s="57">
        <f t="shared" si="13"/>
        <v>0.27973429161181501</v>
      </c>
      <c r="H13" s="57">
        <f t="shared" si="13"/>
        <v>0.33448980089213876</v>
      </c>
      <c r="I13" s="57">
        <f t="shared" si="13"/>
        <v>0.23298370985411812</v>
      </c>
      <c r="J13" s="57">
        <f t="shared" si="13"/>
        <v>0.26419056625585469</v>
      </c>
      <c r="K13" s="57">
        <f t="shared" si="13"/>
        <v>0.28612270525275602</v>
      </c>
      <c r="L13" s="57">
        <f t="shared" si="13"/>
        <v>0.39818921527133061</v>
      </c>
      <c r="M13" s="57">
        <f t="shared" si="13"/>
        <v>0.23029637588538635</v>
      </c>
      <c r="N13" s="57">
        <f t="shared" si="13"/>
        <v>0.26587278511095047</v>
      </c>
      <c r="O13" s="57">
        <f t="shared" si="13"/>
        <v>1.3544279117415872E-2</v>
      </c>
      <c r="P13" s="57">
        <f t="shared" si="13"/>
        <v>1.6760611415084843E-2</v>
      </c>
      <c r="Q13" s="57">
        <f t="shared" si="13"/>
        <v>1.5503312988493603E-2</v>
      </c>
      <c r="R13" s="57">
        <f t="shared" si="13"/>
        <v>1.376121510704441E-2</v>
      </c>
      <c r="S13" s="57">
        <f t="shared" si="13"/>
        <v>1.5572014727265136E-2</v>
      </c>
      <c r="T13" s="57">
        <f t="shared" si="13"/>
        <v>1.9581356016645148E-2</v>
      </c>
      <c r="U13" s="57">
        <f t="shared" si="13"/>
        <v>1.4290276526902696E-2</v>
      </c>
      <c r="V13" s="57">
        <f t="shared" si="13"/>
        <v>1.3373911405538603E-2</v>
      </c>
      <c r="W13" s="57">
        <f t="shared" si="13"/>
        <v>1.6362907501158468E-2</v>
      </c>
      <c r="X13" s="57">
        <f t="shared" si="13"/>
        <v>1.8328512420127119E-2</v>
      </c>
      <c r="Y13" s="57">
        <f t="shared" si="13"/>
        <v>1.4642570574551265E-2</v>
      </c>
      <c r="Z13" s="57">
        <f t="shared" si="13"/>
        <v>1.4374598730194381E-2</v>
      </c>
      <c r="AA13" s="57">
        <f t="shared" si="13"/>
        <v>1.624506490353363E-2</v>
      </c>
      <c r="AB13" s="57">
        <f t="shared" si="13"/>
        <v>1.91459391644438E-2</v>
      </c>
      <c r="AC13" s="57">
        <f t="shared" si="13"/>
        <v>1.4125030580906512E-2</v>
      </c>
      <c r="AD13" s="57">
        <f t="shared" si="13"/>
        <v>1.2874187379377417E-2</v>
      </c>
      <c r="AE13" s="57">
        <f t="shared" si="13"/>
        <v>1.5759037350964053E-2</v>
      </c>
      <c r="AF13" s="57">
        <f t="shared" si="13"/>
        <v>1.6860354443110806E-2</v>
      </c>
      <c r="AG13" s="57">
        <f t="shared" si="13"/>
        <v>1.652695467196175E-2</v>
      </c>
      <c r="AH13" s="57">
        <f t="shared" si="13"/>
        <v>1.7050408272681578E-2</v>
      </c>
      <c r="AI13" s="57">
        <f t="shared" si="13"/>
        <v>1.9319330717684574E-2</v>
      </c>
      <c r="AJ13" s="57">
        <f t="shared" si="13"/>
        <v>1.9473773997588234E-2</v>
      </c>
      <c r="AK13" s="57">
        <f t="shared" si="13"/>
        <v>1.8110541542455234E-2</v>
      </c>
      <c r="AL13" s="57">
        <f t="shared" si="13"/>
        <v>1.5982945986273572E-2</v>
      </c>
      <c r="AM13" s="57">
        <f t="shared" si="13"/>
        <v>1.9020868910975451E-2</v>
      </c>
      <c r="AN13" s="57">
        <f t="shared" si="13"/>
        <v>1.4837232943471822E-2</v>
      </c>
      <c r="AO13" s="57">
        <f t="shared" si="13"/>
        <v>1.5997862585729616E-2</v>
      </c>
      <c r="AP13" s="57">
        <f t="shared" si="13"/>
        <v>1.6694468896596378E-2</v>
      </c>
      <c r="AQ13" s="57">
        <f t="shared" si="13"/>
        <v>1.7750116246149587E-2</v>
      </c>
      <c r="AR13" s="57">
        <f t="shared" si="13"/>
        <v>1.4075950439302666E-2</v>
      </c>
      <c r="AS13" s="57">
        <f t="shared" si="13"/>
        <v>1.615061722879297E-2</v>
      </c>
      <c r="AT13" s="57">
        <f t="shared" si="13"/>
        <v>1.6933279796230147E-2</v>
      </c>
      <c r="AU13" s="57">
        <f t="shared" si="13"/>
        <v>1.9487463063723072E-2</v>
      </c>
      <c r="AV13" s="57">
        <f t="shared" si="13"/>
        <v>2.6388173386004431E-2</v>
      </c>
      <c r="AW13" s="57">
        <f t="shared" si="13"/>
        <v>1.4751791949781034E-2</v>
      </c>
      <c r="AX13" s="57">
        <f t="shared" si="13"/>
        <v>1.7411769054173989E-2</v>
      </c>
      <c r="AY13" s="57">
        <f t="shared" si="13"/>
        <v>1.9042034907125336E-2</v>
      </c>
      <c r="AZ13" s="57">
        <f t="shared" si="13"/>
        <v>2.6091959267595343E-2</v>
      </c>
      <c r="BA13" s="57">
        <f t="shared" si="13"/>
        <v>1.850499713934638E-2</v>
      </c>
      <c r="BB13" s="57">
        <f t="shared" si="13"/>
        <v>1.8292301121607856E-2</v>
      </c>
      <c r="BC13" s="57">
        <f t="shared" si="13"/>
        <v>2.6576506421836656E-2</v>
      </c>
      <c r="BD13" s="57">
        <f t="shared" si="13"/>
        <v>3.935252764630353E-2</v>
      </c>
      <c r="BE13" s="57">
        <f t="shared" si="13"/>
        <v>1.6322337434321089E-2</v>
      </c>
      <c r="BF13" s="57">
        <f t="shared" si="13"/>
        <v>1.4424511216361154E-2</v>
      </c>
      <c r="BG13" s="57">
        <f t="shared" si="13"/>
        <v>1.3881353056577384E-2</v>
      </c>
      <c r="BH13" s="57">
        <f t="shared" si="13"/>
        <v>1.5099744729088711E-2</v>
      </c>
      <c r="BI13" s="57">
        <f t="shared" si="13"/>
        <v>9.0347597758481685E-3</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463538394.62</v>
      </c>
      <c r="F14" s="26">
        <f>股权价值增加表!F10</f>
        <v>234548046.56999999</v>
      </c>
      <c r="G14" s="26">
        <f>股权价值增加表!G10</f>
        <v>153887803.25999999</v>
      </c>
      <c r="H14" s="26">
        <f>股权价值增加表!H10</f>
        <v>69031923.219999999</v>
      </c>
      <c r="I14" s="26">
        <f>股权价值增加表!I10</f>
        <v>263725741.44</v>
      </c>
      <c r="J14" s="26">
        <f>股权价值增加表!J10</f>
        <v>164162372.47</v>
      </c>
      <c r="K14" s="26">
        <f>股权价值增加表!K10</f>
        <v>109973147.16</v>
      </c>
      <c r="L14" s="26">
        <f>股权价值增加表!L10</f>
        <v>59134578.759999998</v>
      </c>
      <c r="M14" s="26">
        <f>股权价值增加表!M10</f>
        <v>195338730.59</v>
      </c>
      <c r="N14" s="26">
        <f>股权价值增加表!N10</f>
        <v>140259560.37</v>
      </c>
      <c r="O14" s="26">
        <f>股权价值增加表!O10</f>
        <v>20015563.760000002</v>
      </c>
      <c r="P14" s="26">
        <f>股权价值增加表!P10</f>
        <v>10229813.67</v>
      </c>
      <c r="Q14" s="26">
        <f>股权价值增加表!Q10</f>
        <v>50180749.780000001</v>
      </c>
      <c r="R14" s="26">
        <f>股权价值增加表!R10</f>
        <v>31861827.140000001</v>
      </c>
      <c r="S14" s="26">
        <f>股权价值增加表!S10</f>
        <v>19844144.109999999</v>
      </c>
      <c r="T14" s="26">
        <f>股权价值增加表!T10</f>
        <v>9316399.4800000004</v>
      </c>
      <c r="U14" s="26">
        <f>股权价值增加表!U10</f>
        <v>44008332.509999998</v>
      </c>
      <c r="V14" s="26">
        <f>股权价值增加表!V10</f>
        <v>27631818.120000001</v>
      </c>
      <c r="W14" s="26">
        <f>股权价值增加表!W10</f>
        <v>17190247.170000002</v>
      </c>
      <c r="X14" s="26">
        <f>股权价值增加表!X10</f>
        <v>8164594.46</v>
      </c>
      <c r="Y14" s="26">
        <f>股权价值增加表!Y10</f>
        <v>37359226.710000001</v>
      </c>
      <c r="Z14" s="26">
        <f>股权价值增加表!Z10</f>
        <v>26415311.77</v>
      </c>
      <c r="AA14" s="26">
        <f>股权价值增加表!AA10</f>
        <v>16833217.43</v>
      </c>
      <c r="AB14" s="26">
        <f>股权价值增加表!AB10</f>
        <v>8895081.2400000002</v>
      </c>
      <c r="AC14" s="26">
        <f>股权价值增加表!AC10</f>
        <v>35708982.93</v>
      </c>
      <c r="AD14" s="26">
        <f>股权价值增加表!AD10</f>
        <v>22334122.620000001</v>
      </c>
      <c r="AE14" s="26">
        <f>股权价值增加表!AE10</f>
        <v>14047428.210000001</v>
      </c>
      <c r="AF14" s="26">
        <f>股权价值增加表!AF10</f>
        <v>6686464.3700000001</v>
      </c>
      <c r="AG14" s="26">
        <f>股权价值增加表!AG10</f>
        <v>26126420.640000001</v>
      </c>
      <c r="AH14" s="26">
        <f>股权价值增加表!AH10</f>
        <v>18827237.800000001</v>
      </c>
      <c r="AI14" s="26">
        <f>股权价值增加表!AI10</f>
        <v>13329673.050000001</v>
      </c>
      <c r="AJ14" s="26">
        <f>股权价值增加表!AJ10</f>
        <v>7472893.1500000004</v>
      </c>
      <c r="AK14" s="26">
        <f>股权价值增加表!AK10</f>
        <v>35014157.420000002</v>
      </c>
      <c r="AL14" s="26">
        <f>股权价值增加表!AL10</f>
        <v>20352361.289999999</v>
      </c>
      <c r="AM14" s="26">
        <f>股权价值增加表!AM10</f>
        <v>13794834.4</v>
      </c>
      <c r="AN14" s="26">
        <f>股权价值增加表!AN10</f>
        <v>6731794.2599999998</v>
      </c>
      <c r="AO14" s="26">
        <f>股权价值增加表!AO10</f>
        <v>24880534.25</v>
      </c>
      <c r="AP14" s="26">
        <f>股权价值增加表!AP10</f>
        <v>15647808.710000001</v>
      </c>
      <c r="AQ14" s="26">
        <f>股权价值增加表!AQ10</f>
        <v>10731399.140000001</v>
      </c>
      <c r="AR14" s="26">
        <f>股权价值增加表!AR10</f>
        <v>5361907.88</v>
      </c>
      <c r="AS14" s="26">
        <f>股权价值增加表!AS10</f>
        <v>23769539.98</v>
      </c>
      <c r="AT14" s="26">
        <f>股权价值增加表!AT10</f>
        <v>17280211.280000001</v>
      </c>
      <c r="AU14" s="26">
        <f>股权价值增加表!AU10</f>
        <v>11657931.970000001</v>
      </c>
      <c r="AV14" s="26">
        <f>股权价值增加表!AV10</f>
        <v>6116957.6200000001</v>
      </c>
      <c r="AW14" s="26">
        <f>股权价值增加表!AW10</f>
        <v>23896954.370000001</v>
      </c>
      <c r="AX14" s="26">
        <f>股权价值增加表!AX10</f>
        <v>18713339.670000002</v>
      </c>
      <c r="AY14" s="26">
        <f>股权价值增加表!AY10</f>
        <v>12501660.880000001</v>
      </c>
      <c r="AZ14" s="26">
        <f>股权价值增加表!AZ10</f>
        <v>6415014.8200000003</v>
      </c>
      <c r="BA14" s="26">
        <f>股权价值增加表!BA10</f>
        <v>38104606.450000003</v>
      </c>
      <c r="BB14" s="26">
        <f>股权价值增加表!BB10</f>
        <v>28683922.649999999</v>
      </c>
      <c r="BC14" s="26">
        <f>股权价值增加表!BC10</f>
        <v>18607387.100000001</v>
      </c>
      <c r="BD14" s="26">
        <f>股权价值增加表!BD10</f>
        <v>8052727.5</v>
      </c>
      <c r="BE14" s="26">
        <f>股权价值增加表!BE10</f>
        <v>31376172.039999999</v>
      </c>
      <c r="BF14" s="26">
        <f>股权价值增加表!BF10</f>
        <v>21094998.489999998</v>
      </c>
      <c r="BG14" s="26">
        <f>股权价值增加表!BG10</f>
        <v>13283840.18</v>
      </c>
      <c r="BH14" s="26">
        <f>股权价值增加表!BH10</f>
        <v>31129663.550000001</v>
      </c>
      <c r="BI14" s="26">
        <f>股权价值增加表!BI10</f>
        <v>25821544.140000001</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7.4367819273663982E-2</v>
      </c>
      <c r="F15" s="57">
        <f t="shared" ref="F15:BQ15" si="15">F14/F2</f>
        <v>7.8464714695211185E-2</v>
      </c>
      <c r="G15" s="57">
        <f t="shared" si="15"/>
        <v>9.491266610724057E-2</v>
      </c>
      <c r="H15" s="57">
        <f t="shared" si="15"/>
        <v>0.12438268310397074</v>
      </c>
      <c r="I15" s="57">
        <f t="shared" si="15"/>
        <v>8.5573542403492187E-2</v>
      </c>
      <c r="J15" s="57">
        <f t="shared" si="15"/>
        <v>8.7199345012503815E-2</v>
      </c>
      <c r="K15" s="57">
        <f t="shared" si="15"/>
        <v>0.10548645724531509</v>
      </c>
      <c r="L15" s="57">
        <f t="shared" si="15"/>
        <v>0.19136838955425334</v>
      </c>
      <c r="M15" s="57">
        <f t="shared" si="15"/>
        <v>9.2952838879487187E-2</v>
      </c>
      <c r="N15" s="57">
        <f t="shared" si="15"/>
        <v>0.10892118076343273</v>
      </c>
      <c r="O15" s="57">
        <f t="shared" si="15"/>
        <v>8.5389871768017211E-2</v>
      </c>
      <c r="P15" s="57">
        <f t="shared" si="15"/>
        <v>0.10345239752501482</v>
      </c>
      <c r="Q15" s="57">
        <f t="shared" si="15"/>
        <v>7.2097895629495048E-2</v>
      </c>
      <c r="R15" s="57">
        <f t="shared" si="15"/>
        <v>6.3745985023820756E-2</v>
      </c>
      <c r="S15" s="57">
        <f t="shared" si="15"/>
        <v>9.0698738335335871E-2</v>
      </c>
      <c r="T15" s="57">
        <f t="shared" si="15"/>
        <v>0.11554674504120153</v>
      </c>
      <c r="U15" s="57">
        <f t="shared" si="15"/>
        <v>5.8004887838630038E-2</v>
      </c>
      <c r="V15" s="57">
        <f t="shared" si="15"/>
        <v>5.4699074272965713E-2</v>
      </c>
      <c r="W15" s="57">
        <f t="shared" si="15"/>
        <v>7.0438715087196679E-2</v>
      </c>
      <c r="X15" s="57">
        <f t="shared" si="15"/>
        <v>6.5707973992103735E-2</v>
      </c>
      <c r="Y15" s="57">
        <f t="shared" si="15"/>
        <v>5.404866076997094E-2</v>
      </c>
      <c r="Z15" s="57">
        <f t="shared" si="15"/>
        <v>5.5138867278377177E-2</v>
      </c>
      <c r="AA15" s="57">
        <f t="shared" si="15"/>
        <v>6.8134778523686212E-2</v>
      </c>
      <c r="AB15" s="57">
        <f t="shared" si="15"/>
        <v>6.8898012581177587E-2</v>
      </c>
      <c r="AC15" s="57">
        <f t="shared" si="15"/>
        <v>4.5995443521738399E-2</v>
      </c>
      <c r="AD15" s="57">
        <f t="shared" si="15"/>
        <v>3.8551870971625796E-2</v>
      </c>
      <c r="AE15" s="57">
        <f t="shared" si="15"/>
        <v>4.6070137737761752E-2</v>
      </c>
      <c r="AF15" s="57">
        <f t="shared" si="15"/>
        <v>5.1700254663581975E-2</v>
      </c>
      <c r="AG15" s="57">
        <f t="shared" si="15"/>
        <v>4.7132630855421472E-2</v>
      </c>
      <c r="AH15" s="57">
        <f t="shared" si="15"/>
        <v>5.2854485201287299E-2</v>
      </c>
      <c r="AI15" s="57">
        <f t="shared" si="15"/>
        <v>7.2062442279135858E-2</v>
      </c>
      <c r="AJ15" s="57">
        <f t="shared" si="15"/>
        <v>7.1648677028267202E-2</v>
      </c>
      <c r="AK15" s="57">
        <f t="shared" si="15"/>
        <v>6.8676887182029134E-2</v>
      </c>
      <c r="AL15" s="57">
        <f t="shared" si="15"/>
        <v>5.9967403970288519E-2</v>
      </c>
      <c r="AM15" s="57">
        <f t="shared" si="15"/>
        <v>7.6757355334857058E-2</v>
      </c>
      <c r="AN15" s="57">
        <f t="shared" si="15"/>
        <v>6.8054046966844126E-2</v>
      </c>
      <c r="AO15" s="57">
        <f t="shared" si="15"/>
        <v>6.0246073289798314E-2</v>
      </c>
      <c r="AP15" s="57">
        <f t="shared" si="15"/>
        <v>5.7576350244750954E-2</v>
      </c>
      <c r="AQ15" s="57">
        <f t="shared" si="15"/>
        <v>6.5491462293544037E-2</v>
      </c>
      <c r="AR15" s="57">
        <f t="shared" si="15"/>
        <v>6.4028884448084522E-2</v>
      </c>
      <c r="AS15" s="57">
        <f t="shared" si="15"/>
        <v>4.1973769235374658E-2</v>
      </c>
      <c r="AT15" s="57">
        <f t="shared" si="15"/>
        <v>4.1166387881775283E-2</v>
      </c>
      <c r="AU15" s="57">
        <f t="shared" si="15"/>
        <v>4.8022333549179931E-2</v>
      </c>
      <c r="AV15" s="57">
        <f t="shared" si="15"/>
        <v>4.8569963757462073E-2</v>
      </c>
      <c r="AW15" s="57">
        <f t="shared" si="15"/>
        <v>4.0242479871953563E-2</v>
      </c>
      <c r="AX15" s="57">
        <f t="shared" si="15"/>
        <v>4.2604327861431687E-2</v>
      </c>
      <c r="AY15" s="57">
        <f t="shared" si="15"/>
        <v>4.3511713834561136E-2</v>
      </c>
      <c r="AZ15" s="57">
        <f t="shared" si="15"/>
        <v>4.6896623397571592E-2</v>
      </c>
      <c r="BA15" s="57">
        <f t="shared" si="15"/>
        <v>7.2076368996002421E-2</v>
      </c>
      <c r="BB15" s="57">
        <f t="shared" si="15"/>
        <v>7.1787917660136286E-2</v>
      </c>
      <c r="BC15" s="57">
        <f t="shared" si="15"/>
        <v>8.6282120481149707E-2</v>
      </c>
      <c r="BD15" s="57">
        <f t="shared" si="15"/>
        <v>6.5577978735504638E-2</v>
      </c>
      <c r="BE15" s="57">
        <f t="shared" si="15"/>
        <v>5.5665181462208772E-2</v>
      </c>
      <c r="BF15" s="57">
        <f t="shared" si="15"/>
        <v>5.2884277400260242E-2</v>
      </c>
      <c r="BG15" s="57">
        <f t="shared" si="15"/>
        <v>6.1256899825733707E-2</v>
      </c>
      <c r="BH15" s="57">
        <f t="shared" si="15"/>
        <v>6.9652660117396431E-2</v>
      </c>
      <c r="BI15" s="57">
        <f t="shared" si="15"/>
        <v>7.7035101290873959E-2</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17753750.18</v>
      </c>
      <c r="F16" s="26">
        <f>股权价值增加表!F11</f>
        <v>10380914.01</v>
      </c>
      <c r="G16" s="26">
        <f>股权价值增加表!G11</f>
        <v>9052580.5099999998</v>
      </c>
      <c r="H16" s="26">
        <f>股权价值增加表!H11</f>
        <v>476859.74</v>
      </c>
      <c r="I16" s="26">
        <f>股权价值增加表!I11</f>
        <v>6030144.29</v>
      </c>
      <c r="J16" s="26">
        <f>股权价值增加表!J11</f>
        <v>1687304.26</v>
      </c>
      <c r="K16" s="26">
        <f>股权价值增加表!K11</f>
        <v>1409999.82</v>
      </c>
      <c r="L16" s="26">
        <f>股权价值增加表!L11</f>
        <v>153299.31</v>
      </c>
      <c r="M16" s="26">
        <f>股权价值增加表!M11</f>
        <v>2015855.42</v>
      </c>
      <c r="N16" s="26">
        <f>股权价值增加表!N11</f>
        <v>442567.62</v>
      </c>
      <c r="O16" s="26">
        <f>股权价值增加表!O11</f>
        <v>2298283.84</v>
      </c>
      <c r="P16" s="26">
        <f>股权价值增加表!P11</f>
        <v>-237445.71</v>
      </c>
      <c r="Q16" s="26">
        <f>股权价值增加表!Q11</f>
        <v>17882149.25</v>
      </c>
      <c r="R16" s="26">
        <f>股权价值增加表!R11</f>
        <v>3718714.17</v>
      </c>
      <c r="S16" s="26">
        <f>股权价值增加表!S11</f>
        <v>-632888.44999999995</v>
      </c>
      <c r="T16" s="26">
        <f>股权价值增加表!T11</f>
        <v>-2536966.92</v>
      </c>
      <c r="U16" s="26">
        <f>股权价值增加表!U11</f>
        <v>92404460.180000007</v>
      </c>
      <c r="V16" s="26">
        <f>股权价值增加表!V11</f>
        <v>-78269.78</v>
      </c>
      <c r="W16" s="26">
        <f>股权价值增加表!W11</f>
        <v>-2348794.2000000002</v>
      </c>
      <c r="X16" s="26">
        <f>股权价值增加表!X11</f>
        <v>-1608714.06</v>
      </c>
      <c r="Y16" s="26">
        <f>股权价值增加表!Y11</f>
        <v>3955385.3</v>
      </c>
      <c r="Z16" s="26">
        <f>股权价值增加表!Z11</f>
        <v>1204418.19</v>
      </c>
      <c r="AA16" s="26">
        <f>股权价值增加表!AA11</f>
        <v>1869700.4</v>
      </c>
      <c r="AB16" s="26">
        <f>股权价值增加表!AB11</f>
        <v>964262.7</v>
      </c>
      <c r="AC16" s="26">
        <f>股权价值增加表!AC11</f>
        <v>4268461.83</v>
      </c>
      <c r="AD16" s="26">
        <f>股权价值增加表!AD11</f>
        <v>4942441.79</v>
      </c>
      <c r="AE16" s="26">
        <f>股权价值增加表!AE11</f>
        <v>4088140.79</v>
      </c>
      <c r="AF16" s="26">
        <f>股权价值增加表!AF11</f>
        <v>1514300.31</v>
      </c>
      <c r="AG16" s="26">
        <f>股权价值增加表!AG11</f>
        <v>191297.45</v>
      </c>
      <c r="AH16" s="26">
        <f>股权价值增加表!AH11</f>
        <v>1519663.71</v>
      </c>
      <c r="AI16" s="26">
        <f>股权价值增加表!AI11</f>
        <v>606605.75</v>
      </c>
      <c r="AJ16" s="26">
        <f>股权价值增加表!AJ11</f>
        <v>-568177.48</v>
      </c>
      <c r="AK16" s="26">
        <f>股权价值增加表!AK11</f>
        <v>2097034.57</v>
      </c>
      <c r="AL16" s="26">
        <f>股权价值增加表!AL11</f>
        <v>-221377.24</v>
      </c>
      <c r="AM16" s="26">
        <f>股权价值增加表!AM11</f>
        <v>-763064.65</v>
      </c>
      <c r="AN16" s="26">
        <f>股权价值增加表!AN11</f>
        <v>11143.99</v>
      </c>
      <c r="AO16" s="26">
        <f>股权价值增加表!AO11</f>
        <v>-401552.42</v>
      </c>
      <c r="AP16" s="26">
        <f>股权价值增加表!AP11</f>
        <v>-5901.65</v>
      </c>
      <c r="AQ16" s="26">
        <f>股权价值增加表!AQ11</f>
        <v>-1095416.8400000001</v>
      </c>
      <c r="AR16" s="26">
        <f>股权价值增加表!AR11</f>
        <v>-898477.76</v>
      </c>
      <c r="AS16" s="26">
        <f>股权价值增加表!AS11</f>
        <v>2113419.54</v>
      </c>
      <c r="AT16" s="26">
        <f>股权价值增加表!AT11</f>
        <v>334853.33</v>
      </c>
      <c r="AU16" s="26">
        <f>股权价值增加表!AU11</f>
        <v>-45554.71</v>
      </c>
      <c r="AV16" s="26">
        <f>股权价值增加表!AV11</f>
        <v>870634.86</v>
      </c>
      <c r="AW16" s="26">
        <f>股权价值增加表!AW11</f>
        <v>1083571.67</v>
      </c>
      <c r="AX16" s="26">
        <f>股权价值增加表!AX11</f>
        <v>1617896.31</v>
      </c>
      <c r="AY16" s="26">
        <f>股权价值增加表!AY11</f>
        <v>1237932.58</v>
      </c>
      <c r="AZ16" s="26">
        <f>股权价值增加表!AZ11</f>
        <v>1329640.3700000001</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2.8483243246730026E-3</v>
      </c>
      <c r="F17" s="57">
        <f t="shared" ref="F17:BQ17" si="17">F16/F2</f>
        <v>3.4727872091958592E-3</v>
      </c>
      <c r="G17" s="57">
        <f t="shared" si="17"/>
        <v>5.5833180612948306E-3</v>
      </c>
      <c r="H17" s="57">
        <f t="shared" si="17"/>
        <v>8.5921253760285832E-4</v>
      </c>
      <c r="I17" s="57">
        <f t="shared" si="17"/>
        <v>1.9566569621983251E-3</v>
      </c>
      <c r="J17" s="57">
        <f t="shared" si="17"/>
        <v>8.9625791888269153E-4</v>
      </c>
      <c r="K17" s="57">
        <f t="shared" si="17"/>
        <v>1.3524745773796584E-3</v>
      </c>
      <c r="L17" s="57">
        <f t="shared" si="17"/>
        <v>4.9609962038525983E-4</v>
      </c>
      <c r="M17" s="57">
        <f t="shared" si="17"/>
        <v>9.5925412995999837E-4</v>
      </c>
      <c r="N17" s="57">
        <f t="shared" si="17"/>
        <v>3.4368414966437272E-4</v>
      </c>
      <c r="O17" s="57">
        <f t="shared" si="17"/>
        <v>9.8048780807414131E-3</v>
      </c>
      <c r="P17" s="57">
        <f t="shared" si="17"/>
        <v>-2.4012488178124739E-3</v>
      </c>
      <c r="Q17" s="57">
        <f t="shared" si="17"/>
        <v>2.569242858884906E-2</v>
      </c>
      <c r="R17" s="57">
        <f t="shared" si="17"/>
        <v>7.440034645442184E-3</v>
      </c>
      <c r="S17" s="57">
        <f t="shared" si="17"/>
        <v>-2.8926510311462505E-3</v>
      </c>
      <c r="T17" s="57">
        <f t="shared" si="17"/>
        <v>-3.1464759590064541E-2</v>
      </c>
      <c r="U17" s="57">
        <f t="shared" si="17"/>
        <v>0.12179307969262697</v>
      </c>
      <c r="V17" s="57">
        <f t="shared" si="17"/>
        <v>-1.5494038397892749E-4</v>
      </c>
      <c r="W17" s="57">
        <f t="shared" si="17"/>
        <v>-9.6244134139614034E-3</v>
      </c>
      <c r="X17" s="57">
        <f t="shared" si="17"/>
        <v>-1.2946796333006308E-2</v>
      </c>
      <c r="Y17" s="57">
        <f t="shared" si="17"/>
        <v>5.7223689332147245E-3</v>
      </c>
      <c r="Z17" s="57">
        <f t="shared" si="17"/>
        <v>2.5140818062005885E-3</v>
      </c>
      <c r="AA17" s="57">
        <f t="shared" si="17"/>
        <v>7.5678712753161122E-3</v>
      </c>
      <c r="AB17" s="57">
        <f t="shared" si="17"/>
        <v>7.4688225822387511E-3</v>
      </c>
      <c r="AC17" s="57">
        <f t="shared" si="17"/>
        <v>5.4980506000779882E-3</v>
      </c>
      <c r="AD17" s="57">
        <f t="shared" si="17"/>
        <v>8.531357215806815E-3</v>
      </c>
      <c r="AE17" s="57">
        <f t="shared" si="17"/>
        <v>1.3407522463975783E-2</v>
      </c>
      <c r="AF17" s="57">
        <f t="shared" si="17"/>
        <v>1.1708685985885411E-2</v>
      </c>
      <c r="AG17" s="57">
        <f t="shared" si="17"/>
        <v>3.4510475884435757E-4</v>
      </c>
      <c r="AH17" s="57">
        <f t="shared" si="17"/>
        <v>4.2662149341486698E-3</v>
      </c>
      <c r="AI17" s="57">
        <f t="shared" si="17"/>
        <v>3.2794121567420527E-3</v>
      </c>
      <c r="AJ17" s="57">
        <f t="shared" si="17"/>
        <v>-5.4475775234729198E-3</v>
      </c>
      <c r="AK17" s="57">
        <f t="shared" si="17"/>
        <v>4.1131307217589178E-3</v>
      </c>
      <c r="AL17" s="57">
        <f t="shared" si="17"/>
        <v>-6.5227902510900816E-4</v>
      </c>
      <c r="AM17" s="57">
        <f t="shared" si="17"/>
        <v>-4.2458519461109536E-3</v>
      </c>
      <c r="AN17" s="57">
        <f t="shared" si="17"/>
        <v>1.1265846660887721E-4</v>
      </c>
      <c r="AO17" s="57">
        <f t="shared" si="17"/>
        <v>-9.7232464069841554E-4</v>
      </c>
      <c r="AP17" s="57">
        <f t="shared" si="17"/>
        <v>-2.1715210974223014E-5</v>
      </c>
      <c r="AQ17" s="57">
        <f t="shared" si="17"/>
        <v>-6.6850976034587379E-3</v>
      </c>
      <c r="AR17" s="57">
        <f t="shared" si="17"/>
        <v>-1.0729115449520521E-2</v>
      </c>
      <c r="AS17" s="57">
        <f t="shared" si="17"/>
        <v>3.7320109747236122E-3</v>
      </c>
      <c r="AT17" s="57">
        <f t="shared" si="17"/>
        <v>7.9771606046497945E-4</v>
      </c>
      <c r="AU17" s="57">
        <f t="shared" si="17"/>
        <v>-1.8765279159166018E-4</v>
      </c>
      <c r="AV17" s="57">
        <f t="shared" si="17"/>
        <v>6.9130287020335883E-3</v>
      </c>
      <c r="AW17" s="57">
        <f t="shared" si="17"/>
        <v>1.8247350873522258E-3</v>
      </c>
      <c r="AX17" s="57">
        <f t="shared" si="17"/>
        <v>3.6834357764340478E-3</v>
      </c>
      <c r="AY17" s="57">
        <f t="shared" si="17"/>
        <v>4.3085929689239784E-3</v>
      </c>
      <c r="AZ17" s="57">
        <f t="shared" si="17"/>
        <v>9.720264946495907E-3</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15808834.189999999</v>
      </c>
      <c r="F18" s="26">
        <f>股权价值增加表!F12</f>
        <v>0</v>
      </c>
      <c r="G18" s="26">
        <f>股权价值增加表!G12</f>
        <v>0</v>
      </c>
      <c r="H18" s="26">
        <f>股权价值增加表!H12</f>
        <v>0</v>
      </c>
      <c r="I18" s="26">
        <f>股权价值增加表!I12</f>
        <v>7971177.2000000002</v>
      </c>
      <c r="J18" s="26">
        <f>股权价值增加表!J12</f>
        <v>0</v>
      </c>
      <c r="K18" s="26">
        <f>股权价值增加表!K12</f>
        <v>0</v>
      </c>
      <c r="L18" s="26">
        <f>股权价值增加表!L12</f>
        <v>0</v>
      </c>
      <c r="M18" s="26">
        <f>股权价值增加表!M12</f>
        <v>5588159.7599999998</v>
      </c>
      <c r="N18" s="26">
        <f>股权价值增加表!N12</f>
        <v>0</v>
      </c>
      <c r="O18" s="26">
        <f>股权价值增加表!O12</f>
        <v>0</v>
      </c>
      <c r="P18" s="26">
        <f>股权价值增加表!P12</f>
        <v>0</v>
      </c>
      <c r="Q18" s="26">
        <f>股权价值增加表!Q12</f>
        <v>379153.81</v>
      </c>
      <c r="R18" s="26">
        <f>股权价值增加表!R12</f>
        <v>0</v>
      </c>
      <c r="S18" s="26">
        <f>股权价值增加表!S12</f>
        <v>0</v>
      </c>
      <c r="T18" s="26">
        <f>股权价值增加表!T12</f>
        <v>0</v>
      </c>
      <c r="U18" s="26">
        <f>股权价值增加表!U12</f>
        <v>526932.43999999994</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2.5362915728545654E-3</v>
      </c>
      <c r="F19" s="57">
        <f t="shared" ref="F19:BQ19" si="19">F18/F2</f>
        <v>0</v>
      </c>
      <c r="G19" s="57">
        <f t="shared" si="19"/>
        <v>0</v>
      </c>
      <c r="H19" s="57">
        <f t="shared" si="19"/>
        <v>0</v>
      </c>
      <c r="I19" s="57">
        <f t="shared" si="19"/>
        <v>2.5864819505499017E-3</v>
      </c>
      <c r="J19" s="57">
        <f t="shared" si="19"/>
        <v>0</v>
      </c>
      <c r="K19" s="57">
        <f t="shared" si="19"/>
        <v>0</v>
      </c>
      <c r="L19" s="57">
        <f t="shared" si="19"/>
        <v>0</v>
      </c>
      <c r="M19" s="57">
        <f t="shared" si="19"/>
        <v>2.6591516809555088E-3</v>
      </c>
      <c r="N19" s="57">
        <f t="shared" si="19"/>
        <v>0</v>
      </c>
      <c r="O19" s="57">
        <f t="shared" si="19"/>
        <v>0</v>
      </c>
      <c r="P19" s="57">
        <f t="shared" si="19"/>
        <v>0</v>
      </c>
      <c r="Q19" s="57">
        <f t="shared" si="19"/>
        <v>5.4475455111275531E-4</v>
      </c>
      <c r="R19" s="57">
        <f t="shared" si="19"/>
        <v>0</v>
      </c>
      <c r="S19" s="57">
        <f t="shared" si="19"/>
        <v>0</v>
      </c>
      <c r="T19" s="57">
        <f t="shared" si="19"/>
        <v>0</v>
      </c>
      <c r="U19" s="57">
        <f t="shared" si="19"/>
        <v>6.9451977244969351E-4</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-2256116.19</v>
      </c>
      <c r="F20" s="26">
        <f>股权价值增加表!F13-股权价值增加表!F14</f>
        <v>110796.20999999996</v>
      </c>
      <c r="G20" s="26">
        <f>股权价值增加表!G13-股权价值增加表!G14</f>
        <v>-475309.20999999996</v>
      </c>
      <c r="H20" s="26">
        <f>股权价值增加表!H13-股权价值增加表!H14</f>
        <v>-4901.75</v>
      </c>
      <c r="I20" s="26">
        <f>股权价值增加表!I13-股权价值增加表!I14</f>
        <v>2017536</v>
      </c>
      <c r="J20" s="26">
        <f>股权价值增加表!J13-股权价值增加表!J14</f>
        <v>2401127.6100000003</v>
      </c>
      <c r="K20" s="26">
        <f>股权价值增加表!K13-股权价值增加表!K14</f>
        <v>1935011.4700000002</v>
      </c>
      <c r="L20" s="26">
        <f>股权价值增加表!L13-股权价值增加表!L14</f>
        <v>422531.12</v>
      </c>
      <c r="M20" s="26">
        <f>股权价值增加表!M13-股权价值增加表!M14</f>
        <v>1227993.1099999999</v>
      </c>
      <c r="N20" s="26">
        <f>股权价值增加表!N13-股权价值增加表!N14</f>
        <v>2564657.2699999996</v>
      </c>
      <c r="O20" s="26">
        <f>股权价值增加表!O13-股权价值增加表!O14</f>
        <v>1883579.3599999999</v>
      </c>
      <c r="P20" s="26">
        <f>股权价值增加表!P13-股权价值增加表!P14</f>
        <v>639015.62</v>
      </c>
      <c r="Q20" s="26">
        <f>股权价值增加表!Q13-股权价值增加表!Q14</f>
        <v>-502573.61999999965</v>
      </c>
      <c r="R20" s="26">
        <f>股权价值增加表!R13-股权价值增加表!R14</f>
        <v>-12559665.17</v>
      </c>
      <c r="S20" s="26">
        <f>股权价值增加表!S13-股权价值增加表!S14</f>
        <v>270728.81999999995</v>
      </c>
      <c r="T20" s="26">
        <f>股权价值增加表!T13-股权价值增加表!T14</f>
        <v>-192870.5</v>
      </c>
      <c r="U20" s="26">
        <f>股权价值增加表!U13-股权价值增加表!U14</f>
        <v>-822702.74</v>
      </c>
      <c r="V20" s="26">
        <f>股权价值增加表!V13-股权价值增加表!V14</f>
        <v>-364036.69000000006</v>
      </c>
      <c r="W20" s="26">
        <f>股权价值增加表!W13-股权价值增加表!W14</f>
        <v>-184729.96999999997</v>
      </c>
      <c r="X20" s="26">
        <f>股权价值增加表!X13-股权价值增加表!X14</f>
        <v>-83503.53</v>
      </c>
      <c r="Y20" s="26">
        <f>股权价值增加表!Y13-股权价值增加表!Y14</f>
        <v>-499776.23</v>
      </c>
      <c r="Z20" s="26">
        <f>股权价值增加表!Z13-股权价值增加表!Z14</f>
        <v>-53515.989999999991</v>
      </c>
      <c r="AA20" s="26">
        <f>股权价值增加表!AA13-股权价值增加表!AA14</f>
        <v>-121394.07</v>
      </c>
      <c r="AB20" s="26">
        <f>股权价值增加表!AB13-股权价值增加表!AB14</f>
        <v>-156528.28</v>
      </c>
      <c r="AC20" s="26">
        <f>股权价值增加表!AC13-股权价值增加表!AC14</f>
        <v>1331772.5000000002</v>
      </c>
      <c r="AD20" s="26">
        <f>股权价值增加表!AD13-股权价值增加表!AD14</f>
        <v>268022.19999999995</v>
      </c>
      <c r="AE20" s="26">
        <f>股权价值增加表!AE13-股权价值增加表!AE14</f>
        <v>455241.59</v>
      </c>
      <c r="AF20" s="26">
        <f>股权价值增加表!AF13-股权价值增加表!AF14</f>
        <v>528687.05000000005</v>
      </c>
      <c r="AG20" s="26">
        <f>股权价值增加表!AG13-股权价值增加表!AG14</f>
        <v>183373.77000000002</v>
      </c>
      <c r="AH20" s="26">
        <f>股权价值增加表!AH13-股权价值增加表!AH14</f>
        <v>355393.76</v>
      </c>
      <c r="AI20" s="26">
        <f>股权价值增加表!AI13-股权价值增加表!AI14</f>
        <v>341280.89999999991</v>
      </c>
      <c r="AJ20" s="26">
        <f>股权价值增加表!AJ13-股权价值增加表!AJ14</f>
        <v>217596.9</v>
      </c>
      <c r="AK20" s="26">
        <f>股权价值增加表!AK13-股权价值增加表!AK14</f>
        <v>1217132.3799999999</v>
      </c>
      <c r="AL20" s="26">
        <f>股权价值增加表!AL13-股权价值增加表!AL14</f>
        <v>1723086.8599999999</v>
      </c>
      <c r="AM20" s="26">
        <f>股权价值增加表!AM13-股权价值增加表!AM14</f>
        <v>1191869.8</v>
      </c>
      <c r="AN20" s="26">
        <f>股权价值增加表!AN13-股权价值增加表!AN14</f>
        <v>154981.18</v>
      </c>
      <c r="AO20" s="26">
        <f>股权价值增加表!AO13-股权价值增加表!AO14</f>
        <v>2862534.1100000003</v>
      </c>
      <c r="AP20" s="26">
        <f>股权价值增加表!AP13-股权价值增加表!AP14</f>
        <v>392507.25</v>
      </c>
      <c r="AQ20" s="26">
        <f>股权价值增加表!AQ13-股权价值增加表!AQ14</f>
        <v>369564.49</v>
      </c>
      <c r="AR20" s="26">
        <f>股权价值增加表!AR13-股权价值增加表!AR14</f>
        <v>451722.5</v>
      </c>
      <c r="AS20" s="26">
        <f>股权价值增加表!AS13-股权价值增加表!AS14</f>
        <v>1966660.3399999999</v>
      </c>
      <c r="AT20" s="26">
        <f>股权价值增加表!AT13-股权价值增加表!AT14</f>
        <v>1527569.2599999998</v>
      </c>
      <c r="AU20" s="26">
        <f>股权价值增加表!AU13-股权价值增加表!AU14</f>
        <v>1360419.19</v>
      </c>
      <c r="AV20" s="26">
        <f>股权价值增加表!AV13-股权价值增加表!AV14</f>
        <v>-70409.849999999991</v>
      </c>
      <c r="AW20" s="26">
        <f>股权价值增加表!AW13-股权价值增加表!AW14</f>
        <v>-255689.46000000008</v>
      </c>
      <c r="AX20" s="26">
        <f>股权价值增加表!AX13-股权价值增加表!AX14</f>
        <v>-809649.3</v>
      </c>
      <c r="AY20" s="26">
        <f>股权价值增加表!AY13-股权价值增加表!AY14</f>
        <v>-569015.11</v>
      </c>
      <c r="AZ20" s="26">
        <f>股权价值增加表!AZ13-股权价值增加表!AZ14</f>
        <v>-121665.51</v>
      </c>
      <c r="BA20" s="26">
        <f>股权价值增加表!BA13-股权价值增加表!BA14</f>
        <v>-619457.05000000005</v>
      </c>
      <c r="BB20" s="26">
        <f>股权价值增加表!BB13-股权价值增加表!BB14</f>
        <v>-393725.85</v>
      </c>
      <c r="BC20" s="26">
        <f>股权价值增加表!BC13-股权价值增加表!BC14</f>
        <v>-157589.35</v>
      </c>
      <c r="BD20" s="26">
        <f>股权价值增加表!BD13-股权价值增加表!BD14</f>
        <v>-126310.62</v>
      </c>
      <c r="BE20" s="26">
        <f>股权价值增加表!BE13-股权价值增加表!BE14</f>
        <v>-474155.17999999993</v>
      </c>
      <c r="BF20" s="26">
        <f>股权价值增加表!BF13-股权价值增加表!BF14</f>
        <v>-622202.01</v>
      </c>
      <c r="BG20" s="26">
        <f>股权价值增加表!BG13-股权价值增加表!BG14</f>
        <v>-448538.88</v>
      </c>
      <c r="BH20" s="26">
        <f>股权价值增加表!BH13-股权价值增加表!BH14</f>
        <v>-739163.27</v>
      </c>
      <c r="BI20" s="26">
        <f>股权价值增加表!BI13-股权价值增加表!BI14</f>
        <v>-596136.25</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-3.6196018070057E-4</v>
      </c>
      <c r="F21" s="57">
        <f t="shared" ref="F21:BQ21" si="21">F20/F2</f>
        <v>3.7065297000314735E-5</v>
      </c>
      <c r="G21" s="57">
        <f t="shared" si="21"/>
        <v>-2.931542551829542E-4</v>
      </c>
      <c r="H21" s="57">
        <f t="shared" si="21"/>
        <v>-8.8320415898285112E-6</v>
      </c>
      <c r="I21" s="57">
        <f t="shared" si="21"/>
        <v>6.5464865698690604E-4</v>
      </c>
      <c r="J21" s="57">
        <f t="shared" si="21"/>
        <v>1.2754247622834612E-3</v>
      </c>
      <c r="K21" s="57">
        <f t="shared" si="21"/>
        <v>1.8560667760319585E-3</v>
      </c>
      <c r="L21" s="57">
        <f t="shared" si="21"/>
        <v>1.3673742447566049E-3</v>
      </c>
      <c r="M21" s="57">
        <f t="shared" si="21"/>
        <v>5.8434620392067724E-4</v>
      </c>
      <c r="N21" s="57">
        <f t="shared" si="21"/>
        <v>1.9916324945338328E-3</v>
      </c>
      <c r="O21" s="57">
        <f t="shared" si="21"/>
        <v>8.0356767335582613E-3</v>
      </c>
      <c r="P21" s="57">
        <f t="shared" si="21"/>
        <v>6.4622582656418811E-3</v>
      </c>
      <c r="Q21" s="57">
        <f t="shared" si="21"/>
        <v>-7.2207969310452737E-4</v>
      </c>
      <c r="R21" s="57">
        <f t="shared" si="21"/>
        <v>-2.5128132932021902E-2</v>
      </c>
      <c r="S21" s="57">
        <f t="shared" si="21"/>
        <v>1.2373807743434211E-3</v>
      </c>
      <c r="T21" s="57">
        <f t="shared" si="21"/>
        <v>-2.3920784566302282E-3</v>
      </c>
      <c r="U21" s="57">
        <f t="shared" si="21"/>
        <v>-1.0843578349029705E-3</v>
      </c>
      <c r="V21" s="57">
        <f t="shared" si="21"/>
        <v>-7.2063553175973918E-4</v>
      </c>
      <c r="W21" s="57">
        <f t="shared" si="21"/>
        <v>-7.5694907677679351E-4</v>
      </c>
      <c r="X21" s="57">
        <f t="shared" si="21"/>
        <v>-6.7202943200302622E-4</v>
      </c>
      <c r="Y21" s="57">
        <f t="shared" si="21"/>
        <v>-7.2304055236064528E-4</v>
      </c>
      <c r="Z21" s="57">
        <f t="shared" si="21"/>
        <v>-1.1170835671272336E-4</v>
      </c>
      <c r="AA21" s="57">
        <f t="shared" si="21"/>
        <v>-4.9135930833983535E-4</v>
      </c>
      <c r="AB21" s="57">
        <f t="shared" si="21"/>
        <v>-1.2124102201848007E-3</v>
      </c>
      <c r="AC21" s="57">
        <f t="shared" si="21"/>
        <v>1.7154077708579074E-3</v>
      </c>
      <c r="AD21" s="57">
        <f t="shared" si="21"/>
        <v>4.6264442296373853E-4</v>
      </c>
      <c r="AE21" s="57">
        <f t="shared" si="21"/>
        <v>1.4930165466392985E-3</v>
      </c>
      <c r="AF21" s="57">
        <f t="shared" si="21"/>
        <v>4.0878487657802177E-3</v>
      </c>
      <c r="AG21" s="57">
        <f t="shared" si="21"/>
        <v>3.3081026785370478E-4</v>
      </c>
      <c r="AH21" s="57">
        <f t="shared" si="21"/>
        <v>9.9771163609299325E-4</v>
      </c>
      <c r="AI21" s="57">
        <f t="shared" si="21"/>
        <v>1.8450216344369774E-3</v>
      </c>
      <c r="AJ21" s="57">
        <f t="shared" si="21"/>
        <v>2.0862776567937618E-3</v>
      </c>
      <c r="AK21" s="57">
        <f t="shared" si="21"/>
        <v>2.387287580397661E-3</v>
      </c>
      <c r="AL21" s="57">
        <f t="shared" si="21"/>
        <v>5.0770052839169098E-3</v>
      </c>
      <c r="AM21" s="57">
        <f t="shared" si="21"/>
        <v>6.6318138441361077E-3</v>
      </c>
      <c r="AN21" s="57">
        <f t="shared" si="21"/>
        <v>1.5667585929307537E-3</v>
      </c>
      <c r="AO21" s="57">
        <f t="shared" si="21"/>
        <v>6.9313800922746506E-3</v>
      </c>
      <c r="AP21" s="57">
        <f t="shared" si="21"/>
        <v>1.4442363987464686E-3</v>
      </c>
      <c r="AQ21" s="57">
        <f t="shared" si="21"/>
        <v>2.2553740240313E-3</v>
      </c>
      <c r="AR21" s="57">
        <f t="shared" si="21"/>
        <v>5.3942157161976203E-3</v>
      </c>
      <c r="AS21" s="57">
        <f t="shared" si="21"/>
        <v>3.4728542220413415E-3</v>
      </c>
      <c r="AT21" s="57">
        <f t="shared" si="21"/>
        <v>3.639105312689002E-3</v>
      </c>
      <c r="AU21" s="57">
        <f t="shared" si="21"/>
        <v>5.6039531090937723E-3</v>
      </c>
      <c r="AV21" s="57">
        <f t="shared" si="21"/>
        <v>-5.5906940592279932E-4</v>
      </c>
      <c r="AW21" s="57">
        <f t="shared" si="21"/>
        <v>-4.3058114386484802E-4</v>
      </c>
      <c r="AX21" s="57">
        <f t="shared" si="21"/>
        <v>-1.8433141725780829E-3</v>
      </c>
      <c r="AY21" s="57">
        <f t="shared" si="21"/>
        <v>-1.9804426684993655E-3</v>
      </c>
      <c r="AZ21" s="57">
        <f t="shared" si="21"/>
        <v>-8.8942921615003836E-4</v>
      </c>
      <c r="BA21" s="57">
        <f t="shared" si="21"/>
        <v>-1.1717274910465613E-3</v>
      </c>
      <c r="BB21" s="57">
        <f t="shared" si="21"/>
        <v>-9.8538680519232166E-4</v>
      </c>
      <c r="BC21" s="57">
        <f t="shared" si="21"/>
        <v>-7.3073899146463553E-4</v>
      </c>
      <c r="BD21" s="57">
        <f t="shared" si="21"/>
        <v>-1.028619825075219E-3</v>
      </c>
      <c r="BE21" s="57">
        <f t="shared" si="21"/>
        <v>-8.4120950453413755E-4</v>
      </c>
      <c r="BF21" s="57">
        <f t="shared" si="21"/>
        <v>-1.5598343707603414E-3</v>
      </c>
      <c r="BG21" s="57">
        <f t="shared" si="21"/>
        <v>-2.06838541173316E-3</v>
      </c>
      <c r="BH21" s="57">
        <f t="shared" si="21"/>
        <v>-1.6538787171239224E-3</v>
      </c>
      <c r="BI21" s="57">
        <f t="shared" si="21"/>
        <v>-1.7784922602971705E-3</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0.31938545128767537</v>
      </c>
      <c r="F22" s="66">
        <f t="shared" ref="F22:BQ22" si="23">F11+F13+F15+F17+F19+F21</f>
        <v>0.34553127227389846</v>
      </c>
      <c r="G22" s="66">
        <f t="shared" si="23"/>
        <v>0.38011592121042803</v>
      </c>
      <c r="H22" s="66">
        <f t="shared" si="23"/>
        <v>0.45980385802974255</v>
      </c>
      <c r="I22" s="66">
        <f t="shared" si="23"/>
        <v>0.32401952585917126</v>
      </c>
      <c r="J22" s="66">
        <f t="shared" si="23"/>
        <v>0.35367641080067846</v>
      </c>
      <c r="K22" s="66">
        <f t="shared" si="23"/>
        <v>0.39493615282272926</v>
      </c>
      <c r="L22" s="66">
        <f t="shared" si="23"/>
        <v>0.59159324719825446</v>
      </c>
      <c r="M22" s="66">
        <f t="shared" si="23"/>
        <v>0.32857220572789303</v>
      </c>
      <c r="N22" s="66">
        <f t="shared" si="23"/>
        <v>0.37763820526901837</v>
      </c>
      <c r="O22" s="66">
        <f t="shared" si="23"/>
        <v>0.12541348705821792</v>
      </c>
      <c r="P22" s="66">
        <f t="shared" si="23"/>
        <v>0.13844416512626587</v>
      </c>
      <c r="Q22" s="66">
        <f t="shared" si="23"/>
        <v>0.12144094999159788</v>
      </c>
      <c r="R22" s="66">
        <f t="shared" si="23"/>
        <v>6.5668022549403557E-2</v>
      </c>
      <c r="S22" s="66">
        <f t="shared" si="23"/>
        <v>0.11541062671329551</v>
      </c>
      <c r="T22" s="66">
        <f t="shared" si="23"/>
        <v>0.12630226391162952</v>
      </c>
      <c r="U22" s="66">
        <f t="shared" si="23"/>
        <v>0.19967013007393428</v>
      </c>
      <c r="V22" s="66">
        <f t="shared" si="23"/>
        <v>7.052203340288421E-2</v>
      </c>
      <c r="W22" s="66">
        <f t="shared" si="23"/>
        <v>8.3229291376767087E-2</v>
      </c>
      <c r="X22" s="66">
        <f t="shared" si="23"/>
        <v>7.8808975888689806E-2</v>
      </c>
      <c r="Y22" s="66">
        <f t="shared" si="23"/>
        <v>8.071796407149294E-2</v>
      </c>
      <c r="Z22" s="66">
        <f t="shared" si="23"/>
        <v>7.8450783178918751E-2</v>
      </c>
      <c r="AA22" s="66">
        <f t="shared" si="23"/>
        <v>0.10185731625299073</v>
      </c>
      <c r="AB22" s="66">
        <f t="shared" si="23"/>
        <v>0.10938937058808786</v>
      </c>
      <c r="AC22" s="66">
        <f t="shared" si="23"/>
        <v>7.1373389874803461E-2</v>
      </c>
      <c r="AD22" s="66">
        <f t="shared" si="23"/>
        <v>6.2971657160382694E-2</v>
      </c>
      <c r="AE22" s="66">
        <f t="shared" si="23"/>
        <v>8.0961833295011582E-2</v>
      </c>
      <c r="AF22" s="66">
        <f t="shared" si="23"/>
        <v>8.7246779235118241E-2</v>
      </c>
      <c r="AG22" s="66">
        <f t="shared" si="23"/>
        <v>6.5823341308816036E-2</v>
      </c>
      <c r="AH22" s="66">
        <f t="shared" si="23"/>
        <v>7.6701614050129402E-2</v>
      </c>
      <c r="AI22" s="66">
        <f t="shared" si="23"/>
        <v>9.9405462289436503E-2</v>
      </c>
      <c r="AJ22" s="66">
        <f t="shared" si="23"/>
        <v>8.9252868317777317E-2</v>
      </c>
      <c r="AK22" s="66">
        <f t="shared" si="23"/>
        <v>9.4376730084438393E-2</v>
      </c>
      <c r="AL22" s="66">
        <f t="shared" si="23"/>
        <v>8.1659411684228786E-2</v>
      </c>
      <c r="AM22" s="66">
        <f t="shared" si="23"/>
        <v>9.9391417615265099E-2</v>
      </c>
      <c r="AN22" s="66">
        <f t="shared" si="23"/>
        <v>8.5859821543523368E-2</v>
      </c>
      <c r="AO22" s="66">
        <f t="shared" si="23"/>
        <v>8.4131213227610913E-2</v>
      </c>
      <c r="AP22" s="66">
        <f t="shared" si="23"/>
        <v>7.7805928691856485E-2</v>
      </c>
      <c r="AQ22" s="66">
        <f t="shared" si="23"/>
        <v>8.1502814557211672E-2</v>
      </c>
      <c r="AR22" s="66">
        <f t="shared" si="23"/>
        <v>7.6841947333758626E-2</v>
      </c>
      <c r="AS22" s="66">
        <f t="shared" si="23"/>
        <v>6.6907465113567585E-2</v>
      </c>
      <c r="AT22" s="66">
        <f t="shared" si="23"/>
        <v>6.4025305557159753E-2</v>
      </c>
      <c r="AU22" s="66">
        <f t="shared" si="23"/>
        <v>7.4466418889716404E-2</v>
      </c>
      <c r="AV22" s="66">
        <f t="shared" si="23"/>
        <v>8.1830745462171658E-2</v>
      </c>
      <c r="AW22" s="66">
        <f t="shared" si="23"/>
        <v>5.8292057532656066E-2</v>
      </c>
      <c r="AX22" s="66">
        <f t="shared" si="23"/>
        <v>6.326360924251194E-2</v>
      </c>
      <c r="AY22" s="66">
        <f t="shared" si="23"/>
        <v>6.6447034420485204E-2</v>
      </c>
      <c r="AZ22" s="66">
        <f t="shared" si="23"/>
        <v>8.2605441636664056E-2</v>
      </c>
      <c r="BA22" s="66">
        <f t="shared" si="23"/>
        <v>9.0333516785182713E-2</v>
      </c>
      <c r="BB22" s="66">
        <f t="shared" si="23"/>
        <v>8.9901881936896369E-2</v>
      </c>
      <c r="BC22" s="66">
        <f t="shared" si="23"/>
        <v>0.11319793662900107</v>
      </c>
      <c r="BD22" s="66">
        <f t="shared" si="23"/>
        <v>0.10512266556377403</v>
      </c>
      <c r="BE22" s="66">
        <f t="shared" si="23"/>
        <v>7.2138170856215225E-2</v>
      </c>
      <c r="BF22" s="66">
        <f t="shared" si="23"/>
        <v>6.6652183774162085E-2</v>
      </c>
      <c r="BG22" s="66">
        <f t="shared" si="23"/>
        <v>7.4214303171483614E-2</v>
      </c>
      <c r="BH22" s="66">
        <f t="shared" si="23"/>
        <v>8.4087309734981144E-2</v>
      </c>
      <c r="BI22" s="66">
        <f t="shared" si="23"/>
        <v>8.5776085466182664E-2</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712475552.88294196</v>
      </c>
      <c r="F23" s="27">
        <f>股权价值增加表!F17</f>
        <v>258922111.76696318</v>
      </c>
      <c r="G23" s="27">
        <f>股权价值增加表!G17</f>
        <v>52932342.646724112</v>
      </c>
      <c r="H23" s="27">
        <f>股权价值增加表!H17</f>
        <v>-86863089.54114081</v>
      </c>
      <c r="I23" s="27">
        <f>股权价值增加表!I17</f>
        <v>372209977.03327262</v>
      </c>
      <c r="J23" s="27">
        <f>股权价值增加表!J17</f>
        <v>121548408.85939723</v>
      </c>
      <c r="K23" s="27">
        <f>股权价值增加表!K17</f>
        <v>-11548583.87262355</v>
      </c>
      <c r="L23" s="27">
        <f>股权价值增加表!L17</f>
        <v>-130665667.77966194</v>
      </c>
      <c r="M23" s="27">
        <f>股权价值增加表!M17</f>
        <v>253842927.50485846</v>
      </c>
      <c r="N23" s="27">
        <f>股权价值增加表!N17</f>
        <v>61977179.431889527</v>
      </c>
      <c r="O23" s="27">
        <f>股权价值增加表!O17</f>
        <v>1339915.1658716402</v>
      </c>
      <c r="P23" s="27">
        <f>股权价值增加表!P17</f>
        <v>73627.103470739909</v>
      </c>
      <c r="Q23" s="27">
        <f>股权价值增加表!Q17</f>
        <v>28964238.536427379</v>
      </c>
      <c r="R23" s="27">
        <f>股权价值增加表!R17</f>
        <v>29813629.120508496</v>
      </c>
      <c r="S23" s="27">
        <f>股权价值增加表!S17</f>
        <v>5280211.3368851533</v>
      </c>
      <c r="T23" s="27">
        <f>股权价值增加表!T17</f>
        <v>1429247.0913469587</v>
      </c>
      <c r="U23" s="27">
        <f>股权价值增加表!U17</f>
        <v>-30944089.413187891</v>
      </c>
      <c r="V23" s="27">
        <f>股权价值增加表!V17</f>
        <v>40413315.888438806</v>
      </c>
      <c r="W23" s="27">
        <f>股权价值增加表!W17</f>
        <v>12248352.260931205</v>
      </c>
      <c r="X23" s="27">
        <f>股权价值增加表!X17</f>
        <v>6040243.2815340525</v>
      </c>
      <c r="Y23" s="27">
        <f>股权价值增加表!Y17</f>
        <v>59535554.572981566</v>
      </c>
      <c r="Z23" s="27">
        <f>股权价值增加表!Z17</f>
        <v>34885751.841444433</v>
      </c>
      <c r="AA23" s="27">
        <f>股权价值增加表!AA17</f>
        <v>7654200.6205729544</v>
      </c>
      <c r="AB23" s="27">
        <f>股权价值增加表!AB17</f>
        <v>4192803.3214189024</v>
      </c>
      <c r="AC23" s="27">
        <f>股权价值增加表!AC17</f>
        <v>59189611.941047028</v>
      </c>
      <c r="AD23" s="27">
        <f>股权价值增加表!AD17</f>
        <v>31784091.765680879</v>
      </c>
      <c r="AE23" s="27">
        <f>股权价值增加表!AE17</f>
        <v>7334933.7899867035</v>
      </c>
      <c r="AF23" s="27">
        <f>股权价值增加表!AF17</f>
        <v>4574662.0747087356</v>
      </c>
      <c r="AG23" s="27">
        <f>股权价值增加表!AG17</f>
        <v>23295607.601102028</v>
      </c>
      <c r="AH23" s="27">
        <f>股权价值增加表!AH17</f>
        <v>15366602.47546972</v>
      </c>
      <c r="AI23" s="27">
        <f>股权价值增加表!AI17</f>
        <v>4245046.1293332586</v>
      </c>
      <c r="AJ23" s="27">
        <f>股权价值增加表!AJ17</f>
        <v>2253633.8092574035</v>
      </c>
      <c r="AK23" s="27">
        <f>股权价值增加表!AK17</f>
        <v>14852606.520171981</v>
      </c>
      <c r="AL23" s="27">
        <f>股权价值增加表!AL17</f>
        <v>9974896.6390956268</v>
      </c>
      <c r="AM23" s="27">
        <f>股权价值增加表!AM17</f>
        <v>2611637.5076598329</v>
      </c>
      <c r="AN23" s="27">
        <f>股权价值增加表!AN17</f>
        <v>1085023.1705455827</v>
      </c>
      <c r="AO23" s="27">
        <f>股权价值增加表!AO17</f>
        <v>13424812.564856924</v>
      </c>
      <c r="AP23" s="27">
        <f>股权价值增加表!AP17</f>
        <v>10786479.008059148</v>
      </c>
      <c r="AQ23" s="27">
        <f>股权价值增加表!AQ17</f>
        <v>2789683.8004335333</v>
      </c>
      <c r="AR23" s="27">
        <f>股权价值增加表!AR17</f>
        <v>1311784.2109624096</v>
      </c>
      <c r="AS23" s="27">
        <f>股权价值增加表!AS17</f>
        <v>25279752.002657019</v>
      </c>
      <c r="AT23" s="27">
        <f>股权价值增加表!AT17</f>
        <v>21056376.862885516</v>
      </c>
      <c r="AU23" s="27">
        <f>股权价值增加表!AU17</f>
        <v>5957295.3379204413</v>
      </c>
      <c r="AV23" s="27">
        <f>股权价值增加表!AV17</f>
        <v>2707995.2482534572</v>
      </c>
      <c r="AW23" s="27">
        <f>股权价值增加表!AW17</f>
        <v>27920219.228853434</v>
      </c>
      <c r="AX23" s="27">
        <f>股权价值增加表!AX17</f>
        <v>22177492.141647227</v>
      </c>
      <c r="AY23" s="27">
        <f>股权价值增加表!AY17</f>
        <v>6495286.6503340481</v>
      </c>
      <c r="AZ23" s="27">
        <f>股权价值增加表!AZ17</f>
        <v>3937890.9180124863</v>
      </c>
      <c r="BA23" s="27">
        <f>股权价值增加表!BA17</f>
        <v>23617658.476098653</v>
      </c>
      <c r="BB23" s="27">
        <f>股权价值增加表!BB17</f>
        <v>17071140.875610162</v>
      </c>
      <c r="BC23" s="27">
        <f>股权价值增加表!BC17</f>
        <v>3603993.968266408</v>
      </c>
      <c r="BD23" s="27">
        <f>股权价值增加表!BD17</f>
        <v>2460204.0101361116</v>
      </c>
      <c r="BE23" s="27">
        <f>股权价值增加表!BE17</f>
        <v>22881275.229180519</v>
      </c>
      <c r="BF23" s="27">
        <f>股权价值增加表!BF17</f>
        <v>14439456.212387512</v>
      </c>
      <c r="BG23" s="27">
        <f>股权价值增加表!BG17</f>
        <v>2618662.4150095046</v>
      </c>
      <c r="BH23" s="27">
        <f>股权价值增加表!BH17</f>
        <v>22246925.769836754</v>
      </c>
      <c r="BI23" s="27">
        <f>股权价值增加表!BI17</f>
        <v>14911714.796748716</v>
      </c>
      <c r="BJ23" s="27" t="e">
        <f>股权价值增加表!BJ17</f>
        <v>#DIV/0!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0.11430607209385267</v>
      </c>
      <c r="F24" s="57">
        <f t="shared" ref="F24:BQ24" si="25">F23/F2</f>
        <v>8.6618711710366086E-2</v>
      </c>
      <c r="G24" s="57">
        <f t="shared" si="25"/>
        <v>3.2646835275271291E-2</v>
      </c>
      <c r="H24" s="57">
        <f t="shared" si="25"/>
        <v>-0.15651112754594862</v>
      </c>
      <c r="I24" s="57">
        <f t="shared" si="25"/>
        <v>0.12077443058362233</v>
      </c>
      <c r="J24" s="57">
        <f t="shared" si="25"/>
        <v>6.4563769884529221E-2</v>
      </c>
      <c r="K24" s="57">
        <f t="shared" si="25"/>
        <v>-1.1077424174749238E-2</v>
      </c>
      <c r="L24" s="57">
        <f t="shared" si="25"/>
        <v>-0.42285375050205221</v>
      </c>
      <c r="M24" s="57">
        <f t="shared" si="25"/>
        <v>0.12079233170907264</v>
      </c>
      <c r="N24" s="57">
        <f t="shared" si="25"/>
        <v>4.8129536028065502E-2</v>
      </c>
      <c r="O24" s="57">
        <f t="shared" si="25"/>
        <v>5.7163108451860501E-3</v>
      </c>
      <c r="P24" s="57">
        <f t="shared" si="25"/>
        <v>7.4457860353876646E-4</v>
      </c>
      <c r="Q24" s="57">
        <f t="shared" si="25"/>
        <v>4.1614775708660998E-2</v>
      </c>
      <c r="R24" s="57">
        <f t="shared" si="25"/>
        <v>5.9648153480682059E-2</v>
      </c>
      <c r="S24" s="57">
        <f t="shared" si="25"/>
        <v>2.4133492668907075E-2</v>
      </c>
      <c r="T24" s="57">
        <f t="shared" si="25"/>
        <v>1.7726252466875314E-2</v>
      </c>
      <c r="U24" s="57">
        <f t="shared" si="25"/>
        <v>-4.078564974650304E-2</v>
      </c>
      <c r="V24" s="57">
        <f t="shared" si="25"/>
        <v>8.0000923493286927E-2</v>
      </c>
      <c r="W24" s="57">
        <f t="shared" si="25"/>
        <v>5.0188818500586714E-2</v>
      </c>
      <c r="X24" s="57">
        <f t="shared" si="25"/>
        <v>4.8611373215592495E-2</v>
      </c>
      <c r="Y24" s="57">
        <f t="shared" si="25"/>
        <v>8.6131787947469882E-2</v>
      </c>
      <c r="Z24" s="57">
        <f t="shared" si="25"/>
        <v>7.2819918138403508E-2</v>
      </c>
      <c r="AA24" s="57">
        <f t="shared" si="25"/>
        <v>3.0981436925370944E-2</v>
      </c>
      <c r="AB24" s="57">
        <f t="shared" si="25"/>
        <v>3.2475905300390795E-2</v>
      </c>
      <c r="AC24" s="57">
        <f t="shared" si="25"/>
        <v>7.6239988645009596E-2</v>
      </c>
      <c r="AD24" s="57">
        <f t="shared" si="25"/>
        <v>5.4863861256119632E-2</v>
      </c>
      <c r="AE24" s="57">
        <f t="shared" si="25"/>
        <v>2.4055749205501742E-2</v>
      </c>
      <c r="AF24" s="57">
        <f t="shared" si="25"/>
        <v>3.5371637561312827E-2</v>
      </c>
      <c r="AG24" s="57">
        <f t="shared" si="25"/>
        <v>4.2025782587855186E-2</v>
      </c>
      <c r="AH24" s="57">
        <f t="shared" si="25"/>
        <v>4.3139300186338485E-2</v>
      </c>
      <c r="AI24" s="57">
        <f t="shared" si="25"/>
        <v>2.2949429481118971E-2</v>
      </c>
      <c r="AJ24" s="57">
        <f t="shared" si="25"/>
        <v>2.1607411975302662E-2</v>
      </c>
      <c r="AK24" s="57">
        <f t="shared" si="25"/>
        <v>2.9131952830093875E-2</v>
      </c>
      <c r="AL24" s="57">
        <f t="shared" si="25"/>
        <v>2.9390626856276723E-2</v>
      </c>
      <c r="AM24" s="57">
        <f t="shared" si="25"/>
        <v>1.4531699502045945E-2</v>
      </c>
      <c r="AN24" s="57">
        <f t="shared" si="25"/>
        <v>1.096887619504034E-2</v>
      </c>
      <c r="AO24" s="57">
        <f t="shared" si="25"/>
        <v>3.2507028730067382E-2</v>
      </c>
      <c r="AP24" s="57">
        <f t="shared" si="25"/>
        <v>3.9689013636700278E-2</v>
      </c>
      <c r="AQ24" s="57">
        <f t="shared" si="25"/>
        <v>1.7024851004377364E-2</v>
      </c>
      <c r="AR24" s="57">
        <f t="shared" si="25"/>
        <v>1.5664588341367375E-2</v>
      </c>
      <c r="AS24" s="57">
        <f t="shared" si="25"/>
        <v>4.4640597915644897E-2</v>
      </c>
      <c r="AT24" s="57">
        <f t="shared" si="25"/>
        <v>5.0162290453336617E-2</v>
      </c>
      <c r="AU24" s="57">
        <f t="shared" si="25"/>
        <v>2.4539791834845472E-2</v>
      </c>
      <c r="AV24" s="57">
        <f t="shared" si="25"/>
        <v>2.15020667517801E-2</v>
      </c>
      <c r="AW24" s="57">
        <f t="shared" si="25"/>
        <v>4.7017659361152514E-2</v>
      </c>
      <c r="AX24" s="57">
        <f t="shared" si="25"/>
        <v>5.0491102230233995E-2</v>
      </c>
      <c r="AY24" s="57">
        <f t="shared" si="25"/>
        <v>2.2606680561533535E-2</v>
      </c>
      <c r="AZ24" s="57">
        <f t="shared" si="25"/>
        <v>2.8787741345038548E-2</v>
      </c>
      <c r="BA24" s="57">
        <f t="shared" si="25"/>
        <v>4.4673734378507156E-2</v>
      </c>
      <c r="BB24" s="57">
        <f t="shared" si="25"/>
        <v>4.2724339711008433E-2</v>
      </c>
      <c r="BC24" s="57">
        <f t="shared" si="25"/>
        <v>1.6711655436205709E-2</v>
      </c>
      <c r="BD24" s="57">
        <f t="shared" si="25"/>
        <v>2.0034852323229508E-2</v>
      </c>
      <c r="BE24" s="57">
        <f t="shared" si="25"/>
        <v>4.0594191544312944E-2</v>
      </c>
      <c r="BF24" s="57">
        <f t="shared" si="25"/>
        <v>3.6199111756599719E-2</v>
      </c>
      <c r="BG24" s="57">
        <f t="shared" si="25"/>
        <v>1.2075660280463502E-2</v>
      </c>
      <c r="BH24" s="57">
        <f t="shared" si="25"/>
        <v>4.9777523512726407E-2</v>
      </c>
      <c r="BI24" s="57">
        <f t="shared" si="25"/>
        <v>4.4487093938300831E-2</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750</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1" t="s">
        <v>601</v>
      </c>
      <c r="B26" s="152"/>
      <c r="C26" s="152"/>
      <c r="D26" s="152"/>
      <c r="E26" s="153">
        <f>POWER(E2/Y2,1/6)-1</f>
        <v>0.44271745912757576</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37986</v>
      </c>
      <c r="BI27" s="1">
        <v>37621</v>
      </c>
      <c r="BJ27" s="1">
        <v>25569</v>
      </c>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931950664.20000017</v>
      </c>
      <c r="F28" s="26">
        <f>股权价值增加表!F15</f>
        <v>348866881.20999998</v>
      </c>
      <c r="G28" s="26">
        <f>股权价值增加表!G15</f>
        <v>91843296.310000092</v>
      </c>
      <c r="H28" s="26">
        <f>股权价值增加表!H15</f>
        <v>-104098612.94000006</v>
      </c>
      <c r="I28" s="26">
        <f>股权价值增加表!I15</f>
        <v>494212880.83999991</v>
      </c>
      <c r="J28" s="26">
        <f>股权价值增加表!J15</f>
        <v>166590462.70000002</v>
      </c>
      <c r="K28" s="26">
        <f>股权价值增加表!K15</f>
        <v>-11326858.590000004</v>
      </c>
      <c r="L28" s="26">
        <f>股权价值增加表!L15</f>
        <v>-160947625.68999997</v>
      </c>
      <c r="M28" s="26">
        <f>股权价值增加表!M15</f>
        <v>319646208.19999993</v>
      </c>
      <c r="N28" s="26">
        <f>股权价值增加表!N15</f>
        <v>71546689.449999958</v>
      </c>
      <c r="O28" s="26">
        <f>股权价值增加表!O15</f>
        <v>5532237.4199999869</v>
      </c>
      <c r="P28" s="26">
        <f>股权价值增加表!P15</f>
        <v>1450659.2399999935</v>
      </c>
      <c r="Q28" s="26">
        <f>股权价值增加表!Q15</f>
        <v>54103606.569999933</v>
      </c>
      <c r="R28" s="26">
        <f>股权价值增加表!R15</f>
        <v>51189461.309999973</v>
      </c>
      <c r="S28" s="26">
        <f>股权价值增加表!S15</f>
        <v>13332086.619999997</v>
      </c>
      <c r="T28" s="26">
        <f>股权价值增加表!T15</f>
        <v>4186092.3800000004</v>
      </c>
      <c r="U28" s="26">
        <f>股权价值增加表!U15</f>
        <v>-18699031.43999996</v>
      </c>
      <c r="V28" s="26">
        <f>股权价值增加表!V15</f>
        <v>57055163.739999965</v>
      </c>
      <c r="W28" s="26">
        <f>股权价值增加表!W15</f>
        <v>18616193.809999987</v>
      </c>
      <c r="X28" s="26">
        <f>股权价值增加表!X15</f>
        <v>8296889.9200000083</v>
      </c>
      <c r="Y28" s="26">
        <f>股权价值增加表!Y15</f>
        <v>81990745.190000072</v>
      </c>
      <c r="Z28" s="26">
        <f>股权价值增加表!Z15</f>
        <v>48683625.760000013</v>
      </c>
      <c r="AA28" s="26">
        <f>股权价值增加表!AA15</f>
        <v>12169065.370000022</v>
      </c>
      <c r="AB28" s="26">
        <f>股权价值增加表!AB15</f>
        <v>6503042.2699999968</v>
      </c>
      <c r="AC28" s="26">
        <f>股权价值增加表!AC15</f>
        <v>80191900.440000057</v>
      </c>
      <c r="AD28" s="26">
        <f>股权价值增加表!AD15</f>
        <v>43859368.919999927</v>
      </c>
      <c r="AE28" s="26">
        <f>股权价值增加表!AE15</f>
        <v>10846468.929999981</v>
      </c>
      <c r="AF28" s="26">
        <f>股权价值增加表!AF15</f>
        <v>5921357.3299999963</v>
      </c>
      <c r="AG28" s="26">
        <f>股权价值增加表!AG15</f>
        <v>30951733.010000009</v>
      </c>
      <c r="AH28" s="26">
        <f>股权价值增加表!AH15</f>
        <v>20357446.679999985</v>
      </c>
      <c r="AI28" s="26">
        <f>股权价值增加表!AI15</f>
        <v>5709927.7800000142</v>
      </c>
      <c r="AJ28" s="26">
        <f>股权价值增加表!AJ15</f>
        <v>3082502.3800000115</v>
      </c>
      <c r="AK28" s="26">
        <f>股权价值增加表!AK15</f>
        <v>24573283.669999983</v>
      </c>
      <c r="AL28" s="26">
        <f>股权价值增加表!AL15</f>
        <v>14724308.320000034</v>
      </c>
      <c r="AM28" s="26">
        <f>股权价值增加表!AM15</f>
        <v>4363847.6399999941</v>
      </c>
      <c r="AN28" s="26">
        <f>股权价值增加表!AN15</f>
        <v>1666157.6899999944</v>
      </c>
      <c r="AO28" s="26">
        <f>股权价值增加表!AO15</f>
        <v>18873739.970000003</v>
      </c>
      <c r="AP28" s="26">
        <f>股权价值增加表!AP15</f>
        <v>14653800.769999981</v>
      </c>
      <c r="AQ28" s="26">
        <f>股权价值增加表!AQ15</f>
        <v>3538977.2199999802</v>
      </c>
      <c r="AR28" s="26">
        <f>股权价值增加表!AR15</f>
        <v>1734752.9799999986</v>
      </c>
      <c r="AS28" s="26">
        <f>股权价值增加表!AS15</f>
        <v>30786686.90999997</v>
      </c>
      <c r="AT28" s="26">
        <f>股权价值增加表!AT15</f>
        <v>25363770.79999999</v>
      </c>
      <c r="AU28" s="26">
        <f>股权价值增加表!AU15</f>
        <v>7617155.1700000037</v>
      </c>
      <c r="AV28" s="26">
        <f>股权价值增加表!AV15</f>
        <v>3255326.6799999936</v>
      </c>
      <c r="AW28" s="26">
        <f>股权价值增加表!AW15</f>
        <v>33240469.440000065</v>
      </c>
      <c r="AX28" s="26">
        <f>股权价值增加表!AX15</f>
        <v>26750277.360000029</v>
      </c>
      <c r="AY28" s="26">
        <f>股权价值增加表!AY15</f>
        <v>8433501.2999999803</v>
      </c>
      <c r="AZ28" s="26">
        <f>股权价值增加表!AZ15</f>
        <v>4378491.2199999932</v>
      </c>
      <c r="BA28" s="26">
        <f>股权价值增加表!BA15</f>
        <v>27898771.210000012</v>
      </c>
      <c r="BB28" s="26">
        <f>股权价值增加表!BB15</f>
        <v>20386768.200000018</v>
      </c>
      <c r="BC28" s="26">
        <f>股权价值增加表!BC15</f>
        <v>4335718.5299999844</v>
      </c>
      <c r="BD28" s="26">
        <f>股权价值增加表!BD15</f>
        <v>3004178.140000002</v>
      </c>
      <c r="BE28" s="26">
        <f>股权价值增加表!BE15</f>
        <v>28490269.910000034</v>
      </c>
      <c r="BF28" s="26">
        <f>股权价值增加表!BF15</f>
        <v>17780327.490000043</v>
      </c>
      <c r="BG28" s="26">
        <f>股权价值增加表!BG15</f>
        <v>4015626.1000000099</v>
      </c>
      <c r="BH28" s="26">
        <f>股权价值增加表!BH15</f>
        <v>27139517.139999982</v>
      </c>
      <c r="BI28" s="26">
        <f>股权价值增加表!BI15</f>
        <v>18542018.909999985</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0.93023694576346139</v>
      </c>
      <c r="F29" s="59">
        <f t="shared" si="27"/>
        <v>0.83780333132086982</v>
      </c>
      <c r="G29" s="59">
        <f t="shared" si="27"/>
        <v>0.86695600819234664</v>
      </c>
      <c r="H29" s="59">
        <f t="shared" si="27"/>
        <v>0.88090882228770973</v>
      </c>
      <c r="I29" s="59">
        <f t="shared" si="27"/>
        <v>0.92368394877520554</v>
      </c>
      <c r="J29" s="59">
        <f t="shared" si="27"/>
        <v>0.92984264784314807</v>
      </c>
      <c r="K29" s="59">
        <f t="shared" si="27"/>
        <v>1.7337076652923813</v>
      </c>
      <c r="L29" s="59">
        <f t="shared" si="27"/>
        <v>0.98219601975961646</v>
      </c>
      <c r="M29" s="59">
        <f t="shared" si="27"/>
        <v>0.84957228452114231</v>
      </c>
      <c r="N29" s="59">
        <f t="shared" si="27"/>
        <v>0.64108647096403004</v>
      </c>
      <c r="O29" s="59">
        <f t="shared" si="27"/>
        <v>0.91546915025855158</v>
      </c>
      <c r="P29" s="59">
        <f t="shared" si="27"/>
        <v>0.98314449102544532</v>
      </c>
      <c r="Q29" s="59">
        <f t="shared" si="27"/>
        <v>0.91516701612572038</v>
      </c>
      <c r="R29" s="59">
        <f t="shared" si="27"/>
        <v>1.0007820890319865</v>
      </c>
      <c r="S29" s="59">
        <f t="shared" si="27"/>
        <v>0.99403699111947275</v>
      </c>
      <c r="T29" s="59">
        <f t="shared" si="27"/>
        <v>0.99410486501477113</v>
      </c>
      <c r="U29" s="59">
        <f t="shared" si="27"/>
        <v>0.71127333189232245</v>
      </c>
      <c r="V29" s="59">
        <f t="shared" si="27"/>
        <v>1.0002033736932845</v>
      </c>
      <c r="W29" s="59">
        <f t="shared" si="27"/>
        <v>1.0007513201010783</v>
      </c>
      <c r="X29" s="59">
        <f t="shared" si="27"/>
        <v>1.0020207283557419</v>
      </c>
      <c r="Y29" s="59">
        <f t="shared" si="27"/>
        <v>0.99984665584256505</v>
      </c>
      <c r="Z29" s="59">
        <f t="shared" si="27"/>
        <v>0.99959328822703009</v>
      </c>
      <c r="AA29" s="59">
        <f t="shared" si="27"/>
        <v>0.99818723232911144</v>
      </c>
      <c r="AB29" s="59">
        <f t="shared" si="27"/>
        <v>1.0064484168700261</v>
      </c>
      <c r="AC29" s="59">
        <f t="shared" si="27"/>
        <v>0.99964053160086863</v>
      </c>
      <c r="AD29" s="59">
        <f t="shared" si="27"/>
        <v>0.99982402365268075</v>
      </c>
      <c r="AE29" s="59">
        <f t="shared" si="27"/>
        <v>0.99815277388122225</v>
      </c>
      <c r="AF29" s="59">
        <f t="shared" si="27"/>
        <v>1.0056143230319783</v>
      </c>
      <c r="AG29" s="59">
        <f t="shared" si="27"/>
        <v>0.99983257796028224</v>
      </c>
      <c r="AH29" s="59">
        <f t="shared" si="27"/>
        <v>0.99652109182298054</v>
      </c>
      <c r="AI29" s="59">
        <f t="shared" si="27"/>
        <v>0.98650094084354845</v>
      </c>
      <c r="AJ29" s="59">
        <f t="shared" si="27"/>
        <v>1.0148063473291333</v>
      </c>
      <c r="AK29" s="59">
        <f t="shared" ref="AK29:BP29" si="28">AK28/AK34</f>
        <v>1.0027159402308172</v>
      </c>
      <c r="AL29" s="59">
        <f t="shared" si="28"/>
        <v>0.9952109853700648</v>
      </c>
      <c r="AM29" s="59">
        <f t="shared" si="28"/>
        <v>0.99364008749283661</v>
      </c>
      <c r="AN29" s="59">
        <f t="shared" si="28"/>
        <v>1.0338607486996167</v>
      </c>
      <c r="AO29" s="59">
        <f t="shared" si="28"/>
        <v>1.0330811679957879</v>
      </c>
      <c r="AP29" s="59">
        <f t="shared" si="28"/>
        <v>1.0530201208034151</v>
      </c>
      <c r="AQ29" s="59">
        <f t="shared" si="28"/>
        <v>0.98375558068063274</v>
      </c>
      <c r="AR29" s="59">
        <f t="shared" si="28"/>
        <v>0.93542812866348424</v>
      </c>
      <c r="AS29" s="59">
        <f t="shared" si="28"/>
        <v>0.98771509676803237</v>
      </c>
      <c r="AT29" s="59">
        <f t="shared" si="28"/>
        <v>0.98731589790856922</v>
      </c>
      <c r="AU29" s="59">
        <f t="shared" si="28"/>
        <v>0.96952690598990898</v>
      </c>
      <c r="AV29" s="59">
        <f t="shared" si="28"/>
        <v>1.1496924083264146</v>
      </c>
      <c r="AW29" s="59">
        <f t="shared" si="28"/>
        <v>0.99833251151865732</v>
      </c>
      <c r="AX29" s="59">
        <f t="shared" si="28"/>
        <v>1.0282946192527918</v>
      </c>
      <c r="AY29" s="59">
        <f t="shared" si="28"/>
        <v>1.0952391891567945</v>
      </c>
      <c r="AZ29" s="59">
        <f t="shared" si="28"/>
        <v>0.99510903327110156</v>
      </c>
      <c r="BA29" s="59">
        <f t="shared" si="28"/>
        <v>1.0183446323263419</v>
      </c>
      <c r="BB29" s="59">
        <f t="shared" si="28"/>
        <v>1.0154347574074252</v>
      </c>
      <c r="BC29" s="59">
        <f t="shared" si="28"/>
        <v>1.084551761215407</v>
      </c>
      <c r="BD29" s="59">
        <f t="shared" si="28"/>
        <v>1.0597190380848798</v>
      </c>
      <c r="BE29" s="59">
        <f t="shared" si="28"/>
        <v>1.0198394950213316</v>
      </c>
      <c r="BF29" s="59">
        <f t="shared" si="28"/>
        <v>1.0101971627814854</v>
      </c>
      <c r="BG29" s="59">
        <f t="shared" si="28"/>
        <v>1.0277145578785274</v>
      </c>
      <c r="BH29" s="59">
        <f t="shared" si="28"/>
        <v>1.0024707335494649</v>
      </c>
      <c r="BI29" s="59">
        <f t="shared" si="28"/>
        <v>0.98028262946825773</v>
      </c>
      <c r="BJ29" s="59" t="e">
        <f t="shared" si="28"/>
        <v>#DIV/0!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-4800953.59</v>
      </c>
      <c r="F30" s="26">
        <f>股权价值增加表!F20</f>
        <v>13943367.460000001</v>
      </c>
      <c r="G30" s="26">
        <f>股权价值增加表!G20</f>
        <v>-6887001.9699999997</v>
      </c>
      <c r="H30" s="26">
        <f>股权价值增加表!H20</f>
        <v>-17274270.48</v>
      </c>
      <c r="I30" s="26">
        <f>股权价值增加表!I20</f>
        <v>-6964367.54</v>
      </c>
      <c r="J30" s="26">
        <f>股权价值增加表!J20</f>
        <v>-2864096.23</v>
      </c>
      <c r="K30" s="26">
        <f>股权价值增加表!K20</f>
        <v>-3597533</v>
      </c>
      <c r="L30" s="26">
        <f>股权价值增加表!L20</f>
        <v>-2917450.58</v>
      </c>
      <c r="M30" s="26">
        <f>股权价值增加表!M20</f>
        <v>3501929.12</v>
      </c>
      <c r="N30" s="26">
        <f>股权价值增加表!N20</f>
        <v>3193509.45</v>
      </c>
      <c r="O30" s="26">
        <f>股权价值增加表!O20</f>
        <v>0</v>
      </c>
      <c r="P30" s="26">
        <f>股权价值增加表!P20</f>
        <v>0</v>
      </c>
      <c r="Q30" s="26">
        <f>股权价值增加表!Q20</f>
        <v>35490.75</v>
      </c>
      <c r="R30" s="26">
        <f>股权价值增加表!R20</f>
        <v>0</v>
      </c>
      <c r="S30" s="26">
        <f>股权价值增加表!S20</f>
        <v>0</v>
      </c>
      <c r="T30" s="26">
        <f>股权价值增加表!T20</f>
        <v>0</v>
      </c>
      <c r="U30" s="26">
        <f>股权价值增加表!U20</f>
        <v>-21413.46</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20072.96</v>
      </c>
      <c r="AF30" s="26">
        <f>股权价值增加表!AF20</f>
        <v>0</v>
      </c>
      <c r="AG30" s="26">
        <f>股权价值增加表!AG20</f>
        <v>5182.87</v>
      </c>
      <c r="AH30" s="26">
        <f>股权价值增加表!AH20</f>
        <v>0</v>
      </c>
      <c r="AI30" s="26">
        <f>股权价值增加表!AI20</f>
        <v>0</v>
      </c>
      <c r="AJ30" s="26">
        <f>股权价值增加表!AJ20</f>
        <v>0</v>
      </c>
      <c r="AK30" s="26">
        <f>股权价值增加表!AK20</f>
        <v>-66558.8</v>
      </c>
      <c r="AL30" s="26">
        <f>股权价值增加表!AL20</f>
        <v>0</v>
      </c>
      <c r="AM30" s="26">
        <f>股权价值增加表!AM20</f>
        <v>0</v>
      </c>
      <c r="AN30" s="26">
        <f>股权价值增加表!AN20</f>
        <v>0</v>
      </c>
      <c r="AO30" s="26">
        <f>股权价值增加表!AO20</f>
        <v>-46594.44</v>
      </c>
      <c r="AP30" s="26">
        <f>股权价值增加表!AP20</f>
        <v>0</v>
      </c>
      <c r="AQ30" s="26">
        <f>股权价值增加表!AQ20</f>
        <v>58437.919999999998</v>
      </c>
      <c r="AR30" s="26">
        <f>股权价值增加表!AR20</f>
        <v>0</v>
      </c>
      <c r="AS30" s="26">
        <f>股权价值增加表!AS20</f>
        <v>382915.55</v>
      </c>
      <c r="AT30" s="26">
        <f>股权价值增加表!AT20</f>
        <v>0</v>
      </c>
      <c r="AU30" s="26">
        <f>股权价值增加表!AU20</f>
        <v>239413.97</v>
      </c>
      <c r="AV30" s="26">
        <f>股权价值增加表!AV20</f>
        <v>0</v>
      </c>
      <c r="AW30" s="26">
        <f>股权价值增加表!AW20</f>
        <v>55520.68</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-4.7921253515575577E-3</v>
      </c>
      <c r="F31" s="59">
        <f t="shared" ref="F31:BQ31" si="30">F30/F34</f>
        <v>3.3484977614676961E-2</v>
      </c>
      <c r="G31" s="59">
        <f t="shared" si="30"/>
        <v>-6.5009946029930571E-2</v>
      </c>
      <c r="H31" s="59">
        <f t="shared" si="30"/>
        <v>0.14617925094916392</v>
      </c>
      <c r="I31" s="59">
        <f t="shared" si="30"/>
        <v>-1.3016403981893968E-2</v>
      </c>
      <c r="J31" s="59">
        <f t="shared" si="30"/>
        <v>-1.5986262232650476E-2</v>
      </c>
      <c r="K31" s="59">
        <f t="shared" si="30"/>
        <v>0.55064433696989368</v>
      </c>
      <c r="L31" s="59">
        <f t="shared" si="30"/>
        <v>1.7803980240383412E-2</v>
      </c>
      <c r="M31" s="59">
        <f t="shared" si="30"/>
        <v>9.3076089951550194E-3</v>
      </c>
      <c r="N31" s="59">
        <f t="shared" si="30"/>
        <v>2.8615100419447596E-2</v>
      </c>
      <c r="O31" s="59">
        <f t="shared" si="30"/>
        <v>0</v>
      </c>
      <c r="P31" s="59">
        <f t="shared" si="30"/>
        <v>0</v>
      </c>
      <c r="Q31" s="59">
        <f t="shared" si="30"/>
        <v>6.0032899536079771E-4</v>
      </c>
      <c r="R31" s="59">
        <f t="shared" si="30"/>
        <v>0</v>
      </c>
      <c r="S31" s="59">
        <f t="shared" si="30"/>
        <v>0</v>
      </c>
      <c r="T31" s="59">
        <f t="shared" si="30"/>
        <v>0</v>
      </c>
      <c r="U31" s="59">
        <f t="shared" si="30"/>
        <v>8.1452470361443501E-4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1.8472261187777036E-3</v>
      </c>
      <c r="AF31" s="59">
        <f t="shared" si="30"/>
        <v>0</v>
      </c>
      <c r="AG31" s="59">
        <f t="shared" si="30"/>
        <v>1.6742203971773683E-4</v>
      </c>
      <c r="AH31" s="59">
        <f t="shared" si="30"/>
        <v>0</v>
      </c>
      <c r="AI31" s="59">
        <f t="shared" si="30"/>
        <v>0</v>
      </c>
      <c r="AJ31" s="59">
        <f t="shared" si="30"/>
        <v>0</v>
      </c>
      <c r="AK31" s="59">
        <f t="shared" si="30"/>
        <v>-2.7159402308171445E-3</v>
      </c>
      <c r="AL31" s="59">
        <f t="shared" si="30"/>
        <v>0</v>
      </c>
      <c r="AM31" s="59">
        <f t="shared" si="30"/>
        <v>0</v>
      </c>
      <c r="AN31" s="59">
        <f t="shared" si="30"/>
        <v>0</v>
      </c>
      <c r="AO31" s="59">
        <f t="shared" si="30"/>
        <v>-2.5504133560079801E-3</v>
      </c>
      <c r="AP31" s="59">
        <f t="shared" si="30"/>
        <v>0</v>
      </c>
      <c r="AQ31" s="59">
        <f t="shared" si="30"/>
        <v>1.6244419319367272E-2</v>
      </c>
      <c r="AR31" s="59">
        <f t="shared" si="30"/>
        <v>0</v>
      </c>
      <c r="AS31" s="59">
        <f t="shared" si="30"/>
        <v>1.2284903231967634E-2</v>
      </c>
      <c r="AT31" s="59">
        <f t="shared" si="30"/>
        <v>0</v>
      </c>
      <c r="AU31" s="59">
        <f t="shared" si="30"/>
        <v>3.0473094010091014E-2</v>
      </c>
      <c r="AV31" s="59">
        <f t="shared" si="30"/>
        <v>0</v>
      </c>
      <c r="AW31" s="59">
        <f t="shared" si="30"/>
        <v>1.6674884813426864E-3</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t="e">
        <f t="shared" si="30"/>
        <v>#DIV/0!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74692528.019999996</v>
      </c>
      <c r="F32" s="26">
        <f>股权价值增加表!F27</f>
        <v>53596404.5</v>
      </c>
      <c r="G32" s="26">
        <f>股权价值增加表!G27</f>
        <v>20981371.98</v>
      </c>
      <c r="H32" s="26">
        <f>股权价值增加表!H27</f>
        <v>3201047.350000001</v>
      </c>
      <c r="I32" s="26">
        <f>股权价值增加表!I27</f>
        <v>47796922.420000002</v>
      </c>
      <c r="J32" s="26">
        <f>股权价值增加表!J27</f>
        <v>15433476.42</v>
      </c>
      <c r="K32" s="26">
        <f>股权价值增加表!K27</f>
        <v>8391076.4199999999</v>
      </c>
      <c r="L32" s="26">
        <f>股权价值增加表!L27</f>
        <v>0</v>
      </c>
      <c r="M32" s="26">
        <f>股权价值增加表!M27</f>
        <v>53095549.090000004</v>
      </c>
      <c r="N32" s="26">
        <f>股权价值增加表!N27</f>
        <v>36862046.18</v>
      </c>
      <c r="O32" s="26">
        <f>股权价值增加表!O27</f>
        <v>510825.22</v>
      </c>
      <c r="P32" s="26">
        <f>股权价值增加表!P27</f>
        <v>24870.81</v>
      </c>
      <c r="Q32" s="26">
        <f>股权价值增加表!Q27</f>
        <v>4979736.3099999996</v>
      </c>
      <c r="R32" s="26">
        <f>股权价值增加表!R27</f>
        <v>-40003.43</v>
      </c>
      <c r="S32" s="26">
        <f>股权价值增加表!S27</f>
        <v>79976.25</v>
      </c>
      <c r="T32" s="26">
        <f>股权价值增加表!T27</f>
        <v>24823.919999999998</v>
      </c>
      <c r="U32" s="26">
        <f>股权价值增加表!U27</f>
        <v>-7569070.8199999994</v>
      </c>
      <c r="V32" s="26">
        <f>股权价值增加表!V27</f>
        <v>-11601.16</v>
      </c>
      <c r="W32" s="26">
        <f>股权价值增加表!W27</f>
        <v>-13976.22</v>
      </c>
      <c r="X32" s="26">
        <f>股权价值增加表!X27</f>
        <v>-16731.95</v>
      </c>
      <c r="Y32" s="26">
        <f>股权价值增加表!Y27</f>
        <v>12574.73</v>
      </c>
      <c r="Z32" s="26">
        <f>股权价值增加表!Z27</f>
        <v>19808.259999999998</v>
      </c>
      <c r="AA32" s="26">
        <f>股权价值增加表!AA27</f>
        <v>22099.75</v>
      </c>
      <c r="AB32" s="26">
        <f>股权价值增加表!AB27</f>
        <v>-41665.65</v>
      </c>
      <c r="AC32" s="26">
        <f>股权价值增加表!AC27</f>
        <v>28836.82</v>
      </c>
      <c r="AD32" s="26">
        <f>股权价值增加表!AD27</f>
        <v>7719.57</v>
      </c>
      <c r="AE32" s="26">
        <f>股权价值增加表!AE27</f>
        <v>0</v>
      </c>
      <c r="AF32" s="26">
        <f>股权价值增加表!AF27</f>
        <v>-33058.81</v>
      </c>
      <c r="AG32" s="26">
        <f>股权价值增加表!AG27</f>
        <v>0</v>
      </c>
      <c r="AH32" s="26">
        <f>股权价值增加表!AH27</f>
        <v>71068.929999999993</v>
      </c>
      <c r="AI32" s="26">
        <f>股权价值增加表!AI27</f>
        <v>78133.38</v>
      </c>
      <c r="AJ32" s="26">
        <f>股权价值增加表!AJ27</f>
        <v>-44974.69</v>
      </c>
      <c r="AK32" s="26">
        <f>股权价值增加表!AK27</f>
        <v>0</v>
      </c>
      <c r="AL32" s="26">
        <f>股权价值增加表!AL27</f>
        <v>70854.25</v>
      </c>
      <c r="AM32" s="26">
        <f>股权价值增加表!AM27</f>
        <v>27931.33</v>
      </c>
      <c r="AN32" s="26">
        <f>股权价值增加表!AN27</f>
        <v>-54569.58</v>
      </c>
      <c r="AO32" s="26">
        <f>股权价值增加表!AO27</f>
        <v>-557777.59000000008</v>
      </c>
      <c r="AP32" s="26">
        <f>股权价值增加表!AP27</f>
        <v>-737826.63</v>
      </c>
      <c r="AQ32" s="26">
        <f>股权价值增加表!AQ27</f>
        <v>0</v>
      </c>
      <c r="AR32" s="26">
        <f>股权价值增加表!AR27</f>
        <v>119748.64</v>
      </c>
      <c r="AS32" s="26">
        <f>股权价值增加表!AS27</f>
        <v>0</v>
      </c>
      <c r="AT32" s="26">
        <f>股权价值增加表!AT27</f>
        <v>325849.77</v>
      </c>
      <c r="AU32" s="26">
        <f>股权价值增加表!AU27</f>
        <v>0</v>
      </c>
      <c r="AV32" s="26">
        <f>股权价值增加表!AV27</f>
        <v>-423850.49</v>
      </c>
      <c r="AW32" s="26">
        <f>股权价值增加表!AW27</f>
        <v>0</v>
      </c>
      <c r="AX32" s="26">
        <f>股权价值增加表!AX27</f>
        <v>-736062.31</v>
      </c>
      <c r="AY32" s="26">
        <f>股权价值增加表!AY27</f>
        <v>-733355.63</v>
      </c>
      <c r="AZ32" s="26">
        <f>股权价值增加表!AZ27</f>
        <v>21520.31</v>
      </c>
      <c r="BA32" s="26">
        <f>股权价值增加表!BA27</f>
        <v>-502573.18</v>
      </c>
      <c r="BB32" s="26">
        <f>股权价值增加表!BB27</f>
        <v>-309881.87</v>
      </c>
      <c r="BC32" s="26">
        <f>股权价值增加表!BC27</f>
        <v>-338013.04</v>
      </c>
      <c r="BD32" s="26">
        <f>股权价值增加表!BD27</f>
        <v>-169296.41</v>
      </c>
      <c r="BE32" s="26">
        <f>股权价值增加表!BE27</f>
        <v>-554236.79</v>
      </c>
      <c r="BF32" s="26">
        <f>股权价值增加表!BF27</f>
        <v>-179478.72</v>
      </c>
      <c r="BG32" s="26">
        <f>股权价值增加表!BG27</f>
        <v>-108290.09</v>
      </c>
      <c r="BH32" s="26">
        <f>股权价值增加表!BH27</f>
        <v>-66889.25</v>
      </c>
      <c r="BI32" s="26">
        <f>股权价值增加表!BI27</f>
        <v>372953.52</v>
      </c>
      <c r="BJ32" s="26">
        <f>股权价值增加表!BJ27</f>
        <v>0</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7.455517958809621E-2</v>
      </c>
      <c r="F33" s="59">
        <f t="shared" ref="F33:BQ33" si="32">F32/F34</f>
        <v>0.12871169106445332</v>
      </c>
      <c r="G33" s="59">
        <f t="shared" si="32"/>
        <v>0.19805393783758385</v>
      </c>
      <c r="H33" s="59">
        <f t="shared" si="32"/>
        <v>-2.708807323687375E-2</v>
      </c>
      <c r="I33" s="59">
        <f t="shared" si="32"/>
        <v>8.9332455206688463E-2</v>
      </c>
      <c r="J33" s="59">
        <f t="shared" si="32"/>
        <v>8.6143614389502424E-2</v>
      </c>
      <c r="K33" s="59">
        <f t="shared" si="32"/>
        <v>-1.284352002262275</v>
      </c>
      <c r="L33" s="59">
        <f t="shared" si="32"/>
        <v>0</v>
      </c>
      <c r="M33" s="59">
        <f t="shared" si="32"/>
        <v>0.1411201064837026</v>
      </c>
      <c r="N33" s="59">
        <f t="shared" si="32"/>
        <v>0.33029842861652237</v>
      </c>
      <c r="O33" s="59">
        <f t="shared" si="32"/>
        <v>8.4530849741448505E-2</v>
      </c>
      <c r="P33" s="59">
        <f t="shared" si="32"/>
        <v>1.6855508974554675E-2</v>
      </c>
      <c r="Q33" s="59">
        <f t="shared" si="32"/>
        <v>8.4232654878918747E-2</v>
      </c>
      <c r="R33" s="59">
        <f t="shared" si="32"/>
        <v>-7.8208903198643284E-4</v>
      </c>
      <c r="S33" s="59">
        <f t="shared" si="32"/>
        <v>5.9630088805272662E-3</v>
      </c>
      <c r="T33" s="59">
        <f t="shared" si="32"/>
        <v>5.8951349852287482E-3</v>
      </c>
      <c r="U33" s="59">
        <f t="shared" si="32"/>
        <v>0.28791214340406307</v>
      </c>
      <c r="V33" s="59">
        <f t="shared" si="32"/>
        <v>-2.0337369328449832E-4</v>
      </c>
      <c r="W33" s="59">
        <f t="shared" si="32"/>
        <v>-7.5132010107833644E-4</v>
      </c>
      <c r="X33" s="59">
        <f t="shared" si="32"/>
        <v>-2.0207283557417423E-3</v>
      </c>
      <c r="Y33" s="59">
        <f t="shared" si="32"/>
        <v>1.5334415743493702E-4</v>
      </c>
      <c r="Z33" s="59">
        <f t="shared" si="32"/>
        <v>4.0671177296996671E-4</v>
      </c>
      <c r="AA33" s="59">
        <f t="shared" si="32"/>
        <v>1.8127676708885362E-3</v>
      </c>
      <c r="AB33" s="59">
        <f t="shared" si="32"/>
        <v>-6.4484168700260696E-3</v>
      </c>
      <c r="AC33" s="59">
        <f t="shared" si="32"/>
        <v>3.5946839913148887E-4</v>
      </c>
      <c r="AD33" s="59">
        <f t="shared" si="32"/>
        <v>1.7597634731923858E-4</v>
      </c>
      <c r="AE33" s="59">
        <f t="shared" si="32"/>
        <v>0</v>
      </c>
      <c r="AF33" s="59">
        <f t="shared" si="32"/>
        <v>-5.6143230319783471E-3</v>
      </c>
      <c r="AG33" s="59">
        <f t="shared" si="32"/>
        <v>0</v>
      </c>
      <c r="AH33" s="59">
        <f t="shared" si="32"/>
        <v>3.4789081770195268E-3</v>
      </c>
      <c r="AI33" s="59">
        <f t="shared" si="32"/>
        <v>1.349905915645159E-2</v>
      </c>
      <c r="AJ33" s="59">
        <f t="shared" si="32"/>
        <v>-1.4806347329133263E-2</v>
      </c>
      <c r="AK33" s="59">
        <f t="shared" si="32"/>
        <v>0</v>
      </c>
      <c r="AL33" s="59">
        <f t="shared" si="32"/>
        <v>4.7890146299352111E-3</v>
      </c>
      <c r="AM33" s="59">
        <f t="shared" si="32"/>
        <v>6.3599125071633648E-3</v>
      </c>
      <c r="AN33" s="59">
        <f t="shared" si="32"/>
        <v>-3.3860748699616673E-2</v>
      </c>
      <c r="AO33" s="59">
        <f t="shared" si="32"/>
        <v>-3.053075463977984E-2</v>
      </c>
      <c r="AP33" s="59">
        <f t="shared" si="32"/>
        <v>-5.3020120803415137E-2</v>
      </c>
      <c r="AQ33" s="59">
        <f t="shared" si="32"/>
        <v>0</v>
      </c>
      <c r="AR33" s="59">
        <f t="shared" si="32"/>
        <v>6.457187133651579E-2</v>
      </c>
      <c r="AS33" s="59">
        <f t="shared" si="32"/>
        <v>0</v>
      </c>
      <c r="AT33" s="59">
        <f t="shared" si="32"/>
        <v>1.2684102091430779E-2</v>
      </c>
      <c r="AU33" s="59">
        <f t="shared" si="32"/>
        <v>0</v>
      </c>
      <c r="AV33" s="59">
        <f t="shared" si="32"/>
        <v>-0.14969240832641467</v>
      </c>
      <c r="AW33" s="59">
        <f t="shared" si="32"/>
        <v>0</v>
      </c>
      <c r="AX33" s="59">
        <f t="shared" si="32"/>
        <v>-2.8294619252791916E-2</v>
      </c>
      <c r="AY33" s="59">
        <f t="shared" si="32"/>
        <v>-9.5239189156794468E-2</v>
      </c>
      <c r="AZ33" s="59">
        <f t="shared" si="32"/>
        <v>4.890966728898557E-3</v>
      </c>
      <c r="BA33" s="59">
        <f t="shared" si="32"/>
        <v>-1.8344632326341807E-2</v>
      </c>
      <c r="BB33" s="59">
        <f t="shared" si="32"/>
        <v>-1.5434757407425125E-2</v>
      </c>
      <c r="BC33" s="59">
        <f t="shared" si="32"/>
        <v>-8.4551761215406918E-2</v>
      </c>
      <c r="BD33" s="59">
        <f t="shared" si="32"/>
        <v>-5.9719038084879786E-2</v>
      </c>
      <c r="BE33" s="59">
        <f t="shared" si="32"/>
        <v>-1.9839495021331768E-2</v>
      </c>
      <c r="BF33" s="59">
        <f t="shared" si="32"/>
        <v>-1.019716278148554E-2</v>
      </c>
      <c r="BG33" s="59">
        <f t="shared" si="32"/>
        <v>-2.7714557878527502E-2</v>
      </c>
      <c r="BH33" s="59">
        <f t="shared" si="32"/>
        <v>-2.4707335494648223E-3</v>
      </c>
      <c r="BI33" s="59">
        <f t="shared" si="32"/>
        <v>1.9717370531742315E-2</v>
      </c>
      <c r="BJ33" s="59" t="e">
        <f t="shared" si="32"/>
        <v>#DIV/0!</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1001842238.6300001</v>
      </c>
      <c r="F34" s="58">
        <f>股权价值增加表!F31</f>
        <v>416406653.16999996</v>
      </c>
      <c r="G34" s="58">
        <f>股权价值增加表!G31</f>
        <v>105937666.3200001</v>
      </c>
      <c r="H34" s="58">
        <f>股权价值增加表!H31</f>
        <v>-118171836.07000007</v>
      </c>
      <c r="I34" s="58">
        <f>股权价值增加表!I31</f>
        <v>535045435.71999991</v>
      </c>
      <c r="J34" s="58">
        <f>股权价值增加表!J31</f>
        <v>179159842.89000002</v>
      </c>
      <c r="K34" s="58">
        <f>股权价值增加表!K31</f>
        <v>-6533315.1700000037</v>
      </c>
      <c r="L34" s="58">
        <f>股权价值增加表!L31</f>
        <v>-163865076.26999998</v>
      </c>
      <c r="M34" s="58">
        <f>股权价值增加表!M31</f>
        <v>376243686.40999997</v>
      </c>
      <c r="N34" s="58">
        <f>股权价值增加表!N31</f>
        <v>111602245.07999995</v>
      </c>
      <c r="O34" s="58">
        <f>股权价值增加表!O31</f>
        <v>6043062.6399999866</v>
      </c>
      <c r="P34" s="58">
        <f>股权价值增加表!P31</f>
        <v>1475530.0499999935</v>
      </c>
      <c r="Q34" s="58">
        <f>股权价值增加表!Q31</f>
        <v>59118833.629999936</v>
      </c>
      <c r="R34" s="58">
        <f>股权价值增加表!R31</f>
        <v>51149457.879999973</v>
      </c>
      <c r="S34" s="58">
        <f>股权价值增加表!S31</f>
        <v>13412062.869999997</v>
      </c>
      <c r="T34" s="58">
        <f>股权价值增加表!T31</f>
        <v>4210916.3000000007</v>
      </c>
      <c r="U34" s="58">
        <f>股权价值增加表!U31</f>
        <v>-26289515.719999962</v>
      </c>
      <c r="V34" s="58">
        <f>股权价值增加表!V31</f>
        <v>57043562.579999968</v>
      </c>
      <c r="W34" s="58">
        <f>股权价值增加表!W31</f>
        <v>18602217.589999989</v>
      </c>
      <c r="X34" s="58">
        <f>股权价值增加表!X31</f>
        <v>8280157.9700000081</v>
      </c>
      <c r="Y34" s="58">
        <f>股权价值增加表!Y31</f>
        <v>82003319.920000076</v>
      </c>
      <c r="Z34" s="58">
        <f>股权价值增加表!Z31</f>
        <v>48703434.020000011</v>
      </c>
      <c r="AA34" s="58">
        <f>股权价值增加表!AA31</f>
        <v>12191165.120000022</v>
      </c>
      <c r="AB34" s="58">
        <f>股权价值增加表!AB31</f>
        <v>6461376.6199999964</v>
      </c>
      <c r="AC34" s="58">
        <f>股权价值增加表!AC31</f>
        <v>80220737.26000005</v>
      </c>
      <c r="AD34" s="58">
        <f>股权价值增加表!AD31</f>
        <v>43867088.489999928</v>
      </c>
      <c r="AE34" s="58">
        <f>股权价值增加表!AE31</f>
        <v>10866541.889999982</v>
      </c>
      <c r="AF34" s="58">
        <f>股权价值增加表!AF31</f>
        <v>5888298.5199999968</v>
      </c>
      <c r="AG34" s="58">
        <f>股权价值增加表!AG31</f>
        <v>30956915.88000001</v>
      </c>
      <c r="AH34" s="58">
        <f>股权价值增加表!AH31</f>
        <v>20428515.609999985</v>
      </c>
      <c r="AI34" s="58">
        <f>股权价值增加表!AI31</f>
        <v>5788061.1600000141</v>
      </c>
      <c r="AJ34" s="58">
        <f>股权价值增加表!AJ31</f>
        <v>3037527.6900000116</v>
      </c>
      <c r="AK34" s="58">
        <f>股权价值增加表!AK31</f>
        <v>24506724.869999982</v>
      </c>
      <c r="AL34" s="58">
        <f>股权价值增加表!AL31</f>
        <v>14795162.570000034</v>
      </c>
      <c r="AM34" s="58">
        <f>股权价值增加表!AM31</f>
        <v>4391778.9699999942</v>
      </c>
      <c r="AN34" s="58">
        <f>股权价值增加表!AN31</f>
        <v>1611588.1099999943</v>
      </c>
      <c r="AO34" s="58">
        <f>股权价值增加表!AO31</f>
        <v>18269367.940000001</v>
      </c>
      <c r="AP34" s="58">
        <f>股权价值增加表!AP31</f>
        <v>13915974.13999998</v>
      </c>
      <c r="AQ34" s="58">
        <f>股权价值增加表!AQ31</f>
        <v>3597415.1399999801</v>
      </c>
      <c r="AR34" s="58">
        <f>股权价值增加表!AR31</f>
        <v>1854501.6199999985</v>
      </c>
      <c r="AS34" s="58">
        <f>股权价值增加表!AS31</f>
        <v>31169602.459999971</v>
      </c>
      <c r="AT34" s="58">
        <f>股权价值增加表!AT31</f>
        <v>25689620.569999989</v>
      </c>
      <c r="AU34" s="58">
        <f>股权价值增加表!AU31</f>
        <v>7856569.1400000034</v>
      </c>
      <c r="AV34" s="58">
        <f>股权价值增加表!AV31</f>
        <v>2831476.1899999939</v>
      </c>
      <c r="AW34" s="58">
        <f>股权价值增加表!AW31</f>
        <v>33295990.120000064</v>
      </c>
      <c r="AX34" s="58">
        <f>股权价值增加表!AX31</f>
        <v>26014215.050000031</v>
      </c>
      <c r="AY34" s="58">
        <f>股权价值增加表!AY31</f>
        <v>7700145.6699999804</v>
      </c>
      <c r="AZ34" s="58">
        <f>股权价值增加表!AZ31</f>
        <v>4400011.5299999928</v>
      </c>
      <c r="BA34" s="58">
        <f>股权价值增加表!BA31</f>
        <v>27396198.030000012</v>
      </c>
      <c r="BB34" s="58">
        <f>股权价值增加表!BB31</f>
        <v>20076886.330000017</v>
      </c>
      <c r="BC34" s="58">
        <f>股权价值增加表!BC31</f>
        <v>3997705.4899999844</v>
      </c>
      <c r="BD34" s="58">
        <f>股权价值增加表!BD31</f>
        <v>2834881.7300000018</v>
      </c>
      <c r="BE34" s="58">
        <f>股权价值增加表!BE31</f>
        <v>27936033.120000035</v>
      </c>
      <c r="BF34" s="58">
        <f>股权价值增加表!BF31</f>
        <v>17600848.770000044</v>
      </c>
      <c r="BG34" s="58">
        <f>股权价值增加表!BG31</f>
        <v>3907336.01000001</v>
      </c>
      <c r="BH34" s="58">
        <f>股权价值增加表!BH31</f>
        <v>27072627.889999982</v>
      </c>
      <c r="BI34" s="58">
        <f>股权价值增加表!BI31</f>
        <v>18914972.429999985</v>
      </c>
      <c r="BJ34" s="58">
        <f>股权价值增加表!BJ31</f>
        <v>0</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676</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37621</v>
      </c>
      <c r="BJ38" s="1">
        <v>25569</v>
      </c>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1001842238.6300001</v>
      </c>
      <c r="F39" s="26">
        <f>股权价值增加表!F31</f>
        <v>416406653.16999996</v>
      </c>
      <c r="G39" s="26">
        <f>股权价值增加表!G31</f>
        <v>105937666.3200001</v>
      </c>
      <c r="H39" s="26">
        <f>股权价值增加表!H31</f>
        <v>-118171836.07000007</v>
      </c>
      <c r="I39" s="26">
        <f>股权价值增加表!I31</f>
        <v>535045435.71999991</v>
      </c>
      <c r="J39" s="26">
        <f>股权价值增加表!J31</f>
        <v>179159842.89000002</v>
      </c>
      <c r="K39" s="26">
        <f>股权价值增加表!K31</f>
        <v>-6533315.1700000037</v>
      </c>
      <c r="L39" s="26">
        <f>股权价值增加表!L31</f>
        <v>-163865076.26999998</v>
      </c>
      <c r="M39" s="26">
        <f>股权价值增加表!M31</f>
        <v>376243686.40999997</v>
      </c>
      <c r="N39" s="26">
        <f>股权价值增加表!N31</f>
        <v>111602245.07999995</v>
      </c>
      <c r="O39" s="26">
        <f>股权价值增加表!O31</f>
        <v>6043062.6399999866</v>
      </c>
      <c r="P39" s="26">
        <f>股权价值增加表!P31</f>
        <v>1475530.0499999935</v>
      </c>
      <c r="Q39" s="26">
        <f>股权价值增加表!Q31</f>
        <v>59118833.629999936</v>
      </c>
      <c r="R39" s="26">
        <f>股权价值增加表!R31</f>
        <v>51149457.879999973</v>
      </c>
      <c r="S39" s="26">
        <f>股权价值增加表!S31</f>
        <v>13412062.869999997</v>
      </c>
      <c r="T39" s="26">
        <f>股权价值增加表!T31</f>
        <v>4210916.3000000007</v>
      </c>
      <c r="U39" s="26">
        <f>股权价值增加表!U31</f>
        <v>-26289515.719999962</v>
      </c>
      <c r="V39" s="26">
        <f>股权价值增加表!V31</f>
        <v>57043562.579999968</v>
      </c>
      <c r="W39" s="26">
        <f>股权价值增加表!W31</f>
        <v>18602217.589999989</v>
      </c>
      <c r="X39" s="26">
        <f>股权价值增加表!X31</f>
        <v>8280157.9700000081</v>
      </c>
      <c r="Y39" s="26">
        <f>股权价值增加表!Y31</f>
        <v>82003319.920000076</v>
      </c>
      <c r="Z39" s="26">
        <f>股权价值增加表!Z31</f>
        <v>48703434.020000011</v>
      </c>
      <c r="AA39" s="26">
        <f>股权价值增加表!AA31</f>
        <v>12191165.120000022</v>
      </c>
      <c r="AB39" s="26">
        <f>股权价值增加表!AB31</f>
        <v>6461376.6199999964</v>
      </c>
      <c r="AC39" s="26">
        <f>股权价值增加表!AC31</f>
        <v>80220737.26000005</v>
      </c>
      <c r="AD39" s="26">
        <f>股权价值增加表!AD31</f>
        <v>43867088.489999928</v>
      </c>
      <c r="AE39" s="26">
        <f>股权价值增加表!AE31</f>
        <v>10866541.889999982</v>
      </c>
      <c r="AF39" s="26">
        <f>股权价值增加表!AF31</f>
        <v>5888298.5199999968</v>
      </c>
      <c r="AG39" s="26">
        <f>股权价值增加表!AG31</f>
        <v>30956915.88000001</v>
      </c>
      <c r="AH39" s="26">
        <f>股权价值增加表!AH31</f>
        <v>20428515.609999985</v>
      </c>
      <c r="AI39" s="26">
        <f>股权价值增加表!AI31</f>
        <v>5788061.1600000141</v>
      </c>
      <c r="AJ39" s="26">
        <f>股权价值增加表!AJ31</f>
        <v>3037527.6900000116</v>
      </c>
      <c r="AK39" s="26">
        <f>股权价值增加表!AK31</f>
        <v>24506724.869999982</v>
      </c>
      <c r="AL39" s="26">
        <f>股权价值增加表!AL31</f>
        <v>14795162.570000034</v>
      </c>
      <c r="AM39" s="26">
        <f>股权价值增加表!AM31</f>
        <v>4391778.9699999942</v>
      </c>
      <c r="AN39" s="26">
        <f>股权价值增加表!AN31</f>
        <v>1611588.1099999943</v>
      </c>
      <c r="AO39" s="26">
        <f>股权价值增加表!AO31</f>
        <v>18269367.940000001</v>
      </c>
      <c r="AP39" s="26">
        <f>股权价值增加表!AP31</f>
        <v>13915974.13999998</v>
      </c>
      <c r="AQ39" s="26">
        <f>股权价值增加表!AQ31</f>
        <v>3597415.1399999801</v>
      </c>
      <c r="AR39" s="26">
        <f>股权价值增加表!AR31</f>
        <v>1854501.6199999985</v>
      </c>
      <c r="AS39" s="26">
        <f>股权价值增加表!AS31</f>
        <v>31169602.459999971</v>
      </c>
      <c r="AT39" s="26">
        <f>股权价值增加表!AT31</f>
        <v>25689620.569999989</v>
      </c>
      <c r="AU39" s="26">
        <f>股权价值增加表!AU31</f>
        <v>7856569.1400000034</v>
      </c>
      <c r="AV39" s="26">
        <f>股权价值增加表!AV31</f>
        <v>2831476.1899999939</v>
      </c>
      <c r="AW39" s="26">
        <f>股权价值增加表!AW31</f>
        <v>33295990.120000064</v>
      </c>
      <c r="AX39" s="26">
        <f>股权价值增加表!AX31</f>
        <v>26014215.050000031</v>
      </c>
      <c r="AY39" s="26">
        <f>股权价值增加表!AY31</f>
        <v>7700145.6699999804</v>
      </c>
      <c r="AZ39" s="26">
        <f>股权价值增加表!AZ31</f>
        <v>4400011.5299999928</v>
      </c>
      <c r="BA39" s="26">
        <f>股权价值增加表!BA31</f>
        <v>27396198.030000012</v>
      </c>
      <c r="BB39" s="26">
        <f>股权价值增加表!BB31</f>
        <v>20076886.330000017</v>
      </c>
      <c r="BC39" s="26">
        <f>股权价值增加表!BC31</f>
        <v>3997705.4899999844</v>
      </c>
      <c r="BD39" s="26">
        <f>股权价值增加表!BD31</f>
        <v>2834881.7300000018</v>
      </c>
      <c r="BE39" s="26">
        <f>股权价值增加表!BE31</f>
        <v>27936033.120000035</v>
      </c>
      <c r="BF39" s="26">
        <f>股权价值增加表!BF31</f>
        <v>17600848.770000044</v>
      </c>
      <c r="BG39" s="26">
        <f>股权价值增加表!BG31</f>
        <v>3907336.01000001</v>
      </c>
      <c r="BH39" s="26">
        <f>股权价值增加表!BH31</f>
        <v>27072627.889999982</v>
      </c>
      <c r="BI39" s="26">
        <f>股权价值增加表!BI31</f>
        <v>18914972.429999985</v>
      </c>
      <c r="BJ39" s="26">
        <f>股权价值增加表!BJ31</f>
        <v>0</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880072598.44000006</v>
      </c>
      <c r="F40" s="26">
        <f>股权价值增加表!F38</f>
        <v>342609077.48999995</v>
      </c>
      <c r="G40" s="26">
        <f>股权价值增加表!G38</f>
        <v>63280368.890000097</v>
      </c>
      <c r="H40" s="26">
        <f>股权价值增加表!H38</f>
        <v>-135381394.65000007</v>
      </c>
      <c r="I40" s="26">
        <f>股权价值增加表!I38</f>
        <v>487956152.1099999</v>
      </c>
      <c r="J40" s="26">
        <f>股权价值增加表!J38</f>
        <v>153808508.98000002</v>
      </c>
      <c r="K40" s="26">
        <f>股权价值增加表!K38</f>
        <v>-21440740.510000005</v>
      </c>
      <c r="L40" s="26">
        <f>股权价值增加表!L38</f>
        <v>-171430981.76999998</v>
      </c>
      <c r="M40" s="26">
        <f>股权价值增加表!M38</f>
        <v>353304237.94999999</v>
      </c>
      <c r="N40" s="26">
        <f>股权价值增加表!N38</f>
        <v>98709172.259999961</v>
      </c>
      <c r="O40" s="26">
        <f>股权价值增加表!O38</f>
        <v>6324515.4299999867</v>
      </c>
      <c r="P40" s="26">
        <f>股权价值增加表!P38</f>
        <v>2118355.5399999935</v>
      </c>
      <c r="Q40" s="26">
        <f>股权价值增加表!Q38</f>
        <v>48702076.449999936</v>
      </c>
      <c r="R40" s="26">
        <f>股权价值增加表!R38</f>
        <v>43678157.99999997</v>
      </c>
      <c r="S40" s="26">
        <f>股权价值增加表!S38</f>
        <v>8433810.4499999974</v>
      </c>
      <c r="T40" s="26">
        <f>股权价值增加表!T38</f>
        <v>2279998.4500000007</v>
      </c>
      <c r="U40" s="26">
        <f>股权价值增加表!U38</f>
        <v>-39573446.349999964</v>
      </c>
      <c r="V40" s="26">
        <f>股权价值增加表!V38</f>
        <v>50023994.869999968</v>
      </c>
      <c r="W40" s="26">
        <f>股权价值增加表!W38</f>
        <v>12889637.079999989</v>
      </c>
      <c r="X40" s="26">
        <f>股权价值增加表!X38</f>
        <v>6538346.1100000078</v>
      </c>
      <c r="Y40" s="26">
        <f>股权价值增加表!Y38</f>
        <v>81084769.580000073</v>
      </c>
      <c r="Z40" s="26">
        <f>股权价值增加表!Z38</f>
        <v>50450214.100000009</v>
      </c>
      <c r="AA40" s="26">
        <f>股权价值增加表!AA38</f>
        <v>13265464.540000021</v>
      </c>
      <c r="AB40" s="26">
        <f>股权价值增加表!AB38</f>
        <v>7150655.2099999962</v>
      </c>
      <c r="AC40" s="26">
        <f>股权价值增加表!AC38</f>
        <v>79020280.570000052</v>
      </c>
      <c r="AD40" s="26">
        <f>股权价值增加表!AD38</f>
        <v>42797885.429999925</v>
      </c>
      <c r="AE40" s="26">
        <f>股权价值增加表!AE38</f>
        <v>11097446.079999981</v>
      </c>
      <c r="AF40" s="26">
        <f>股权价值增加表!AF38</f>
        <v>6668624.549999997</v>
      </c>
      <c r="AG40" s="26">
        <f>股权价值增加表!AG38</f>
        <v>32387201.030000009</v>
      </c>
      <c r="AH40" s="26">
        <f>股权价值增加表!AH38</f>
        <v>22544743.849999987</v>
      </c>
      <c r="AI40" s="26">
        <f>股权价值增加表!AI38</f>
        <v>7734837.4400000144</v>
      </c>
      <c r="AJ40" s="26">
        <f>股权价值增加表!AJ38</f>
        <v>5199181.760000011</v>
      </c>
      <c r="AK40" s="26">
        <f>股权价值增加表!AK38</f>
        <v>28814408.339999981</v>
      </c>
      <c r="AL40" s="26">
        <f>股权价值增加表!AL38</f>
        <v>19159666.850000035</v>
      </c>
      <c r="AM40" s="26">
        <f>股权价值增加表!AM38</f>
        <v>7096937.5499999942</v>
      </c>
      <c r="AN40" s="26">
        <f>股权价值增加表!AN38</f>
        <v>4351484.099999994</v>
      </c>
      <c r="AO40" s="26">
        <f>股权价值增加表!AO38</f>
        <v>19418431.359999999</v>
      </c>
      <c r="AP40" s="26">
        <f>股权价值增加表!AP38</f>
        <v>15812428.31999998</v>
      </c>
      <c r="AQ40" s="26">
        <f>股权价值增加表!AQ38</f>
        <v>5548913.5099999802</v>
      </c>
      <c r="AR40" s="26">
        <f>股权价值增加表!AR38</f>
        <v>3805904.3699999982</v>
      </c>
      <c r="AS40" s="26">
        <f>股权价值增加表!AS38</f>
        <v>32774498.059999973</v>
      </c>
      <c r="AT40" s="26">
        <f>股权价值增加表!AT38</f>
        <v>27396244.929999989</v>
      </c>
      <c r="AU40" s="26">
        <f>股权价值增加表!AU38</f>
        <v>9516650.2100000028</v>
      </c>
      <c r="AV40" s="26">
        <f>股权价值增加表!AV38</f>
        <v>5366646.8799999934</v>
      </c>
      <c r="AW40" s="26">
        <f>股权价值增加表!AW38</f>
        <v>33291667.220000066</v>
      </c>
      <c r="AX40" s="26">
        <f>股权价值增加表!AX38</f>
        <v>26702009.600000031</v>
      </c>
      <c r="AY40" s="26">
        <f>股权价值增加表!AY38</f>
        <v>8159785.1699999804</v>
      </c>
      <c r="AZ40" s="26">
        <f>股权价值增加表!AZ38</f>
        <v>4390578.6499999929</v>
      </c>
      <c r="BA40" s="26">
        <f>股权价值增加表!BA38</f>
        <v>28035491.570000011</v>
      </c>
      <c r="BB40" s="26">
        <f>股权价值增加表!BB38</f>
        <v>20000901.960000016</v>
      </c>
      <c r="BC40" s="26">
        <f>股权价值增加表!BC38</f>
        <v>4123633.6299999845</v>
      </c>
      <c r="BD40" s="26">
        <f>股权价值增加表!BD38</f>
        <v>2803530.4200000018</v>
      </c>
      <c r="BE40" s="26">
        <f>股权价值增加表!BE38</f>
        <v>27514081.450000033</v>
      </c>
      <c r="BF40" s="26">
        <f>股权价值增加表!BF38</f>
        <v>17258725.890000045</v>
      </c>
      <c r="BG40" s="26">
        <f>股权价值增加表!BG38</f>
        <v>3698980.1600000099</v>
      </c>
      <c r="BH40" s="26">
        <f>股权价值增加表!BH38</f>
        <v>27398187.87999998</v>
      </c>
      <c r="BI40" s="26">
        <f>股权价值增加表!BI38</f>
        <v>22132629.209999986</v>
      </c>
      <c r="BJ40" s="26">
        <f>股权价值增加表!BJ38</f>
        <v>0</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0.12154572396200591</v>
      </c>
      <c r="F41" s="59">
        <f t="shared" ref="F41:BQ41" si="34">1-F40/F39</f>
        <v>0.1772247756326597</v>
      </c>
      <c r="G41" s="59">
        <f t="shared" si="34"/>
        <v>0.4026641223259293</v>
      </c>
      <c r="H41" s="59">
        <f t="shared" si="34"/>
        <v>-0.14563164246517912</v>
      </c>
      <c r="I41" s="59">
        <f t="shared" si="34"/>
        <v>8.8009878164146738E-2</v>
      </c>
      <c r="J41" s="59">
        <f t="shared" si="34"/>
        <v>0.14150120641468256</v>
      </c>
      <c r="K41" s="59">
        <f t="shared" si="34"/>
        <v>-2.2817551200426771</v>
      </c>
      <c r="L41" s="59">
        <f t="shared" si="34"/>
        <v>-4.6171555722670732E-2</v>
      </c>
      <c r="M41" s="59">
        <f t="shared" si="34"/>
        <v>6.0969656870208389E-2</v>
      </c>
      <c r="N41" s="59">
        <f t="shared" si="34"/>
        <v>0.11552700226377921</v>
      </c>
      <c r="O41" s="59">
        <f t="shared" si="34"/>
        <v>-4.6574527978085145E-2</v>
      </c>
      <c r="P41" s="59">
        <f t="shared" si="34"/>
        <v>-0.43565733547751395</v>
      </c>
      <c r="Q41" s="59">
        <f t="shared" si="34"/>
        <v>0.17620031621723342</v>
      </c>
      <c r="R41" s="59">
        <f t="shared" si="34"/>
        <v>0.14606801693828642</v>
      </c>
      <c r="S41" s="59">
        <f t="shared" si="34"/>
        <v>0.37117723561640303</v>
      </c>
      <c r="T41" s="59">
        <f t="shared" si="34"/>
        <v>0.45855051785284828</v>
      </c>
      <c r="U41" s="59">
        <f t="shared" si="34"/>
        <v>-0.50529385065446997</v>
      </c>
      <c r="V41" s="59">
        <f t="shared" si="34"/>
        <v>0.12305626423937854</v>
      </c>
      <c r="W41" s="59">
        <f t="shared" si="34"/>
        <v>0.3070913713573008</v>
      </c>
      <c r="X41" s="59">
        <f t="shared" si="34"/>
        <v>0.21035973785896245</v>
      </c>
      <c r="Y41" s="59">
        <f t="shared" si="34"/>
        <v>1.1201379906278341E-2</v>
      </c>
      <c r="Z41" s="59">
        <f t="shared" si="34"/>
        <v>-3.5865645105901178E-2</v>
      </c>
      <c r="AA41" s="59">
        <f t="shared" si="34"/>
        <v>-8.8121144240559612E-2</v>
      </c>
      <c r="AB41" s="59">
        <f t="shared" si="34"/>
        <v>-0.10667673942213263</v>
      </c>
      <c r="AC41" s="59">
        <f t="shared" si="34"/>
        <v>1.4964418565604154E-2</v>
      </c>
      <c r="AD41" s="59">
        <f t="shared" si="34"/>
        <v>2.437369556093838E-2</v>
      </c>
      <c r="AE41" s="59">
        <f t="shared" si="34"/>
        <v>-2.1249095833559606E-2</v>
      </c>
      <c r="AF41" s="59">
        <f t="shared" si="34"/>
        <v>-0.13252147922690583</v>
      </c>
      <c r="AG41" s="59">
        <f t="shared" si="34"/>
        <v>-4.6202443277757022E-2</v>
      </c>
      <c r="AH41" s="59">
        <f t="shared" si="34"/>
        <v>-0.10359187521995405</v>
      </c>
      <c r="AI41" s="59">
        <f t="shared" si="34"/>
        <v>-0.33634341901114184</v>
      </c>
      <c r="AJ41" s="59">
        <f t="shared" si="34"/>
        <v>-0.71164917347633838</v>
      </c>
      <c r="AK41" s="59">
        <f t="shared" si="34"/>
        <v>-0.17577556743509493</v>
      </c>
      <c r="AL41" s="59">
        <f t="shared" si="34"/>
        <v>-0.29499535806722754</v>
      </c>
      <c r="AM41" s="59">
        <f t="shared" si="34"/>
        <v>-0.61595963696688583</v>
      </c>
      <c r="AN41" s="59">
        <f t="shared" si="34"/>
        <v>-1.7001217451275497</v>
      </c>
      <c r="AO41" s="59">
        <f t="shared" si="34"/>
        <v>-6.2895630750540166E-2</v>
      </c>
      <c r="AP41" s="59">
        <f t="shared" si="34"/>
        <v>-0.1362789382130889</v>
      </c>
      <c r="AQ41" s="59">
        <f t="shared" si="34"/>
        <v>-0.54247238476902915</v>
      </c>
      <c r="AR41" s="59">
        <f t="shared" si="34"/>
        <v>-1.0522518443526629</v>
      </c>
      <c r="AS41" s="59">
        <f t="shared" si="34"/>
        <v>-5.1489126371103699E-2</v>
      </c>
      <c r="AT41" s="59">
        <f t="shared" si="34"/>
        <v>-6.6432447118077498E-2</v>
      </c>
      <c r="AU41" s="59">
        <f t="shared" si="34"/>
        <v>-0.21129847397995394</v>
      </c>
      <c r="AV41" s="59">
        <f t="shared" si="34"/>
        <v>-0.89535299606386753</v>
      </c>
      <c r="AW41" s="59">
        <f t="shared" si="34"/>
        <v>1.2983245082720529E-4</v>
      </c>
      <c r="AX41" s="59">
        <f t="shared" si="34"/>
        <v>-2.6439181373646647E-2</v>
      </c>
      <c r="AY41" s="59">
        <f t="shared" si="34"/>
        <v>-5.9692312288424754E-2</v>
      </c>
      <c r="AZ41" s="59">
        <f t="shared" si="34"/>
        <v>2.1438307458253592E-3</v>
      </c>
      <c r="BA41" s="59">
        <f t="shared" si="34"/>
        <v>-2.3335118957015233E-2</v>
      </c>
      <c r="BB41" s="59">
        <f t="shared" si="34"/>
        <v>3.7846690343841249E-3</v>
      </c>
      <c r="BC41" s="59">
        <f t="shared" si="34"/>
        <v>-3.1500104326094513E-2</v>
      </c>
      <c r="BD41" s="59">
        <f t="shared" si="34"/>
        <v>1.105912450181834E-2</v>
      </c>
      <c r="BE41" s="59">
        <f t="shared" si="34"/>
        <v>1.5104208539111319E-2</v>
      </c>
      <c r="BF41" s="59">
        <f t="shared" si="34"/>
        <v>1.9437862598031819E-2</v>
      </c>
      <c r="BG41" s="59">
        <f t="shared" si="34"/>
        <v>5.3324272462556777E-2</v>
      </c>
      <c r="BH41" s="59">
        <f t="shared" si="34"/>
        <v>-1.202542994063216E-2</v>
      </c>
      <c r="BI41" s="59">
        <f t="shared" si="34"/>
        <v>-0.17011162939347746</v>
      </c>
      <c r="BJ41" s="59" t="e">
        <f t="shared" si="34"/>
        <v>#DIV/0!</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8.2273564828376102</v>
      </c>
      <c r="F42" s="29">
        <f t="shared" ref="F42:BQ42" si="36">F39/(F39-F40)</f>
        <v>5.6425519311856061</v>
      </c>
      <c r="G42" s="29">
        <f t="shared" si="36"/>
        <v>2.4834594009112334</v>
      </c>
      <c r="H42" s="29">
        <f t="shared" si="36"/>
        <v>-6.8666395782709309</v>
      </c>
      <c r="I42" s="29">
        <f t="shared" si="36"/>
        <v>11.362360917429122</v>
      </c>
      <c r="J42" s="29">
        <f t="shared" si="36"/>
        <v>7.0670775559991048</v>
      </c>
      <c r="K42" s="29">
        <f t="shared" si="36"/>
        <v>-0.43825912395949673</v>
      </c>
      <c r="L42" s="29">
        <f t="shared" si="36"/>
        <v>-21.658356196756618</v>
      </c>
      <c r="M42" s="29">
        <f t="shared" si="36"/>
        <v>16.40160124451398</v>
      </c>
      <c r="N42" s="29">
        <f t="shared" si="36"/>
        <v>8.6559850113372754</v>
      </c>
      <c r="O42" s="29">
        <f t="shared" si="36"/>
        <v>-21.470963709402156</v>
      </c>
      <c r="P42" s="29">
        <f t="shared" si="36"/>
        <v>-2.295381986174807</v>
      </c>
      <c r="Q42" s="29">
        <f t="shared" si="36"/>
        <v>5.6753587136990298</v>
      </c>
      <c r="R42" s="29">
        <f t="shared" si="36"/>
        <v>6.8461256677599662</v>
      </c>
      <c r="S42" s="29">
        <f t="shared" si="36"/>
        <v>2.694130738754303</v>
      </c>
      <c r="T42" s="29">
        <f t="shared" si="36"/>
        <v>2.1807848013834459</v>
      </c>
      <c r="U42" s="29">
        <f t="shared" si="36"/>
        <v>-1.9790464473390552</v>
      </c>
      <c r="V42" s="29">
        <f t="shared" si="36"/>
        <v>8.1263640350297237</v>
      </c>
      <c r="W42" s="29">
        <f t="shared" si="36"/>
        <v>3.2563598110234757</v>
      </c>
      <c r="X42" s="29">
        <f t="shared" si="36"/>
        <v>4.7537613907394149</v>
      </c>
      <c r="Y42" s="29">
        <f t="shared" si="36"/>
        <v>89.274715112510606</v>
      </c>
      <c r="Z42" s="29">
        <f t="shared" si="36"/>
        <v>-27.881835027566872</v>
      </c>
      <c r="AA42" s="29">
        <f t="shared" si="36"/>
        <v>-11.348014243552344</v>
      </c>
      <c r="AB42" s="29">
        <f t="shared" si="36"/>
        <v>-9.3741147828195235</v>
      </c>
      <c r="AC42" s="29">
        <f t="shared" si="36"/>
        <v>66.825182389545603</v>
      </c>
      <c r="AD42" s="29">
        <f t="shared" si="36"/>
        <v>41.027836648727728</v>
      </c>
      <c r="AE42" s="29">
        <f t="shared" si="36"/>
        <v>-47.060825920915541</v>
      </c>
      <c r="AF42" s="29">
        <f t="shared" si="36"/>
        <v>-7.5459465577484259</v>
      </c>
      <c r="AG42" s="29">
        <f t="shared" si="36"/>
        <v>-21.643877012915951</v>
      </c>
      <c r="AH42" s="29">
        <f t="shared" si="36"/>
        <v>-9.6532667052963834</v>
      </c>
      <c r="AI42" s="29">
        <f t="shared" si="36"/>
        <v>-2.9731516761648717</v>
      </c>
      <c r="AJ42" s="29">
        <f t="shared" si="36"/>
        <v>-1.4051867651515639</v>
      </c>
      <c r="AK42" s="29">
        <f t="shared" si="36"/>
        <v>-5.6890728022781092</v>
      </c>
      <c r="AL42" s="29">
        <f t="shared" si="36"/>
        <v>-3.3898838495353774</v>
      </c>
      <c r="AM42" s="29">
        <f t="shared" si="36"/>
        <v>-1.6234830011333361</v>
      </c>
      <c r="AN42" s="29">
        <f t="shared" si="36"/>
        <v>-0.58819317079258704</v>
      </c>
      <c r="AO42" s="29">
        <f t="shared" si="36"/>
        <v>-15.899355616072116</v>
      </c>
      <c r="AP42" s="29">
        <f t="shared" si="36"/>
        <v>-7.3378910425349595</v>
      </c>
      <c r="AQ42" s="29">
        <f t="shared" si="36"/>
        <v>-1.8434118087426228</v>
      </c>
      <c r="AR42" s="29">
        <f t="shared" si="36"/>
        <v>-0.9503428341484087</v>
      </c>
      <c r="AS42" s="29">
        <f t="shared" si="36"/>
        <v>-19.421576369204292</v>
      </c>
      <c r="AT42" s="29">
        <f t="shared" si="36"/>
        <v>-15.052885199646393</v>
      </c>
      <c r="AU42" s="29">
        <f t="shared" si="36"/>
        <v>-4.7326418462202007</v>
      </c>
      <c r="AV42" s="29">
        <f t="shared" si="36"/>
        <v>-1.1168779290360107</v>
      </c>
      <c r="AW42" s="29">
        <f t="shared" si="36"/>
        <v>7702.2346387868192</v>
      </c>
      <c r="AX42" s="29">
        <f t="shared" si="36"/>
        <v>-37.822653654350709</v>
      </c>
      <c r="AY42" s="29">
        <f t="shared" si="36"/>
        <v>-16.752576029692793</v>
      </c>
      <c r="AZ42" s="29">
        <f t="shared" si="36"/>
        <v>466.45473386707397</v>
      </c>
      <c r="BA42" s="29">
        <f t="shared" si="36"/>
        <v>-42.853863391142745</v>
      </c>
      <c r="BB42" s="29">
        <f t="shared" si="36"/>
        <v>264.22389670401611</v>
      </c>
      <c r="BC42" s="29">
        <f t="shared" si="36"/>
        <v>-31.745926605443234</v>
      </c>
      <c r="BD42" s="29">
        <f t="shared" si="36"/>
        <v>90.423070997671132</v>
      </c>
      <c r="BE42" s="29">
        <f t="shared" si="36"/>
        <v>66.206713010520645</v>
      </c>
      <c r="BF42" s="29">
        <f t="shared" si="36"/>
        <v>51.445985635336925</v>
      </c>
      <c r="BG42" s="29">
        <f t="shared" si="36"/>
        <v>18.753186003656765</v>
      </c>
      <c r="BH42" s="29">
        <f t="shared" si="36"/>
        <v>-83.15710996919529</v>
      </c>
      <c r="BI42" s="29">
        <f t="shared" si="36"/>
        <v>-5.8784928670981431</v>
      </c>
      <c r="BJ42" s="29" t="e">
        <f t="shared" si="36"/>
        <v>#DIV/0!</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698</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37986</v>
      </c>
      <c r="BI46" s="1">
        <v>37621</v>
      </c>
      <c r="BJ46" s="1">
        <v>25569</v>
      </c>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672814812.24000001</v>
      </c>
      <c r="F47" s="26">
        <f>股权价值增加表!F42</f>
        <v>254277693.38999996</v>
      </c>
      <c r="G47" s="26">
        <f>股权价值增加表!G42</f>
        <v>36470578.730000094</v>
      </c>
      <c r="H47" s="26">
        <f>股权价值增加表!H42</f>
        <v>-112966406.31000006</v>
      </c>
      <c r="I47" s="26">
        <f>股权价值增加表!I42</f>
        <v>367497803.49999988</v>
      </c>
      <c r="J47" s="26">
        <f>股权价值增加表!J42</f>
        <v>112222387.96000001</v>
      </c>
      <c r="K47" s="26">
        <f>股权价值增加表!K42</f>
        <v>-21860446.840000004</v>
      </c>
      <c r="L47" s="26">
        <f>股权价值增加表!L42</f>
        <v>-139176602.41999999</v>
      </c>
      <c r="M47" s="26">
        <f>股权价值增加表!M42</f>
        <v>280572019.19</v>
      </c>
      <c r="N47" s="26">
        <f>股权价值增加表!N42</f>
        <v>85506626.899999961</v>
      </c>
      <c r="O47" s="26">
        <f>股权价值增加表!O42</f>
        <v>1531805.9399999864</v>
      </c>
      <c r="P47" s="26">
        <f>股权价值增加表!P42</f>
        <v>107515.5199999935</v>
      </c>
      <c r="Q47" s="26">
        <f>股权价值增加表!Q42</f>
        <v>26072542.089999937</v>
      </c>
      <c r="R47" s="26">
        <f>股权价值增加表!R42</f>
        <v>25438915.939999972</v>
      </c>
      <c r="S47" s="26">
        <f>股权价值增加表!S42</f>
        <v>3340234.9399999976</v>
      </c>
      <c r="T47" s="26">
        <f>股权价值增加表!T42</f>
        <v>778454.19000000064</v>
      </c>
      <c r="U47" s="26">
        <f>股权价值增加表!U42</f>
        <v>-65488111.839999959</v>
      </c>
      <c r="V47" s="26">
        <f>股权价值增加表!V42</f>
        <v>35432998.069999963</v>
      </c>
      <c r="W47" s="26">
        <f>股权价值增加表!W42</f>
        <v>8480617.3099999893</v>
      </c>
      <c r="X47" s="26">
        <f>股权价值增加表!X42</f>
        <v>4760000.6200000076</v>
      </c>
      <c r="Y47" s="26">
        <f>股权价值增加表!Y42</f>
        <v>58877702.760000072</v>
      </c>
      <c r="Z47" s="26">
        <f>股权价值增加表!Z42</f>
        <v>36151655.140000008</v>
      </c>
      <c r="AA47" s="26">
        <f>股权价值增加表!AA42</f>
        <v>8343822.9500000216</v>
      </c>
      <c r="AB47" s="26">
        <f>股权价值增加表!AB42</f>
        <v>4610348.4599999962</v>
      </c>
      <c r="AC47" s="26">
        <f>股权价值增加表!AC42</f>
        <v>58324839.750000052</v>
      </c>
      <c r="AD47" s="26">
        <f>股权价值增加表!AD42</f>
        <v>31014853.869999923</v>
      </c>
      <c r="AE47" s="26">
        <f>股权价值增加表!AE42</f>
        <v>7504657.2999999821</v>
      </c>
      <c r="AF47" s="26">
        <f>股权价值增加表!AF42</f>
        <v>5151978.1899999967</v>
      </c>
      <c r="AG47" s="26">
        <f>股权价值增加表!AG42</f>
        <v>24376002.670000009</v>
      </c>
      <c r="AH47" s="26">
        <f>股权价值增加表!AH42</f>
        <v>17017660.519999988</v>
      </c>
      <c r="AI47" s="26">
        <f>股权价值增加表!AI42</f>
        <v>5750465.330000014</v>
      </c>
      <c r="AJ47" s="26">
        <f>股权价值增加表!AJ42</f>
        <v>3801149.3100000108</v>
      </c>
      <c r="AK47" s="26">
        <f>股权价值增加表!AK42</f>
        <v>17416030.959999979</v>
      </c>
      <c r="AL47" s="26">
        <f>股权价值增加表!AL42</f>
        <v>12979604.360000035</v>
      </c>
      <c r="AM47" s="26">
        <f>股权价值增加表!AM42</f>
        <v>4247313.3399999943</v>
      </c>
      <c r="AN47" s="26">
        <f>股权价值增加表!AN42</f>
        <v>2833742.0299999937</v>
      </c>
      <c r="AO47" s="26">
        <f>股权价值增加表!AO42</f>
        <v>13812249.279999999</v>
      </c>
      <c r="AP47" s="26">
        <f>股权价值增加表!AP42</f>
        <v>11639330.21999998</v>
      </c>
      <c r="AQ47" s="26">
        <f>股权价值增加表!AQ42</f>
        <v>4374064.3599999808</v>
      </c>
      <c r="AR47" s="26">
        <f>股权价值增加表!AR42</f>
        <v>2877945.9199999981</v>
      </c>
      <c r="AS47" s="26">
        <f>股权价值增加表!AS42</f>
        <v>26911995.609999973</v>
      </c>
      <c r="AT47" s="26">
        <f>股权价值增加表!AT42</f>
        <v>22743686.749999989</v>
      </c>
      <c r="AU47" s="26">
        <f>股权价值增加表!AU42</f>
        <v>7442870.0300000031</v>
      </c>
      <c r="AV47" s="26">
        <f>股权价值增加表!AV42</f>
        <v>4464330.519999993</v>
      </c>
      <c r="AW47" s="26">
        <f>股权价值增加表!AW42</f>
        <v>27963222.630000066</v>
      </c>
      <c r="AX47" s="26">
        <f>股权价值增加表!AX42</f>
        <v>22137475.440000031</v>
      </c>
      <c r="AY47" s="26">
        <f>股权价值增加表!AY42</f>
        <v>6284476.8499999801</v>
      </c>
      <c r="AZ47" s="26">
        <f>股权价值增加表!AZ42</f>
        <v>3948762.0099999928</v>
      </c>
      <c r="BA47" s="26">
        <f>股权价值增加表!BA42</f>
        <v>23733398.870000012</v>
      </c>
      <c r="BB47" s="26">
        <f>股权价值增加表!BB42</f>
        <v>16748030.470000016</v>
      </c>
      <c r="BC47" s="26">
        <f>股权价值增加表!BC42</f>
        <v>3427701.9199999846</v>
      </c>
      <c r="BD47" s="26">
        <f>股权价值增加表!BD42</f>
        <v>2295888.0800000019</v>
      </c>
      <c r="BE47" s="26">
        <f>股权价值增加表!BE42</f>
        <v>22097272.940000035</v>
      </c>
      <c r="BF47" s="26">
        <f>股权价值增加表!BF42</f>
        <v>14015862.020000044</v>
      </c>
      <c r="BG47" s="26">
        <f>股权价值增加表!BG42</f>
        <v>2412171.8700000099</v>
      </c>
      <c r="BH47" s="26">
        <f>股权价值增加表!BH42</f>
        <v>22458964.499999981</v>
      </c>
      <c r="BI47" s="26">
        <f>股权价值增加表!BI42</f>
        <v>17799326.819999985</v>
      </c>
      <c r="BJ47" s="26">
        <f>股权价值增加表!BJ42</f>
        <v>0</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0.10794309800880003</v>
      </c>
      <c r="F48" s="63">
        <f>股权价值增加表!F43</f>
        <v>8.5064987566409705E-2</v>
      </c>
      <c r="G48" s="63">
        <f>股权价值增加表!G43</f>
        <v>2.2493789555822975E-2</v>
      </c>
      <c r="H48" s="63">
        <f>股权价值增加表!H43</f>
        <v>-0.20354444816308187</v>
      </c>
      <c r="I48" s="63">
        <f>股权价值增加表!I43</f>
        <v>0.11924542784213656</v>
      </c>
      <c r="J48" s="63">
        <f>股权价值增加表!J43</f>
        <v>5.960999819029416E-2</v>
      </c>
      <c r="K48" s="63">
        <f>股权价值增加表!K43</f>
        <v>-2.096858324510956E-2</v>
      </c>
      <c r="L48" s="63">
        <f>股权价值增加表!L43</f>
        <v>-0.45039641487670246</v>
      </c>
      <c r="M48" s="63">
        <f>股权价值增加表!M43</f>
        <v>0.13351149367608089</v>
      </c>
      <c r="N48" s="63">
        <f>股权价值增加表!N43</f>
        <v>6.6401767840121848E-2</v>
      </c>
      <c r="O48" s="63">
        <f>股权价值增加表!O43</f>
        <v>6.5349502196627562E-3</v>
      </c>
      <c r="P48" s="63">
        <f>股权价值增加表!P43</f>
        <v>1.0872865013921615E-3</v>
      </c>
      <c r="Q48" s="63">
        <f>股权价值增加表!Q43</f>
        <v>3.7460090306375496E-2</v>
      </c>
      <c r="R48" s="63">
        <f>股权价值增加表!R43</f>
        <v>5.089566104944581E-2</v>
      </c>
      <c r="S48" s="63">
        <f>股权价值增加表!S43</f>
        <v>1.5266725192191022E-2</v>
      </c>
      <c r="T48" s="63">
        <f>股权价值增加表!T43</f>
        <v>9.6547864882008186E-3</v>
      </c>
      <c r="U48" s="63">
        <f>股权价值增加表!U43</f>
        <v>-8.6316167084487833E-2</v>
      </c>
      <c r="V48" s="63">
        <f>股权价值增加表!V43</f>
        <v>7.0142043666027817E-2</v>
      </c>
      <c r="W48" s="63">
        <f>股权价值增加表!W43</f>
        <v>3.4750156909037482E-2</v>
      </c>
      <c r="X48" s="63">
        <f>股权价值增加表!X43</f>
        <v>3.8308087250834282E-2</v>
      </c>
      <c r="Y48" s="63">
        <f>股权价值增加表!Y43</f>
        <v>8.5180054932417135E-2</v>
      </c>
      <c r="Z48" s="63">
        <f>股权价值增加表!Z43</f>
        <v>7.5462342902270524E-2</v>
      </c>
      <c r="AA48" s="63">
        <f>股权价值增加表!AA43</f>
        <v>3.3772778799014275E-2</v>
      </c>
      <c r="AB48" s="63">
        <f>股权价值增加表!AB43</f>
        <v>3.5710055662256379E-2</v>
      </c>
      <c r="AC48" s="63">
        <f>股权价值增加表!AC43</f>
        <v>7.5126107004906795E-2</v>
      </c>
      <c r="AD48" s="63">
        <f>股权价值增加表!AD43</f>
        <v>5.3536047282616107E-2</v>
      </c>
      <c r="AE48" s="63">
        <f>股权价值增加表!AE43</f>
        <v>2.4612376750896978E-2</v>
      </c>
      <c r="AF48" s="63">
        <f>股权价值增加表!AF43</f>
        <v>3.9835489984704715E-2</v>
      </c>
      <c r="AG48" s="63">
        <f>股权价值增加表!AG43</f>
        <v>4.397483878127894E-2</v>
      </c>
      <c r="AH48" s="63">
        <f>股权价值增加表!AH43</f>
        <v>4.7774383883060656E-2</v>
      </c>
      <c r="AI48" s="63">
        <f>股权价值增加表!AI43</f>
        <v>3.1087977504541866E-2</v>
      </c>
      <c r="AJ48" s="63">
        <f>股权价值增加表!AJ43</f>
        <v>3.6444696020899413E-2</v>
      </c>
      <c r="AK48" s="63">
        <f>股权价值增加表!AK43</f>
        <v>3.4159862225199449E-2</v>
      </c>
      <c r="AL48" s="63">
        <f>股权价值增加表!AL43</f>
        <v>3.8243875830421659E-2</v>
      </c>
      <c r="AM48" s="63">
        <f>股权价值增加表!AM43</f>
        <v>2.3632943303535277E-2</v>
      </c>
      <c r="AN48" s="63">
        <f>股权价值增加表!AN43</f>
        <v>2.8647282693624657E-2</v>
      </c>
      <c r="AO48" s="63">
        <f>股权价值增加表!AO43</f>
        <v>3.3445173405785844E-2</v>
      </c>
      <c r="AP48" s="63">
        <f>股权价值增加表!AP43</f>
        <v>4.2827092647979653E-2</v>
      </c>
      <c r="AQ48" s="63">
        <f>股权价值增加表!AQ43</f>
        <v>2.6693990910720479E-2</v>
      </c>
      <c r="AR48" s="63">
        <f>股权价值增加表!AR43</f>
        <v>3.4366809516972935E-2</v>
      </c>
      <c r="AS48" s="63">
        <f>股权价值增加表!AS43</f>
        <v>4.7522917748850549E-2</v>
      </c>
      <c r="AT48" s="63">
        <f>股权价值增加表!AT43</f>
        <v>5.4181943463604026E-2</v>
      </c>
      <c r="AU48" s="63">
        <f>股权价值增加表!AU43</f>
        <v>3.0659296010959222E-2</v>
      </c>
      <c r="AV48" s="63">
        <f>股权价值增加表!AV43</f>
        <v>3.5447747888390876E-2</v>
      </c>
      <c r="AW48" s="63">
        <f>股权价值增加表!AW43</f>
        <v>4.7090077104362561E-2</v>
      </c>
      <c r="AX48" s="63">
        <f>股权价值增加表!AX43</f>
        <v>5.0399996916753072E-2</v>
      </c>
      <c r="AY48" s="63">
        <f>股权价值增加表!AY43</f>
        <v>2.1872962394507322E-2</v>
      </c>
      <c r="AZ48" s="63">
        <f>股权价值增加表!AZ43</f>
        <v>2.886721388269645E-2</v>
      </c>
      <c r="BA48" s="63">
        <f>股权价值增加表!BA43</f>
        <v>4.4892661907637355E-2</v>
      </c>
      <c r="BB48" s="63">
        <f>股权价值增加表!BB43</f>
        <v>4.1915683814250378E-2</v>
      </c>
      <c r="BC48" s="63">
        <f>股权价值增加表!BC43</f>
        <v>1.5894192368089487E-2</v>
      </c>
      <c r="BD48" s="63">
        <f>股权价值增加表!BD43</f>
        <v>1.8696733459481734E-2</v>
      </c>
      <c r="BE48" s="63">
        <f>股权价值增加表!BE43</f>
        <v>3.9203275226083231E-2</v>
      </c>
      <c r="BF48" s="63">
        <f>股权价值增加表!BF43</f>
        <v>3.513717886355034E-2</v>
      </c>
      <c r="BG48" s="63">
        <f>股权价值增加表!BG43</f>
        <v>1.1123452902234732E-2</v>
      </c>
      <c r="BH48" s="63">
        <f>股权价值增加表!BH43</f>
        <v>5.0251960429786621E-2</v>
      </c>
      <c r="BI48" s="63">
        <f>股权价值增加表!BI43</f>
        <v>5.3101895729155579E-2</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0.83079954718695403</v>
      </c>
      <c r="F49" s="59">
        <f t="shared" ref="F49:BQ49" si="38">(F47-J47)/J47</f>
        <v>1.2658374858377941</v>
      </c>
      <c r="G49" s="59">
        <f t="shared" si="38"/>
        <v>-2.6683363792576569</v>
      </c>
      <c r="H49" s="59">
        <f t="shared" si="38"/>
        <v>-0.18832329324223726</v>
      </c>
      <c r="I49" s="59">
        <f t="shared" si="38"/>
        <v>0.30981629800773108</v>
      </c>
      <c r="J49" s="59">
        <f t="shared" si="38"/>
        <v>0.31244082509820137</v>
      </c>
      <c r="K49" s="59">
        <f t="shared" si="38"/>
        <v>-15.271028900697562</v>
      </c>
      <c r="L49" s="59">
        <f t="shared" si="38"/>
        <v>-1295.4791823544024</v>
      </c>
      <c r="M49" s="59">
        <f t="shared" si="38"/>
        <v>9.761206875090739</v>
      </c>
      <c r="N49" s="59">
        <f t="shared" si="38"/>
        <v>2.3612527790757762</v>
      </c>
      <c r="O49" s="59">
        <f t="shared" si="38"/>
        <v>-0.54140772505062551</v>
      </c>
      <c r="P49" s="59">
        <f t="shared" si="38"/>
        <v>-0.86188587410648609</v>
      </c>
      <c r="Q49" s="59">
        <f t="shared" si="38"/>
        <v>-1.3981263370930614</v>
      </c>
      <c r="R49" s="59">
        <f t="shared" si="38"/>
        <v>-0.28205578625483785</v>
      </c>
      <c r="S49" s="59">
        <f t="shared" si="38"/>
        <v>-0.60613304221836162</v>
      </c>
      <c r="T49" s="59">
        <f t="shared" si="38"/>
        <v>-0.83645922508304227</v>
      </c>
      <c r="U49" s="59">
        <f t="shared" si="38"/>
        <v>-2.1122735563740576</v>
      </c>
      <c r="V49" s="59">
        <f t="shared" si="38"/>
        <v>-1.9878953459170578E-2</v>
      </c>
      <c r="W49" s="59">
        <f t="shared" si="38"/>
        <v>1.6394686323008254E-2</v>
      </c>
      <c r="X49" s="59">
        <f t="shared" si="38"/>
        <v>3.2460054006419166E-2</v>
      </c>
      <c r="Y49" s="59">
        <f t="shared" si="38"/>
        <v>9.4790317876530424E-3</v>
      </c>
      <c r="Z49" s="59">
        <f t="shared" si="38"/>
        <v>0.16562390690380829</v>
      </c>
      <c r="AA49" s="59">
        <f t="shared" si="38"/>
        <v>0.11181931651962862</v>
      </c>
      <c r="AB49" s="59">
        <f t="shared" si="38"/>
        <v>-0.10513043922649075</v>
      </c>
      <c r="AC49" s="59">
        <f t="shared" si="38"/>
        <v>1.3927155136794227</v>
      </c>
      <c r="AD49" s="59">
        <f t="shared" si="38"/>
        <v>0.82250984696455465</v>
      </c>
      <c r="AE49" s="59">
        <f t="shared" si="38"/>
        <v>0.3050521774035222</v>
      </c>
      <c r="AF49" s="59">
        <f t="shared" si="38"/>
        <v>0.35537380140428687</v>
      </c>
      <c r="AG49" s="59">
        <f t="shared" si="38"/>
        <v>0.39963018703774966</v>
      </c>
      <c r="AH49" s="59">
        <f t="shared" si="38"/>
        <v>0.31110780020724321</v>
      </c>
      <c r="AI49" s="59">
        <f t="shared" si="38"/>
        <v>0.35390654507256625</v>
      </c>
      <c r="AJ49" s="59">
        <f t="shared" si="38"/>
        <v>0.34138861962675521</v>
      </c>
      <c r="AK49" s="59">
        <f t="shared" si="38"/>
        <v>0.26091200693997174</v>
      </c>
      <c r="AL49" s="59">
        <f t="shared" si="38"/>
        <v>0.11515045235996894</v>
      </c>
      <c r="AM49" s="59">
        <f t="shared" si="38"/>
        <v>-2.8977858935753536E-2</v>
      </c>
      <c r="AN49" s="59">
        <f t="shared" si="38"/>
        <v>-1.5359527673127489E-2</v>
      </c>
      <c r="AO49" s="59">
        <f t="shared" si="38"/>
        <v>-0.4867623538528062</v>
      </c>
      <c r="AP49" s="59">
        <f t="shared" si="38"/>
        <v>-0.48823907276158796</v>
      </c>
      <c r="AQ49" s="59">
        <f t="shared" si="38"/>
        <v>-0.41231482716083662</v>
      </c>
      <c r="AR49" s="59">
        <f t="shared" si="38"/>
        <v>-0.35534658397111635</v>
      </c>
      <c r="AS49" s="59">
        <f t="shared" si="38"/>
        <v>-3.7593199965167613E-2</v>
      </c>
      <c r="AT49" s="59">
        <f t="shared" si="38"/>
        <v>2.738394048783897E-2</v>
      </c>
      <c r="AU49" s="59">
        <f t="shared" si="38"/>
        <v>0.18432611140894356</v>
      </c>
      <c r="AV49" s="59">
        <f t="shared" si="38"/>
        <v>0.13056459434484916</v>
      </c>
      <c r="AW49" s="59">
        <f t="shared" si="38"/>
        <v>0.17822241909677439</v>
      </c>
      <c r="AX49" s="59">
        <f t="shared" si="38"/>
        <v>0.32179574664936772</v>
      </c>
      <c r="AY49" s="59">
        <f t="shared" si="38"/>
        <v>0.83343738652747501</v>
      </c>
      <c r="AZ49" s="59">
        <f t="shared" si="38"/>
        <v>0.71992792000557337</v>
      </c>
      <c r="BA49" s="59">
        <f t="shared" si="38"/>
        <v>7.4041984024114368E-2</v>
      </c>
      <c r="BB49" s="59">
        <f t="shared" si="38"/>
        <v>0.19493402875265767</v>
      </c>
      <c r="BC49" s="59">
        <f t="shared" si="38"/>
        <v>0.42100236000180641</v>
      </c>
      <c r="BD49" s="59">
        <f t="shared" si="38"/>
        <v>-0.89777409016341769</v>
      </c>
      <c r="BE49" s="59">
        <f t="shared" si="38"/>
        <v>0.24146677924755658</v>
      </c>
      <c r="BF49" s="59" t="e">
        <f t="shared" si="38"/>
        <v>#DIV/0!</v>
      </c>
      <c r="BG49" s="59">
        <f t="shared" si="38"/>
        <v>-0.83182765024763239</v>
      </c>
      <c r="BH49" s="59">
        <f t="shared" si="38"/>
        <v>-2.6834128558340713</v>
      </c>
      <c r="BI49" s="59">
        <f t="shared" si="38"/>
        <v>-1.2526524614675492</v>
      </c>
      <c r="BJ49" s="59">
        <f t="shared" si="38"/>
        <v>-1</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120585044.88800001</v>
      </c>
      <c r="F50" s="26">
        <f>股权价值增加表!F47</f>
        <v>-52873605.579600066</v>
      </c>
      <c r="G50" s="26">
        <f>股权价值增加表!G47</f>
        <v>-251790218.19159991</v>
      </c>
      <c r="H50" s="26">
        <f>股权价值增加表!H47</f>
        <v>-391125791.26760006</v>
      </c>
      <c r="I50" s="26">
        <f>股权价值增加表!I47</f>
        <v>80783878.151999891</v>
      </c>
      <c r="J50" s="26">
        <f>股权价值增加表!J47</f>
        <v>-154676809.26560003</v>
      </c>
      <c r="K50" s="26">
        <f>股权价值增加表!K47</f>
        <v>-282276508.59920001</v>
      </c>
      <c r="L50" s="26">
        <f>股权价值增加表!L47</f>
        <v>-387924708.2536</v>
      </c>
      <c r="M50" s="26">
        <f>股权价值增加表!M47</f>
        <v>21249785.162799984</v>
      </c>
      <c r="N50" s="26">
        <f>股权价值增加表!N47</f>
        <v>-150633383.38800001</v>
      </c>
      <c r="O50" s="26">
        <f>股权价值增加表!O47</f>
        <v>-33692485.086400017</v>
      </c>
      <c r="P50" s="26">
        <f>股权价值增加表!P47</f>
        <v>-36086814.124000005</v>
      </c>
      <c r="Q50" s="26">
        <f>股权价值增加表!Q47</f>
        <v>-9776496.4220000654</v>
      </c>
      <c r="R50" s="26">
        <f>股权价值增加表!R47</f>
        <v>-10870706.152000029</v>
      </c>
      <c r="S50" s="26">
        <f>股权价值增加表!S47</f>
        <v>-30749076.449600004</v>
      </c>
      <c r="T50" s="26">
        <f>股权价值增加表!T47</f>
        <v>-33729542.535599999</v>
      </c>
      <c r="U50" s="26">
        <f>股权价值增加表!U47</f>
        <v>-99633455.15519996</v>
      </c>
      <c r="V50" s="26">
        <f>股权价值增加表!V47</f>
        <v>-2792173.3396000415</v>
      </c>
      <c r="W50" s="26">
        <f>股权价值增加表!W47</f>
        <v>-27588363.638800018</v>
      </c>
      <c r="X50" s="26">
        <f>股权价值增加表!X47</f>
        <v>-34679536.958399996</v>
      </c>
      <c r="Y50" s="26">
        <f>股权价值增加表!Y47</f>
        <v>19818965.228800073</v>
      </c>
      <c r="Z50" s="26">
        <f>股权价值增加表!Z47</f>
        <v>3476837.4168000072</v>
      </c>
      <c r="AA50" s="26">
        <f>股权价值增加表!AA47</f>
        <v>-22106368.19799998</v>
      </c>
      <c r="AB50" s="26">
        <f>股权价值增加表!AB47</f>
        <v>-27432250.534400005</v>
      </c>
      <c r="AC50" s="26">
        <f>股权价值增加表!AC47</f>
        <v>26654044.601200052</v>
      </c>
      <c r="AD50" s="26">
        <f>股权价值增加表!AD47</f>
        <v>1465611.1523999199</v>
      </c>
      <c r="AE50" s="26">
        <f>股权价值增加表!AE47</f>
        <v>-20163769.692000017</v>
      </c>
      <c r="AF50" s="26">
        <f>股权价值增加表!AF47</f>
        <v>-23073503.189200003</v>
      </c>
      <c r="AG50" s="26">
        <f>股权价值增加表!AG47</f>
        <v>-3433792.7523999885</v>
      </c>
      <c r="AH50" s="26">
        <f>股权价值增加表!AH47</f>
        <v>-10204137.448800012</v>
      </c>
      <c r="AI50" s="26">
        <f>股权价值增加表!AI47</f>
        <v>-20588487.104399987</v>
      </c>
      <c r="AJ50" s="26">
        <f>股权价值增加表!AJ47</f>
        <v>-23599088.17239999</v>
      </c>
      <c r="AK50" s="26">
        <f>股权价值增加表!AK47</f>
        <v>-9678340.6352000237</v>
      </c>
      <c r="AL50" s="26">
        <f>股权价值增加表!AL47</f>
        <v>-13772653.105599964</v>
      </c>
      <c r="AM50" s="26">
        <f>股权价值增加表!AM47</f>
        <v>-21806360.845600009</v>
      </c>
      <c r="AN50" s="26">
        <f>股权价值增加表!AN47</f>
        <v>-23847403.613200009</v>
      </c>
      <c r="AO50" s="26">
        <f>股权价值增加表!AO47</f>
        <v>-12642236.937600004</v>
      </c>
      <c r="AP50" s="26">
        <f>股权价值增加表!AP47</f>
        <v>-14603646.112800021</v>
      </c>
      <c r="AQ50" s="26">
        <f>股权价值增加表!AQ47</f>
        <v>-21407470.17920002</v>
      </c>
      <c r="AR50" s="26">
        <f>股权价值增加表!AR47</f>
        <v>-22711779.156000003</v>
      </c>
      <c r="AS50" s="26">
        <f>股权价值增加表!AS47</f>
        <v>1552506.2067999728</v>
      </c>
      <c r="AT50" s="26">
        <f>股权价值增加表!AT47</f>
        <v>-2190350.6204000115</v>
      </c>
      <c r="AU50" s="26">
        <f>股权价值增加表!AU47</f>
        <v>-16282848.053200001</v>
      </c>
      <c r="AV50" s="26">
        <f>股权价值增加表!AV47</f>
        <v>-20349221.043200009</v>
      </c>
      <c r="AW50" s="26">
        <f>股权价值增加表!AW47</f>
        <v>3502901.5924000628</v>
      </c>
      <c r="AX50" s="26">
        <f>股权价值增加表!AX47</f>
        <v>-1861904.9751999676</v>
      </c>
      <c r="AY50" s="26">
        <f>股权价值增加表!AY47</f>
        <v>-16448594.617200021</v>
      </c>
      <c r="AZ50" s="26">
        <f>股权价值增加表!AZ47</f>
        <v>-19634372.136400007</v>
      </c>
      <c r="BA50" s="26">
        <f>股权价值增加表!BA47</f>
        <v>445832.43000001088</v>
      </c>
      <c r="BB50" s="26">
        <f>股权价值增加表!BB47</f>
        <v>-8230816.0835999865</v>
      </c>
      <c r="BC50" s="26">
        <f>股权价值增加表!BC47</f>
        <v>-20484375.134400018</v>
      </c>
      <c r="BD50" s="26">
        <f>股权价值增加表!BD47</f>
        <v>-9848867.9767999984</v>
      </c>
      <c r="BE50" s="26">
        <f>股权价值增加表!BE47</f>
        <v>10485611.913600033</v>
      </c>
      <c r="BF50" s="26">
        <f>股权价值增加表!BF47</f>
        <v>3873044.524000043</v>
      </c>
      <c r="BG50" s="26">
        <f>股权价值增加表!BG47</f>
        <v>2412171.8700000099</v>
      </c>
      <c r="BH50" s="26">
        <f>股权价值增加表!BH47</f>
        <v>22458964.499999981</v>
      </c>
      <c r="BI50" s="26">
        <f>股权价值增加表!BI47</f>
        <v>17799326.819999985</v>
      </c>
      <c r="BJ50" s="26">
        <f>股权价值增加表!BJ47</f>
        <v>0</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683</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1001842238.6300001</v>
      </c>
      <c r="F54" s="193">
        <f t="shared" ref="F54:AC54" si="41">F39</f>
        <v>416406653.16999996</v>
      </c>
      <c r="G54" s="193">
        <f t="shared" si="41"/>
        <v>105937666.3200001</v>
      </c>
      <c r="H54" s="193">
        <f t="shared" si="41"/>
        <v>-118171836.07000007</v>
      </c>
      <c r="I54" s="193">
        <f t="shared" si="41"/>
        <v>535045435.71999991</v>
      </c>
      <c r="J54" s="193">
        <f t="shared" si="41"/>
        <v>179159842.89000002</v>
      </c>
      <c r="K54" s="193">
        <f t="shared" si="41"/>
        <v>-6533315.1700000037</v>
      </c>
      <c r="L54" s="193">
        <f t="shared" si="41"/>
        <v>-163865076.26999998</v>
      </c>
      <c r="M54" s="193">
        <f t="shared" si="41"/>
        <v>376243686.40999997</v>
      </c>
      <c r="N54" s="193">
        <f t="shared" si="41"/>
        <v>111602245.07999995</v>
      </c>
      <c r="O54" s="193">
        <f t="shared" si="41"/>
        <v>6043062.6399999866</v>
      </c>
      <c r="P54" s="193">
        <f t="shared" si="41"/>
        <v>1475530.0499999935</v>
      </c>
      <c r="Q54" s="193">
        <f t="shared" si="41"/>
        <v>59118833.629999936</v>
      </c>
      <c r="R54" s="193">
        <f t="shared" si="41"/>
        <v>51149457.879999973</v>
      </c>
      <c r="S54" s="193">
        <f t="shared" si="41"/>
        <v>13412062.869999997</v>
      </c>
      <c r="T54" s="193">
        <f t="shared" si="41"/>
        <v>4210916.3000000007</v>
      </c>
      <c r="U54" s="193">
        <f t="shared" si="41"/>
        <v>-26289515.719999962</v>
      </c>
      <c r="V54" s="193">
        <f t="shared" si="41"/>
        <v>57043562.579999968</v>
      </c>
      <c r="W54" s="193">
        <f t="shared" si="41"/>
        <v>18602217.589999989</v>
      </c>
      <c r="X54" s="193">
        <f t="shared" si="41"/>
        <v>8280157.9700000081</v>
      </c>
      <c r="Y54" s="193">
        <f t="shared" si="41"/>
        <v>82003319.920000076</v>
      </c>
      <c r="Z54" s="193">
        <f t="shared" si="41"/>
        <v>48703434.020000011</v>
      </c>
      <c r="AA54" s="193">
        <f t="shared" si="41"/>
        <v>12191165.120000022</v>
      </c>
      <c r="AB54" s="193">
        <f t="shared" si="41"/>
        <v>6461376.6199999964</v>
      </c>
      <c r="AC54" s="193">
        <f t="shared" si="41"/>
        <v>80220737.26000005</v>
      </c>
    </row>
    <row r="55" spans="1:88" s="63" customFormat="1" x14ac:dyDescent="0.25">
      <c r="A55" s="63" t="s">
        <v>672</v>
      </c>
      <c r="E55" s="63">
        <f>E54/E2</f>
        <v>0.16073063937721152</v>
      </c>
      <c r="F55" s="63">
        <f t="shared" ref="F55:AC55" si="42">F54/F2</f>
        <v>0.13930292627024971</v>
      </c>
      <c r="G55" s="63">
        <f t="shared" si="42"/>
        <v>6.5338682719528959E-2</v>
      </c>
      <c r="H55" s="63">
        <f t="shared" si="42"/>
        <v>-0.21292366418455402</v>
      </c>
      <c r="I55" s="63">
        <f t="shared" si="42"/>
        <v>0.17361116526350553</v>
      </c>
      <c r="J55" s="63">
        <f t="shared" si="42"/>
        <v>9.5165662614958013E-2</v>
      </c>
      <c r="K55" s="63">
        <f t="shared" si="42"/>
        <v>-6.2667686535122155E-3</v>
      </c>
      <c r="L55" s="63">
        <f t="shared" si="42"/>
        <v>-0.53029202892008209</v>
      </c>
      <c r="M55" s="63">
        <f t="shared" si="42"/>
        <v>0.17903729924250569</v>
      </c>
      <c r="N55" s="63">
        <f t="shared" si="42"/>
        <v>8.6666807438272847E-2</v>
      </c>
      <c r="O55" s="63">
        <f t="shared" si="42"/>
        <v>2.5780754921673733E-2</v>
      </c>
      <c r="P55" s="63">
        <f t="shared" si="42"/>
        <v>1.4921789019516357E-2</v>
      </c>
      <c r="Q55" s="63">
        <f t="shared" si="42"/>
        <v>8.4939812886016569E-2</v>
      </c>
      <c r="R55" s="63">
        <f t="shared" si="42"/>
        <v>0.10233476447123267</v>
      </c>
      <c r="S55" s="63">
        <f t="shared" si="42"/>
        <v>6.1300561719373828E-2</v>
      </c>
      <c r="T55" s="63">
        <f t="shared" si="42"/>
        <v>5.2225934831418346E-2</v>
      </c>
      <c r="U55" s="63">
        <f t="shared" si="42"/>
        <v>-3.4650720072704227E-2</v>
      </c>
      <c r="V55" s="63">
        <f t="shared" si="42"/>
        <v>0.11292163450147905</v>
      </c>
      <c r="W55" s="63">
        <f t="shared" si="42"/>
        <v>7.6224401653676027E-2</v>
      </c>
      <c r="X55" s="63">
        <f t="shared" si="42"/>
        <v>6.6638019464260206E-2</v>
      </c>
      <c r="Y55" s="63">
        <f t="shared" si="42"/>
        <v>0.11863654606055107</v>
      </c>
      <c r="Z55" s="63">
        <f t="shared" si="42"/>
        <v>0.10166271016645209</v>
      </c>
      <c r="AA55" s="63">
        <f t="shared" si="42"/>
        <v>4.9345428991876918E-2</v>
      </c>
      <c r="AB55" s="63">
        <f t="shared" si="42"/>
        <v>5.0047435840674399E-2</v>
      </c>
      <c r="AC55" s="63">
        <f t="shared" si="42"/>
        <v>0.10332941705866019</v>
      </c>
    </row>
    <row r="56" spans="1:88" x14ac:dyDescent="0.25">
      <c r="A56" s="17" t="s">
        <v>673</v>
      </c>
      <c r="E56" s="193">
        <f>E23</f>
        <v>712475552.88294196</v>
      </c>
      <c r="F56" s="193">
        <f t="shared" ref="F56:AC56" si="43">F23</f>
        <v>258922111.76696318</v>
      </c>
      <c r="G56" s="193">
        <f t="shared" si="43"/>
        <v>52932342.646724112</v>
      </c>
      <c r="H56" s="193">
        <f t="shared" si="43"/>
        <v>-86863089.54114081</v>
      </c>
      <c r="I56" s="193">
        <f t="shared" si="43"/>
        <v>372209977.03327262</v>
      </c>
      <c r="J56" s="193">
        <f t="shared" si="43"/>
        <v>121548408.85939723</v>
      </c>
      <c r="K56" s="193">
        <f t="shared" si="43"/>
        <v>-11548583.87262355</v>
      </c>
      <c r="L56" s="193">
        <f t="shared" si="43"/>
        <v>-130665667.77966194</v>
      </c>
      <c r="M56" s="193">
        <f t="shared" si="43"/>
        <v>253842927.50485846</v>
      </c>
      <c r="N56" s="193">
        <f t="shared" si="43"/>
        <v>61977179.431889527</v>
      </c>
      <c r="O56" s="193">
        <f t="shared" si="43"/>
        <v>1339915.1658716402</v>
      </c>
      <c r="P56" s="193">
        <f t="shared" si="43"/>
        <v>73627.103470739909</v>
      </c>
      <c r="Q56" s="193">
        <f t="shared" si="43"/>
        <v>28964238.536427379</v>
      </c>
      <c r="R56" s="193">
        <f t="shared" si="43"/>
        <v>29813629.120508496</v>
      </c>
      <c r="S56" s="193">
        <f t="shared" si="43"/>
        <v>5280211.3368851533</v>
      </c>
      <c r="T56" s="193">
        <f t="shared" si="43"/>
        <v>1429247.0913469587</v>
      </c>
      <c r="U56" s="193">
        <f t="shared" si="43"/>
        <v>-30944089.413187891</v>
      </c>
      <c r="V56" s="193">
        <f t="shared" si="43"/>
        <v>40413315.888438806</v>
      </c>
      <c r="W56" s="193">
        <f t="shared" si="43"/>
        <v>12248352.260931205</v>
      </c>
      <c r="X56" s="193">
        <f t="shared" si="43"/>
        <v>6040243.2815340525</v>
      </c>
      <c r="Y56" s="193">
        <f t="shared" si="43"/>
        <v>59535554.572981566</v>
      </c>
      <c r="Z56" s="193">
        <f t="shared" si="43"/>
        <v>34885751.841444433</v>
      </c>
      <c r="AA56" s="193">
        <f t="shared" si="43"/>
        <v>7654200.6205729544</v>
      </c>
      <c r="AB56" s="193">
        <f t="shared" si="43"/>
        <v>4192803.3214189024</v>
      </c>
      <c r="AC56" s="193">
        <f t="shared" si="43"/>
        <v>59189611.941047028</v>
      </c>
    </row>
    <row r="57" spans="1:88" s="63" customFormat="1" x14ac:dyDescent="0.25">
      <c r="A57" s="63" t="s">
        <v>674</v>
      </c>
      <c r="E57" s="63">
        <f>E56/E2</f>
        <v>0.11430607209385267</v>
      </c>
      <c r="F57" s="63">
        <f t="shared" ref="F57:AC57" si="44">F56/F2</f>
        <v>8.6618711710366086E-2</v>
      </c>
      <c r="G57" s="63">
        <f t="shared" si="44"/>
        <v>3.2646835275271291E-2</v>
      </c>
      <c r="H57" s="63">
        <f t="shared" si="44"/>
        <v>-0.15651112754594862</v>
      </c>
      <c r="I57" s="63">
        <f t="shared" si="44"/>
        <v>0.12077443058362233</v>
      </c>
      <c r="J57" s="63">
        <f t="shared" si="44"/>
        <v>6.4563769884529221E-2</v>
      </c>
      <c r="K57" s="63">
        <f t="shared" si="44"/>
        <v>-1.1077424174749238E-2</v>
      </c>
      <c r="L57" s="63">
        <f t="shared" si="44"/>
        <v>-0.42285375050205221</v>
      </c>
      <c r="M57" s="63">
        <f t="shared" si="44"/>
        <v>0.12079233170907264</v>
      </c>
      <c r="N57" s="63">
        <f t="shared" si="44"/>
        <v>4.8129536028065502E-2</v>
      </c>
      <c r="O57" s="63">
        <f t="shared" si="44"/>
        <v>5.7163108451860501E-3</v>
      </c>
      <c r="P57" s="63">
        <f t="shared" si="44"/>
        <v>7.4457860353876646E-4</v>
      </c>
      <c r="Q57" s="63">
        <f t="shared" si="44"/>
        <v>4.1614775708660998E-2</v>
      </c>
      <c r="R57" s="63">
        <f t="shared" si="44"/>
        <v>5.9648153480682059E-2</v>
      </c>
      <c r="S57" s="63">
        <f t="shared" si="44"/>
        <v>2.4133492668907075E-2</v>
      </c>
      <c r="T57" s="63">
        <f t="shared" si="44"/>
        <v>1.7726252466875314E-2</v>
      </c>
      <c r="U57" s="63">
        <f t="shared" si="44"/>
        <v>-4.078564974650304E-2</v>
      </c>
      <c r="V57" s="63">
        <f t="shared" si="44"/>
        <v>8.0000923493286927E-2</v>
      </c>
      <c r="W57" s="63">
        <f t="shared" si="44"/>
        <v>5.0188818500586714E-2</v>
      </c>
      <c r="X57" s="63">
        <f t="shared" si="44"/>
        <v>4.8611373215592495E-2</v>
      </c>
      <c r="Y57" s="63">
        <f t="shared" si="44"/>
        <v>8.6131787947469882E-2</v>
      </c>
      <c r="Z57" s="63">
        <f t="shared" si="44"/>
        <v>7.2819918138403508E-2</v>
      </c>
      <c r="AA57" s="63">
        <f t="shared" si="44"/>
        <v>3.0981436925370944E-2</v>
      </c>
      <c r="AB57" s="63">
        <f t="shared" si="44"/>
        <v>3.2475905300390795E-2</v>
      </c>
      <c r="AC57" s="63">
        <f t="shared" si="44"/>
        <v>7.6239988645009596E-2</v>
      </c>
    </row>
    <row r="58" spans="1:88" ht="93" customHeight="1" x14ac:dyDescent="0.25">
      <c r="A58" s="278" t="s">
        <v>675</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880072598.44000006</v>
      </c>
      <c r="F61" s="89">
        <f>股权价值增加表!F38</f>
        <v>342609077.48999995</v>
      </c>
      <c r="G61" s="89">
        <f>股权价值增加表!G38</f>
        <v>63280368.890000097</v>
      </c>
      <c r="H61" s="89">
        <f>股权价值增加表!H38</f>
        <v>-135381394.65000007</v>
      </c>
      <c r="I61" s="89">
        <f>股权价值增加表!I38</f>
        <v>487956152.1099999</v>
      </c>
      <c r="J61" s="89">
        <f>股权价值增加表!J38</f>
        <v>153808508.98000002</v>
      </c>
      <c r="K61" s="89">
        <f>股权价值增加表!K38</f>
        <v>-21440740.510000005</v>
      </c>
      <c r="L61" s="89">
        <f>股权价值增加表!L38</f>
        <v>-171430981.76999998</v>
      </c>
      <c r="M61" s="89">
        <f>股权价值增加表!M38</f>
        <v>353304237.94999999</v>
      </c>
      <c r="N61" s="89">
        <f>股权价值增加表!N38</f>
        <v>98709172.259999961</v>
      </c>
      <c r="O61" s="89">
        <f>股权价值增加表!O38</f>
        <v>6324515.4299999867</v>
      </c>
      <c r="P61" s="89">
        <f>股权价值增加表!P38</f>
        <v>2118355.5399999935</v>
      </c>
      <c r="Q61" s="89">
        <f>股权价值增加表!Q38</f>
        <v>48702076.449999936</v>
      </c>
      <c r="R61" s="89">
        <f>股权价值增加表!R38</f>
        <v>43678157.99999997</v>
      </c>
      <c r="S61" s="89">
        <f>股权价值增加表!S38</f>
        <v>8433810.4499999974</v>
      </c>
      <c r="T61" s="89">
        <f>股权价值增加表!T38</f>
        <v>2279998.4500000007</v>
      </c>
      <c r="U61" s="89">
        <f>股权价值增加表!U38</f>
        <v>-39573446.349999964</v>
      </c>
      <c r="V61" s="89">
        <f>股权价值增加表!V38</f>
        <v>50023994.869999968</v>
      </c>
      <c r="W61" s="89">
        <f>股权价值增加表!W38</f>
        <v>12889637.079999989</v>
      </c>
      <c r="X61" s="89">
        <f>股权价值增加表!X38</f>
        <v>6538346.1100000078</v>
      </c>
      <c r="Y61" s="89">
        <f>股权价值增加表!Y38</f>
        <v>81084769.580000073</v>
      </c>
      <c r="Z61" s="89">
        <f>股权价值增加表!Z38</f>
        <v>50450214.100000009</v>
      </c>
      <c r="AA61" s="89">
        <f>股权价值增加表!AA38</f>
        <v>13265464.540000021</v>
      </c>
      <c r="AB61" s="89">
        <f>股权价值增加表!AB38</f>
        <v>7150655.2099999962</v>
      </c>
      <c r="AC61" s="89">
        <f>股权价值增加表!AC38</f>
        <v>79020280.570000052</v>
      </c>
    </row>
    <row r="62" spans="1:88" s="193" customFormat="1" x14ac:dyDescent="0.25">
      <c r="A62" s="89" t="s">
        <v>679</v>
      </c>
      <c r="B62" s="89"/>
      <c r="C62" s="89"/>
      <c r="D62" s="89"/>
      <c r="E62" s="89">
        <f>股权价值增加表!E40</f>
        <v>207257786.19999999</v>
      </c>
      <c r="F62" s="89">
        <f>股权价值增加表!F40</f>
        <v>88331384.099999994</v>
      </c>
      <c r="G62" s="89">
        <f>股权价值增加表!G40</f>
        <v>26809790.16</v>
      </c>
      <c r="H62" s="89">
        <f>股权价值增加表!H40</f>
        <v>-22414988.34</v>
      </c>
      <c r="I62" s="89">
        <f>股权价值增加表!I40</f>
        <v>120458348.61</v>
      </c>
      <c r="J62" s="89">
        <f>股权价值增加表!J40</f>
        <v>41586121.020000003</v>
      </c>
      <c r="K62" s="89">
        <f>股权价值增加表!K40</f>
        <v>419706.33</v>
      </c>
      <c r="L62" s="89">
        <f>股权价值增加表!L40</f>
        <v>-32254379.350000001</v>
      </c>
      <c r="M62" s="89">
        <f>股权价值增加表!M40</f>
        <v>72732218.760000005</v>
      </c>
      <c r="N62" s="89">
        <f>股权价值增加表!N40</f>
        <v>13202545.359999999</v>
      </c>
      <c r="O62" s="89">
        <f>股权价值增加表!O40</f>
        <v>4792709.49</v>
      </c>
      <c r="P62" s="89">
        <f>股权价值增加表!P40</f>
        <v>2010840.02</v>
      </c>
      <c r="Q62" s="89">
        <f>股权价值增加表!Q40</f>
        <v>22629534.359999999</v>
      </c>
      <c r="R62" s="89">
        <f>股权价值增加表!R40</f>
        <v>18239242.059999999</v>
      </c>
      <c r="S62" s="89">
        <f>股权价值增加表!S40</f>
        <v>5093575.51</v>
      </c>
      <c r="T62" s="89">
        <f>股权价值增加表!T40</f>
        <v>1501544.26</v>
      </c>
      <c r="U62" s="89">
        <f>股权价值增加表!U40</f>
        <v>25914665.489999998</v>
      </c>
      <c r="V62" s="89">
        <f>股权价值增加表!V40</f>
        <v>14590996.800000001</v>
      </c>
      <c r="W62" s="89">
        <f>股权价值增加表!W40</f>
        <v>4409019.7699999996</v>
      </c>
      <c r="X62" s="89">
        <f>股权价值增加表!X40</f>
        <v>1778345.49</v>
      </c>
      <c r="Y62" s="89">
        <f>股权价值增加表!Y40</f>
        <v>22207066.82</v>
      </c>
      <c r="Z62" s="89">
        <f>股权价值增加表!Z40</f>
        <v>14298558.960000001</v>
      </c>
      <c r="AA62" s="89">
        <f>股权价值增加表!AA40</f>
        <v>4921641.59</v>
      </c>
      <c r="AB62" s="89">
        <f>股权价值增加表!AB40</f>
        <v>2540306.75</v>
      </c>
      <c r="AC62" s="89">
        <f>股权价值增加表!AC40</f>
        <v>20695440.82</v>
      </c>
    </row>
    <row r="63" spans="1:88" x14ac:dyDescent="0.25">
      <c r="A63" s="184" t="s">
        <v>680</v>
      </c>
      <c r="B63" s="64"/>
      <c r="C63" s="64"/>
      <c r="D63" s="64"/>
      <c r="E63" s="64">
        <f>股权价值增加表!E42</f>
        <v>672814812.24000001</v>
      </c>
      <c r="F63" s="64">
        <f>股权价值增加表!F42</f>
        <v>254277693.38999996</v>
      </c>
      <c r="G63" s="64">
        <f>股权价值增加表!G42</f>
        <v>36470578.730000094</v>
      </c>
      <c r="H63" s="64">
        <f>股权价值增加表!H42</f>
        <v>-112966406.31000006</v>
      </c>
      <c r="I63" s="64">
        <f>股权价值增加表!I42</f>
        <v>367497803.49999988</v>
      </c>
      <c r="J63" s="64">
        <f>股权价值增加表!J42</f>
        <v>112222387.96000001</v>
      </c>
      <c r="K63" s="64">
        <f>股权价值增加表!K42</f>
        <v>-21860446.840000004</v>
      </c>
      <c r="L63" s="64">
        <f>股权价值增加表!L42</f>
        <v>-139176602.41999999</v>
      </c>
      <c r="M63" s="64">
        <f>股权价值增加表!M42</f>
        <v>280572019.19</v>
      </c>
      <c r="N63" s="64">
        <f>股权价值增加表!N42</f>
        <v>85506626.899999961</v>
      </c>
      <c r="O63" s="64">
        <f>股权价值增加表!O42</f>
        <v>1531805.9399999864</v>
      </c>
      <c r="P63" s="64">
        <f>股权价值增加表!P42</f>
        <v>107515.5199999935</v>
      </c>
      <c r="Q63" s="64">
        <f>股权价值增加表!Q42</f>
        <v>26072542.089999937</v>
      </c>
      <c r="R63" s="64">
        <f>股权价值增加表!R42</f>
        <v>25438915.939999972</v>
      </c>
      <c r="S63" s="64">
        <f>股权价值增加表!S42</f>
        <v>3340234.9399999976</v>
      </c>
      <c r="T63" s="64">
        <f>股权价值增加表!T42</f>
        <v>778454.19000000064</v>
      </c>
      <c r="U63" s="64">
        <f>股权价值增加表!U42</f>
        <v>-65488111.839999959</v>
      </c>
      <c r="V63" s="64">
        <f>股权价值增加表!V42</f>
        <v>35432998.069999963</v>
      </c>
      <c r="W63" s="64">
        <f>股权价值增加表!W42</f>
        <v>8480617.3099999893</v>
      </c>
      <c r="X63" s="64">
        <f>股权价值增加表!X42</f>
        <v>4760000.6200000076</v>
      </c>
      <c r="Y63" s="64">
        <f>股权价值增加表!Y42</f>
        <v>58877702.760000072</v>
      </c>
      <c r="Z63" s="64">
        <f>股权价值增加表!Z42</f>
        <v>36151655.140000008</v>
      </c>
      <c r="AA63" s="64">
        <f>股权价值增加表!AA42</f>
        <v>8343822.9500000216</v>
      </c>
      <c r="AB63" s="64">
        <f>股权价值增加表!AB42</f>
        <v>4610348.4599999962</v>
      </c>
      <c r="AC63" s="64">
        <f>股权价值增加表!AC42</f>
        <v>58324839.750000052</v>
      </c>
    </row>
    <row r="64" spans="1:88" s="63" customFormat="1" x14ac:dyDescent="0.25">
      <c r="A64" s="214" t="s">
        <v>681</v>
      </c>
      <c r="B64" s="214"/>
      <c r="C64" s="214"/>
      <c r="D64" s="214"/>
      <c r="E64" s="214">
        <f>1-E63/E61</f>
        <v>0.23550078319377432</v>
      </c>
      <c r="F64" s="214">
        <f t="shared" ref="F64:AC64" si="46">1-F63/F61</f>
        <v>0.25781974239307248</v>
      </c>
      <c r="G64" s="214">
        <f t="shared" si="46"/>
        <v>0.42366678055564611</v>
      </c>
      <c r="H64" s="214">
        <f t="shared" si="46"/>
        <v>0.16556919359524414</v>
      </c>
      <c r="I64" s="214">
        <f t="shared" si="46"/>
        <v>0.24686305949647114</v>
      </c>
      <c r="J64" s="214">
        <f t="shared" si="46"/>
        <v>0.27037594536078313</v>
      </c>
      <c r="K64" s="214">
        <f t="shared" si="46"/>
        <v>-1.9575178842551999E-2</v>
      </c>
      <c r="L64" s="214">
        <f t="shared" si="46"/>
        <v>0.18814790078770016</v>
      </c>
      <c r="M64" s="214">
        <f t="shared" si="46"/>
        <v>0.20586285401505189</v>
      </c>
      <c r="N64" s="214">
        <f t="shared" si="46"/>
        <v>0.13375196101558318</v>
      </c>
      <c r="O64" s="214">
        <f t="shared" si="46"/>
        <v>0.75779868719523547</v>
      </c>
      <c r="P64" s="214">
        <f t="shared" si="46"/>
        <v>0.94924576258809046</v>
      </c>
      <c r="Q64" s="214">
        <f t="shared" si="46"/>
        <v>0.46465235179926356</v>
      </c>
      <c r="R64" s="214">
        <f t="shared" si="46"/>
        <v>0.41758267507526325</v>
      </c>
      <c r="S64" s="214">
        <f t="shared" si="46"/>
        <v>0.60394711740290552</v>
      </c>
      <c r="T64" s="214">
        <f t="shared" si="46"/>
        <v>0.65857249157340414</v>
      </c>
      <c r="U64" s="214">
        <f t="shared" si="46"/>
        <v>-0.65484985211554658</v>
      </c>
      <c r="V64" s="214">
        <f t="shared" si="46"/>
        <v>0.29167995954578219</v>
      </c>
      <c r="W64" s="214">
        <f t="shared" si="46"/>
        <v>0.34205926378184759</v>
      </c>
      <c r="X64" s="214">
        <f t="shared" si="46"/>
        <v>0.27198705300720127</v>
      </c>
      <c r="Y64" s="214">
        <f t="shared" si="46"/>
        <v>0.27387469847947221</v>
      </c>
      <c r="Z64" s="214">
        <f t="shared" si="46"/>
        <v>0.2834191928632469</v>
      </c>
      <c r="AA64" s="214">
        <f t="shared" si="46"/>
        <v>0.37101162761089346</v>
      </c>
      <c r="AB64" s="214">
        <f t="shared" si="46"/>
        <v>0.35525510256003534</v>
      </c>
      <c r="AC64" s="214">
        <f t="shared" si="46"/>
        <v>0.26190037128085064</v>
      </c>
    </row>
    <row r="65" spans="1:29" ht="42.6" customHeight="1" x14ac:dyDescent="0.25">
      <c r="A65" s="280" t="s">
        <v>682</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734</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702</v>
      </c>
      <c r="B69" s="285"/>
      <c r="C69" s="285"/>
      <c r="D69" s="285"/>
      <c r="E69" s="285"/>
      <c r="F69" s="257"/>
      <c r="G69" s="257"/>
      <c r="H69" s="257"/>
      <c r="I69" s="257" t="s">
        <v>706</v>
      </c>
      <c r="J69" s="257"/>
      <c r="K69" s="257"/>
      <c r="L69" s="257"/>
      <c r="M69" s="257" t="s">
        <v>707</v>
      </c>
    </row>
    <row r="70" spans="1:29" ht="57.6" x14ac:dyDescent="0.25">
      <c r="A70" s="286" t="s">
        <v>703</v>
      </c>
      <c r="B70" s="65"/>
      <c r="C70" s="65"/>
      <c r="D70" s="65"/>
      <c r="E70" s="65" t="s">
        <v>704</v>
      </c>
      <c r="F70" s="65"/>
      <c r="G70" s="65"/>
      <c r="H70" s="65"/>
      <c r="I70" s="258" t="s">
        <v>708</v>
      </c>
      <c r="J70" s="259"/>
      <c r="K70" s="259"/>
      <c r="L70" s="259"/>
      <c r="M70" s="258" t="s">
        <v>709</v>
      </c>
    </row>
    <row r="71" spans="1:29" ht="54.6" customHeight="1" x14ac:dyDescent="0.25">
      <c r="A71" s="286"/>
      <c r="B71" s="65"/>
      <c r="C71" s="65"/>
      <c r="D71" s="65"/>
      <c r="E71" s="65" t="s">
        <v>705</v>
      </c>
      <c r="F71" s="65"/>
      <c r="G71" s="65"/>
      <c r="H71" s="65"/>
      <c r="I71" s="258" t="s">
        <v>710</v>
      </c>
      <c r="J71" s="259"/>
      <c r="K71" s="259"/>
      <c r="L71" s="259"/>
      <c r="M71" s="258" t="s">
        <v>711</v>
      </c>
    </row>
    <row r="72" spans="1:29" ht="57.6" x14ac:dyDescent="0.25">
      <c r="A72" s="286" t="s">
        <v>719</v>
      </c>
      <c r="B72" s="65"/>
      <c r="C72" s="65"/>
      <c r="D72" s="65"/>
      <c r="E72" s="65" t="s">
        <v>712</v>
      </c>
      <c r="F72" s="65"/>
      <c r="G72" s="65"/>
      <c r="H72" s="65"/>
      <c r="I72" s="258" t="s">
        <v>720</v>
      </c>
      <c r="J72" s="259"/>
      <c r="K72" s="259"/>
      <c r="L72" s="259"/>
      <c r="M72" s="258" t="s">
        <v>721</v>
      </c>
    </row>
    <row r="73" spans="1:29" ht="43.2" x14ac:dyDescent="0.25">
      <c r="A73" s="286"/>
      <c r="B73" s="65"/>
      <c r="C73" s="65"/>
      <c r="D73" s="65"/>
      <c r="E73" s="65" t="s">
        <v>713</v>
      </c>
      <c r="F73" s="65"/>
      <c r="G73" s="65"/>
      <c r="H73" s="65"/>
      <c r="I73" s="258" t="s">
        <v>722</v>
      </c>
      <c r="J73" s="259"/>
      <c r="K73" s="259"/>
      <c r="L73" s="259"/>
      <c r="M73" s="258" t="s">
        <v>723</v>
      </c>
    </row>
    <row r="74" spans="1:29" ht="72" x14ac:dyDescent="0.25">
      <c r="A74" s="286"/>
      <c r="B74" s="65"/>
      <c r="C74" s="65"/>
      <c r="D74" s="65"/>
      <c r="E74" s="65" t="s">
        <v>714</v>
      </c>
      <c r="F74" s="65"/>
      <c r="G74" s="65"/>
      <c r="H74" s="65"/>
      <c r="I74" s="258" t="s">
        <v>724</v>
      </c>
      <c r="J74" s="259"/>
      <c r="K74" s="259"/>
      <c r="L74" s="259"/>
      <c r="M74" s="258" t="s">
        <v>725</v>
      </c>
    </row>
    <row r="75" spans="1:29" ht="72" x14ac:dyDescent="0.25">
      <c r="A75" s="286"/>
      <c r="B75" s="65"/>
      <c r="C75" s="65"/>
      <c r="D75" s="65"/>
      <c r="E75" s="65" t="s">
        <v>715</v>
      </c>
      <c r="F75" s="65"/>
      <c r="G75" s="65"/>
      <c r="H75" s="65"/>
      <c r="I75" s="258" t="s">
        <v>726</v>
      </c>
      <c r="J75" s="259"/>
      <c r="K75" s="259"/>
      <c r="L75" s="259"/>
      <c r="M75" s="258" t="s">
        <v>727</v>
      </c>
    </row>
    <row r="76" spans="1:29" x14ac:dyDescent="0.25">
      <c r="A76" s="286"/>
      <c r="B76" s="65"/>
      <c r="C76" s="65"/>
      <c r="D76" s="65"/>
      <c r="E76" s="65" t="s">
        <v>716</v>
      </c>
      <c r="F76" s="65"/>
      <c r="G76" s="65"/>
      <c r="H76" s="65"/>
      <c r="I76" s="258" t="s">
        <v>728</v>
      </c>
      <c r="J76" s="259"/>
      <c r="K76" s="259"/>
      <c r="L76" s="259"/>
      <c r="M76" s="258" t="s">
        <v>729</v>
      </c>
    </row>
    <row r="77" spans="1:29" ht="57.6" x14ac:dyDescent="0.25">
      <c r="A77" s="286"/>
      <c r="B77" s="65"/>
      <c r="C77" s="65"/>
      <c r="D77" s="65"/>
      <c r="E77" s="65" t="s">
        <v>717</v>
      </c>
      <c r="F77" s="65"/>
      <c r="G77" s="65"/>
      <c r="H77" s="65"/>
      <c r="I77" s="258" t="s">
        <v>730</v>
      </c>
      <c r="J77" s="259"/>
      <c r="K77" s="259"/>
      <c r="L77" s="259"/>
      <c r="M77" s="258" t="s">
        <v>731</v>
      </c>
    </row>
    <row r="78" spans="1:29" ht="57.6" x14ac:dyDescent="0.25">
      <c r="A78" s="286"/>
      <c r="B78" s="65"/>
      <c r="C78" s="65"/>
      <c r="D78" s="65"/>
      <c r="E78" s="65" t="s">
        <v>718</v>
      </c>
      <c r="F78" s="65"/>
      <c r="G78" s="65"/>
      <c r="H78" s="65"/>
      <c r="I78" s="258" t="s">
        <v>732</v>
      </c>
      <c r="J78" s="259"/>
      <c r="K78" s="259"/>
      <c r="L78" s="259"/>
      <c r="M78" s="258"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51"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5" width="18.33203125" hidden="1" customWidth="1"/>
    <col min="16" max="16" width="17.21875" hidden="1" customWidth="1"/>
    <col min="17" max="17" width="17.21875" bestFit="1" customWidth="1"/>
    <col min="18" max="19" width="18.33203125" hidden="1" customWidth="1"/>
    <col min="20" max="20" width="17.21875" hidden="1" customWidth="1"/>
    <col min="21" max="21" width="18.33203125" bestFit="1" customWidth="1"/>
    <col min="22" max="23" width="18.33203125" hidden="1" customWidth="1"/>
    <col min="24" max="24" width="17.21875" hidden="1" customWidth="1"/>
    <col min="25" max="25" width="17.21875" bestFit="1" customWidth="1"/>
    <col min="26" max="26" width="17.21875" hidden="1" customWidth="1"/>
    <col min="27" max="27" width="18.33203125" hidden="1" customWidth="1"/>
    <col min="28" max="28" width="17.21875" hidden="1" customWidth="1"/>
    <col min="29" max="29" width="17.21875" bestFit="1" customWidth="1"/>
    <col min="30" max="30" width="18.332031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9.33203125" bestFit="1" customWidth="1"/>
    <col min="62" max="62" width="19.33203125" hidden="1" customWidth="1"/>
    <col min="63" max="84" width="19.33203125" bestFit="1" customWidth="1"/>
    <col min="85" max="87" width="17.21875" bestFit="1" customWidth="1"/>
    <col min="88" max="89" width="16.10937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672814812.24000001</v>
      </c>
      <c r="F2" s="26">
        <f>股权价值增加表!F42</f>
        <v>254277693.38999996</v>
      </c>
      <c r="G2" s="26">
        <f>股权价值增加表!G42</f>
        <v>36470578.730000094</v>
      </c>
      <c r="H2" s="26">
        <f>股权价值增加表!H42</f>
        <v>-112966406.31000006</v>
      </c>
      <c r="I2" s="26">
        <f>股权价值增加表!I42</f>
        <v>367497803.49999988</v>
      </c>
      <c r="J2" s="26">
        <f>股权价值增加表!J42</f>
        <v>112222387.96000001</v>
      </c>
      <c r="K2" s="26">
        <f>股权价值增加表!K42</f>
        <v>-21860446.840000004</v>
      </c>
      <c r="L2" s="26">
        <f>股权价值增加表!L42</f>
        <v>-139176602.41999999</v>
      </c>
      <c r="M2" s="26">
        <f>股权价值增加表!M42</f>
        <v>280572019.19</v>
      </c>
      <c r="N2" s="26">
        <f>股权价值增加表!N42</f>
        <v>85506626.899999961</v>
      </c>
      <c r="O2" s="26">
        <f>股权价值增加表!O42</f>
        <v>1531805.9399999864</v>
      </c>
      <c r="P2" s="26">
        <f>股权价值增加表!P42</f>
        <v>107515.5199999935</v>
      </c>
      <c r="Q2" s="26">
        <f>股权价值增加表!Q42</f>
        <v>26072542.089999937</v>
      </c>
      <c r="R2" s="26">
        <f>股权价值增加表!R42</f>
        <v>25438915.939999972</v>
      </c>
      <c r="S2" s="26">
        <f>股权价值增加表!S42</f>
        <v>3340234.9399999976</v>
      </c>
      <c r="T2" s="26">
        <f>股权价值增加表!T42</f>
        <v>778454.19000000064</v>
      </c>
      <c r="U2" s="26">
        <f>股权价值增加表!U42</f>
        <v>-65488111.839999959</v>
      </c>
      <c r="V2" s="26">
        <f>股权价值增加表!V42</f>
        <v>35432998.069999963</v>
      </c>
      <c r="W2" s="26">
        <f>股权价值增加表!W42</f>
        <v>8480617.3099999893</v>
      </c>
      <c r="X2" s="26">
        <f>股权价值增加表!X42</f>
        <v>4760000.6200000076</v>
      </c>
      <c r="Y2" s="26">
        <f>股权价值增加表!Y42</f>
        <v>58877702.760000072</v>
      </c>
      <c r="Z2" s="26">
        <f>股权价值增加表!Z42</f>
        <v>36151655.140000008</v>
      </c>
      <c r="AA2" s="26">
        <f>股权价值增加表!AA42</f>
        <v>8343822.9500000216</v>
      </c>
      <c r="AB2" s="26">
        <f>股权价值增加表!AB42</f>
        <v>4610348.4599999962</v>
      </c>
      <c r="AC2" s="26">
        <f>股权价值增加表!AC42</f>
        <v>58324839.750000052</v>
      </c>
      <c r="AD2" s="26">
        <f>股权价值增加表!AD42</f>
        <v>31014853.869999923</v>
      </c>
      <c r="AE2" s="26">
        <f>股权价值增加表!AE42</f>
        <v>7504657.2999999821</v>
      </c>
      <c r="AF2" s="26">
        <f>股权价值增加表!AF42</f>
        <v>5151978.1899999967</v>
      </c>
      <c r="AG2" s="26">
        <f>股权价值增加表!AG42</f>
        <v>24376002.670000009</v>
      </c>
      <c r="AH2" s="26">
        <f>股权价值增加表!AH42</f>
        <v>17017660.519999988</v>
      </c>
      <c r="AI2" s="26">
        <f>股权价值增加表!AI42</f>
        <v>5750465.330000014</v>
      </c>
      <c r="AJ2" s="26">
        <f>股权价值增加表!AJ42</f>
        <v>3801149.3100000108</v>
      </c>
      <c r="AK2" s="26">
        <f>股权价值增加表!AK42</f>
        <v>17416030.959999979</v>
      </c>
      <c r="AL2" s="26">
        <f>股权价值增加表!AL42</f>
        <v>12979604.360000035</v>
      </c>
      <c r="AM2" s="26">
        <f>股权价值增加表!AM42</f>
        <v>4247313.3399999943</v>
      </c>
      <c r="AN2" s="26">
        <f>股权价值增加表!AN42</f>
        <v>2833742.0299999937</v>
      </c>
      <c r="AO2" s="26">
        <f>股权价值增加表!AO42</f>
        <v>13812249.279999999</v>
      </c>
      <c r="AP2" s="26">
        <f>股权价值增加表!AP42</f>
        <v>11639330.21999998</v>
      </c>
      <c r="AQ2" s="26">
        <f>股权价值增加表!AQ42</f>
        <v>4374064.3599999808</v>
      </c>
      <c r="AR2" s="26">
        <f>股权价值增加表!AR42</f>
        <v>2877945.9199999981</v>
      </c>
      <c r="AS2" s="26">
        <f>股权价值增加表!AS42</f>
        <v>26911995.609999973</v>
      </c>
      <c r="AT2" s="26">
        <f>股权价值增加表!AT42</f>
        <v>22743686.749999989</v>
      </c>
      <c r="AU2" s="26">
        <f>股权价值增加表!AU42</f>
        <v>7442870.0300000031</v>
      </c>
      <c r="AV2" s="26">
        <f>股权价值增加表!AV42</f>
        <v>4464330.519999993</v>
      </c>
      <c r="AW2" s="26">
        <f>股权价值增加表!AW42</f>
        <v>27963222.630000066</v>
      </c>
      <c r="AX2" s="26">
        <f>股权价值增加表!AX42</f>
        <v>22137475.440000031</v>
      </c>
      <c r="AY2" s="26">
        <f>股权价值增加表!AY42</f>
        <v>6284476.8499999801</v>
      </c>
      <c r="AZ2" s="26">
        <f>股权价值增加表!AZ42</f>
        <v>3948762.0099999928</v>
      </c>
      <c r="BA2" s="26">
        <f>股权价值增加表!BA42</f>
        <v>23733398.870000012</v>
      </c>
      <c r="BB2" s="26">
        <f>股权价值增加表!BB42</f>
        <v>16748030.470000016</v>
      </c>
      <c r="BC2" s="26">
        <f>股权价值增加表!BC42</f>
        <v>3427701.9199999846</v>
      </c>
      <c r="BD2" s="26">
        <f>股权价值增加表!BD42</f>
        <v>2295888.0800000019</v>
      </c>
      <c r="BE2" s="26">
        <f>股权价值增加表!BE42</f>
        <v>22097272.940000035</v>
      </c>
      <c r="BF2" s="26">
        <f>股权价值增加表!BF42</f>
        <v>14015862.020000044</v>
      </c>
      <c r="BG2" s="26">
        <f>股权价值增加表!BG42</f>
        <v>2412171.8700000099</v>
      </c>
      <c r="BH2" s="26">
        <f>股权价值增加表!BH42</f>
        <v>22458964.499999981</v>
      </c>
      <c r="BI2" s="26">
        <f>股权价值增加表!BI42</f>
        <v>17799326.819999985</v>
      </c>
      <c r="BJ2" s="26">
        <f>股权价值增加表!BJ42</f>
        <v>0</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6902872091.8999996</v>
      </c>
      <c r="F3" s="26">
        <f>资产资本表!F107</f>
        <v>3839391237.1199999</v>
      </c>
      <c r="G3" s="26">
        <f>资产资本表!G107</f>
        <v>3603259961.5200005</v>
      </c>
      <c r="H3" s="26">
        <f>资产资本表!H107</f>
        <v>3476992311.9700003</v>
      </c>
      <c r="I3" s="26">
        <f>资产资本表!I107</f>
        <v>3583924066.8499999</v>
      </c>
      <c r="J3" s="26">
        <f>资产资本表!J107</f>
        <v>3336239965.3200002</v>
      </c>
      <c r="K3" s="26">
        <f>资产资本表!K107</f>
        <v>3255200771.9900002</v>
      </c>
      <c r="L3" s="26">
        <f>资产资本表!L107</f>
        <v>3109351322.9200001</v>
      </c>
      <c r="M3" s="26">
        <f>资产资本表!M107</f>
        <v>3241527925.3400002</v>
      </c>
      <c r="N3" s="26">
        <f>资产资本表!N107</f>
        <v>2951750128.5999999</v>
      </c>
      <c r="O3" s="26">
        <f>资产资本表!O107</f>
        <v>440303637.82999998</v>
      </c>
      <c r="P3" s="26">
        <f>资产资本表!P107</f>
        <v>452429120.55000001</v>
      </c>
      <c r="Q3" s="26">
        <f>资产资本表!Q107</f>
        <v>448112981.39999998</v>
      </c>
      <c r="R3" s="26">
        <f>资产资本表!R107</f>
        <v>453870276.15000004</v>
      </c>
      <c r="S3" s="26">
        <f>资产资本表!S107</f>
        <v>426116392.37</v>
      </c>
      <c r="T3" s="26">
        <f>资产资本表!T107</f>
        <v>431349959.06999999</v>
      </c>
      <c r="U3" s="26">
        <f>资产资本表!U107</f>
        <v>426816791.44000006</v>
      </c>
      <c r="V3" s="26">
        <f>资产资本表!V107</f>
        <v>477814642.62</v>
      </c>
      <c r="W3" s="26">
        <f>资产资本表!W107</f>
        <v>450862261.86000001</v>
      </c>
      <c r="X3" s="26">
        <f>资产资本表!X107</f>
        <v>492994219.73000002</v>
      </c>
      <c r="Y3" s="26">
        <f>资产资本表!Y107</f>
        <v>488234219.13999999</v>
      </c>
      <c r="Z3" s="26">
        <f>资产资本表!Z107</f>
        <v>408435221.54000002</v>
      </c>
      <c r="AA3" s="26">
        <f>资产资本表!AA107</f>
        <v>380627389.35000002</v>
      </c>
      <c r="AB3" s="26">
        <f>资产资本表!AB107</f>
        <v>400532487.43000001</v>
      </c>
      <c r="AC3" s="26">
        <f>资产资本表!AC107</f>
        <v>395884939.36000001</v>
      </c>
      <c r="AD3" s="26">
        <f>资产资本表!AD107</f>
        <v>369365533.97000003</v>
      </c>
      <c r="AE3" s="26">
        <f>资产资本表!AE107</f>
        <v>345855337.39999998</v>
      </c>
      <c r="AF3" s="26">
        <f>资产资本表!AF107</f>
        <v>352818517.24000001</v>
      </c>
      <c r="AG3" s="26">
        <f>资产资本表!AG107</f>
        <v>347622442.78000003</v>
      </c>
      <c r="AH3" s="26">
        <f>资产资本表!AH107</f>
        <v>340272474.61000001</v>
      </c>
      <c r="AI3" s="26">
        <f>资产资本表!AI107</f>
        <v>329236905.42999995</v>
      </c>
      <c r="AJ3" s="26">
        <f>资产资本表!AJ107</f>
        <v>342502968.53000003</v>
      </c>
      <c r="AK3" s="26">
        <f>资产资本表!AK107</f>
        <v>338679644.94</v>
      </c>
      <c r="AL3" s="26">
        <f>资产资本表!AL107</f>
        <v>334403218.31999999</v>
      </c>
      <c r="AM3" s="26">
        <f>资产资本表!AM107</f>
        <v>325670927.31999999</v>
      </c>
      <c r="AN3" s="26">
        <f>资产资本表!AN107</f>
        <v>333514320.54000002</v>
      </c>
      <c r="AO3" s="26">
        <f>资产资本表!AO107</f>
        <v>330681077.72000003</v>
      </c>
      <c r="AP3" s="26">
        <f>资产资本表!AP107</f>
        <v>328037204.15999997</v>
      </c>
      <c r="AQ3" s="26">
        <f>资产资本表!AQ107</f>
        <v>322269181.74000001</v>
      </c>
      <c r="AR3" s="26">
        <f>资产资本表!AR107</f>
        <v>319871563.45000005</v>
      </c>
      <c r="AS3" s="26">
        <f>资产资本表!AS107</f>
        <v>316993617.54000002</v>
      </c>
      <c r="AT3" s="26">
        <f>资产资本表!AT107</f>
        <v>311675467.13</v>
      </c>
      <c r="AU3" s="26">
        <f>资产资本表!AU107</f>
        <v>296571476.04000002</v>
      </c>
      <c r="AV3" s="26">
        <f>资产资本表!AV107</f>
        <v>310169394.54000002</v>
      </c>
      <c r="AW3" s="26">
        <f>资产资本表!AW107</f>
        <v>305754012.97000003</v>
      </c>
      <c r="AX3" s="26">
        <f>资产资本表!AX107</f>
        <v>299992255.19</v>
      </c>
      <c r="AY3" s="26">
        <f>资产资本表!AY107</f>
        <v>284163393.33999997</v>
      </c>
      <c r="AZ3" s="26">
        <f>资产资本表!AZ107</f>
        <v>294789176.83000004</v>
      </c>
      <c r="BA3" s="26">
        <f>资产资本表!BA107</f>
        <v>291094580.5</v>
      </c>
      <c r="BB3" s="26">
        <f>资产资本表!BB107</f>
        <v>312235581.91999996</v>
      </c>
      <c r="BC3" s="26">
        <f>资产资本表!BC107</f>
        <v>298900963.18000001</v>
      </c>
      <c r="BD3" s="26">
        <f>资产资本表!BD107</f>
        <v>151809450.71000001</v>
      </c>
      <c r="BE3" s="26">
        <f>资产资本表!BE107</f>
        <v>145145762.82999998</v>
      </c>
      <c r="BF3" s="26">
        <f>资产资本表!BF107</f>
        <v>126785218.7</v>
      </c>
      <c r="BG3" s="26">
        <f>资产资本表!BG107</f>
        <v>0</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9.7468822148609344E-2</v>
      </c>
      <c r="F4" s="59">
        <f t="shared" ref="F4:BQ4" si="0">F2/F3</f>
        <v>6.6228648680445104E-2</v>
      </c>
      <c r="G4" s="59">
        <f t="shared" si="0"/>
        <v>1.0121550795523321E-2</v>
      </c>
      <c r="H4" s="59">
        <f t="shared" si="0"/>
        <v>-3.2489691139407598E-2</v>
      </c>
      <c r="I4" s="59">
        <f t="shared" si="0"/>
        <v>0.10254062213516785</v>
      </c>
      <c r="J4" s="59">
        <f t="shared" si="0"/>
        <v>3.3637384938297162E-2</v>
      </c>
      <c r="K4" s="59">
        <f t="shared" si="0"/>
        <v>-6.7155448684156176E-3</v>
      </c>
      <c r="L4" s="59">
        <f t="shared" si="0"/>
        <v>-4.4760655186850636E-2</v>
      </c>
      <c r="M4" s="59">
        <f t="shared" si="0"/>
        <v>8.655548421985941E-2</v>
      </c>
      <c r="N4" s="59">
        <f t="shared" si="0"/>
        <v>2.8968111518489312E-2</v>
      </c>
      <c r="O4" s="59">
        <f t="shared" si="0"/>
        <v>3.4789763435736421E-3</v>
      </c>
      <c r="P4" s="59">
        <f t="shared" si="0"/>
        <v>2.3764058305816206E-4</v>
      </c>
      <c r="Q4" s="59">
        <f t="shared" si="0"/>
        <v>5.8182965395342456E-2</v>
      </c>
      <c r="R4" s="59">
        <f t="shared" si="0"/>
        <v>5.6048869636910609E-2</v>
      </c>
      <c r="S4" s="59">
        <f t="shared" si="0"/>
        <v>7.8387853643040496E-3</v>
      </c>
      <c r="T4" s="59">
        <f t="shared" si="0"/>
        <v>1.8046928569979814E-3</v>
      </c>
      <c r="U4" s="59">
        <f t="shared" si="0"/>
        <v>-0.15343377569344288</v>
      </c>
      <c r="V4" s="59">
        <f t="shared" si="0"/>
        <v>7.4156367154657052E-2</v>
      </c>
      <c r="W4" s="59">
        <f t="shared" si="0"/>
        <v>1.8809774131491531E-2</v>
      </c>
      <c r="X4" s="59">
        <f t="shared" si="0"/>
        <v>9.6552868766026003E-3</v>
      </c>
      <c r="Y4" s="59">
        <f t="shared" si="0"/>
        <v>0.12059315068843431</v>
      </c>
      <c r="Z4" s="59">
        <f t="shared" si="0"/>
        <v>8.8512579800759189E-2</v>
      </c>
      <c r="AA4" s="59">
        <f t="shared" si="0"/>
        <v>2.1921236315255256E-2</v>
      </c>
      <c r="AB4" s="59">
        <f t="shared" si="0"/>
        <v>1.1510548094568071E-2</v>
      </c>
      <c r="AC4" s="59">
        <f t="shared" si="0"/>
        <v>0.14732775599973522</v>
      </c>
      <c r="AD4" s="59">
        <f t="shared" si="0"/>
        <v>8.3967915296934439E-2</v>
      </c>
      <c r="AE4" s="59">
        <f t="shared" si="0"/>
        <v>2.169883326484694E-2</v>
      </c>
      <c r="AF4" s="59">
        <f t="shared" si="0"/>
        <v>1.460234635727873E-2</v>
      </c>
      <c r="AG4" s="59">
        <f t="shared" si="0"/>
        <v>7.0122062531580737E-2</v>
      </c>
      <c r="AH4" s="59">
        <f t="shared" si="0"/>
        <v>5.0011863403011406E-2</v>
      </c>
      <c r="AI4" s="59">
        <f t="shared" si="0"/>
        <v>1.7466041124671663E-2</v>
      </c>
      <c r="AJ4" s="59">
        <f t="shared" si="0"/>
        <v>1.1098149970244903E-2</v>
      </c>
      <c r="AK4" s="59">
        <f t="shared" si="0"/>
        <v>5.1423317640141547E-2</v>
      </c>
      <c r="AL4" s="59">
        <f t="shared" si="0"/>
        <v>3.8814232785222419E-2</v>
      </c>
      <c r="AM4" s="59">
        <f t="shared" si="0"/>
        <v>1.3041733184327626E-2</v>
      </c>
      <c r="AN4" s="59">
        <f t="shared" si="0"/>
        <v>8.496612755373811E-3</v>
      </c>
      <c r="AO4" s="59">
        <f t="shared" si="0"/>
        <v>4.1769094788348747E-2</v>
      </c>
      <c r="AP4" s="59">
        <f t="shared" si="0"/>
        <v>3.5481738267476831E-2</v>
      </c>
      <c r="AQ4" s="59">
        <f t="shared" si="0"/>
        <v>1.3572704458997522E-2</v>
      </c>
      <c r="AR4" s="59">
        <f t="shared" si="0"/>
        <v>8.9971921509986209E-3</v>
      </c>
      <c r="AS4" s="59">
        <f t="shared" si="0"/>
        <v>8.4897594528394779E-2</v>
      </c>
      <c r="AT4" s="59">
        <f t="shared" si="0"/>
        <v>7.2972335485466958E-2</v>
      </c>
      <c r="AU4" s="59">
        <f t="shared" si="0"/>
        <v>2.5096378550566161E-2</v>
      </c>
      <c r="AV4" s="59">
        <f t="shared" si="0"/>
        <v>1.4393201259011596E-2</v>
      </c>
      <c r="AW4" s="59">
        <f t="shared" si="0"/>
        <v>9.1456600547524983E-2</v>
      </c>
      <c r="AX4" s="59">
        <f t="shared" si="0"/>
        <v>7.3793489855193989E-2</v>
      </c>
      <c r="AY4" s="59">
        <f t="shared" si="0"/>
        <v>2.2115715807491915E-2</v>
      </c>
      <c r="AZ4" s="59">
        <f t="shared" si="0"/>
        <v>1.3395206881279693E-2</v>
      </c>
      <c r="BA4" s="59">
        <f t="shared" si="0"/>
        <v>8.1531572416203096E-2</v>
      </c>
      <c r="BB4" s="59">
        <f t="shared" si="0"/>
        <v>5.3639083563163999E-2</v>
      </c>
      <c r="BC4" s="59">
        <f t="shared" si="0"/>
        <v>1.1467684424743059E-2</v>
      </c>
      <c r="BD4" s="59">
        <f t="shared" si="0"/>
        <v>1.512348585191717E-2</v>
      </c>
      <c r="BE4" s="59">
        <f t="shared" si="0"/>
        <v>0.1522419429210701</v>
      </c>
      <c r="BF4" s="59">
        <f t="shared" si="0"/>
        <v>0.11054807621671156</v>
      </c>
      <c r="BG4" s="59" t="e">
        <f t="shared" si="0"/>
        <v>#DIV/0!</v>
      </c>
      <c r="BH4" s="59">
        <f t="shared" si="0"/>
        <v>4.6732518524517557E-3</v>
      </c>
      <c r="BI4" s="59">
        <f t="shared" si="0"/>
        <v>3.8293491700011869E-3</v>
      </c>
      <c r="BJ4" s="59">
        <f t="shared" si="0"/>
        <v>0</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120585044.88800001</v>
      </c>
      <c r="F5" s="26">
        <f>股权价值增加表!F47</f>
        <v>-52873605.579600066</v>
      </c>
      <c r="G5" s="26">
        <f>股权价值增加表!G47</f>
        <v>-251790218.19159991</v>
      </c>
      <c r="H5" s="26">
        <f>股权价值增加表!H47</f>
        <v>-391125791.26760006</v>
      </c>
      <c r="I5" s="26">
        <f>股权价值增加表!I47</f>
        <v>80783878.151999891</v>
      </c>
      <c r="J5" s="26">
        <f>股权价值增加表!J47</f>
        <v>-154676809.26560003</v>
      </c>
      <c r="K5" s="26">
        <f>股权价值增加表!K47</f>
        <v>-282276508.59920001</v>
      </c>
      <c r="L5" s="26">
        <f>股权价值增加表!L47</f>
        <v>-387924708.2536</v>
      </c>
      <c r="M5" s="26">
        <f>股权价值增加表!M47</f>
        <v>21249785.162799984</v>
      </c>
      <c r="N5" s="26">
        <f>股权价值增加表!N47</f>
        <v>-150633383.38800001</v>
      </c>
      <c r="O5" s="26">
        <f>股权价值增加表!O47</f>
        <v>-33692485.086400017</v>
      </c>
      <c r="P5" s="26">
        <f>股权价值增加表!P47</f>
        <v>-36086814.124000005</v>
      </c>
      <c r="Q5" s="26">
        <f>股权价值增加表!Q47</f>
        <v>-9776496.4220000654</v>
      </c>
      <c r="R5" s="26">
        <f>股权价值增加表!R47</f>
        <v>-10870706.152000029</v>
      </c>
      <c r="S5" s="26">
        <f>股权价值增加表!S47</f>
        <v>-30749076.449600004</v>
      </c>
      <c r="T5" s="26">
        <f>股权价值增加表!T47</f>
        <v>-33729542.535599999</v>
      </c>
      <c r="U5" s="26">
        <f>股权价值增加表!U47</f>
        <v>-99633455.15519996</v>
      </c>
      <c r="V5" s="26">
        <f>股权价值增加表!V47</f>
        <v>-2792173.3396000415</v>
      </c>
      <c r="W5" s="26">
        <f>股权价值增加表!W47</f>
        <v>-27588363.638800018</v>
      </c>
      <c r="X5" s="26">
        <f>股权价值增加表!X47</f>
        <v>-34679536.958399996</v>
      </c>
      <c r="Y5" s="26">
        <f>股权价值增加表!Y47</f>
        <v>19818965.228800073</v>
      </c>
      <c r="Z5" s="26">
        <f>股权价值增加表!Z47</f>
        <v>3476837.4168000072</v>
      </c>
      <c r="AA5" s="26">
        <f>股权价值增加表!AA47</f>
        <v>-22106368.19799998</v>
      </c>
      <c r="AB5" s="26">
        <f>股权价值增加表!AB47</f>
        <v>-27432250.534400005</v>
      </c>
      <c r="AC5" s="26">
        <f>股权价值增加表!AC47</f>
        <v>26654044.601200052</v>
      </c>
      <c r="AD5" s="26">
        <f>股权价值增加表!AD47</f>
        <v>1465611.1523999199</v>
      </c>
      <c r="AE5" s="26">
        <f>股权价值增加表!AE47</f>
        <v>-20163769.692000017</v>
      </c>
      <c r="AF5" s="26">
        <f>股权价值增加表!AF47</f>
        <v>-23073503.189200003</v>
      </c>
      <c r="AG5" s="26">
        <f>股权价值增加表!AG47</f>
        <v>-3433792.7523999885</v>
      </c>
      <c r="AH5" s="26">
        <f>股权价值增加表!AH47</f>
        <v>-10204137.448800012</v>
      </c>
      <c r="AI5" s="26">
        <f>股权价值增加表!AI47</f>
        <v>-20588487.104399987</v>
      </c>
      <c r="AJ5" s="26">
        <f>股权价值增加表!AJ47</f>
        <v>-23599088.17239999</v>
      </c>
      <c r="AK5" s="26">
        <f>股权价值增加表!AK47</f>
        <v>-9678340.6352000237</v>
      </c>
      <c r="AL5" s="26">
        <f>股权价值增加表!AL47</f>
        <v>-13772653.105599964</v>
      </c>
      <c r="AM5" s="26">
        <f>股权价值增加表!AM47</f>
        <v>-21806360.845600009</v>
      </c>
      <c r="AN5" s="26">
        <f>股权价值增加表!AN47</f>
        <v>-23847403.613200009</v>
      </c>
      <c r="AO5" s="26">
        <f>股权价值增加表!AO47</f>
        <v>-12642236.937600004</v>
      </c>
      <c r="AP5" s="26">
        <f>股权价值增加表!AP47</f>
        <v>-14603646.112800021</v>
      </c>
      <c r="AQ5" s="26">
        <f>股权价值增加表!AQ47</f>
        <v>-21407470.17920002</v>
      </c>
      <c r="AR5" s="26">
        <f>股权价值增加表!AR47</f>
        <v>-22711779.156000003</v>
      </c>
      <c r="AS5" s="26">
        <f>股权价值增加表!AS47</f>
        <v>1552506.2067999728</v>
      </c>
      <c r="AT5" s="26">
        <f>股权价值增加表!AT47</f>
        <v>-2190350.6204000115</v>
      </c>
      <c r="AU5" s="26">
        <f>股权价值增加表!AU47</f>
        <v>-16282848.053200001</v>
      </c>
      <c r="AV5" s="26">
        <f>股权价值增加表!AV47</f>
        <v>-20349221.043200009</v>
      </c>
      <c r="AW5" s="26">
        <f>股权价值增加表!AW47</f>
        <v>3502901.5924000628</v>
      </c>
      <c r="AX5" s="26">
        <f>股权价值增加表!AX47</f>
        <v>-1861904.9751999676</v>
      </c>
      <c r="AY5" s="26">
        <f>股权价值增加表!AY47</f>
        <v>-16448594.617200021</v>
      </c>
      <c r="AZ5" s="26">
        <f>股权价值增加表!AZ47</f>
        <v>-19634372.136400007</v>
      </c>
      <c r="BA5" s="26">
        <f>股权价值增加表!BA47</f>
        <v>445832.43000001088</v>
      </c>
      <c r="BB5" s="26">
        <f>股权价值增加表!BB47</f>
        <v>-8230816.0835999865</v>
      </c>
      <c r="BC5" s="26">
        <f>股权价值增加表!BC47</f>
        <v>-20484375.134400018</v>
      </c>
      <c r="BD5" s="26">
        <f>股权价值增加表!BD47</f>
        <v>-9848867.9767999984</v>
      </c>
      <c r="BE5" s="26">
        <f>股权价值增加表!BE47</f>
        <v>10485611.913600033</v>
      </c>
      <c r="BF5" s="26">
        <f>股权价值增加表!BF47</f>
        <v>3873044.524000043</v>
      </c>
      <c r="BG5" s="26">
        <f>股权价值增加表!BG47</f>
        <v>2412171.8700000099</v>
      </c>
      <c r="BH5" s="26">
        <f>股权价值增加表!BH47</f>
        <v>22458964.499999981</v>
      </c>
      <c r="BI5" s="26">
        <f>股权价值增加表!BI47</f>
        <v>17799326.819999985</v>
      </c>
      <c r="BJ5" s="26">
        <f>股权价值增加表!BJ47</f>
        <v>0</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0.16073063937721152</v>
      </c>
      <c r="F6" s="158">
        <f>股权价值增加表!F31/股权价值增加表!F4</f>
        <v>0.13930292627024971</v>
      </c>
      <c r="G6" s="158">
        <f>股权价值增加表!G31/股权价值增加表!G4</f>
        <v>6.5338682719528959E-2</v>
      </c>
      <c r="H6" s="158">
        <f>股权价值增加表!H31/股权价值增加表!H4</f>
        <v>-0.21292366418455402</v>
      </c>
      <c r="I6" s="158">
        <f>股权价值增加表!I31/股权价值增加表!I4</f>
        <v>0.17361116526350553</v>
      </c>
      <c r="J6" s="158">
        <f>股权价值增加表!J31/股权价值增加表!J4</f>
        <v>9.5165662614958013E-2</v>
      </c>
      <c r="K6" s="158">
        <f>股权价值增加表!K31/股权价值增加表!K4</f>
        <v>-6.2667686535122155E-3</v>
      </c>
      <c r="L6" s="158">
        <f>股权价值增加表!L31/股权价值增加表!L4</f>
        <v>-0.53029202892008209</v>
      </c>
      <c r="M6" s="158">
        <f>股权价值增加表!M31/股权价值增加表!M4</f>
        <v>0.17903729924250569</v>
      </c>
      <c r="N6" s="158">
        <f>股权价值增加表!N31/股权价值增加表!N4</f>
        <v>8.6666807438272847E-2</v>
      </c>
      <c r="O6" s="158">
        <f>股权价值增加表!O31/股权价值增加表!O4</f>
        <v>2.5780754921673733E-2</v>
      </c>
      <c r="P6" s="158">
        <f>股权价值增加表!P31/股权价值增加表!P4</f>
        <v>1.4921789019516357E-2</v>
      </c>
      <c r="Q6" s="158">
        <f>股权价值增加表!Q31/股权价值增加表!Q4</f>
        <v>8.4939812886016569E-2</v>
      </c>
      <c r="R6" s="158">
        <f>股权价值增加表!R31/股权价值增加表!R4</f>
        <v>0.10233476447123267</v>
      </c>
      <c r="S6" s="158">
        <f>股权价值增加表!S31/股权价值增加表!S4</f>
        <v>6.1300561719373828E-2</v>
      </c>
      <c r="T6" s="158">
        <f>股权价值增加表!T31/股权价值增加表!T4</f>
        <v>5.2225934831418346E-2</v>
      </c>
      <c r="U6" s="158">
        <f>股权价值增加表!U31/股权价值增加表!U4</f>
        <v>-3.4650720072704227E-2</v>
      </c>
      <c r="V6" s="158">
        <f>股权价值增加表!V31/股权价值增加表!V4</f>
        <v>0.11292163450147905</v>
      </c>
      <c r="W6" s="158">
        <f>股权价值增加表!W31/股权价值增加表!W4</f>
        <v>7.6224401653676027E-2</v>
      </c>
      <c r="X6" s="158">
        <f>股权价值增加表!X31/股权价值增加表!X4</f>
        <v>6.6638019464260206E-2</v>
      </c>
      <c r="Y6" s="158">
        <f>股权价值增加表!Y31/股权价值增加表!Y4</f>
        <v>0.11863654606055107</v>
      </c>
      <c r="Z6" s="158">
        <f>股权价值增加表!Z31/股权价值增加表!Z4</f>
        <v>0.10166271016645209</v>
      </c>
      <c r="AA6" s="158">
        <f>股权价值增加表!AA31/股权价值增加表!AA4</f>
        <v>4.9345428991876918E-2</v>
      </c>
      <c r="AB6" s="158">
        <f>股权价值增加表!AB31/股权价值增加表!AB4</f>
        <v>5.0047435840674399E-2</v>
      </c>
      <c r="AC6" s="158">
        <f>股权价值增加表!AC31/股权价值增加表!AC4</f>
        <v>0.10332941705866019</v>
      </c>
      <c r="AD6" s="158">
        <f>股权价值增加表!AD31/股权价值增加表!AD4</f>
        <v>7.5720831489164989E-2</v>
      </c>
      <c r="AE6" s="158">
        <f>股权价值增加表!AE31/股权价值增加表!AE4</f>
        <v>3.5638059445577124E-2</v>
      </c>
      <c r="AF6" s="158">
        <f>股权价值增加表!AF31/股权价值增加表!AF4</f>
        <v>4.5528775175271388E-2</v>
      </c>
      <c r="AG6" s="158">
        <f>股权价值增加表!AG31/股权价值增加表!AG4</f>
        <v>5.5846949289352611E-2</v>
      </c>
      <c r="AH6" s="158">
        <f>股权价值增加表!AH31/股权价值增加表!AH4</f>
        <v>5.7349818781861385E-2</v>
      </c>
      <c r="AI6" s="158">
        <f>股权价值增加表!AI31/股权价值增加表!AI4</f>
        <v>3.1291226850504721E-2</v>
      </c>
      <c r="AJ6" s="158">
        <f>股权价值增加表!AJ31/股权价值增加表!AJ4</f>
        <v>2.9123237286649731E-2</v>
      </c>
      <c r="AK6" s="158">
        <f>股权价值增加表!AK31/股权价值增加表!AK4</f>
        <v>4.806757332211755E-2</v>
      </c>
      <c r="AL6" s="158">
        <f>股权价值增加表!AL31/股权价值增加表!AL4</f>
        <v>4.3593344182486463E-2</v>
      </c>
      <c r="AM6" s="158">
        <f>股权价值增加表!AM31/股权价值增加表!AM4</f>
        <v>2.4436780404731941E-2</v>
      </c>
      <c r="AN6" s="158">
        <f>股权价值增加表!AN31/股权价值增加表!AN4</f>
        <v>1.6292104109721733E-2</v>
      </c>
      <c r="AO6" s="158">
        <f>股权价值增加表!AO31/股权价值增加表!AO4</f>
        <v>4.4237702808633692E-2</v>
      </c>
      <c r="AP6" s="158">
        <f>股权价值增加表!AP31/股权价值增加表!AP4</f>
        <v>5.1204038592924224E-2</v>
      </c>
      <c r="AQ6" s="158">
        <f>股权价值增加表!AQ31/股权价值增加表!AQ4</f>
        <v>2.1954264762864197E-2</v>
      </c>
      <c r="AR6" s="158">
        <f>股权价值增加表!AR31/股权价值增加表!AR4</f>
        <v>2.2145414019266115E-2</v>
      </c>
      <c r="AS6" s="158">
        <f>股权价值增加表!AS31/股权价值增加表!AS4</f>
        <v>5.5041271388307493E-2</v>
      </c>
      <c r="AT6" s="158">
        <f>股权价值增加表!AT31/股权价值增加表!AT4</f>
        <v>6.1199997371806009E-2</v>
      </c>
      <c r="AU6" s="158">
        <f>股权价值增加表!AU31/股权价值增加表!AU4</f>
        <v>3.2363440167962644E-2</v>
      </c>
      <c r="AV6" s="158">
        <f>股权价值增加表!AV31/股权价值增加表!AV4</f>
        <v>2.2482532080779154E-2</v>
      </c>
      <c r="AW6" s="158">
        <f>股权价值增加表!AW31/股权价值增加表!AW4</f>
        <v>5.6070459501859404E-2</v>
      </c>
      <c r="AX6" s="158">
        <f>股权价值增加表!AX31/股权价值增加表!AX4</f>
        <v>5.9226101091125645E-2</v>
      </c>
      <c r="AY6" s="158">
        <f>股权价值增加表!AY31/股权价值增加表!AY4</f>
        <v>2.6800161841973924E-2</v>
      </c>
      <c r="AZ6" s="158">
        <f>股权价值增加表!AZ31/股权价值增加表!AZ4</f>
        <v>3.2166049410215149E-2</v>
      </c>
      <c r="BA6" s="158">
        <f>股权价值增加表!BA31/股权价值增加表!BA4</f>
        <v>5.1820991272771309E-2</v>
      </c>
      <c r="BB6" s="158">
        <f>股权价值增加表!BB31/股权价值增加表!BB4</f>
        <v>5.024688848580329E-2</v>
      </c>
      <c r="BC6" s="158">
        <f>股权价值增加表!BC31/股权价值增加表!BC4</f>
        <v>1.8537288705964109E-2</v>
      </c>
      <c r="BD6" s="158">
        <f>股权价值增加表!BD31/股权价值增加表!BD4</f>
        <v>2.3086067895332445E-2</v>
      </c>
      <c r="BE6" s="158">
        <f>股权价值增加表!BE31/股权价值增加表!BE4</f>
        <v>4.9561952649182256E-2</v>
      </c>
      <c r="BF6" s="158">
        <f>股权价值增加表!BF31/股权价值增加表!BF4</f>
        <v>4.4124590446117246E-2</v>
      </c>
      <c r="BG6" s="158">
        <f>股权价值增加表!BG31/股权价值增加表!BG4</f>
        <v>1.8018230218579206E-2</v>
      </c>
      <c r="BH6" s="158">
        <f>股权价值增加表!BH31/股权价值增加表!BH4</f>
        <v>6.0575037885589864E-2</v>
      </c>
      <c r="BI6" s="158">
        <f>股权价值增加表!BI31/股权价值增加表!BI4</f>
        <v>5.6430274237624936E-2</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0.65006465850763606</v>
      </c>
      <c r="F7" s="61">
        <f>股权价值增加表!F4/资产资本表!F70</f>
        <v>0.49260144851667781</v>
      </c>
      <c r="G7" s="61">
        <f>股权价值增加表!G4/资产资本表!G70</f>
        <v>0.28437473535638436</v>
      </c>
      <c r="H7" s="61">
        <f>股权价值增加表!H4/资产资本表!H70</f>
        <v>0.10617786399021328</v>
      </c>
      <c r="I7" s="61">
        <f>股权价值增加表!I4/资产资本表!I70</f>
        <v>0.63296437259289884</v>
      </c>
      <c r="J7" s="61">
        <f>股权价值增加表!J4/资产资本表!J70</f>
        <v>0.41894452174713503</v>
      </c>
      <c r="K7" s="61">
        <f>股权价值增加表!K4/资产资本表!K70</f>
        <v>0.25793612166259727</v>
      </c>
      <c r="L7" s="61">
        <f>股权价值增加表!L4/资产资本表!L70</f>
        <v>7.9959309819207625E-2</v>
      </c>
      <c r="M7" s="61">
        <f>股权价值增加表!M4/资产资本表!M70</f>
        <v>0.53789949767239797</v>
      </c>
      <c r="N7" s="61">
        <f>股权价值增加表!N4/资产资本表!N70</f>
        <v>0.37559834846463708</v>
      </c>
      <c r="O7" s="61">
        <f>股权价值增加表!O4/资产资本表!O70</f>
        <v>0.45662383648644012</v>
      </c>
      <c r="P7" s="61">
        <f>股权价值增加表!P4/资产资本表!P70</f>
        <v>0.20796505129538134</v>
      </c>
      <c r="Q7" s="61">
        <f>股权价值增加表!Q4/资产资本表!Q70</f>
        <v>1.2628249505299149</v>
      </c>
      <c r="R7" s="61">
        <f>股权价值增加表!R4/资产资本表!R70</f>
        <v>0.74827655256836401</v>
      </c>
      <c r="S7" s="61">
        <f>股权价值增加表!S4/资产资本表!S70</f>
        <v>0.3347978594950598</v>
      </c>
      <c r="T7" s="61">
        <f>股权价值增加表!T4/资产资本表!T70</f>
        <v>0.12295667613056312</v>
      </c>
      <c r="U7" s="61">
        <f>股权价值增加表!U4/资产资本表!U70</f>
        <v>1.1798153427665454</v>
      </c>
      <c r="V7" s="61">
        <f>股权价值增加表!V4/资产资本表!V70</f>
        <v>0.90012016586325183</v>
      </c>
      <c r="W7" s="61">
        <f>股权价值增加表!W4/资产资本表!W70</f>
        <v>0.45339503924478231</v>
      </c>
      <c r="X7" s="61">
        <f>股权价值增加表!X4/资产资本表!X70</f>
        <v>0.21298764891346825</v>
      </c>
      <c r="Y7" s="61">
        <f>股权价值增加表!Y4/资产资本表!Y70</f>
        <v>1.1884009534755793</v>
      </c>
      <c r="Z7" s="61">
        <f>股权价值增加表!Z4/资产资本表!Z70</f>
        <v>1.0153307605065824</v>
      </c>
      <c r="AA7" s="61">
        <f>股权价值增加表!AA4/资产资本表!AA70</f>
        <v>0.55640179787481392</v>
      </c>
      <c r="AB7" s="61">
        <f>股权价值增加表!AB4/资产资本表!AB70</f>
        <v>0.29280003617446315</v>
      </c>
      <c r="AC7" s="61">
        <f>股权价值增加表!AC4/资产资本表!AC70</f>
        <v>1.7917204160741838</v>
      </c>
      <c r="AD7" s="61">
        <f>股权价值增加表!AD4/资产资本表!AD70</f>
        <v>1.4209513721477498</v>
      </c>
      <c r="AE7" s="61">
        <f>股权价值增加表!AE4/资产资本表!AE70</f>
        <v>0.79138249974202823</v>
      </c>
      <c r="AF7" s="61">
        <f>股权价值增加表!AF4/资产资本表!AF70</f>
        <v>0.36283671896351866</v>
      </c>
      <c r="AG7" s="61">
        <f>股权价值增加表!AG4/资产资本表!AG70</f>
        <v>1.5736511389284618</v>
      </c>
      <c r="AH7" s="61">
        <f>股权价值增加表!AH4/资产资本表!AH70</f>
        <v>1.0285681052004736</v>
      </c>
      <c r="AI7" s="61">
        <f>股权价值增加表!AI4/资产资本表!AI70</f>
        <v>0.54496459507690687</v>
      </c>
      <c r="AJ7" s="61">
        <f>股权价值增加表!AJ4/资产资本表!AJ70</f>
        <v>0.28453432247719795</v>
      </c>
      <c r="AK7" s="61">
        <f>股权价值增加表!AK4/资产资本表!AK70</f>
        <v>1.4172533093196309</v>
      </c>
      <c r="AL7" s="61">
        <f>股权价值增加表!AL4/资产资本表!AL70</f>
        <v>0.9518853093037003</v>
      </c>
      <c r="AM7" s="61">
        <f>股权价值增加表!AM4/资产资本表!AM70</f>
        <v>0.5082933499298854</v>
      </c>
      <c r="AN7" s="61">
        <f>股权价值增加表!AN4/资产资本表!AN70</f>
        <v>0.28555572022350184</v>
      </c>
      <c r="AO7" s="61">
        <f>股权价值增加表!AO4/资产资本表!AO70</f>
        <v>1.1933365271805665</v>
      </c>
      <c r="AP7" s="61">
        <f>股权价值增加表!AP4/资产资本表!AP70</f>
        <v>0.80047470148795186</v>
      </c>
      <c r="AQ7" s="61">
        <f>股权价值增加表!AQ4/资产资本表!AQ70</f>
        <v>0.48587075142654129</v>
      </c>
      <c r="AR7" s="61">
        <f>股权价值增加表!AR4/资产资本表!AR70</f>
        <v>0.25108610638856976</v>
      </c>
      <c r="AS7" s="61">
        <f>股权价值增加表!AS4/资产资本表!AS70</f>
        <v>1.7068784111592765</v>
      </c>
      <c r="AT7" s="61">
        <f>股权价值增加表!AT4/资产资本表!AT70</f>
        <v>1.2843017438358135</v>
      </c>
      <c r="AU7" s="61">
        <f>股权价值增加表!AU4/资产资本表!AU70</f>
        <v>0.76402521791558886</v>
      </c>
      <c r="AV7" s="61">
        <f>股权价值增加表!AV4/资产资本表!AV70</f>
        <v>0.37992610161535223</v>
      </c>
      <c r="AW7" s="61">
        <f>股权价值增加表!AW4/资产资本表!AW70</f>
        <v>1.8446235456975739</v>
      </c>
      <c r="AX7" s="61">
        <f>股权价值增加表!AX4/资产资本表!AX70</f>
        <v>1.4078163098177168</v>
      </c>
      <c r="AY7" s="61">
        <f>股权价值增加表!AY4/资产资本表!AY70</f>
        <v>0.93758217097272234</v>
      </c>
      <c r="AZ7" s="61">
        <f>股权价值增加表!AZ4/资产资本表!AZ70</f>
        <v>0.44536452029720835</v>
      </c>
      <c r="BA7" s="61">
        <f>股权价值增加表!BA4/资产资本表!BA70</f>
        <v>1.7478529721213736</v>
      </c>
      <c r="BB7" s="61">
        <f>股权价值增加表!BB4/资产资本表!BB70</f>
        <v>1.2321689840669456</v>
      </c>
      <c r="BC7" s="61">
        <f>股权价值增加表!BC4/资产资本表!BC70</f>
        <v>0.69376198852064441</v>
      </c>
      <c r="BD7" s="61">
        <f>股权价值增加表!BD4/资产资本表!BD70</f>
        <v>0.73537508613637459</v>
      </c>
      <c r="BE7" s="61">
        <f>股权价值增加表!BE4/资产资本表!BE70</f>
        <v>3.8690306347293157</v>
      </c>
      <c r="BF7" s="61">
        <f>股权价值增加表!BF4/资产资本表!BF70</f>
        <v>3.3959507438285645</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0.10448530819846101</v>
      </c>
      <c r="F8" s="63">
        <f>股权价值增加表!F31/资产资本表!F70</f>
        <v>6.8620823263336975E-2</v>
      </c>
      <c r="G8" s="63">
        <f>股权价值增加表!G31/资产资本表!G70</f>
        <v>1.8580670606900815E-2</v>
      </c>
      <c r="H8" s="63">
        <f>股权价值增加表!H31/资产资本表!H70</f>
        <v>-2.2607779856085423E-2</v>
      </c>
      <c r="I8" s="63">
        <f>股权价值增加表!I31/资产资本表!I70</f>
        <v>0.10988968229613684</v>
      </c>
      <c r="J8" s="63">
        <f>股权价值增加表!J31/资产资本表!J70</f>
        <v>3.9869133010972793E-2</v>
      </c>
      <c r="K8" s="63">
        <f>股权价值增加表!K31/资产资本表!K70</f>
        <v>-1.6164260018436776E-3</v>
      </c>
      <c r="L8" s="63">
        <f>股权价值增加表!L31/资产资本表!L70</f>
        <v>-4.2401784635077058E-2</v>
      </c>
      <c r="M8" s="63">
        <f>股权价值增加表!M31/资产资本表!M70</f>
        <v>9.6304073327166603E-2</v>
      </c>
      <c r="N8" s="63">
        <f>股权价值增加表!N31/资产资本表!N70</f>
        <v>3.2551909740517998E-2</v>
      </c>
      <c r="O8" s="63">
        <f>股权价值增加表!O31/资产资本表!O70</f>
        <v>1.1772107219851334E-2</v>
      </c>
      <c r="P8" s="63">
        <f>股权价值增加表!P31/资产资本表!P70</f>
        <v>3.103210618862577E-3</v>
      </c>
      <c r="Q8" s="63">
        <f>股权价值增加表!Q31/资产资本表!Q70</f>
        <v>0.1072641150058041</v>
      </c>
      <c r="R8" s="63">
        <f>股权价值增加表!R31/资产资本表!R70</f>
        <v>7.6574704766429483E-2</v>
      </c>
      <c r="S8" s="63">
        <f>股权价值增加表!S31/资产资本表!S70</f>
        <v>2.0523296849491161E-2</v>
      </c>
      <c r="T8" s="63">
        <f>股权价值增加表!T31/资产资本表!T70</f>
        <v>6.4215273546826017E-3</v>
      </c>
      <c r="U8" s="63">
        <f>股权价值增加表!U31/资产资本表!U70</f>
        <v>-4.0881451179685155E-2</v>
      </c>
      <c r="V8" s="63">
        <f>股权价值增加表!V31/资产资本表!V70</f>
        <v>0.10164304037702082</v>
      </c>
      <c r="W8" s="63">
        <f>股权价值增加表!W31/资产资本表!W70</f>
        <v>3.4559765579178489E-2</v>
      </c>
      <c r="X8" s="63">
        <f>股权价值增加表!X31/资产资本表!X70</f>
        <v>1.4193075093942718E-2</v>
      </c>
      <c r="Y8" s="63">
        <f>股权价值增加表!Y31/资产资本表!Y70</f>
        <v>0.14098778445540838</v>
      </c>
      <c r="Z8" s="63">
        <f>股权价值增加表!Z31/资产资本表!Z70</f>
        <v>0.10322127682846408</v>
      </c>
      <c r="AA8" s="63">
        <f>股权价值增加表!AA31/资产资本表!AA70</f>
        <v>2.7455885407984285E-2</v>
      </c>
      <c r="AB8" s="63">
        <f>股权价值增加表!AB31/资产资本表!AB70</f>
        <v>1.4653891024588587E-2</v>
      </c>
      <c r="AC8" s="63">
        <f>股权价值增加表!AC31/资产资本表!AC70</f>
        <v>0.1851374261250455</v>
      </c>
      <c r="AD8" s="63">
        <f>股权价值增加表!AD31/资产资本表!AD70</f>
        <v>0.10759561940469753</v>
      </c>
      <c r="AE8" s="63">
        <f>股权价值增加表!AE31/资产资本表!AE70</f>
        <v>2.8203336569995827E-2</v>
      </c>
      <c r="AF8" s="63">
        <f>股权价值增加表!AF31/资产资本表!AF70</f>
        <v>1.6519511403023171E-2</v>
      </c>
      <c r="AG8" s="63">
        <f>股权价值增加表!AG31/资产资本表!AG70</f>
        <v>8.7883615354869785E-2</v>
      </c>
      <c r="AH8" s="63">
        <f>股权价值增加表!AH31/资产资本表!AH70</f>
        <v>5.8988194438049694E-2</v>
      </c>
      <c r="AI8" s="63">
        <f>股权价值增加表!AI31/资产资本表!AI70</f>
        <v>1.7052610770044944E-2</v>
      </c>
      <c r="AJ8" s="63">
        <f>股权价值增加表!AJ31/资产资本表!AJ70</f>
        <v>8.2865605896995497E-3</v>
      </c>
      <c r="AK8" s="63">
        <f>股权价值增加表!AK31/资产资本表!AK70</f>
        <v>6.8123927361735101E-2</v>
      </c>
      <c r="AL8" s="63">
        <f>股权价值增加表!AL31/资产资本表!AL70</f>
        <v>4.1495863910728792E-2</v>
      </c>
      <c r="AM8" s="63">
        <f>股权价值增加表!AM31/资产资本表!AM70</f>
        <v>1.2421052973422178E-2</v>
      </c>
      <c r="AN8" s="63">
        <f>股权价值增加表!AN31/资产资本表!AN70</f>
        <v>4.6523035230078636E-3</v>
      </c>
      <c r="AO8" s="63">
        <f>股权价值增加表!AO31/资产资本表!AO70</f>
        <v>5.2790466640100925E-2</v>
      </c>
      <c r="AP8" s="63">
        <f>股权价值增加表!AP31/资产资本表!AP70</f>
        <v>4.098753750764858E-2</v>
      </c>
      <c r="AQ8" s="63">
        <f>股权价值增加表!AQ31/资产资本表!AQ70</f>
        <v>1.0666935117350064E-2</v>
      </c>
      <c r="AR8" s="63">
        <f>股权价值增加表!AR31/资产资本表!AR70</f>
        <v>5.5604057804603769E-3</v>
      </c>
      <c r="AS8" s="63">
        <f>股权价值增加表!AS31/资产资本表!AS70</f>
        <v>9.3948757855460835E-2</v>
      </c>
      <c r="AT8" s="63">
        <f>股权价值增加表!AT31/资产资本表!AT70</f>
        <v>7.8599263347357659E-2</v>
      </c>
      <c r="AU8" s="63">
        <f>股权价值增加表!AU31/资产资本表!AU70</f>
        <v>2.4726484426825783E-2</v>
      </c>
      <c r="AV8" s="63">
        <f>股权价值增加表!AV31/资产资本表!AV70</f>
        <v>8.5417007678925162E-3</v>
      </c>
      <c r="AW8" s="63">
        <f>股权价值增加表!AW31/资产资本表!AW70</f>
        <v>0.10342888981521212</v>
      </c>
      <c r="AX8" s="63">
        <f>股权价值增加表!AX31/资产资本表!AX70</f>
        <v>8.3379471082999548E-2</v>
      </c>
      <c r="AY8" s="63">
        <f>股权价值增加表!AY31/资产资本表!AY70</f>
        <v>2.5127353922218227E-2</v>
      </c>
      <c r="AZ8" s="63">
        <f>股权价值增加表!AZ31/资产资本表!AZ70</f>
        <v>1.4325617165436771E-2</v>
      </c>
      <c r="BA8" s="63">
        <f>股权价值增加表!BA31/资产资本表!BA70</f>
        <v>9.0575473614389099E-2</v>
      </c>
      <c r="BB8" s="63">
        <f>股权价值增加表!BB31/资产资本表!BB70</f>
        <v>6.1912657538077343E-2</v>
      </c>
      <c r="BC8" s="63">
        <f>股权价值增加表!BC31/资产资本表!BC70</f>
        <v>1.2860466274430942E-2</v>
      </c>
      <c r="BD8" s="63">
        <f>股权价值增加表!BD31/资产资本表!BD70</f>
        <v>1.6976919167080291E-2</v>
      </c>
      <c r="BE8" s="63">
        <f>股权价值增加表!BE31/资产资本表!BE70</f>
        <v>0.1917567131166899</v>
      </c>
      <c r="BF8" s="63">
        <f>股权价值增加表!BF31/资产资本表!BF70</f>
        <v>0.14984493574662264</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0.87845427603799409</v>
      </c>
      <c r="F9" s="158">
        <f>股权价值增加表!F38/股权价值增加表!F31</f>
        <v>0.8227752243673403</v>
      </c>
      <c r="G9" s="158">
        <f>股权价值增加表!G38/股权价值增加表!G31</f>
        <v>0.5973358776740707</v>
      </c>
      <c r="H9" s="158">
        <f>股权价值增加表!H38/股权价值增加表!H31</f>
        <v>1.1456316424651791</v>
      </c>
      <c r="I9" s="158">
        <f>股权价值增加表!I38/股权价值增加表!I31</f>
        <v>0.91199012183585326</v>
      </c>
      <c r="J9" s="158">
        <f>股权价值增加表!J38/股权价值增加表!J31</f>
        <v>0.85849879358531744</v>
      </c>
      <c r="K9" s="158">
        <f>股权价值增加表!K38/股权价值增加表!K31</f>
        <v>3.2817551200426771</v>
      </c>
      <c r="L9" s="158">
        <f>股权价值增加表!L38/股权价值增加表!L31</f>
        <v>1.0461715557226707</v>
      </c>
      <c r="M9" s="158">
        <f>股权价值增加表!M38/股权价值增加表!M31</f>
        <v>0.93903034312979161</v>
      </c>
      <c r="N9" s="158">
        <f>股权价值增加表!N38/股权价值增加表!N31</f>
        <v>0.88447299773622079</v>
      </c>
      <c r="O9" s="158">
        <f>股权价值增加表!O38/股权价值增加表!O31</f>
        <v>1.0465745279780851</v>
      </c>
      <c r="P9" s="158">
        <f>股权价值增加表!P38/股权价值增加表!P31</f>
        <v>1.435657335477514</v>
      </c>
      <c r="Q9" s="158">
        <f>股权价值增加表!Q38/股权价值增加表!Q31</f>
        <v>0.82379968378276658</v>
      </c>
      <c r="R9" s="158">
        <f>股权价值增加表!R38/股权价值增加表!R31</f>
        <v>0.85393198306171358</v>
      </c>
      <c r="S9" s="158">
        <f>股权价值增加表!S38/股权价值增加表!S31</f>
        <v>0.62882276438359697</v>
      </c>
      <c r="T9" s="158">
        <f>股权价值增加表!T38/股权价值增加表!T31</f>
        <v>0.54144948214715172</v>
      </c>
      <c r="U9" s="158">
        <f>股权价值增加表!U38/股权价值增加表!U31</f>
        <v>1.50529385065447</v>
      </c>
      <c r="V9" s="158">
        <f>股权价值增加表!V38/股权价值增加表!V31</f>
        <v>0.87694373576062146</v>
      </c>
      <c r="W9" s="158">
        <f>股权价值增加表!W38/股权价值增加表!W31</f>
        <v>0.6929086286426992</v>
      </c>
      <c r="X9" s="158">
        <f>股权价值增加表!X38/股权价值增加表!X31</f>
        <v>0.78964026214103755</v>
      </c>
      <c r="Y9" s="158">
        <f>股权价值增加表!Y38/股权价值增加表!Y31</f>
        <v>0.98879862009372166</v>
      </c>
      <c r="Z9" s="158">
        <f>股权价值增加表!Z38/股权价值增加表!Z31</f>
        <v>1.0358656451059012</v>
      </c>
      <c r="AA9" s="158">
        <f>股权价值增加表!AA38/股权价值增加表!AA31</f>
        <v>1.0881211442405596</v>
      </c>
      <c r="AB9" s="158">
        <f>股权价值增加表!AB38/股权价值增加表!AB31</f>
        <v>1.1066767394221326</v>
      </c>
      <c r="AC9" s="158">
        <f>股权价值增加表!AC38/股权价值增加表!AC31</f>
        <v>0.98503558143439585</v>
      </c>
      <c r="AD9" s="158">
        <f>股权价值增加表!AD38/股权价值增加表!AD31</f>
        <v>0.97562630443906162</v>
      </c>
      <c r="AE9" s="158">
        <f>股权价值增加表!AE38/股权价值增加表!AE31</f>
        <v>1.0212490958335596</v>
      </c>
      <c r="AF9" s="158">
        <f>股权价值增加表!AF38/股权价值增加表!AF31</f>
        <v>1.1325214792269058</v>
      </c>
      <c r="AG9" s="158">
        <f>股权价值增加表!AG38/股权价值增加表!AG31</f>
        <v>1.046202443277757</v>
      </c>
      <c r="AH9" s="158">
        <f>股权价值增加表!AH38/股权价值增加表!AH31</f>
        <v>1.1035918752199541</v>
      </c>
      <c r="AI9" s="158">
        <f>股权价值增加表!AI38/股权价值增加表!AI31</f>
        <v>1.3363434190111418</v>
      </c>
      <c r="AJ9" s="158">
        <f>股权价值增加表!AJ38/股权价值增加表!AJ31</f>
        <v>1.7116491734763384</v>
      </c>
      <c r="AK9" s="158">
        <f>股权价值增加表!AK38/股权价值增加表!AK31</f>
        <v>1.1757755674350949</v>
      </c>
      <c r="AL9" s="158">
        <f>股权价值增加表!AL38/股权价值增加表!AL31</f>
        <v>1.2949953580672275</v>
      </c>
      <c r="AM9" s="158">
        <f>股权价值增加表!AM38/股权价值增加表!AM31</f>
        <v>1.6159596369668858</v>
      </c>
      <c r="AN9" s="158">
        <f>股权价值增加表!AN38/股权价值增加表!AN31</f>
        <v>2.7001217451275497</v>
      </c>
      <c r="AO9" s="158">
        <f>股权价值增加表!AO38/股权价值增加表!AO31</f>
        <v>1.0628956307505402</v>
      </c>
      <c r="AP9" s="158">
        <f>股权价值增加表!AP38/股权价值增加表!AP31</f>
        <v>1.1362789382130889</v>
      </c>
      <c r="AQ9" s="158">
        <f>股权价值增加表!AQ38/股权价值增加表!AQ31</f>
        <v>1.5424723847690291</v>
      </c>
      <c r="AR9" s="158">
        <f>股权价值增加表!AR38/股权价值增加表!AR31</f>
        <v>2.0522518443526629</v>
      </c>
      <c r="AS9" s="158">
        <f>股权价值增加表!AS38/股权价值增加表!AS31</f>
        <v>1.0514891263711037</v>
      </c>
      <c r="AT9" s="158">
        <f>股权价值增加表!AT38/股权价值增加表!AT31</f>
        <v>1.0664324471180775</v>
      </c>
      <c r="AU9" s="158">
        <f>股权价值增加表!AU38/股权价值增加表!AU31</f>
        <v>1.2112984739799539</v>
      </c>
      <c r="AV9" s="158">
        <f>股权价值增加表!AV38/股权价值增加表!AV31</f>
        <v>1.8953529960638675</v>
      </c>
      <c r="AW9" s="158">
        <f>股权价值增加表!AW38/股权价值增加表!AW31</f>
        <v>0.99987016754917279</v>
      </c>
      <c r="AX9" s="158">
        <f>股权价值增加表!AX38/股权价值增加表!AX31</f>
        <v>1.0264391813736466</v>
      </c>
      <c r="AY9" s="158">
        <f>股权价值增加表!AY38/股权价值增加表!AY31</f>
        <v>1.0596923122884248</v>
      </c>
      <c r="AZ9" s="158">
        <f>股权价值增加表!AZ38/股权价值增加表!AZ31</f>
        <v>0.99785616925417464</v>
      </c>
      <c r="BA9" s="158">
        <f>股权价值增加表!BA38/股权价值增加表!BA31</f>
        <v>1.0233351189570152</v>
      </c>
      <c r="BB9" s="158">
        <f>股权价值增加表!BB38/股权价值增加表!BB31</f>
        <v>0.99621533096561588</v>
      </c>
      <c r="BC9" s="158">
        <f>股权价值增加表!BC38/股权价值增加表!BC31</f>
        <v>1.0315001043260945</v>
      </c>
      <c r="BD9" s="158">
        <f>股权价值增加表!BD38/股权价值增加表!BD31</f>
        <v>0.98894087549818166</v>
      </c>
      <c r="BE9" s="158">
        <f>股权价值增加表!BE38/股权价值增加表!BE31</f>
        <v>0.98489579146088868</v>
      </c>
      <c r="BF9" s="158">
        <f>股权价值增加表!BF38/股权价值增加表!BF31</f>
        <v>0.98056213740196818</v>
      </c>
      <c r="BG9" s="158">
        <f>股权价值增加表!BG38/股权价值增加表!BG31</f>
        <v>0.94667572753744322</v>
      </c>
      <c r="BH9" s="158">
        <f>股权价值增加表!BH38/股权价值增加表!BH31</f>
        <v>1.0120254299406322</v>
      </c>
      <c r="BI9" s="158">
        <f>股权价值增加表!BI38/股权价值增加表!BI31</f>
        <v>1.1701116293934775</v>
      </c>
      <c r="BJ9" s="158" t="e">
        <f>股权价值增加表!BJ38/股权价值增加表!BJ31</f>
        <v>#DIV/0!</v>
      </c>
      <c r="BK9" s="158">
        <f>股权价值增加表!BK38/股权价值增加表!BK31</f>
        <v>0.83934441206942911</v>
      </c>
      <c r="BL9" s="158">
        <f>股权价值增加表!BL38/股权价值增加表!BL31</f>
        <v>0.6964109970745368</v>
      </c>
      <c r="BM9" s="158">
        <f>股权价值增加表!BM38/股权价值增加表!BM31</f>
        <v>0.90865102033009715</v>
      </c>
      <c r="BN9" s="158">
        <f>股权价值增加表!BN38/股权价值增加表!BN31</f>
        <v>0.87805546990787986</v>
      </c>
      <c r="BO9" s="158">
        <f>股权价值增加表!BO38/股权价值增加表!BO31</f>
        <v>0.89787043461825633</v>
      </c>
      <c r="BP9" s="158">
        <f>股权价值增加表!BP38/股权价值增加表!BP31</f>
        <v>0.64573122475441636</v>
      </c>
      <c r="BQ9" s="158">
        <f>股权价值增加表!BQ38/股权价值增加表!BQ31</f>
        <v>0.8830843674664075</v>
      </c>
      <c r="BR9" s="158">
        <f>股权价值增加表!BR38/股权价值增加表!BR31</f>
        <v>0.9126209421137772</v>
      </c>
      <c r="BS9" s="158">
        <f>股权价值增加表!BS38/股权价值增加表!BS31</f>
        <v>0.96917120614172025</v>
      </c>
      <c r="BT9" s="158">
        <f>股权价值增加表!BT38/股权价值增加表!BT31</f>
        <v>1.0015755342387331</v>
      </c>
      <c r="BU9" s="158">
        <f>股权价值增加表!BU38/股权价值增加表!BU31</f>
        <v>1.155461047513072</v>
      </c>
      <c r="BV9" s="158">
        <f>股权价值增加表!BV38/股权价值增加表!BV31</f>
        <v>1.7005889990298568</v>
      </c>
      <c r="BW9" s="158">
        <f>股权价值增加表!BW38/股权价值增加表!BW31</f>
        <v>0.98044726391169423</v>
      </c>
      <c r="BX9" s="158">
        <f>股权价值增加表!BX38/股权价值增加表!BX31</f>
        <v>8.2490079874227398</v>
      </c>
      <c r="BY9" s="158">
        <f>股权价值增加表!BY38/股权价值增加表!BY31</f>
        <v>0.47499676649646466</v>
      </c>
      <c r="BZ9" s="158">
        <f>股权价值增加表!BZ38/股权价值增加表!BZ31</f>
        <v>1</v>
      </c>
      <c r="CA9" s="158">
        <f>股权价值增加表!CA38/股权价值增加表!CA31</f>
        <v>-8.4222826859939399</v>
      </c>
      <c r="CB9" s="158">
        <f>股权价值增加表!CB38/股权价值增加表!CB31</f>
        <v>1</v>
      </c>
      <c r="CC9" s="158">
        <f>股权价值增加表!CC38/股权价值增加表!CC31</f>
        <v>-1.2626486558086338</v>
      </c>
      <c r="CD9" s="158">
        <f>股权价值增加表!CD38/股权价值增加表!CD31</f>
        <v>1</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1.389038501781195</v>
      </c>
      <c r="F10" s="61">
        <f>资产资本表!F70/资产资本表!F107</f>
        <v>1.5805177095345697</v>
      </c>
      <c r="G10" s="61">
        <f>资产资本表!G70/资产资本表!G107</f>
        <v>1.5823167353861638</v>
      </c>
      <c r="H10" s="61">
        <f>资产资本表!H70/资产资本表!H107</f>
        <v>1.5033231224887156</v>
      </c>
      <c r="I10" s="61">
        <f>资产资本表!I70/资产资本表!I107</f>
        <v>1.3585478709261343</v>
      </c>
      <c r="J10" s="61">
        <f>资产资本表!J70/资产资本表!J107</f>
        <v>1.3469348839117392</v>
      </c>
      <c r="K10" s="61">
        <f>资产资本表!K70/资产资本表!K107</f>
        <v>1.241652311936849</v>
      </c>
      <c r="L10" s="61">
        <f>资产资本表!L70/资产资本表!L107</f>
        <v>1.2428893687480651</v>
      </c>
      <c r="M10" s="61">
        <f>资产资本表!M70/资产资本表!M107</f>
        <v>1.2052434971573527</v>
      </c>
      <c r="N10" s="61">
        <f>资产资本表!N70/资产资本表!N107</f>
        <v>1.1614937249333133</v>
      </c>
      <c r="O10" s="61">
        <f>资产资本表!O70/资产资本表!O107</f>
        <v>1.1658713049929377</v>
      </c>
      <c r="P10" s="61">
        <f>资产资本表!P70/资产资本表!P107</f>
        <v>1.0509601657646879</v>
      </c>
      <c r="Q10" s="61">
        <f>资产资本表!Q70/资产资本表!Q107</f>
        <v>1.2299398647369781</v>
      </c>
      <c r="R10" s="61">
        <f>资产资本表!R70/资产资本表!R107</f>
        <v>1.4717158332466844</v>
      </c>
      <c r="S10" s="61">
        <f>资产资本表!S70/资产资本表!S107</f>
        <v>1.5336286469415084</v>
      </c>
      <c r="T10" s="61">
        <f>资产资本表!T70/资产资本表!T107</f>
        <v>1.5202272430576123</v>
      </c>
      <c r="U10" s="61">
        <f>资产资本表!U70/资产资本表!U107</f>
        <v>1.5066583598325922</v>
      </c>
      <c r="V10" s="61">
        <f>资产资本表!V70/资产资本表!V107</f>
        <v>1.1745446718474197</v>
      </c>
      <c r="W10" s="61">
        <f>资产资本表!W70/资产资本表!W107</f>
        <v>1.1938507774845417</v>
      </c>
      <c r="X10" s="61">
        <f>资产资本表!X70/资产资本表!X107</f>
        <v>1.1833692899067045</v>
      </c>
      <c r="Y10" s="61">
        <f>资产资本表!Y70/资产资本表!Y107</f>
        <v>1.1913016260198217</v>
      </c>
      <c r="Z10" s="61">
        <f>资产资本表!Z70/资产资本表!Z107</f>
        <v>1.1552265736557954</v>
      </c>
      <c r="AA10" s="61">
        <f>资产资本表!AA70/资产资本表!AA107</f>
        <v>1.1665670988844723</v>
      </c>
      <c r="AB10" s="61">
        <f>资产资本表!AB70/资产资本表!AB107</f>
        <v>1.1008657256724039</v>
      </c>
      <c r="AC10" s="61">
        <f>资产资本表!AC70/资产资本表!AC107</f>
        <v>1.0945193582521537</v>
      </c>
      <c r="AD10" s="61">
        <f>资产资本表!AD70/资产资本表!AD107</f>
        <v>1.1037935510060715</v>
      </c>
      <c r="AE10" s="61">
        <f>资产资本表!AE70/资产资本表!AE107</f>
        <v>1.1140287169961713</v>
      </c>
      <c r="AF10" s="61">
        <f>资产资本表!AF70/资产资本表!AF107</f>
        <v>1.010278825919823</v>
      </c>
      <c r="AG10" s="61">
        <f>资产资本表!AG70/资产资本表!AG107</f>
        <v>1.013309152547806</v>
      </c>
      <c r="AH10" s="61">
        <f>资产资本表!AH70/资产资本表!AH107</f>
        <v>1.0177588516289069</v>
      </c>
      <c r="AI10" s="61">
        <f>资产资本表!AI70/资产资本表!AI107</f>
        <v>1.0309407852582488</v>
      </c>
      <c r="AJ10" s="61">
        <f>资产资本表!AJ70/资产资本表!AJ107</f>
        <v>1.0702410273792786</v>
      </c>
      <c r="AK10" s="61">
        <f>资产资本表!AK70/资产资本表!AK107</f>
        <v>1.0621760436583976</v>
      </c>
      <c r="AL10" s="61">
        <f>资产资本表!AL70/资产资本表!AL107</f>
        <v>1.0662142495853957</v>
      </c>
      <c r="AM10" s="61">
        <f>资产资本表!AM70/资产资本表!AM107</f>
        <v>1.0856830811691749</v>
      </c>
      <c r="AN10" s="61">
        <f>资产资本表!AN70/资产资本表!AN107</f>
        <v>1.0386555045646195</v>
      </c>
      <c r="AO10" s="61">
        <f>资产资本表!AO70/资产资本表!AO107</f>
        <v>1.0465468554963193</v>
      </c>
      <c r="AP10" s="61">
        <f>资产资本表!AP70/资产资本表!AP107</f>
        <v>1.0349960304941528</v>
      </c>
      <c r="AQ10" s="61">
        <f>资产资本表!AQ70/资产资本表!AQ107</f>
        <v>1.0464828809230835</v>
      </c>
      <c r="AR10" s="61">
        <f>资产资本表!AR70/资产资本表!AR107</f>
        <v>1.0426657259332566</v>
      </c>
      <c r="AS10" s="61">
        <f>资产资本表!AS70/资产资本表!AS107</f>
        <v>1.0466216225887739</v>
      </c>
      <c r="AT10" s="61">
        <f>资产资本表!AT70/资产资本表!AT107</f>
        <v>1.0486645695911434</v>
      </c>
      <c r="AU10" s="61">
        <f>资产资本表!AU70/资产资本表!AU107</f>
        <v>1.0713742020731118</v>
      </c>
      <c r="AV10" s="61">
        <f>资产资本表!AV70/资产资本表!AV107</f>
        <v>1.0687339816090418</v>
      </c>
      <c r="AW10" s="61">
        <f>资产资本表!AW70/资产资本表!AW107</f>
        <v>1.052877645997033</v>
      </c>
      <c r="AX10" s="61">
        <f>资产资本表!AX70/资产资本表!AX107</f>
        <v>1.0400196560487747</v>
      </c>
      <c r="AY10" s="61">
        <f>资产资本表!AY70/资产资本表!AY107</f>
        <v>1.07841036654338</v>
      </c>
      <c r="AZ10" s="61">
        <f>资产资本表!AZ70/资产资本表!AZ107</f>
        <v>1.0419069600276543</v>
      </c>
      <c r="BA10" s="61">
        <f>资产资本表!BA70/资产资本表!BA107</f>
        <v>1.0390718115069819</v>
      </c>
      <c r="BB10" s="61">
        <f>资产资本表!BB70/资产资本表!BB107</f>
        <v>1.038567004746709</v>
      </c>
      <c r="BC10" s="61">
        <f>资产资本表!BC70/资产资本表!BC107</f>
        <v>1.0399842620875157</v>
      </c>
      <c r="BD10" s="61">
        <f>资产资本表!BD70/资产资本表!BD107</f>
        <v>1.0999609193566522</v>
      </c>
      <c r="BE10" s="61">
        <f>资产资本表!BE70/资产资本表!BE107</f>
        <v>1.0037135747505859</v>
      </c>
      <c r="BF10" s="61">
        <f>资产资本表!BF70/资产资本表!BF107</f>
        <v>0.92645198773475002</v>
      </c>
      <c r="BG10" s="61" t="e">
        <f>资产资本表!BG70/资产资本表!BG107</f>
        <v>#DIV/0!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1.2202068114710996</v>
      </c>
      <c r="F11" s="28">
        <f t="shared" ref="F11:BQ11" si="2">F9*F10</f>
        <v>1.3004108130788603</v>
      </c>
      <c r="G11" s="28">
        <f t="shared" si="2"/>
        <v>0.94517455589026445</v>
      </c>
      <c r="H11" s="28">
        <f t="shared" si="2"/>
        <v>1.7222545379726288</v>
      </c>
      <c r="I11" s="28">
        <f t="shared" si="2"/>
        <v>1.2389822383257643</v>
      </c>
      <c r="J11" s="28">
        <f t="shared" si="2"/>
        <v>1.1563419728762077</v>
      </c>
      <c r="K11" s="28">
        <f t="shared" si="2"/>
        <v>4.0747988320115818</v>
      </c>
      <c r="L11" s="28">
        <f t="shared" si="2"/>
        <v>1.3002755044943315</v>
      </c>
      <c r="M11" s="28">
        <f t="shared" si="2"/>
        <v>1.1317602146906189</v>
      </c>
      <c r="N11" s="28">
        <f t="shared" si="2"/>
        <v>1.0273098367435771</v>
      </c>
      <c r="O11" s="28">
        <f t="shared" si="2"/>
        <v>1.220171210706178</v>
      </c>
      <c r="P11" s="28">
        <f t="shared" si="2"/>
        <v>1.5088186712747382</v>
      </c>
      <c r="Q11" s="28">
        <f t="shared" si="2"/>
        <v>1.0132240716421412</v>
      </c>
      <c r="R11" s="28">
        <f t="shared" si="2"/>
        <v>1.2567452199876634</v>
      </c>
      <c r="S11" s="28">
        <f t="shared" si="2"/>
        <v>0.9643806053076347</v>
      </c>
      <c r="T11" s="28">
        <f t="shared" si="2"/>
        <v>0.82312625349953628</v>
      </c>
      <c r="U11" s="28">
        <f t="shared" si="2"/>
        <v>2.2679635640931508</v>
      </c>
      <c r="V11" s="28">
        <f t="shared" si="2"/>
        <v>1.0300095923476096</v>
      </c>
      <c r="W11" s="28">
        <f t="shared" si="2"/>
        <v>0.82722950503083403</v>
      </c>
      <c r="X11" s="28">
        <f t="shared" si="2"/>
        <v>0.93443603629158367</v>
      </c>
      <c r="Y11" s="28">
        <f t="shared" si="2"/>
        <v>1.1779574039238065</v>
      </c>
      <c r="Z11" s="28">
        <f t="shared" si="2"/>
        <v>1.1966595199634404</v>
      </c>
      <c r="AA11" s="28">
        <f t="shared" si="2"/>
        <v>1.269366326471562</v>
      </c>
      <c r="AB11" s="28">
        <f t="shared" si="2"/>
        <v>1.218302491828716</v>
      </c>
      <c r="AC11" s="28">
        <f t="shared" si="2"/>
        <v>1.0781405124471122</v>
      </c>
      <c r="AD11" s="28">
        <f t="shared" si="2"/>
        <v>1.0768900230317224</v>
      </c>
      <c r="AE11" s="28">
        <f t="shared" si="2"/>
        <v>1.1377008199649605</v>
      </c>
      <c r="AF11" s="28">
        <f t="shared" si="2"/>
        <v>1.1441624703623396</v>
      </c>
      <c r="AG11" s="28">
        <f t="shared" si="2"/>
        <v>1.0601265111912279</v>
      </c>
      <c r="AH11" s="28">
        <f t="shared" si="2"/>
        <v>1.1231903995908523</v>
      </c>
      <c r="AI11" s="28">
        <f t="shared" si="2"/>
        <v>1.3776909337700396</v>
      </c>
      <c r="AJ11" s="28">
        <f t="shared" si="2"/>
        <v>1.8318771699342096</v>
      </c>
      <c r="AK11" s="28">
        <f t="shared" si="2"/>
        <v>1.2488806404484165</v>
      </c>
      <c r="AL11" s="28">
        <f t="shared" si="2"/>
        <v>1.3807425039182197</v>
      </c>
      <c r="AM11" s="28">
        <f t="shared" si="2"/>
        <v>1.7544200377072299</v>
      </c>
      <c r="AN11" s="28">
        <f t="shared" si="2"/>
        <v>2.8044963135713559</v>
      </c>
      <c r="AO11" s="28">
        <f t="shared" si="2"/>
        <v>1.1123700800827547</v>
      </c>
      <c r="AP11" s="28">
        <f t="shared" si="2"/>
        <v>1.1760441905846577</v>
      </c>
      <c r="AQ11" s="28">
        <f t="shared" si="2"/>
        <v>1.6141709449573927</v>
      </c>
      <c r="AR11" s="28">
        <f t="shared" si="2"/>
        <v>2.1398126590898339</v>
      </c>
      <c r="AS11" s="28">
        <f t="shared" si="2"/>
        <v>1.1005112555769769</v>
      </c>
      <c r="AT11" s="28">
        <f t="shared" si="2"/>
        <v>1.1183299231551085</v>
      </c>
      <c r="AU11" s="28">
        <f t="shared" si="2"/>
        <v>1.2977539360326511</v>
      </c>
      <c r="AV11" s="28">
        <f t="shared" si="2"/>
        <v>2.0256281540379635</v>
      </c>
      <c r="AW11" s="28">
        <f t="shared" si="2"/>
        <v>1.052740948311832</v>
      </c>
      <c r="AX11" s="28">
        <f t="shared" si="2"/>
        <v>1.0675169243672058</v>
      </c>
      <c r="AY11" s="28">
        <f t="shared" si="2"/>
        <v>1.1427831749181621</v>
      </c>
      <c r="AZ11" s="28">
        <f t="shared" si="2"/>
        <v>1.0396732878524575</v>
      </c>
      <c r="BA11" s="28">
        <f t="shared" si="2"/>
        <v>1.0633186758333786</v>
      </c>
      <c r="BB11" s="28">
        <f t="shared" si="2"/>
        <v>1.0346363723637111</v>
      </c>
      <c r="BC11" s="28">
        <f t="shared" si="2"/>
        <v>1.0727438748407689</v>
      </c>
      <c r="BD11" s="28">
        <f t="shared" si="2"/>
        <v>1.0877963146023524</v>
      </c>
      <c r="BE11" s="28">
        <f t="shared" si="2"/>
        <v>0.98855327560401607</v>
      </c>
      <c r="BF11" s="28">
        <f t="shared" si="2"/>
        <v>0.90844374129348848</v>
      </c>
      <c r="BG11" s="28" t="e">
        <f t="shared" si="2"/>
        <v>#DIV/0!</v>
      </c>
      <c r="BH11" s="28">
        <f t="shared" si="2"/>
        <v>0</v>
      </c>
      <c r="BI11" s="28">
        <f t="shared" si="2"/>
        <v>0</v>
      </c>
      <c r="BJ11" s="28" t="e">
        <f t="shared" si="2"/>
        <v>#DIV/0!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0.76449921680622568</v>
      </c>
      <c r="F12" s="158">
        <f>F2/股权价值增加表!F38</f>
        <v>0.74218025760692752</v>
      </c>
      <c r="G12" s="158">
        <f>G2/股权价值增加表!G38</f>
        <v>0.57633321944435389</v>
      </c>
      <c r="H12" s="158">
        <f>H2/股权价值增加表!H38</f>
        <v>0.83443080640475586</v>
      </c>
      <c r="I12" s="158">
        <f>I2/股权价值增加表!I38</f>
        <v>0.75313694050352886</v>
      </c>
      <c r="J12" s="158">
        <f>J2/股权价值增加表!J38</f>
        <v>0.72962405463921687</v>
      </c>
      <c r="K12" s="158">
        <f>K2/股权价值增加表!K38</f>
        <v>1.019575178842552</v>
      </c>
      <c r="L12" s="158">
        <f>L2/股权价值增加表!L38</f>
        <v>0.81185209921229984</v>
      </c>
      <c r="M12" s="158">
        <f>M2/股权价值增加表!M38</f>
        <v>0.79413714598494811</v>
      </c>
      <c r="N12" s="158">
        <f>N2/股权价值增加表!N38</f>
        <v>0.86624803898441682</v>
      </c>
      <c r="O12" s="158">
        <f>O2/股权价值增加表!O38</f>
        <v>0.24220131280476451</v>
      </c>
      <c r="P12" s="158">
        <f>P2/股权价值增加表!P38</f>
        <v>5.0754237411909535E-2</v>
      </c>
      <c r="Q12" s="158">
        <f>Q2/股权价值增加表!Q38</f>
        <v>0.53534764820073644</v>
      </c>
      <c r="R12" s="158">
        <f>R2/股权价值增加表!R38</f>
        <v>0.58241732492473675</v>
      </c>
      <c r="S12" s="158">
        <f>S2/股权价值增加表!S38</f>
        <v>0.39605288259709448</v>
      </c>
      <c r="T12" s="158">
        <f>T2/股权价值增加表!T38</f>
        <v>0.3414275084265958</v>
      </c>
      <c r="U12" s="158">
        <f>U2/股权价值增加表!U38</f>
        <v>1.6548498521155466</v>
      </c>
      <c r="V12" s="158">
        <f>V2/股权价值增加表!V38</f>
        <v>0.70832004045421781</v>
      </c>
      <c r="W12" s="158">
        <f>W2/股权价值增加表!W38</f>
        <v>0.65794073621815241</v>
      </c>
      <c r="X12" s="158">
        <f>X2/股权价值增加表!X38</f>
        <v>0.72801294699279873</v>
      </c>
      <c r="Y12" s="158">
        <f>Y2/股权价值增加表!Y38</f>
        <v>0.72612530152052779</v>
      </c>
      <c r="Z12" s="158">
        <f>Z2/股权价值增加表!Z38</f>
        <v>0.7165808071367531</v>
      </c>
      <c r="AA12" s="158">
        <f>AA2/股权价值增加表!AA38</f>
        <v>0.62898837238910654</v>
      </c>
      <c r="AB12" s="158">
        <f>AB2/股权价值增加表!AB38</f>
        <v>0.64474489743996466</v>
      </c>
      <c r="AC12" s="158">
        <f>AC2/股权价值增加表!AC38</f>
        <v>0.73809962871914936</v>
      </c>
      <c r="AD12" s="158">
        <f>AD2/股权价值增加表!AD38</f>
        <v>0.7246819219778442</v>
      </c>
      <c r="AE12" s="158">
        <f>AE2/股权价值增加表!AE38</f>
        <v>0.67625084599645058</v>
      </c>
      <c r="AF12" s="158">
        <f>AF2/股权价值增加表!AF38</f>
        <v>0.77256983825847547</v>
      </c>
      <c r="AG12" s="158">
        <f>AG2/股权价值增加表!AG38</f>
        <v>0.75264307796838359</v>
      </c>
      <c r="AH12" s="158">
        <f>AH2/股权价值增加表!AH38</f>
        <v>0.75483938221813052</v>
      </c>
      <c r="AI12" s="158">
        <f>AI2/股权价值增加表!AI38</f>
        <v>0.74345005626905625</v>
      </c>
      <c r="AJ12" s="158">
        <f>AJ2/股权价值增加表!AJ38</f>
        <v>0.73110529415305592</v>
      </c>
      <c r="AK12" s="158">
        <f>AK2/股权价值增加表!AK38</f>
        <v>0.60442091173613144</v>
      </c>
      <c r="AL12" s="158">
        <f>AL2/股权价值增加表!AL38</f>
        <v>0.67744415712531092</v>
      </c>
      <c r="AM12" s="158">
        <f>AM2/股权价值增加表!AM38</f>
        <v>0.59847128568857111</v>
      </c>
      <c r="AN12" s="158">
        <f>AN2/股权价值增加表!AN38</f>
        <v>0.65121277359142771</v>
      </c>
      <c r="AO12" s="158">
        <f>AO2/股权价值增加表!AO38</f>
        <v>0.71129583146720254</v>
      </c>
      <c r="AP12" s="158">
        <f>AP2/股权价值增加表!AP38</f>
        <v>0.73608746135963476</v>
      </c>
      <c r="AQ12" s="158">
        <f>AQ2/股权价值增加表!AQ38</f>
        <v>0.78827402015137849</v>
      </c>
      <c r="AR12" s="158">
        <f>AR2/股权价值增加表!AR38</f>
        <v>0.75617925208141779</v>
      </c>
      <c r="AS12" s="158">
        <f>AS2/股权价值增加表!AS38</f>
        <v>0.82112609507344492</v>
      </c>
      <c r="AT12" s="158">
        <f>AT2/股权价值增加表!AT38</f>
        <v>0.83017533271849009</v>
      </c>
      <c r="AU12" s="158">
        <f>AU2/股权价值增加表!AU38</f>
        <v>0.78208927151479291</v>
      </c>
      <c r="AV12" s="158">
        <f>AV2/股权价值增加表!AV38</f>
        <v>0.83186589686705803</v>
      </c>
      <c r="AW12" s="158">
        <f>AW2/股权价值增加表!AW38</f>
        <v>0.83994659820464257</v>
      </c>
      <c r="AX12" s="158">
        <f>AX2/股权价值增加表!AX38</f>
        <v>0.82905653063655571</v>
      </c>
      <c r="AY12" s="158">
        <f>AY2/股权价值增加表!AY38</f>
        <v>0.77017675331763613</v>
      </c>
      <c r="AZ12" s="158">
        <f>AZ2/股权价值增加表!AZ38</f>
        <v>0.89937166027079352</v>
      </c>
      <c r="BA12" s="158">
        <f>BA2/股权价值增加表!BA38</f>
        <v>0.84654834072524177</v>
      </c>
      <c r="BB12" s="158">
        <f>BB2/股权价值增加表!BB38</f>
        <v>0.83736376006914848</v>
      </c>
      <c r="BC12" s="158">
        <f>BC2/股权价值增加表!BC38</f>
        <v>0.83123337996445568</v>
      </c>
      <c r="BD12" s="158">
        <f>BD2/股权价值增加表!BD38</f>
        <v>0.81892747216918038</v>
      </c>
      <c r="BE12" s="158">
        <f>BE2/股权价值增加表!BE38</f>
        <v>0.80312595498258976</v>
      </c>
      <c r="BF12" s="158">
        <f>BF2/股权价值增加表!BF38</f>
        <v>0.81210293907738795</v>
      </c>
      <c r="BG12" s="158">
        <f>BG2/股权价值增加表!BG38</f>
        <v>0.6521180881381109</v>
      </c>
      <c r="BH12" s="158">
        <f>BH2/股权价值增加表!BH38</f>
        <v>0.8197244503310559</v>
      </c>
      <c r="BI12" s="158">
        <f>BI2/股权价值增加表!BI38</f>
        <v>0.80421203694850119</v>
      </c>
      <c r="BJ12" s="158" t="e">
        <f>BJ2/股权价值增加表!BJ38</f>
        <v>#DIV/0!</v>
      </c>
      <c r="BK12" s="158">
        <f>BK2/股权价值增加表!BK38</f>
        <v>0.17237500756568541</v>
      </c>
      <c r="BL12" s="158">
        <f>BL2/股权价值增加表!BL38</f>
        <v>-0.90970606211028981</v>
      </c>
      <c r="BM12" s="158">
        <f>BM2/股权价值增加表!BM38</f>
        <v>-0.96218756176366538</v>
      </c>
      <c r="BN12" s="158">
        <f>BN2/股权价值增加表!BN38</f>
        <v>-0.65374054993431974</v>
      </c>
      <c r="BO12" s="158">
        <f>BO2/股权价值增加表!BO38</f>
        <v>-0.50335098445535309</v>
      </c>
      <c r="BP12" s="158">
        <f>BP2/股权价值增加表!BP38</f>
        <v>-0.66609923408099037</v>
      </c>
      <c r="BQ12" s="158">
        <f>BQ2/股权价值增加表!BQ38</f>
        <v>-1.7271567271639192</v>
      </c>
      <c r="BR12" s="158">
        <f>BR2/股权价值增加表!BR38</f>
        <v>-0.33203395096035015</v>
      </c>
      <c r="BS12" s="158">
        <f>BS2/股权价值增加表!BS38</f>
        <v>6.0007400717286184E-2</v>
      </c>
      <c r="BT12" s="158">
        <f>BT2/股权价值增加表!BT38</f>
        <v>0.15022707175783542</v>
      </c>
      <c r="BU12" s="158">
        <f>BU2/股权价值增加表!BU38</f>
        <v>-0.99616523232812748</v>
      </c>
      <c r="BV12" s="158">
        <f>BV2/股权价值增加表!BV38</f>
        <v>3.7244503664361717</v>
      </c>
      <c r="BW12" s="158">
        <f>BW2/股权价值增加表!BW38</f>
        <v>0.93578276968567697</v>
      </c>
      <c r="BX12" s="158">
        <f>BX2/股权价值增加表!BX38</f>
        <v>1</v>
      </c>
      <c r="BY12" s="158">
        <f>BY2/股权价值增加表!BY38</f>
        <v>0.60507835898872442</v>
      </c>
      <c r="BZ12" s="158">
        <f>BZ2/股权价值增加表!BZ38</f>
        <v>0.22637357142857142</v>
      </c>
      <c r="CA12" s="158">
        <f>CA2/股权价值增加表!CA38</f>
        <v>1.0403277752162126</v>
      </c>
      <c r="CB12" s="158">
        <f>CB2/股权价值增加表!CB38</f>
        <v>-2.1966168493593825</v>
      </c>
      <c r="CC12" s="158">
        <f>CC2/股权价值增加表!CC38</f>
        <v>3.1089259931778246</v>
      </c>
      <c r="CD12" s="158">
        <f>CD2/股权价值增加表!CD38</f>
        <v>-2.4075993091537131</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0.23550078319377432</v>
      </c>
      <c r="F13" s="63">
        <f>1-F2/股权价值增加表!F38</f>
        <v>0.25781974239307248</v>
      </c>
      <c r="G13" s="63">
        <f>1-G2/股权价值增加表!G38</f>
        <v>0.42366678055564611</v>
      </c>
      <c r="H13" s="63">
        <f>1-H2/股权价值增加表!H38</f>
        <v>0.16556919359524414</v>
      </c>
      <c r="I13" s="63">
        <f>1-I2/股权价值增加表!I38</f>
        <v>0.24686305949647114</v>
      </c>
      <c r="J13" s="63">
        <f>1-J2/股权价值增加表!J38</f>
        <v>0.27037594536078313</v>
      </c>
      <c r="K13" s="63">
        <f>1-K2/股权价值增加表!K38</f>
        <v>-1.9575178842551999E-2</v>
      </c>
      <c r="L13" s="63">
        <f>1-L2/股权价值增加表!L38</f>
        <v>0.18814790078770016</v>
      </c>
      <c r="M13" s="63">
        <f>1-M2/股权价值增加表!M38</f>
        <v>0.20586285401505189</v>
      </c>
      <c r="N13" s="63">
        <f>1-N2/股权价值增加表!N38</f>
        <v>0.13375196101558318</v>
      </c>
      <c r="O13" s="63">
        <f>1-O2/股权价值增加表!O38</f>
        <v>0.75779868719523547</v>
      </c>
      <c r="P13" s="63">
        <f>1-P2/股权价值增加表!P38</f>
        <v>0.94924576258809046</v>
      </c>
      <c r="Q13" s="63">
        <f>1-Q2/股权价值增加表!Q38</f>
        <v>0.46465235179926356</v>
      </c>
      <c r="R13" s="63">
        <f>1-R2/股权价值增加表!R38</f>
        <v>0.41758267507526325</v>
      </c>
      <c r="S13" s="63">
        <f>1-S2/股权价值增加表!S38</f>
        <v>0.60394711740290552</v>
      </c>
      <c r="T13" s="63">
        <f>1-T2/股权价值增加表!T38</f>
        <v>0.65857249157340414</v>
      </c>
      <c r="U13" s="63">
        <f>1-U2/股权价值增加表!U38</f>
        <v>-0.65484985211554658</v>
      </c>
      <c r="V13" s="63">
        <f>1-V2/股权价值增加表!V38</f>
        <v>0.29167995954578219</v>
      </c>
      <c r="W13" s="63">
        <f>1-W2/股权价值增加表!W38</f>
        <v>0.34205926378184759</v>
      </c>
      <c r="X13" s="63">
        <f>1-X2/股权价值增加表!X38</f>
        <v>0.27198705300720127</v>
      </c>
      <c r="Y13" s="63">
        <f>1-Y2/股权价值增加表!Y38</f>
        <v>0.27387469847947221</v>
      </c>
      <c r="Z13" s="63">
        <f>1-Z2/股权价值增加表!Z38</f>
        <v>0.2834191928632469</v>
      </c>
      <c r="AA13" s="63">
        <f>1-AA2/股权价值增加表!AA38</f>
        <v>0.37101162761089346</v>
      </c>
      <c r="AB13" s="63">
        <f>1-AB2/股权价值增加表!AB38</f>
        <v>0.35525510256003534</v>
      </c>
      <c r="AC13" s="63">
        <f>1-AC2/股权价值增加表!AC38</f>
        <v>0.26190037128085064</v>
      </c>
      <c r="AD13" s="63">
        <f>1-AD2/股权价值增加表!AD38</f>
        <v>0.2753180780221558</v>
      </c>
      <c r="AE13" s="63">
        <f>1-AE2/股权价值增加表!AE38</f>
        <v>0.32374915400354942</v>
      </c>
      <c r="AF13" s="63">
        <f>1-AF2/股权价值增加表!AF38</f>
        <v>0.22743016174152453</v>
      </c>
      <c r="AG13" s="63">
        <f>1-AG2/股权价值增加表!AG38</f>
        <v>0.24735692203161641</v>
      </c>
      <c r="AH13" s="63">
        <f>1-AH2/股权价值增加表!AH38</f>
        <v>0.24516061778186948</v>
      </c>
      <c r="AI13" s="63">
        <f>1-AI2/股权价值增加表!AI38</f>
        <v>0.25654994373094375</v>
      </c>
      <c r="AJ13" s="63">
        <f>1-AJ2/股权价值增加表!AJ38</f>
        <v>0.26889470584694408</v>
      </c>
      <c r="AK13" s="63">
        <f>1-AK2/股权价值增加表!AK38</f>
        <v>0.39557908826386856</v>
      </c>
      <c r="AL13" s="63">
        <f>1-AL2/股权价值增加表!AL38</f>
        <v>0.32255584287468908</v>
      </c>
      <c r="AM13" s="63">
        <f>1-AM2/股权价值增加表!AM38</f>
        <v>0.40152871431142889</v>
      </c>
      <c r="AN13" s="63">
        <f>1-AN2/股权价值增加表!AN38</f>
        <v>0.34878722640857229</v>
      </c>
      <c r="AO13" s="63">
        <f>1-AO2/股权价值增加表!AO38</f>
        <v>0.28870416853279746</v>
      </c>
      <c r="AP13" s="63">
        <f>1-AP2/股权价值增加表!AP38</f>
        <v>0.26391253864036524</v>
      </c>
      <c r="AQ13" s="63">
        <f>1-AQ2/股权价值增加表!AQ38</f>
        <v>0.21172597984862151</v>
      </c>
      <c r="AR13" s="63">
        <f>1-AR2/股权价值增加表!AR38</f>
        <v>0.24382074791858221</v>
      </c>
      <c r="AS13" s="63">
        <f>1-AS2/股权价值增加表!AS38</f>
        <v>0.17887390492655508</v>
      </c>
      <c r="AT13" s="63">
        <f>1-AT2/股权价值增加表!AT38</f>
        <v>0.16982466728150991</v>
      </c>
      <c r="AU13" s="63">
        <f>1-AU2/股权价值增加表!AU38</f>
        <v>0.21791072848520709</v>
      </c>
      <c r="AV13" s="63">
        <f>1-AV2/股权价值增加表!AV38</f>
        <v>0.16813410313294197</v>
      </c>
      <c r="AW13" s="63">
        <f>1-AW2/股权价值增加表!AW38</f>
        <v>0.16005340179535743</v>
      </c>
      <c r="AX13" s="63">
        <f>1-AX2/股权价值增加表!AX38</f>
        <v>0.17094346936344429</v>
      </c>
      <c r="AY13" s="63">
        <f>1-AY2/股权价值增加表!AY38</f>
        <v>0.22982324668236387</v>
      </c>
      <c r="AZ13" s="63">
        <f>1-AZ2/股权价值增加表!AZ38</f>
        <v>0.10062833972920648</v>
      </c>
      <c r="BA13" s="63">
        <f>1-BA2/股权价值增加表!BA38</f>
        <v>0.15345165927475823</v>
      </c>
      <c r="BB13" s="63">
        <f>1-BB2/股权价值增加表!BB38</f>
        <v>0.16263623993085152</v>
      </c>
      <c r="BC13" s="63">
        <f>1-BC2/股权价值增加表!BC38</f>
        <v>0.16876662003554432</v>
      </c>
      <c r="BD13" s="63">
        <f>1-BD2/股权价值增加表!BD38</f>
        <v>0.18107252783081962</v>
      </c>
      <c r="BE13" s="63">
        <f>1-BE2/股权价值增加表!BE38</f>
        <v>0.19687404501741024</v>
      </c>
      <c r="BF13" s="63">
        <f>1-BF2/股权价值增加表!BF38</f>
        <v>0.18789706092261205</v>
      </c>
      <c r="BG13" s="63">
        <f>1-BG2/股权价值增加表!BG38</f>
        <v>0.3478819118618891</v>
      </c>
      <c r="BH13" s="63">
        <f>1-BH2/股权价值增加表!BH38</f>
        <v>0.1802755496689441</v>
      </c>
      <c r="BI13" s="63">
        <f>1-BI2/股权价值增加表!BI38</f>
        <v>0.19578796305149881</v>
      </c>
      <c r="BJ13" s="63" t="e">
        <f>1-BJ2/股权价值增加表!BJ38</f>
        <v>#DIV/0!</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9.7468822148609358E-2</v>
      </c>
      <c r="F14" s="59">
        <f t="shared" ref="F14:BQ14" si="4">F6*F7*F9*F10*F12</f>
        <v>6.6228648680445104E-2</v>
      </c>
      <c r="G14" s="59">
        <f t="shared" si="4"/>
        <v>1.0121550795523321E-2</v>
      </c>
      <c r="H14" s="59">
        <f t="shared" si="4"/>
        <v>-3.2489691139407605E-2</v>
      </c>
      <c r="I14" s="59">
        <f t="shared" si="4"/>
        <v>0.10254062213516787</v>
      </c>
      <c r="J14" s="59">
        <f t="shared" si="4"/>
        <v>3.3637384938297162E-2</v>
      </c>
      <c r="K14" s="59">
        <f t="shared" si="4"/>
        <v>-6.7155448684156184E-3</v>
      </c>
      <c r="L14" s="59">
        <f t="shared" si="4"/>
        <v>-4.4760655186850629E-2</v>
      </c>
      <c r="M14" s="59">
        <f t="shared" si="4"/>
        <v>8.6555484219859424E-2</v>
      </c>
      <c r="N14" s="59">
        <f t="shared" si="4"/>
        <v>2.8968111518489312E-2</v>
      </c>
      <c r="O14" s="59">
        <f t="shared" si="4"/>
        <v>3.4789763435736426E-3</v>
      </c>
      <c r="P14" s="59">
        <f t="shared" si="4"/>
        <v>2.3764058305816209E-4</v>
      </c>
      <c r="Q14" s="59">
        <f t="shared" si="4"/>
        <v>5.8182965395342449E-2</v>
      </c>
      <c r="R14" s="59">
        <f t="shared" si="4"/>
        <v>5.6048869636910609E-2</v>
      </c>
      <c r="S14" s="59">
        <f t="shared" si="4"/>
        <v>7.8387853643040496E-3</v>
      </c>
      <c r="T14" s="59">
        <f t="shared" si="4"/>
        <v>1.8046928569979811E-3</v>
      </c>
      <c r="U14" s="59">
        <f t="shared" si="4"/>
        <v>-0.15343377569344285</v>
      </c>
      <c r="V14" s="59">
        <f t="shared" si="4"/>
        <v>7.4156367154657038E-2</v>
      </c>
      <c r="W14" s="59">
        <f t="shared" si="4"/>
        <v>1.8809774131491531E-2</v>
      </c>
      <c r="X14" s="59">
        <f t="shared" si="4"/>
        <v>9.6552868766025986E-3</v>
      </c>
      <c r="Y14" s="59">
        <f t="shared" si="4"/>
        <v>0.12059315068843431</v>
      </c>
      <c r="Z14" s="59">
        <f t="shared" si="4"/>
        <v>8.8512579800759175E-2</v>
      </c>
      <c r="AA14" s="59">
        <f t="shared" si="4"/>
        <v>2.192123631525526E-2</v>
      </c>
      <c r="AB14" s="59">
        <f t="shared" si="4"/>
        <v>1.1510548094568075E-2</v>
      </c>
      <c r="AC14" s="59">
        <f t="shared" si="4"/>
        <v>0.14732775599973522</v>
      </c>
      <c r="AD14" s="59">
        <f t="shared" si="4"/>
        <v>8.3967915296934439E-2</v>
      </c>
      <c r="AE14" s="59">
        <f t="shared" si="4"/>
        <v>2.1698833264846937E-2</v>
      </c>
      <c r="AF14" s="59">
        <f t="shared" si="4"/>
        <v>1.460234635727873E-2</v>
      </c>
      <c r="AG14" s="59">
        <f t="shared" si="4"/>
        <v>7.0122062531580737E-2</v>
      </c>
      <c r="AH14" s="59">
        <f t="shared" si="4"/>
        <v>5.0011863403011406E-2</v>
      </c>
      <c r="AI14" s="59">
        <f t="shared" si="4"/>
        <v>1.746604112467166E-2</v>
      </c>
      <c r="AJ14" s="59">
        <f t="shared" si="4"/>
        <v>1.1098149970244905E-2</v>
      </c>
      <c r="AK14" s="59">
        <f t="shared" si="4"/>
        <v>5.1423317640141547E-2</v>
      </c>
      <c r="AL14" s="59">
        <f t="shared" si="4"/>
        <v>3.8814232785222426E-2</v>
      </c>
      <c r="AM14" s="59">
        <f t="shared" si="4"/>
        <v>1.3041733184327626E-2</v>
      </c>
      <c r="AN14" s="59">
        <f t="shared" si="4"/>
        <v>8.4966127553738093E-3</v>
      </c>
      <c r="AO14" s="59">
        <f t="shared" si="4"/>
        <v>4.1769094788348747E-2</v>
      </c>
      <c r="AP14" s="59">
        <f t="shared" si="4"/>
        <v>3.5481738267476831E-2</v>
      </c>
      <c r="AQ14" s="59">
        <f t="shared" si="4"/>
        <v>1.3572704458997522E-2</v>
      </c>
      <c r="AR14" s="59">
        <f t="shared" si="4"/>
        <v>8.9971921509986209E-3</v>
      </c>
      <c r="AS14" s="59">
        <f t="shared" si="4"/>
        <v>8.4897594528394793E-2</v>
      </c>
      <c r="AT14" s="59">
        <f t="shared" si="4"/>
        <v>7.2972335485466958E-2</v>
      </c>
      <c r="AU14" s="59">
        <f t="shared" si="4"/>
        <v>2.5096378550566165E-2</v>
      </c>
      <c r="AV14" s="59">
        <f t="shared" si="4"/>
        <v>1.4393201259011598E-2</v>
      </c>
      <c r="AW14" s="59">
        <f t="shared" si="4"/>
        <v>9.1456600547524983E-2</v>
      </c>
      <c r="AX14" s="59">
        <f t="shared" si="4"/>
        <v>7.3793489855194003E-2</v>
      </c>
      <c r="AY14" s="59">
        <f t="shared" si="4"/>
        <v>2.2115715807491915E-2</v>
      </c>
      <c r="AZ14" s="59">
        <f t="shared" si="4"/>
        <v>1.3395206881279691E-2</v>
      </c>
      <c r="BA14" s="59">
        <f t="shared" si="4"/>
        <v>8.1531572416203096E-2</v>
      </c>
      <c r="BB14" s="59">
        <f t="shared" si="4"/>
        <v>5.3639083563164013E-2</v>
      </c>
      <c r="BC14" s="59">
        <f t="shared" si="4"/>
        <v>1.1467684424743062E-2</v>
      </c>
      <c r="BD14" s="59">
        <f t="shared" si="4"/>
        <v>1.5123485851917166E-2</v>
      </c>
      <c r="BE14" s="59">
        <f t="shared" si="4"/>
        <v>0.1522419429210701</v>
      </c>
      <c r="BF14" s="59">
        <f t="shared" si="4"/>
        <v>0.11054807621671159</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697</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37986</v>
      </c>
      <c r="BI18" s="1">
        <v>37621</v>
      </c>
      <c r="BJ18" s="1">
        <v>25569</v>
      </c>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6233050789.2700005</v>
      </c>
      <c r="F19" s="76">
        <f>股权价值增加表!F4</f>
        <v>2989216840.73</v>
      </c>
      <c r="G19" s="76">
        <f>股权价值增加表!G4</f>
        <v>1621362138.1800001</v>
      </c>
      <c r="H19" s="76">
        <f>股权价值增加表!H4</f>
        <v>554996254.27999997</v>
      </c>
      <c r="I19" s="76">
        <f>股权价值增加表!I4</f>
        <v>3081860748.46</v>
      </c>
      <c r="J19" s="76">
        <f>股权价值增加表!J4</f>
        <v>1882610155.46</v>
      </c>
      <c r="K19" s="76">
        <f>股权价值增加表!K4</f>
        <v>1042533326.38</v>
      </c>
      <c r="L19" s="76">
        <f>股权价值增加表!L4</f>
        <v>309009125.79000002</v>
      </c>
      <c r="M19" s="76">
        <f>股权价值增加表!M4</f>
        <v>2101482138.0899999</v>
      </c>
      <c r="N19" s="76">
        <f>股权价值增加表!N4</f>
        <v>1287716120.8399999</v>
      </c>
      <c r="O19" s="76">
        <f>股权价值增加表!O4</f>
        <v>234402082.41999999</v>
      </c>
      <c r="P19" s="76">
        <f>股权价值增加表!P4</f>
        <v>98884258.989999995</v>
      </c>
      <c r="Q19" s="76">
        <f>股权价值增加表!Q4</f>
        <v>696008522.04999995</v>
      </c>
      <c r="R19" s="76">
        <f>股权价值增加表!R4</f>
        <v>499824845.88</v>
      </c>
      <c r="S19" s="76">
        <f>股权价值增加表!S4</f>
        <v>218791842.91</v>
      </c>
      <c r="T19" s="76">
        <f>股权价值增加表!T4</f>
        <v>80628835.340000004</v>
      </c>
      <c r="U19" s="76">
        <f>股权价值增加表!U4</f>
        <v>758700415.60000002</v>
      </c>
      <c r="V19" s="76">
        <f>股权价值增加表!V4</f>
        <v>505160617.19999999</v>
      </c>
      <c r="W19" s="76">
        <f>股权价值增加表!W4</f>
        <v>244045439.34</v>
      </c>
      <c r="X19" s="76">
        <f>股权价值增加表!X4</f>
        <v>124255763.25</v>
      </c>
      <c r="Y19" s="76">
        <f>股权价值增加表!Y4</f>
        <v>691214660.60000002</v>
      </c>
      <c r="Z19" s="76">
        <f>股权价值增加表!Z4</f>
        <v>479068814.31999999</v>
      </c>
      <c r="AA19" s="76">
        <f>股权价值增加表!AA4</f>
        <v>247057637.74000001</v>
      </c>
      <c r="AB19" s="76">
        <f>股权价值增加表!AB4</f>
        <v>129105048.27</v>
      </c>
      <c r="AC19" s="76">
        <f>股权价值增加表!AC4</f>
        <v>776359138.99000001</v>
      </c>
      <c r="AD19" s="76">
        <f>股权价值增加表!AD4</f>
        <v>579326555.54999995</v>
      </c>
      <c r="AE19" s="76">
        <f>股权价值增加表!AE4</f>
        <v>304913961.62</v>
      </c>
      <c r="AF19" s="76">
        <f>股权价值增加表!AF4</f>
        <v>129331362.36</v>
      </c>
      <c r="AG19" s="76">
        <f>股权价值增加表!AG4</f>
        <v>554317044.60000002</v>
      </c>
      <c r="AH19" s="76">
        <f>股权价值增加表!AH4</f>
        <v>356208895.57999998</v>
      </c>
      <c r="AI19" s="76">
        <f>股权价值增加表!AI4</f>
        <v>184973928.56</v>
      </c>
      <c r="AJ19" s="76">
        <f>股权价值增加表!AJ4</f>
        <v>104299108.65000001</v>
      </c>
      <c r="AK19" s="76">
        <f>股权价值增加表!AK4</f>
        <v>509839028.19</v>
      </c>
      <c r="AL19" s="76">
        <f>股权价值增加表!AL4</f>
        <v>339390401.16000003</v>
      </c>
      <c r="AM19" s="76">
        <f>股权价值增加表!AM4</f>
        <v>179720032.56</v>
      </c>
      <c r="AN19" s="76">
        <f>股权价值增加表!AN4</f>
        <v>98918353.280000001</v>
      </c>
      <c r="AO19" s="76">
        <f>股权价值增加表!AO4</f>
        <v>412981840.82999998</v>
      </c>
      <c r="AP19" s="76">
        <f>股权价值增加表!AP4</f>
        <v>271774932.64999998</v>
      </c>
      <c r="AQ19" s="76">
        <f>股权价值增加表!AQ4</f>
        <v>163859513.34999999</v>
      </c>
      <c r="AR19" s="76">
        <f>股权价值增加表!AR4</f>
        <v>83742016.219999999</v>
      </c>
      <c r="AS19" s="76">
        <f>股权价值增加表!AS4</f>
        <v>566295103.17999995</v>
      </c>
      <c r="AT19" s="76">
        <f>股权价值增加表!AT4</f>
        <v>419765060.01999998</v>
      </c>
      <c r="AU19" s="76">
        <f>股权价值增加表!AU4</f>
        <v>242760630.49000001</v>
      </c>
      <c r="AV19" s="76">
        <f>股权价值增加表!AV4</f>
        <v>125941160.89</v>
      </c>
      <c r="AW19" s="76">
        <f>股权价值增加表!AW4</f>
        <v>593824099.46000004</v>
      </c>
      <c r="AX19" s="76">
        <f>股权价值增加表!AX4</f>
        <v>439235650.68000001</v>
      </c>
      <c r="AY19" s="76">
        <f>股权价值增加表!AY4</f>
        <v>287317133.20999998</v>
      </c>
      <c r="AZ19" s="76">
        <f>股权价值增加表!AZ4</f>
        <v>136790548.13</v>
      </c>
      <c r="BA19" s="76">
        <f>股权价值增加表!BA4</f>
        <v>528669895.29000002</v>
      </c>
      <c r="BB19" s="76">
        <f>股权价值增加表!BB4</f>
        <v>399564767.79000002</v>
      </c>
      <c r="BC19" s="76">
        <f>股权价值增加表!BC4</f>
        <v>215657508.13999999</v>
      </c>
      <c r="BD19" s="76">
        <f>股权价值增加表!BD4</f>
        <v>122796213.84</v>
      </c>
      <c r="BE19" s="76">
        <f>股权价值增加表!BE4</f>
        <v>563658847.70000005</v>
      </c>
      <c r="BF19" s="76">
        <f>股权价值增加表!BF4</f>
        <v>398889793.47000003</v>
      </c>
      <c r="BG19" s="76">
        <f>股权价值增加表!BG4</f>
        <v>216854594.63</v>
      </c>
      <c r="BH19" s="76">
        <f>股权价值增加表!BH4</f>
        <v>446927130.95999998</v>
      </c>
      <c r="BI19" s="76">
        <f>股权价值增加表!BI4</f>
        <v>335191928.19</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931950664.20000017</v>
      </c>
      <c r="F20" s="76">
        <f>股权价值增加表!F15</f>
        <v>348866881.20999998</v>
      </c>
      <c r="G20" s="76">
        <f>股权价值增加表!G15</f>
        <v>91843296.310000092</v>
      </c>
      <c r="H20" s="76">
        <f>股权价值增加表!H15</f>
        <v>-104098612.94000006</v>
      </c>
      <c r="I20" s="76">
        <f>股权价值增加表!I15</f>
        <v>494212880.83999991</v>
      </c>
      <c r="J20" s="76">
        <f>股权价值增加表!J15</f>
        <v>166590462.70000002</v>
      </c>
      <c r="K20" s="76">
        <f>股权价值增加表!K15</f>
        <v>-11326858.590000004</v>
      </c>
      <c r="L20" s="76">
        <f>股权价值增加表!L15</f>
        <v>-160947625.68999997</v>
      </c>
      <c r="M20" s="76">
        <f>股权价值增加表!M15</f>
        <v>319646208.19999993</v>
      </c>
      <c r="N20" s="76">
        <f>股权价值增加表!N15</f>
        <v>71546689.449999958</v>
      </c>
      <c r="O20" s="76">
        <f>股权价值增加表!O15</f>
        <v>5532237.4199999869</v>
      </c>
      <c r="P20" s="76">
        <f>股权价值增加表!P15</f>
        <v>1450659.2399999935</v>
      </c>
      <c r="Q20" s="76">
        <f>股权价值增加表!Q15</f>
        <v>54103606.569999933</v>
      </c>
      <c r="R20" s="76">
        <f>股权价值增加表!R15</f>
        <v>51189461.309999973</v>
      </c>
      <c r="S20" s="76">
        <f>股权价值增加表!S15</f>
        <v>13332086.619999997</v>
      </c>
      <c r="T20" s="76">
        <f>股权价值增加表!T15</f>
        <v>4186092.3800000004</v>
      </c>
      <c r="U20" s="76">
        <f>股权价值增加表!U15</f>
        <v>-18699031.43999996</v>
      </c>
      <c r="V20" s="76">
        <f>股权价值增加表!V15</f>
        <v>57055163.739999965</v>
      </c>
      <c r="W20" s="76">
        <f>股权价值增加表!W15</f>
        <v>18616193.809999987</v>
      </c>
      <c r="X20" s="76">
        <f>股权价值增加表!X15</f>
        <v>8296889.9200000083</v>
      </c>
      <c r="Y20" s="76">
        <f>股权价值增加表!Y15</f>
        <v>81990745.190000072</v>
      </c>
      <c r="Z20" s="76">
        <f>股权价值增加表!Z15</f>
        <v>48683625.760000013</v>
      </c>
      <c r="AA20" s="76">
        <f>股权价值增加表!AA15</f>
        <v>12169065.370000022</v>
      </c>
      <c r="AB20" s="76">
        <f>股权价值增加表!AB15</f>
        <v>6503042.2699999968</v>
      </c>
      <c r="AC20" s="76">
        <f>股权价值增加表!AC15</f>
        <v>80191900.440000057</v>
      </c>
      <c r="AD20" s="76">
        <f>股权价值增加表!AD15</f>
        <v>43859368.919999927</v>
      </c>
      <c r="AE20" s="76">
        <f>股权价值增加表!AE15</f>
        <v>10846468.929999981</v>
      </c>
      <c r="AF20" s="76">
        <f>股权价值增加表!AF15</f>
        <v>5921357.3299999963</v>
      </c>
      <c r="AG20" s="76">
        <f>股权价值增加表!AG15</f>
        <v>30951733.010000009</v>
      </c>
      <c r="AH20" s="76">
        <f>股权价值增加表!AH15</f>
        <v>20357446.679999985</v>
      </c>
      <c r="AI20" s="76">
        <f>股权价值增加表!AI15</f>
        <v>5709927.7800000142</v>
      </c>
      <c r="AJ20" s="76">
        <f>股权价值增加表!AJ15</f>
        <v>3082502.3800000115</v>
      </c>
      <c r="AK20" s="76">
        <f>股权价值增加表!AK15</f>
        <v>24573283.669999983</v>
      </c>
      <c r="AL20" s="76">
        <f>股权价值增加表!AL15</f>
        <v>14724308.320000034</v>
      </c>
      <c r="AM20" s="76">
        <f>股权价值增加表!AM15</f>
        <v>4363847.6399999941</v>
      </c>
      <c r="AN20" s="76">
        <f>股权价值增加表!AN15</f>
        <v>1666157.6899999944</v>
      </c>
      <c r="AO20" s="76">
        <f>股权价值增加表!AO15</f>
        <v>18873739.970000003</v>
      </c>
      <c r="AP20" s="76">
        <f>股权价值增加表!AP15</f>
        <v>14653800.769999981</v>
      </c>
      <c r="AQ20" s="76">
        <f>股权价值增加表!AQ15</f>
        <v>3538977.2199999802</v>
      </c>
      <c r="AR20" s="76">
        <f>股权价值增加表!AR15</f>
        <v>1734752.9799999986</v>
      </c>
      <c r="AS20" s="76">
        <f>股权价值增加表!AS15</f>
        <v>30786686.90999997</v>
      </c>
      <c r="AT20" s="76">
        <f>股权价值增加表!AT15</f>
        <v>25363770.79999999</v>
      </c>
      <c r="AU20" s="76">
        <f>股权价值增加表!AU15</f>
        <v>7617155.1700000037</v>
      </c>
      <c r="AV20" s="76">
        <f>股权价值增加表!AV15</f>
        <v>3255326.6799999936</v>
      </c>
      <c r="AW20" s="76">
        <f>股权价值增加表!AW15</f>
        <v>33240469.440000065</v>
      </c>
      <c r="AX20" s="76">
        <f>股权价值增加表!AX15</f>
        <v>26750277.360000029</v>
      </c>
      <c r="AY20" s="76">
        <f>股权价值增加表!AY15</f>
        <v>8433501.2999999803</v>
      </c>
      <c r="AZ20" s="76">
        <f>股权价值增加表!AZ15</f>
        <v>4378491.2199999932</v>
      </c>
      <c r="BA20" s="76">
        <f>股权价值增加表!BA15</f>
        <v>27898771.210000012</v>
      </c>
      <c r="BB20" s="76">
        <f>股权价值增加表!BB15</f>
        <v>20386768.200000018</v>
      </c>
      <c r="BC20" s="76">
        <f>股权价值增加表!BC15</f>
        <v>4335718.5299999844</v>
      </c>
      <c r="BD20" s="76">
        <f>股权价值增加表!BD15</f>
        <v>3004178.140000002</v>
      </c>
      <c r="BE20" s="76">
        <f>股权价值增加表!BE15</f>
        <v>28490269.910000034</v>
      </c>
      <c r="BF20" s="76">
        <f>股权价值增加表!BF15</f>
        <v>17780327.490000043</v>
      </c>
      <c r="BG20" s="76">
        <f>股权价值增加表!BG15</f>
        <v>4015626.1000000099</v>
      </c>
      <c r="BH20" s="76">
        <f>股权价值增加表!BH15</f>
        <v>27139517.139999982</v>
      </c>
      <c r="BI20" s="76">
        <f>股权价值增加表!BI15</f>
        <v>18542018.909999985</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0.1495175790648656</v>
      </c>
      <c r="F21" s="244">
        <f t="shared" ref="F21:BQ21" si="6">F20/F19</f>
        <v>0.11670845569196071</v>
      </c>
      <c r="G21" s="244">
        <f t="shared" si="6"/>
        <v>5.6645763551069088E-2</v>
      </c>
      <c r="H21" s="244">
        <f t="shared" si="6"/>
        <v>-0.1875663342539993</v>
      </c>
      <c r="I21" s="244">
        <f t="shared" si="6"/>
        <v>0.16036184668205958</v>
      </c>
      <c r="J21" s="244">
        <f t="shared" si="6"/>
        <v>8.8489091709640241E-2</v>
      </c>
      <c r="K21" s="244">
        <f t="shared" si="6"/>
        <v>-1.0864744851208143E-2</v>
      </c>
      <c r="L21" s="244">
        <f t="shared" si="6"/>
        <v>-0.52085072011555611</v>
      </c>
      <c r="M21" s="244">
        <f t="shared" si="6"/>
        <v>0.15210512733195095</v>
      </c>
      <c r="N21" s="244">
        <f t="shared" si="6"/>
        <v>5.5560917730321485E-2</v>
      </c>
      <c r="O21" s="244">
        <f t="shared" si="6"/>
        <v>2.3601485801168623E-2</v>
      </c>
      <c r="P21" s="244">
        <f t="shared" si="6"/>
        <v>1.4670274670781486E-2</v>
      </c>
      <c r="Q21" s="244">
        <f t="shared" si="6"/>
        <v>7.7734115109172802E-2</v>
      </c>
      <c r="R21" s="244">
        <f t="shared" si="6"/>
        <v>0.10241479936811654</v>
      </c>
      <c r="S21" s="244">
        <f t="shared" si="6"/>
        <v>6.0935025925459893E-2</v>
      </c>
      <c r="T21" s="244">
        <f t="shared" si="6"/>
        <v>5.1918055895857372E-2</v>
      </c>
      <c r="U21" s="244">
        <f t="shared" si="6"/>
        <v>-2.4646133118580514E-2</v>
      </c>
      <c r="V21" s="244">
        <f t="shared" si="6"/>
        <v>0.11294459979133933</v>
      </c>
      <c r="W21" s="244">
        <f t="shared" si="6"/>
        <v>7.6281670578831104E-2</v>
      </c>
      <c r="X21" s="244">
        <f t="shared" si="6"/>
        <v>6.6772676799762107E-2</v>
      </c>
      <c r="Y21" s="244">
        <f t="shared" si="6"/>
        <v>0.11861835383935442</v>
      </c>
      <c r="Z21" s="244">
        <f t="shared" si="6"/>
        <v>0.10162136274535537</v>
      </c>
      <c r="AA21" s="244">
        <f t="shared" si="6"/>
        <v>4.9255977193494317E-2</v>
      </c>
      <c r="AB21" s="244">
        <f t="shared" si="6"/>
        <v>5.0370162570250954E-2</v>
      </c>
      <c r="AC21" s="244">
        <f t="shared" si="6"/>
        <v>0.10329227339852694</v>
      </c>
      <c r="AD21" s="244">
        <f t="shared" si="6"/>
        <v>7.5707506413823553E-2</v>
      </c>
      <c r="AE21" s="244">
        <f t="shared" si="6"/>
        <v>3.5572227891346696E-2</v>
      </c>
      <c r="AF21" s="244">
        <f t="shared" si="6"/>
        <v>4.5784388426355675E-2</v>
      </c>
      <c r="AG21" s="244">
        <f t="shared" si="6"/>
        <v>5.5837599279190568E-2</v>
      </c>
      <c r="AH21" s="244">
        <f t="shared" si="6"/>
        <v>5.7150304028350585E-2</v>
      </c>
      <c r="AI21" s="244">
        <f t="shared" si="6"/>
        <v>3.0868824728171811E-2</v>
      </c>
      <c r="AJ21" s="244">
        <f t="shared" si="6"/>
        <v>2.955444605326463E-2</v>
      </c>
      <c r="AK21" s="244">
        <f t="shared" si="6"/>
        <v>4.8198121978300847E-2</v>
      </c>
      <c r="AL21" s="244">
        <f t="shared" si="6"/>
        <v>4.3384575019428731E-2</v>
      </c>
      <c r="AM21" s="244">
        <f t="shared" si="6"/>
        <v>2.4281364619401079E-2</v>
      </c>
      <c r="AN21" s="244">
        <f t="shared" si="6"/>
        <v>1.6843766952769013E-2</v>
      </c>
      <c r="AO21" s="244">
        <f t="shared" si="6"/>
        <v>4.570113768699384E-2</v>
      </c>
      <c r="AP21" s="244">
        <f t="shared" si="6"/>
        <v>5.3918882904743795E-2</v>
      </c>
      <c r="AQ21" s="244">
        <f t="shared" si="6"/>
        <v>2.1597630480207821E-2</v>
      </c>
      <c r="AR21" s="244">
        <f t="shared" si="6"/>
        <v>2.0715443194520192E-2</v>
      </c>
      <c r="AS21" s="244">
        <f t="shared" si="6"/>
        <v>5.4365094695537665E-2</v>
      </c>
      <c r="AT21" s="244">
        <f t="shared" si="6"/>
        <v>6.0423730357146724E-2</v>
      </c>
      <c r="AU21" s="244">
        <f t="shared" si="6"/>
        <v>3.1377226013234366E-2</v>
      </c>
      <c r="AV21" s="244">
        <f t="shared" si="6"/>
        <v>2.5847996453226864E-2</v>
      </c>
      <c r="AW21" s="244">
        <f t="shared" si="6"/>
        <v>5.5976962656496466E-2</v>
      </c>
      <c r="AX21" s="244">
        <f t="shared" si="6"/>
        <v>6.0901881071326401E-2</v>
      </c>
      <c r="AY21" s="244">
        <f t="shared" si="6"/>
        <v>2.9352587525074383E-2</v>
      </c>
      <c r="AZ21" s="244">
        <f t="shared" si="6"/>
        <v>3.2008726332749676E-2</v>
      </c>
      <c r="BA21" s="244">
        <f t="shared" si="6"/>
        <v>5.2771628304456863E-2</v>
      </c>
      <c r="BB21" s="244">
        <f t="shared" si="6"/>
        <v>5.1022437020059611E-2</v>
      </c>
      <c r="BC21" s="244">
        <f t="shared" si="6"/>
        <v>2.0104649114211844E-2</v>
      </c>
      <c r="BD21" s="244">
        <f t="shared" si="6"/>
        <v>2.4464745663203925E-2</v>
      </c>
      <c r="BE21" s="244">
        <f t="shared" si="6"/>
        <v>5.0545236762013182E-2</v>
      </c>
      <c r="BF21" s="244">
        <f t="shared" si="6"/>
        <v>4.4574536077562683E-2</v>
      </c>
      <c r="BG21" s="244">
        <f t="shared" si="6"/>
        <v>1.8517597502840651E-2</v>
      </c>
      <c r="BH21" s="244">
        <f t="shared" si="6"/>
        <v>6.0724702663953897E-2</v>
      </c>
      <c r="BI21" s="244">
        <f t="shared" si="6"/>
        <v>5.5317617611273857E-2</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6613933779.2499981</v>
      </c>
      <c r="F22" s="193">
        <f>资产资本表!F69</f>
        <v>3512699470.0300002</v>
      </c>
      <c r="G22" s="193">
        <f>资产资本表!G69</f>
        <v>2953550073.5500007</v>
      </c>
      <c r="H22" s="193">
        <f>资产资本表!H69</f>
        <v>2850227889.9099994</v>
      </c>
      <c r="I22" s="193">
        <f>资产资本表!I69</f>
        <v>2467569275.3400002</v>
      </c>
      <c r="J22" s="193">
        <f>资产资本表!J69</f>
        <v>2551337412.8099999</v>
      </c>
      <c r="K22" s="193">
        <f>资产资本表!K69</f>
        <v>2366067603.6599998</v>
      </c>
      <c r="L22" s="193">
        <f>资产资本表!L69</f>
        <v>1870962454.3000002</v>
      </c>
      <c r="M22" s="193">
        <f>资产资本表!M69</f>
        <v>1690273439.1199999</v>
      </c>
      <c r="N22" s="193">
        <f>资产资本表!N69</f>
        <v>1652797616.4600003</v>
      </c>
      <c r="O22" s="193">
        <f>资产资本表!O69</f>
        <v>269501862.92999995</v>
      </c>
      <c r="P22" s="193">
        <f>资产资本表!P69</f>
        <v>211284950.63</v>
      </c>
      <c r="Q22" s="193">
        <f>资产资本表!Q69</f>
        <v>192360383</v>
      </c>
      <c r="R22" s="193">
        <f>资产资本表!R69</f>
        <v>316730591.57000005</v>
      </c>
      <c r="S22" s="193">
        <f>资产资本表!S69</f>
        <v>350741684.63999999</v>
      </c>
      <c r="T22" s="193">
        <f>资产资本表!T69</f>
        <v>231938746.84999996</v>
      </c>
      <c r="U22" s="193">
        <f>资产资本表!U69</f>
        <v>205172324.28000003</v>
      </c>
      <c r="V22" s="193">
        <f>资产资本表!V69</f>
        <v>365122807.12</v>
      </c>
      <c r="W22" s="193">
        <f>资产资本表!W69</f>
        <v>368024404.45999998</v>
      </c>
      <c r="X22" s="193">
        <f>资产资本表!X69</f>
        <v>315829508.89000005</v>
      </c>
      <c r="Y22" s="193">
        <f>资产资本表!Y69</f>
        <v>299721074.26999998</v>
      </c>
      <c r="Z22" s="193">
        <f>资产资本表!Z69</f>
        <v>243328972.13</v>
      </c>
      <c r="AA22" s="193">
        <f>资产资本表!AA69</f>
        <v>290896565.01999998</v>
      </c>
      <c r="AB22" s="193">
        <f>资产资本表!AB69</f>
        <v>233464298.47999996</v>
      </c>
      <c r="AC22" s="193">
        <f>资产资本表!AC69</f>
        <v>234047483.53999996</v>
      </c>
      <c r="AD22" s="193">
        <f>资产资本表!AD69</f>
        <v>222649855.13999999</v>
      </c>
      <c r="AE22" s="193">
        <f>资产资本表!AE69</f>
        <v>244222106.29999998</v>
      </c>
      <c r="AF22" s="193">
        <f>资产资本表!AF69</f>
        <v>186440415.18000001</v>
      </c>
      <c r="AG22" s="193">
        <f>资产资本表!AG69</f>
        <v>152402093.34999996</v>
      </c>
      <c r="AH22" s="193">
        <f>资产资本表!AH69</f>
        <v>132836999.02000001</v>
      </c>
      <c r="AI22" s="193">
        <f>资产资本表!AI69</f>
        <v>102633825.66999999</v>
      </c>
      <c r="AJ22" s="193">
        <f>资产资本表!AJ69</f>
        <v>84880485.019999996</v>
      </c>
      <c r="AK22" s="193">
        <f>资产资本表!AK69</f>
        <v>93425564.189999998</v>
      </c>
      <c r="AL22" s="193">
        <f>资产资本表!AL69</f>
        <v>107657872.32000001</v>
      </c>
      <c r="AM22" s="193">
        <f>资产资本表!AM69</f>
        <v>110998132.84</v>
      </c>
      <c r="AN22" s="193">
        <f>资产资本表!AN69</f>
        <v>110497673.77000001</v>
      </c>
      <c r="AO22" s="193">
        <f>资产资本表!AO69</f>
        <v>122403825.96000001</v>
      </c>
      <c r="AP22" s="193">
        <f>资产资本表!AP69</f>
        <v>132983654.97999999</v>
      </c>
      <c r="AQ22" s="193">
        <f>资产资本表!AQ69</f>
        <v>133140008.28</v>
      </c>
      <c r="AR22" s="193">
        <f>资产资本表!AR69</f>
        <v>116700872.12000002</v>
      </c>
      <c r="AS22" s="193">
        <f>资产资本表!AS69</f>
        <v>135312912.69</v>
      </c>
      <c r="AT22" s="193">
        <f>资产资本表!AT69</f>
        <v>108493698.49000001</v>
      </c>
      <c r="AU22" s="193">
        <f>资产资本表!AU69</f>
        <v>107356582.34999999</v>
      </c>
      <c r="AV22" s="193">
        <f>资产资本表!AV69</f>
        <v>116066319.65000002</v>
      </c>
      <c r="AW22" s="193">
        <f>资产资本表!AW69</f>
        <v>126083384.60999998</v>
      </c>
      <c r="AX22" s="193">
        <f>资产资本表!AX69</f>
        <v>125625994.79000001</v>
      </c>
      <c r="AY22" s="193">
        <f>资产资本表!AY69</f>
        <v>108703877.58</v>
      </c>
      <c r="AZ22" s="193">
        <f>资产资本表!AZ69</f>
        <v>109098967.19999999</v>
      </c>
      <c r="BA22" s="193">
        <f>资产资本表!BA69</f>
        <v>103601623.56</v>
      </c>
      <c r="BB22" s="193">
        <f>资产资本表!BB69</f>
        <v>111613693.79000001</v>
      </c>
      <c r="BC22" s="193">
        <f>资产资本表!BC69</f>
        <v>101234156.39</v>
      </c>
      <c r="BD22" s="193">
        <f>资产资本表!BD69</f>
        <v>108715702.48</v>
      </c>
      <c r="BE22" s="193">
        <f>资产资本表!BE69</f>
        <v>82067209.239999995</v>
      </c>
      <c r="BF22" s="193">
        <f>资产资本表!BF69</f>
        <v>62716395.569999993</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0.94241203454819156</v>
      </c>
      <c r="F23" s="246">
        <f t="shared" ref="F23:BQ23" si="8">F19/F22</f>
        <v>0.85097426245361962</v>
      </c>
      <c r="G23" s="246">
        <f t="shared" si="8"/>
        <v>0.54895366518408617</v>
      </c>
      <c r="H23" s="246">
        <f t="shared" si="8"/>
        <v>0.19471995774258069</v>
      </c>
      <c r="I23" s="246">
        <f t="shared" si="8"/>
        <v>1.2489459887748675</v>
      </c>
      <c r="J23" s="246">
        <f t="shared" si="8"/>
        <v>0.73789148624858869</v>
      </c>
      <c r="K23" s="246">
        <f t="shared" si="8"/>
        <v>0.44061857098560331</v>
      </c>
      <c r="L23" s="246">
        <f t="shared" si="8"/>
        <v>0.16516051675960133</v>
      </c>
      <c r="M23" s="246">
        <f t="shared" si="8"/>
        <v>1.2432793945955194</v>
      </c>
      <c r="N23" s="246">
        <f t="shared" si="8"/>
        <v>0.77911300695003405</v>
      </c>
      <c r="O23" s="246">
        <f t="shared" si="8"/>
        <v>0.86976052733588438</v>
      </c>
      <c r="P23" s="246">
        <f t="shared" si="8"/>
        <v>0.46801373545608121</v>
      </c>
      <c r="Q23" s="246">
        <f t="shared" si="8"/>
        <v>3.6182529437467377</v>
      </c>
      <c r="R23" s="246">
        <f t="shared" si="8"/>
        <v>1.578075686981864</v>
      </c>
      <c r="S23" s="246">
        <f t="shared" si="8"/>
        <v>0.6237976621871083</v>
      </c>
      <c r="T23" s="246">
        <f t="shared" si="8"/>
        <v>0.34762986536330859</v>
      </c>
      <c r="U23" s="246">
        <f t="shared" si="8"/>
        <v>3.6978691851470011</v>
      </c>
      <c r="V23" s="246">
        <f t="shared" si="8"/>
        <v>1.3835361893292402</v>
      </c>
      <c r="W23" s="246">
        <f t="shared" si="8"/>
        <v>0.66312297875486392</v>
      </c>
      <c r="X23" s="246">
        <f t="shared" si="8"/>
        <v>0.39342670571443317</v>
      </c>
      <c r="Y23" s="246">
        <f t="shared" si="8"/>
        <v>2.3061930572734033</v>
      </c>
      <c r="Z23" s="246">
        <f t="shared" si="8"/>
        <v>1.9688112357785925</v>
      </c>
      <c r="AA23" s="246">
        <f t="shared" si="8"/>
        <v>0.84929719855239294</v>
      </c>
      <c r="AB23" s="246">
        <f t="shared" si="8"/>
        <v>0.55299696403499554</v>
      </c>
      <c r="AC23" s="246">
        <f t="shared" si="8"/>
        <v>3.3171009884296239</v>
      </c>
      <c r="AD23" s="246">
        <f t="shared" si="8"/>
        <v>2.6019624184607046</v>
      </c>
      <c r="AE23" s="246">
        <f t="shared" si="8"/>
        <v>1.2485108995229399</v>
      </c>
      <c r="AF23" s="246">
        <f t="shared" si="8"/>
        <v>0.69368737585751605</v>
      </c>
      <c r="AG23" s="246">
        <f t="shared" si="8"/>
        <v>3.6372009886175238</v>
      </c>
      <c r="AH23" s="246">
        <f t="shared" si="8"/>
        <v>2.6815488019747344</v>
      </c>
      <c r="AI23" s="246">
        <f t="shared" si="8"/>
        <v>1.8022706193838016</v>
      </c>
      <c r="AJ23" s="246">
        <f t="shared" si="8"/>
        <v>1.2287760682025379</v>
      </c>
      <c r="AK23" s="246">
        <f t="shared" si="8"/>
        <v>5.4571683094483436</v>
      </c>
      <c r="AL23" s="246">
        <f t="shared" si="8"/>
        <v>3.1524903274254119</v>
      </c>
      <c r="AM23" s="246">
        <f t="shared" si="8"/>
        <v>1.6191266281844601</v>
      </c>
      <c r="AN23" s="246">
        <f t="shared" si="8"/>
        <v>0.89520756324606188</v>
      </c>
      <c r="AO23" s="246">
        <f t="shared" si="8"/>
        <v>3.3739291855546831</v>
      </c>
      <c r="AP23" s="246">
        <f t="shared" si="8"/>
        <v>2.0436717030440579</v>
      </c>
      <c r="AQ23" s="246">
        <f t="shared" si="8"/>
        <v>1.2307308334050526</v>
      </c>
      <c r="AR23" s="246">
        <f t="shared" si="8"/>
        <v>0.71757832395537358</v>
      </c>
      <c r="AS23" s="246">
        <f t="shared" si="8"/>
        <v>4.1850780677330786</v>
      </c>
      <c r="AT23" s="246">
        <f t="shared" si="8"/>
        <v>3.8690271035297981</v>
      </c>
      <c r="AU23" s="246">
        <f t="shared" si="8"/>
        <v>2.2612552036964133</v>
      </c>
      <c r="AV23" s="246">
        <f t="shared" si="8"/>
        <v>1.0850793000913421</v>
      </c>
      <c r="AW23" s="246">
        <f t="shared" si="8"/>
        <v>4.7097728324537886</v>
      </c>
      <c r="AX23" s="246">
        <f t="shared" si="8"/>
        <v>3.4963755026516514</v>
      </c>
      <c r="AY23" s="246">
        <f t="shared" si="8"/>
        <v>2.6431176109476922</v>
      </c>
      <c r="AZ23" s="246">
        <f t="shared" si="8"/>
        <v>1.253820743135321</v>
      </c>
      <c r="BA23" s="246">
        <f t="shared" si="8"/>
        <v>5.102911297368089</v>
      </c>
      <c r="BB23" s="246">
        <f t="shared" si="8"/>
        <v>3.5798901928806059</v>
      </c>
      <c r="BC23" s="246">
        <f t="shared" si="8"/>
        <v>2.1302840447367308</v>
      </c>
      <c r="BD23" s="246">
        <f t="shared" si="8"/>
        <v>1.1295168134758669</v>
      </c>
      <c r="BE23" s="246">
        <f t="shared" si="8"/>
        <v>6.8682589906477496</v>
      </c>
      <c r="BF23" s="246">
        <f t="shared" si="8"/>
        <v>6.3602155360600241</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0.14090716588724009</v>
      </c>
      <c r="F24" s="161">
        <f t="shared" ref="F24:BQ24" si="10">F21*F23</f>
        <v>9.9315892004567211E-2</v>
      </c>
      <c r="G24" s="161">
        <f t="shared" si="10"/>
        <v>3.1095899518510491E-2</v>
      </c>
      <c r="H24" s="161">
        <f t="shared" si="10"/>
        <v>-3.6522908679869508E-2</v>
      </c>
      <c r="I24" s="161">
        <f t="shared" si="10"/>
        <v>0.20028328516608859</v>
      </c>
      <c r="J24" s="161">
        <f t="shared" si="10"/>
        <v>6.5295347398414111E-2</v>
      </c>
      <c r="K24" s="161">
        <f t="shared" si="10"/>
        <v>-4.787208350462523E-3</v>
      </c>
      <c r="L24" s="161">
        <f t="shared" si="10"/>
        <v>-8.6023974088895727E-2</v>
      </c>
      <c r="M24" s="161">
        <f t="shared" si="10"/>
        <v>0.18910917062414237</v>
      </c>
      <c r="N24" s="161">
        <f t="shared" si="10"/>
        <v>4.3288233681774237E-2</v>
      </c>
      <c r="O24" s="161">
        <f t="shared" si="10"/>
        <v>2.0527640736334809E-2</v>
      </c>
      <c r="P24" s="161">
        <f t="shared" si="10"/>
        <v>6.8658900488391753E-3</v>
      </c>
      <c r="Q24" s="161">
        <f t="shared" si="10"/>
        <v>0.28126169082331226</v>
      </c>
      <c r="R24" s="161">
        <f t="shared" si="10"/>
        <v>0.16161830486995027</v>
      </c>
      <c r="S24" s="161">
        <f t="shared" si="10"/>
        <v>3.8011126717612718E-2</v>
      </c>
      <c r="T24" s="161">
        <f t="shared" si="10"/>
        <v>1.8048266781001628E-2</v>
      </c>
      <c r="U24" s="161">
        <f t="shared" si="10"/>
        <v>-9.1138176192229844E-2</v>
      </c>
      <c r="V24" s="161">
        <f t="shared" si="10"/>
        <v>0.15626294120062573</v>
      </c>
      <c r="W24" s="161">
        <f t="shared" si="10"/>
        <v>5.0584128618631749E-2</v>
      </c>
      <c r="X24" s="161">
        <f t="shared" si="10"/>
        <v>2.6270154265064967E-2</v>
      </c>
      <c r="Y24" s="161">
        <f t="shared" si="10"/>
        <v>0.27355682408951909</v>
      </c>
      <c r="Z24" s="161">
        <f t="shared" si="10"/>
        <v>0.20007328076818773</v>
      </c>
      <c r="AA24" s="161">
        <f t="shared" si="10"/>
        <v>4.1832963442395281E-2</v>
      </c>
      <c r="AB24" s="161">
        <f t="shared" si="10"/>
        <v>2.7854546979297946E-2</v>
      </c>
      <c r="AC24" s="161">
        <f t="shared" si="10"/>
        <v>0.34263090218739667</v>
      </c>
      <c r="AD24" s="161">
        <f t="shared" si="10"/>
        <v>0.19698808648414165</v>
      </c>
      <c r="AE24" s="161">
        <f t="shared" si="10"/>
        <v>4.4412314242660275E-2</v>
      </c>
      <c r="AF24" s="161">
        <f t="shared" si="10"/>
        <v>3.1760052262719898E-2</v>
      </c>
      <c r="AG24" s="161">
        <f t="shared" si="10"/>
        <v>0.20309257130030106</v>
      </c>
      <c r="AH24" s="161">
        <f t="shared" si="10"/>
        <v>0.15325132929971536</v>
      </c>
      <c r="AI24" s="161">
        <f t="shared" si="10"/>
        <v>5.5633975862492219E-2</v>
      </c>
      <c r="AJ24" s="161">
        <f t="shared" si="10"/>
        <v>3.6315796019234528E-2</v>
      </c>
      <c r="AK24" s="161">
        <f t="shared" si="10"/>
        <v>0.2630252638349091</v>
      </c>
      <c r="AL24" s="161">
        <f t="shared" si="10"/>
        <v>0.13676945310821123</v>
      </c>
      <c r="AM24" s="161">
        <f t="shared" si="10"/>
        <v>3.9314604023928314E-2</v>
      </c>
      <c r="AN24" s="161">
        <f t="shared" si="10"/>
        <v>1.5078667569672893E-2</v>
      </c>
      <c r="AO24" s="161">
        <f t="shared" si="10"/>
        <v>0.15419240225520156</v>
      </c>
      <c r="AP24" s="161">
        <f t="shared" si="10"/>
        <v>0.1101924952521709</v>
      </c>
      <c r="AQ24" s="161">
        <f t="shared" si="10"/>
        <v>2.658086976048054E-2</v>
      </c>
      <c r="AR24" s="161">
        <f t="shared" si="10"/>
        <v>1.4864953007516548E-2</v>
      </c>
      <c r="AS24" s="161">
        <f t="shared" si="10"/>
        <v>0.22752216546052662</v>
      </c>
      <c r="AT24" s="161">
        <f t="shared" si="10"/>
        <v>0.23378105044817693</v>
      </c>
      <c r="AU24" s="161">
        <f t="shared" si="10"/>
        <v>7.0951915599984677E-2</v>
      </c>
      <c r="AV24" s="161">
        <f t="shared" si="10"/>
        <v>2.8047125900230899E-2</v>
      </c>
      <c r="AW24" s="161">
        <f t="shared" si="10"/>
        <v>0.26363877796284729</v>
      </c>
      <c r="AX24" s="161">
        <f t="shared" si="10"/>
        <v>0.21293584504318994</v>
      </c>
      <c r="AY24" s="161">
        <f t="shared" si="10"/>
        <v>7.7582341014407641E-2</v>
      </c>
      <c r="AZ24" s="161">
        <f t="shared" si="10"/>
        <v>4.0133205037343314E-2</v>
      </c>
      <c r="BA24" s="161">
        <f t="shared" si="10"/>
        <v>0.26928893825532252</v>
      </c>
      <c r="BB24" s="161">
        <f t="shared" si="10"/>
        <v>0.18265472190497978</v>
      </c>
      <c r="BC24" s="161">
        <f t="shared" si="10"/>
        <v>4.2828613233035939E-2</v>
      </c>
      <c r="BD24" s="161">
        <f t="shared" si="10"/>
        <v>2.763334156399963E-2</v>
      </c>
      <c r="BE24" s="161">
        <f t="shared" si="10"/>
        <v>0.34715777682511617</v>
      </c>
      <c r="BF24" s="161">
        <f t="shared" si="10"/>
        <v>0.28350365687318224</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37986</v>
      </c>
      <c r="BI25" s="1">
        <v>37621</v>
      </c>
      <c r="BJ25" s="1">
        <v>25569</v>
      </c>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-4800953.59</v>
      </c>
      <c r="F26" s="76">
        <f>利润表!F14</f>
        <v>13943367.460000001</v>
      </c>
      <c r="G26" s="76">
        <f>利润表!G14</f>
        <v>-6887001.9699999997</v>
      </c>
      <c r="H26" s="76">
        <f>利润表!H14</f>
        <v>-17274270.48</v>
      </c>
      <c r="I26" s="76">
        <f>利润表!I14</f>
        <v>-6964367.54</v>
      </c>
      <c r="J26" s="76">
        <f>利润表!J14</f>
        <v>-2864096.23</v>
      </c>
      <c r="K26" s="76">
        <f>利润表!K14</f>
        <v>-3597533</v>
      </c>
      <c r="L26" s="76">
        <f>利润表!L14</f>
        <v>-2917450.58</v>
      </c>
      <c r="M26" s="76">
        <f>利润表!M14</f>
        <v>3501929.12</v>
      </c>
      <c r="N26" s="76">
        <f>利润表!N14</f>
        <v>3193509.45</v>
      </c>
      <c r="O26" s="76">
        <f>利润表!O14</f>
        <v>0</v>
      </c>
      <c r="P26" s="76">
        <f>利润表!P14</f>
        <v>0</v>
      </c>
      <c r="Q26" s="76">
        <f>利润表!Q14</f>
        <v>35490.75</v>
      </c>
      <c r="R26" s="76">
        <f>利润表!R14</f>
        <v>0</v>
      </c>
      <c r="S26" s="76">
        <f>利润表!S14</f>
        <v>0</v>
      </c>
      <c r="T26" s="76">
        <f>利润表!T14</f>
        <v>0</v>
      </c>
      <c r="U26" s="76">
        <f>利润表!U14</f>
        <v>-21413.46</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20072.96</v>
      </c>
      <c r="AF26" s="76">
        <f>利润表!AF14</f>
        <v>0</v>
      </c>
      <c r="AG26" s="76">
        <f>利润表!AG14</f>
        <v>5182.87</v>
      </c>
      <c r="AH26" s="76">
        <f>利润表!AH14</f>
        <v>0</v>
      </c>
      <c r="AI26" s="76">
        <f>利润表!AI14</f>
        <v>0</v>
      </c>
      <c r="AJ26" s="76">
        <f>利润表!AJ14</f>
        <v>0</v>
      </c>
      <c r="AK26" s="76">
        <f>利润表!AK14</f>
        <v>-66558.8</v>
      </c>
      <c r="AL26" s="76">
        <f>利润表!AL14</f>
        <v>0</v>
      </c>
      <c r="AM26" s="76">
        <f>利润表!AM14</f>
        <v>0</v>
      </c>
      <c r="AN26" s="76">
        <f>利润表!AN14</f>
        <v>0</v>
      </c>
      <c r="AO26" s="76">
        <f>利润表!AO14</f>
        <v>-46594.44</v>
      </c>
      <c r="AP26" s="76">
        <f>利润表!AP14</f>
        <v>0</v>
      </c>
      <c r="AQ26" s="76">
        <f>利润表!AQ14</f>
        <v>58437.919999999998</v>
      </c>
      <c r="AR26" s="76">
        <f>利润表!AR14</f>
        <v>0</v>
      </c>
      <c r="AS26" s="76">
        <f>利润表!AS14</f>
        <v>382915.55</v>
      </c>
      <c r="AT26" s="76">
        <f>利润表!AT14</f>
        <v>0</v>
      </c>
      <c r="AU26" s="76">
        <f>利润表!AU14</f>
        <v>239413.97</v>
      </c>
      <c r="AV26" s="76">
        <f>利润表!AV14</f>
        <v>0</v>
      </c>
      <c r="AW26" s="76">
        <f>利润表!AW14</f>
        <v>55520.68</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31322043.289999999</v>
      </c>
      <c r="F27" s="76">
        <f>资产资本表!F19</f>
        <v>1068683008.58</v>
      </c>
      <c r="G27" s="76">
        <f>资产资本表!G19</f>
        <v>1050837392.97</v>
      </c>
      <c r="H27" s="76">
        <f>资产资本表!H19</f>
        <v>1044092745.36</v>
      </c>
      <c r="I27" s="76">
        <f>资产资本表!I19</f>
        <v>1061182445</v>
      </c>
      <c r="J27" s="76">
        <f>资产资本表!J19</f>
        <v>123759708.87</v>
      </c>
      <c r="K27" s="76">
        <f>资产资本表!K19</f>
        <v>28246919.280000001</v>
      </c>
      <c r="L27" s="76">
        <f>资产资本表!L19</f>
        <v>43253333.289999999</v>
      </c>
      <c r="M27" s="76">
        <f>资产资本表!M19</f>
        <v>39954303.869999997</v>
      </c>
      <c r="N27" s="76">
        <f>资产资本表!N19</f>
        <v>77905231.219999999</v>
      </c>
      <c r="O27" s="76">
        <f>资产资本表!O19</f>
        <v>2916125.61</v>
      </c>
      <c r="P27" s="76">
        <f>资产资本表!P19</f>
        <v>2785149</v>
      </c>
      <c r="Q27" s="76">
        <f>资产资本表!Q19</f>
        <v>2761283.73</v>
      </c>
      <c r="R27" s="76">
        <f>资产资本表!R19</f>
        <v>2827707.96</v>
      </c>
      <c r="S27" s="76">
        <f>资产资本表!S19</f>
        <v>2805769.23</v>
      </c>
      <c r="T27" s="76">
        <f>资产资本表!T19</f>
        <v>2750616.9</v>
      </c>
      <c r="U27" s="76">
        <f>资产资本表!U19</f>
        <v>2725792.98</v>
      </c>
      <c r="V27" s="76">
        <f>资产资本表!V19</f>
        <v>2735605.26</v>
      </c>
      <c r="W27" s="76">
        <f>资产资本表!W19</f>
        <v>2733230.21</v>
      </c>
      <c r="X27" s="76">
        <f>资产资本表!X19</f>
        <v>2730474.45</v>
      </c>
      <c r="Y27" s="76">
        <f>资产资本表!Y19</f>
        <v>2747206.44</v>
      </c>
      <c r="Z27" s="76">
        <f>资产资本表!Z19</f>
        <v>2754439.95</v>
      </c>
      <c r="AA27" s="76">
        <f>资产资本表!AA19</f>
        <v>2756731.44</v>
      </c>
      <c r="AB27" s="76">
        <f>资产资本表!AB19</f>
        <v>2692966.02</v>
      </c>
      <c r="AC27" s="76">
        <f>资产资本表!AC19</f>
        <v>2734631.71</v>
      </c>
      <c r="AD27" s="76">
        <f>资产资本表!AD19</f>
        <v>2713514.46</v>
      </c>
      <c r="AE27" s="76">
        <f>资产资本表!AE19</f>
        <v>2725867.85</v>
      </c>
      <c r="AF27" s="76">
        <f>资产资本表!AF19</f>
        <v>2716832.36</v>
      </c>
      <c r="AG27" s="76">
        <f>资产资本表!AG19</f>
        <v>2705794.89</v>
      </c>
      <c r="AH27" s="76">
        <f>资产资本表!AH19</f>
        <v>2811608.99</v>
      </c>
      <c r="AI27" s="76">
        <f>资产资本表!AI19</f>
        <v>2810299.45</v>
      </c>
      <c r="AJ27" s="76">
        <f>资产资本表!AJ19</f>
        <v>2279723.42</v>
      </c>
      <c r="AK27" s="76">
        <f>资产资本表!AK19</f>
        <v>2729933.08</v>
      </c>
      <c r="AL27" s="76">
        <f>资产资本表!AL19</f>
        <v>2799194.23</v>
      </c>
      <c r="AM27" s="76">
        <f>资产资本表!AM19</f>
        <v>2773354.54</v>
      </c>
      <c r="AN27" s="76">
        <f>资产资本表!AN19</f>
        <v>2791132.97</v>
      </c>
      <c r="AO27" s="76">
        <f>资产资本表!AO19</f>
        <v>2796491.88</v>
      </c>
      <c r="AP27" s="76">
        <f>资产资本表!AP19</f>
        <v>6837123.4500000002</v>
      </c>
      <c r="AQ27" s="76">
        <f>资产资本表!AQ19</f>
        <v>6915037.2999999998</v>
      </c>
      <c r="AR27" s="76">
        <f>资产资本表!AR19</f>
        <v>3288006.45</v>
      </c>
      <c r="AS27" s="76">
        <f>资产资本表!AS19</f>
        <v>3187552.81</v>
      </c>
      <c r="AT27" s="76">
        <f>资产资本表!AT19</f>
        <v>3130487.03</v>
      </c>
      <c r="AU27" s="76">
        <f>资产资本表!AU19</f>
        <v>3044051.32</v>
      </c>
      <c r="AV27" s="76">
        <f>资产资本表!AV19</f>
        <v>3971947.84</v>
      </c>
      <c r="AW27" s="76">
        <f>资产资本表!AW19</f>
        <v>4152812.54</v>
      </c>
      <c r="AX27" s="76">
        <f>资产资本表!AX19</f>
        <v>3793242.87</v>
      </c>
      <c r="AY27" s="76">
        <f>资产资本表!AY19</f>
        <v>4564992.99</v>
      </c>
      <c r="AZ27" s="76">
        <f>资产资本表!AZ19</f>
        <v>5104126.8600000003</v>
      </c>
      <c r="BA27" s="76">
        <f>资产资本表!BA19</f>
        <v>5298474.76</v>
      </c>
      <c r="BB27" s="76">
        <f>资产资本表!BB19</f>
        <v>3732981.37</v>
      </c>
      <c r="BC27" s="76">
        <f>资产资本表!BC19</f>
        <v>3704850.2</v>
      </c>
      <c r="BD27" s="76">
        <f>资产资本表!BD19</f>
        <v>215328.24</v>
      </c>
      <c r="BE27" s="76">
        <f>资产资本表!BE19</f>
        <v>-118094.19</v>
      </c>
      <c r="BF27" s="76">
        <f>资产资本表!BF19</f>
        <v>4294054.37</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-0.15327715199004183</v>
      </c>
      <c r="F28" s="110">
        <f t="shared" ref="F28:BQ28" si="12">F26/F27</f>
        <v>1.3047243521282411E-2</v>
      </c>
      <c r="G28" s="110">
        <f t="shared" si="12"/>
        <v>-6.5538227094633032E-3</v>
      </c>
      <c r="H28" s="110">
        <f t="shared" si="12"/>
        <v>-1.6544766311965785E-2</v>
      </c>
      <c r="I28" s="110">
        <f t="shared" si="12"/>
        <v>-6.5628371189272736E-3</v>
      </c>
      <c r="J28" s="110">
        <f t="shared" si="12"/>
        <v>-2.3142396310971539E-2</v>
      </c>
      <c r="K28" s="110">
        <f t="shared" si="12"/>
        <v>-0.12736018977287919</v>
      </c>
      <c r="L28" s="110">
        <f t="shared" si="12"/>
        <v>-6.7450306325281595E-2</v>
      </c>
      <c r="M28" s="110">
        <f t="shared" si="12"/>
        <v>8.7648357768772223E-2</v>
      </c>
      <c r="N28" s="110">
        <f t="shared" si="12"/>
        <v>4.0992233769022633E-2</v>
      </c>
      <c r="O28" s="110">
        <f t="shared" si="12"/>
        <v>0</v>
      </c>
      <c r="P28" s="110">
        <f t="shared" si="12"/>
        <v>0</v>
      </c>
      <c r="Q28" s="110">
        <f t="shared" si="12"/>
        <v>1.2852989214549132E-2</v>
      </c>
      <c r="R28" s="110">
        <f t="shared" si="12"/>
        <v>0</v>
      </c>
      <c r="S28" s="110">
        <f t="shared" si="12"/>
        <v>0</v>
      </c>
      <c r="T28" s="110">
        <f t="shared" si="12"/>
        <v>0</v>
      </c>
      <c r="U28" s="110">
        <f t="shared" si="12"/>
        <v>-7.8558643877643265E-3</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7.3638786267646826E-3</v>
      </c>
      <c r="AF28" s="110">
        <f t="shared" si="12"/>
        <v>0</v>
      </c>
      <c r="AG28" s="110">
        <f t="shared" si="12"/>
        <v>1.9154703925100545E-3</v>
      </c>
      <c r="AH28" s="110">
        <f t="shared" si="12"/>
        <v>0</v>
      </c>
      <c r="AI28" s="110">
        <f t="shared" si="12"/>
        <v>0</v>
      </c>
      <c r="AJ28" s="110">
        <f t="shared" si="12"/>
        <v>0</v>
      </c>
      <c r="AK28" s="110">
        <f t="shared" si="12"/>
        <v>-2.4381110470297684E-2</v>
      </c>
      <c r="AL28" s="110">
        <f t="shared" si="12"/>
        <v>0</v>
      </c>
      <c r="AM28" s="110">
        <f t="shared" si="12"/>
        <v>0</v>
      </c>
      <c r="AN28" s="110">
        <f t="shared" si="12"/>
        <v>0</v>
      </c>
      <c r="AO28" s="110">
        <f t="shared" si="12"/>
        <v>-1.6661746931301659E-2</v>
      </c>
      <c r="AP28" s="110">
        <f t="shared" si="12"/>
        <v>0</v>
      </c>
      <c r="AQ28" s="110">
        <f t="shared" si="12"/>
        <v>8.4508466787301343E-3</v>
      </c>
      <c r="AR28" s="110">
        <f t="shared" si="12"/>
        <v>0</v>
      </c>
      <c r="AS28" s="110">
        <f t="shared" si="12"/>
        <v>0.12012837835932198</v>
      </c>
      <c r="AT28" s="110">
        <f t="shared" si="12"/>
        <v>0</v>
      </c>
      <c r="AU28" s="110">
        <f t="shared" si="12"/>
        <v>7.8649781108158193E-2</v>
      </c>
      <c r="AV28" s="110">
        <f t="shared" si="12"/>
        <v>0</v>
      </c>
      <c r="AW28" s="110">
        <f t="shared" si="12"/>
        <v>1.336941638112083E-2</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694</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37986</v>
      </c>
      <c r="BI31" s="1">
        <v>37621</v>
      </c>
      <c r="BJ31" s="1">
        <v>25569</v>
      </c>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57073337.192433536</v>
      </c>
      <c r="F32" s="76">
        <f>股权价值增加表!F29</f>
        <v>39773994.79434713</v>
      </c>
      <c r="G32" s="76">
        <f>股权价值增加表!G29</f>
        <v>12068066.988059012</v>
      </c>
      <c r="H32" s="76">
        <f>股权价值增加表!H29</f>
        <v>2669227.5583435912</v>
      </c>
      <c r="I32" s="76">
        <f>股权价值增加表!I29</f>
        <v>36047310.038280725</v>
      </c>
      <c r="J32" s="76">
        <f>股权价值增加表!J29</f>
        <v>11260635.642739145</v>
      </c>
      <c r="K32" s="76">
        <f>股权价值增加表!K29</f>
        <v>8555333.2416030206</v>
      </c>
      <c r="L32" s="76">
        <f>股权价值增加表!L29</f>
        <v>0</v>
      </c>
      <c r="M32" s="76">
        <f>股权价值增加表!M29</f>
        <v>42165147.818836309</v>
      </c>
      <c r="N32" s="76">
        <f>股权价值增加表!N29</f>
        <v>31931675.216378011</v>
      </c>
      <c r="O32" s="76">
        <f>股权价值增加表!O29</f>
        <v>123722.53889778268</v>
      </c>
      <c r="P32" s="76">
        <f>股权价值增加表!P29</f>
        <v>1262.2989953664946</v>
      </c>
      <c r="Q32" s="76">
        <f>股权价值增加表!Q29</f>
        <v>2665890.1222183132</v>
      </c>
      <c r="R32" s="76">
        <f>股权价值增加表!R29</f>
        <v>-23298.690688413961</v>
      </c>
      <c r="S32" s="76">
        <f>股权价值增加表!S29</f>
        <v>31674.824351805881</v>
      </c>
      <c r="T32" s="76">
        <f>股权价值增加表!T29</f>
        <v>8475.5691549811418</v>
      </c>
      <c r="U32" s="76">
        <f>股权价值增加表!U29</f>
        <v>-12525675.727129098</v>
      </c>
      <c r="V32" s="76">
        <f>股权价值增加表!V29</f>
        <v>-8217.334120515854</v>
      </c>
      <c r="W32" s="76">
        <f>股权价值增加表!W29</f>
        <v>-9195.5244763468654</v>
      </c>
      <c r="X32" s="76">
        <f>股权价值增加表!X29</f>
        <v>-12181.076228436159</v>
      </c>
      <c r="Y32" s="76">
        <f>股权价值增加表!Y29</f>
        <v>9130.8296127892263</v>
      </c>
      <c r="Z32" s="76">
        <f>股权价值增加表!Z29</f>
        <v>14194.218938774658</v>
      </c>
      <c r="AA32" s="76">
        <f>股权价值增加表!AA29</f>
        <v>13900.485782706157</v>
      </c>
      <c r="AB32" s="76">
        <f>股权价值增加表!AB29</f>
        <v>-26863.71523601946</v>
      </c>
      <c r="AC32" s="76">
        <f>股权价值增加表!AC29</f>
        <v>21284.44613544094</v>
      </c>
      <c r="AD32" s="76">
        <f>股权价值增加表!AD29</f>
        <v>5594.232824442508</v>
      </c>
      <c r="AE32" s="76">
        <f>股权价值增加表!AE29</f>
        <v>0</v>
      </c>
      <c r="AF32" s="76">
        <f>股权价值增加表!AF29</f>
        <v>-25540.239494717673</v>
      </c>
      <c r="AG32" s="76">
        <f>股权价值增加表!AG29</f>
        <v>0</v>
      </c>
      <c r="AH32" s="76">
        <f>股权价值增加表!AH29</f>
        <v>53645.627216103559</v>
      </c>
      <c r="AI32" s="76">
        <f>股权价值增加表!AI29</f>
        <v>58088.265757491565</v>
      </c>
      <c r="AJ32" s="76">
        <f>股权价值增加表!AJ29</f>
        <v>-32881.233961892503</v>
      </c>
      <c r="AK32" s="76">
        <f>股权价值增加表!AK29</f>
        <v>0</v>
      </c>
      <c r="AL32" s="76">
        <f>股权价值增加表!AL29</f>
        <v>47999.797669996056</v>
      </c>
      <c r="AM32" s="76">
        <f>股权价值增加表!AM29</f>
        <v>16716.098976091758</v>
      </c>
      <c r="AN32" s="76">
        <f>股权价值增加表!AN29</f>
        <v>-35536.407545519309</v>
      </c>
      <c r="AO32" s="76">
        <f>股权价值增加表!AO29</f>
        <v>-396744.87465282239</v>
      </c>
      <c r="AP32" s="76">
        <f>股权价值增加表!AP29</f>
        <v>-543104.93100023456</v>
      </c>
      <c r="AQ32" s="76">
        <f>股权价值增加表!AQ29</f>
        <v>0</v>
      </c>
      <c r="AR32" s="76">
        <f>股权价值增加表!AR29</f>
        <v>90551.437032966947</v>
      </c>
      <c r="AS32" s="76">
        <f>股权价值增加表!AS29</f>
        <v>0</v>
      </c>
      <c r="AT32" s="76">
        <f>股权价值增加表!AT29</f>
        <v>270512.44122599351</v>
      </c>
      <c r="AU32" s="76">
        <f>股权价值增加表!AU29</f>
        <v>0</v>
      </c>
      <c r="AV32" s="76">
        <f>股权价值增加表!AV29</f>
        <v>-352586.76800139202</v>
      </c>
      <c r="AW32" s="76">
        <f>股权价值增加表!AW29</f>
        <v>0</v>
      </c>
      <c r="AX32" s="76">
        <f>股权价值增加表!AX29</f>
        <v>-610237.265060929</v>
      </c>
      <c r="AY32" s="76">
        <f>股权价值增加表!AY29</f>
        <v>-564813.45814060955</v>
      </c>
      <c r="AZ32" s="76">
        <f>股权价值增加表!AZ29</f>
        <v>19354.756934242163</v>
      </c>
      <c r="BA32" s="76">
        <f>股权价值增加表!BA29</f>
        <v>-425452.49162200821</v>
      </c>
      <c r="BB32" s="76">
        <f>股权价值增加表!BB29</f>
        <v>-259483.84784045906</v>
      </c>
      <c r="BC32" s="76">
        <f>股权价值增加表!BC29</f>
        <v>-280967.72171126073</v>
      </c>
      <c r="BD32" s="76">
        <f>股权价值增加表!BD29</f>
        <v>-138641.48108861715</v>
      </c>
      <c r="BE32" s="76">
        <f>股权价值增加表!BE29</f>
        <v>-445121.95125523506</v>
      </c>
      <c r="BF32" s="76">
        <f>股权价值增加表!BF29</f>
        <v>-145755.19601384757</v>
      </c>
      <c r="BG32" s="76">
        <f>股权价值增加表!BG29</f>
        <v>-70617.926455103952</v>
      </c>
      <c r="BH32" s="76">
        <f>股权价值增加表!BH29</f>
        <v>-54830.753689306577</v>
      </c>
      <c r="BI32" s="76">
        <f>股权价值增加表!BI29</f>
        <v>299933.71000631363</v>
      </c>
      <c r="BJ32" s="76" t="e">
        <f>股权价值增加表!BJ29</f>
        <v>#DIV/0!</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2366473079.2800002</v>
      </c>
      <c r="F34" s="76">
        <f>资产资本表!F4</f>
        <v>1031932639.79</v>
      </c>
      <c r="G34" s="76">
        <f>资产资本表!G4</f>
        <v>1348418953.22</v>
      </c>
      <c r="H34" s="76">
        <f>资产资本表!H4</f>
        <v>1063643654.17</v>
      </c>
      <c r="I34" s="76">
        <f>资产资本表!I4</f>
        <v>1101435360.3800001</v>
      </c>
      <c r="J34" s="76">
        <f>资产资本表!J4</f>
        <v>626747403.54999995</v>
      </c>
      <c r="K34" s="76">
        <f>资产资本表!K4</f>
        <v>492398576.25999999</v>
      </c>
      <c r="L34" s="76">
        <f>资产资本表!L4</f>
        <v>867557989.66999996</v>
      </c>
      <c r="M34" s="76">
        <f>资产资本表!M4</f>
        <v>1105736784.1800001</v>
      </c>
      <c r="N34" s="76">
        <f>资产资本表!N4</f>
        <v>651501404.25999999</v>
      </c>
      <c r="O34" s="76">
        <f>资产资本表!O4</f>
        <v>51928006.409999996</v>
      </c>
      <c r="P34" s="76">
        <f>资产资本表!P4</f>
        <v>96937965.609999999</v>
      </c>
      <c r="Q34" s="76">
        <f>资产资本表!Q4</f>
        <v>172298023.02000001</v>
      </c>
      <c r="R34" s="76">
        <f>资产资本表!R4</f>
        <v>177418574.88</v>
      </c>
      <c r="S34" s="76">
        <f>资产资本表!S4</f>
        <v>136787202.58000001</v>
      </c>
      <c r="T34" s="76">
        <f>资产资本表!T4</f>
        <v>264717697.62</v>
      </c>
      <c r="U34" s="76">
        <f>资产资本表!U4</f>
        <v>318456123.81</v>
      </c>
      <c r="V34" s="76">
        <f>资产资本表!V4</f>
        <v>187527203.61000001</v>
      </c>
      <c r="W34" s="76">
        <f>资产资本表!W4</f>
        <v>161587106.22999999</v>
      </c>
      <c r="X34" s="76">
        <f>资产资本表!X4</f>
        <v>258828221.09999999</v>
      </c>
      <c r="Y34" s="76">
        <f>资产资本表!Y4</f>
        <v>273071428.81</v>
      </c>
      <c r="Z34" s="76">
        <f>资产资本表!Z4</f>
        <v>219568805.50999999</v>
      </c>
      <c r="AA34" s="76">
        <f>资产资本表!AA4</f>
        <v>144102594.61000001</v>
      </c>
      <c r="AB34" s="76">
        <f>资产资本表!AB4</f>
        <v>198415230.31999999</v>
      </c>
      <c r="AC34" s="76">
        <f>资产资本表!AC4</f>
        <v>190073127.58000001</v>
      </c>
      <c r="AD34" s="76">
        <f>资产资本表!AD4</f>
        <v>175802943.49000001</v>
      </c>
      <c r="AE34" s="76">
        <f>资产资本表!AE4</f>
        <v>131719328.04000001</v>
      </c>
      <c r="AF34" s="76">
        <f>资产资本表!AF4</f>
        <v>160544538.83000001</v>
      </c>
      <c r="AG34" s="76">
        <f>资产资本表!AG4</f>
        <v>190309329.34</v>
      </c>
      <c r="AH34" s="76">
        <f>资产资本表!AH4</f>
        <v>203775756.40000001</v>
      </c>
      <c r="AI34" s="76">
        <f>资产资本表!AI4</f>
        <v>226965347.59999999</v>
      </c>
      <c r="AJ34" s="76">
        <f>资产资本表!AJ4</f>
        <v>272319141.45999998</v>
      </c>
      <c r="AK34" s="76">
        <f>资产资本表!AK4</f>
        <v>256396044.5</v>
      </c>
      <c r="AL34" s="76">
        <f>资产资本表!AL4</f>
        <v>238798061.83000001</v>
      </c>
      <c r="AM34" s="76">
        <f>资产资本表!AM4</f>
        <v>232329945.12</v>
      </c>
      <c r="AN34" s="76">
        <f>资产资本表!AN4</f>
        <v>225344859.27000001</v>
      </c>
      <c r="AO34" s="76">
        <f>资产资本表!AO4</f>
        <v>213100105.34999999</v>
      </c>
      <c r="AP34" s="76">
        <f>资产资本表!AP4</f>
        <v>199696425.72999999</v>
      </c>
      <c r="AQ34" s="76">
        <f>资产资本表!AQ4</f>
        <v>197194136.16</v>
      </c>
      <c r="AR34" s="76">
        <f>资产资本表!AR4</f>
        <v>213530237.34</v>
      </c>
      <c r="AS34" s="76">
        <f>资产资本表!AS4</f>
        <v>193271908.84</v>
      </c>
      <c r="AT34" s="76">
        <f>资产资本表!AT4</f>
        <v>215218834.06999999</v>
      </c>
      <c r="AU34" s="76">
        <f>资产资本表!AU4</f>
        <v>207338394.83000001</v>
      </c>
      <c r="AV34" s="76">
        <f>资产资本表!AV4</f>
        <v>211450304.50999999</v>
      </c>
      <c r="AW34" s="76">
        <f>资产资本表!AW4</f>
        <v>191685368.28</v>
      </c>
      <c r="AX34" s="76">
        <f>资产资本表!AX4</f>
        <v>182400449.47</v>
      </c>
      <c r="AY34" s="76">
        <f>资产资本表!AY4</f>
        <v>192997723.66999999</v>
      </c>
      <c r="AZ34" s="76">
        <f>资产资本表!AZ4</f>
        <v>192714432.78999999</v>
      </c>
      <c r="BA34" s="76">
        <f>资产资本表!BA4</f>
        <v>193568074.75999999</v>
      </c>
      <c r="BB34" s="76">
        <f>资产资本表!BB4</f>
        <v>208930897.93000001</v>
      </c>
      <c r="BC34" s="76">
        <f>资产资本表!BC4</f>
        <v>205913291.03999999</v>
      </c>
      <c r="BD34" s="76">
        <f>资产资本表!BD4</f>
        <v>58053432.25</v>
      </c>
      <c r="BE34" s="76">
        <f>资产资本表!BE4</f>
        <v>63735657.420000002</v>
      </c>
      <c r="BF34" s="76">
        <f>资产资本表!BF4</f>
        <v>50449967.939999998</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-31438.3</v>
      </c>
      <c r="N35" s="76">
        <f>利润表!N12</f>
        <v>0</v>
      </c>
      <c r="O35" s="76">
        <f>利润表!O12</f>
        <v>0</v>
      </c>
      <c r="P35" s="76">
        <f>利润表!P12</f>
        <v>0</v>
      </c>
      <c r="Q35" s="76">
        <f>利润表!Q12</f>
        <v>-197777.8</v>
      </c>
      <c r="R35" s="76">
        <f>利润表!R12</f>
        <v>0</v>
      </c>
      <c r="S35" s="76">
        <f>利润表!S12</f>
        <v>0</v>
      </c>
      <c r="T35" s="76">
        <f>利润表!T12</f>
        <v>0</v>
      </c>
      <c r="U35" s="76">
        <f>利润表!U12</f>
        <v>197777.8</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609249.98</v>
      </c>
      <c r="P36" s="76">
        <f>资产资本表!P13</f>
        <v>560858.18999999994</v>
      </c>
      <c r="Q36" s="76">
        <f>资产资本表!Q13</f>
        <v>1050504.72</v>
      </c>
      <c r="R36" s="76">
        <f>资产资本表!R13</f>
        <v>343246.87</v>
      </c>
      <c r="S36" s="76">
        <f>资产资本表!S13</f>
        <v>98590.63</v>
      </c>
      <c r="T36" s="76">
        <f>资产资本表!T13</f>
        <v>911049.45</v>
      </c>
      <c r="U36" s="76">
        <f>资产资本表!U13</f>
        <v>432952.09</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29321.06</v>
      </c>
      <c r="AG37" s="76">
        <f>资产资本表!AG11</f>
        <v>29321.06</v>
      </c>
      <c r="AH37" s="76">
        <f>资产资本表!AH11</f>
        <v>0</v>
      </c>
      <c r="AI37" s="76">
        <f>资产资本表!AI11</f>
        <v>0</v>
      </c>
      <c r="AJ37" s="76">
        <f>资产资本表!AJ11</f>
        <v>0</v>
      </c>
      <c r="AK37" s="76">
        <f>资产资本表!AK11</f>
        <v>0</v>
      </c>
      <c r="AL37" s="76">
        <f>资产资本表!AL11</f>
        <v>0</v>
      </c>
      <c r="AM37" s="76">
        <f>资产资本表!AM11</f>
        <v>51068.67</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178154.93</v>
      </c>
      <c r="AY37" s="76">
        <f>资产资本表!AY11</f>
        <v>178154.93</v>
      </c>
      <c r="AZ37" s="76">
        <f>资产资本表!AZ11</f>
        <v>225368.23</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576626206.70000005</v>
      </c>
      <c r="F38" s="76">
        <f>资产资本表!F8</f>
        <v>454910725.69999999</v>
      </c>
      <c r="G38" s="76">
        <f>资产资本表!G8</f>
        <v>348692119.31999999</v>
      </c>
      <c r="H38" s="76">
        <f>资产资本表!H8</f>
        <v>269078649.86000001</v>
      </c>
      <c r="I38" s="76">
        <f>资产资本表!I8</f>
        <v>238745329.86000001</v>
      </c>
      <c r="J38" s="76">
        <f>资产资本表!J8</f>
        <v>1191853465.1600001</v>
      </c>
      <c r="K38" s="76">
        <f>资产资本表!K8</f>
        <v>1155114465.1600001</v>
      </c>
      <c r="L38" s="76">
        <f>资产资本表!L8</f>
        <v>1082805925.7</v>
      </c>
      <c r="M38" s="76">
        <f>资产资本表!M8</f>
        <v>1070865925.7</v>
      </c>
      <c r="N38" s="76">
        <f>资产资本表!N8</f>
        <v>1046235000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3625785.27</v>
      </c>
      <c r="P40" s="76">
        <f>资产资本表!P10</f>
        <v>3714279.6</v>
      </c>
      <c r="Q40" s="76">
        <f>资产资本表!Q10</f>
        <v>3802773.93</v>
      </c>
      <c r="R40" s="76">
        <f>资产资本表!R10</f>
        <v>5475049.3099999996</v>
      </c>
      <c r="S40" s="76">
        <f>资产资本表!S10</f>
        <v>5563543.6399999997</v>
      </c>
      <c r="T40" s="76">
        <f>资产资本表!T10</f>
        <v>5652037.9699999997</v>
      </c>
      <c r="U40" s="76">
        <f>资产资本表!U10</f>
        <v>5740532.2999999998</v>
      </c>
      <c r="V40" s="76">
        <f>资产资本表!V10</f>
        <v>5829026.6299999999</v>
      </c>
      <c r="W40" s="76">
        <f>资产资本表!W10</f>
        <v>5917520.96</v>
      </c>
      <c r="X40" s="76">
        <f>资产资本表!X10</f>
        <v>6006015.29</v>
      </c>
      <c r="Y40" s="76">
        <f>资产资本表!Y10</f>
        <v>6094509.6200000001</v>
      </c>
      <c r="Z40" s="76">
        <f>资产资本表!Z10</f>
        <v>6183003.9500000002</v>
      </c>
      <c r="AA40" s="76">
        <f>资产资本表!AA10</f>
        <v>6271498.2800000003</v>
      </c>
      <c r="AB40" s="76">
        <f>资产资本表!AB10</f>
        <v>6359992.6100000003</v>
      </c>
      <c r="AC40" s="76">
        <f>资产资本表!AC10</f>
        <v>6448486.9400000004</v>
      </c>
      <c r="AD40" s="76">
        <f>资产资本表!AD10</f>
        <v>6536981.2699999996</v>
      </c>
      <c r="AE40" s="76">
        <f>资产资本表!AE10</f>
        <v>6625475.5999999996</v>
      </c>
      <c r="AF40" s="76">
        <f>资产资本表!AF10</f>
        <v>6713969.9299999997</v>
      </c>
      <c r="AG40" s="76">
        <f>资产资本表!AG10</f>
        <v>6802464.2599999998</v>
      </c>
      <c r="AH40" s="76">
        <f>资产资本表!AH10</f>
        <v>6890958.5899999999</v>
      </c>
      <c r="AI40" s="76">
        <f>资产资本表!AI10</f>
        <v>7014281.0999999996</v>
      </c>
      <c r="AJ40" s="76">
        <f>资产资本表!AJ10</f>
        <v>7081379.0199999996</v>
      </c>
      <c r="AK40" s="76">
        <f>资产资本表!AK10</f>
        <v>7185863.5599999996</v>
      </c>
      <c r="AL40" s="76">
        <f>资产资本表!AL10</f>
        <v>7290348.0999999996</v>
      </c>
      <c r="AM40" s="76">
        <f>资产资本表!AM10</f>
        <v>7422914.6500000004</v>
      </c>
      <c r="AN40" s="76">
        <f>资产资本表!AN10</f>
        <v>7772818.8700000001</v>
      </c>
      <c r="AO40" s="76">
        <f>资产资本表!AO10</f>
        <v>7772818.8700000001</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2943099285.9800005</v>
      </c>
      <c r="F43" s="76">
        <f t="shared" ref="F43:BQ43" si="14">SUM(F34:F42)</f>
        <v>1486843365.49</v>
      </c>
      <c r="G43" s="76">
        <f t="shared" si="14"/>
        <v>1697111072.54</v>
      </c>
      <c r="H43" s="76">
        <f t="shared" si="14"/>
        <v>1332722304.03</v>
      </c>
      <c r="I43" s="76">
        <f t="shared" si="14"/>
        <v>1340180690.2400002</v>
      </c>
      <c r="J43" s="76">
        <f t="shared" si="14"/>
        <v>1818600868.71</v>
      </c>
      <c r="K43" s="76">
        <f t="shared" si="14"/>
        <v>1647513041.4200001</v>
      </c>
      <c r="L43" s="76">
        <f t="shared" si="14"/>
        <v>1950363915.3699999</v>
      </c>
      <c r="M43" s="76">
        <f t="shared" si="14"/>
        <v>2176571271.5799999</v>
      </c>
      <c r="N43" s="76">
        <f t="shared" si="14"/>
        <v>1697736404.26</v>
      </c>
      <c r="O43" s="76">
        <f t="shared" si="14"/>
        <v>56163041.659999996</v>
      </c>
      <c r="P43" s="76">
        <f t="shared" si="14"/>
        <v>101213103.39999999</v>
      </c>
      <c r="Q43" s="76">
        <f t="shared" si="14"/>
        <v>176953523.87</v>
      </c>
      <c r="R43" s="76">
        <f t="shared" si="14"/>
        <v>183236871.06</v>
      </c>
      <c r="S43" s="76">
        <f t="shared" si="14"/>
        <v>142449336.84999999</v>
      </c>
      <c r="T43" s="76">
        <f t="shared" si="14"/>
        <v>271280785.04000002</v>
      </c>
      <c r="U43" s="76">
        <f t="shared" si="14"/>
        <v>324827386</v>
      </c>
      <c r="V43" s="76">
        <f t="shared" si="14"/>
        <v>193356230.24000001</v>
      </c>
      <c r="W43" s="76">
        <f t="shared" si="14"/>
        <v>167504627.19</v>
      </c>
      <c r="X43" s="76">
        <f t="shared" si="14"/>
        <v>264834236.38999999</v>
      </c>
      <c r="Y43" s="76">
        <f t="shared" si="14"/>
        <v>279165938.43000001</v>
      </c>
      <c r="Z43" s="76">
        <f t="shared" si="14"/>
        <v>225751809.45999998</v>
      </c>
      <c r="AA43" s="76">
        <f t="shared" si="14"/>
        <v>150374092.89000002</v>
      </c>
      <c r="AB43" s="76">
        <f t="shared" si="14"/>
        <v>204775222.93000001</v>
      </c>
      <c r="AC43" s="76">
        <f t="shared" si="14"/>
        <v>196521614.52000001</v>
      </c>
      <c r="AD43" s="76">
        <f t="shared" si="14"/>
        <v>182339924.76000002</v>
      </c>
      <c r="AE43" s="76">
        <f t="shared" si="14"/>
        <v>138344803.64000002</v>
      </c>
      <c r="AF43" s="76">
        <f t="shared" si="14"/>
        <v>167287829.82000002</v>
      </c>
      <c r="AG43" s="76">
        <f t="shared" si="14"/>
        <v>197141114.66</v>
      </c>
      <c r="AH43" s="76">
        <f t="shared" si="14"/>
        <v>210666714.99000001</v>
      </c>
      <c r="AI43" s="76">
        <f t="shared" si="14"/>
        <v>233979628.69999999</v>
      </c>
      <c r="AJ43" s="76">
        <f t="shared" si="14"/>
        <v>279400520.47999996</v>
      </c>
      <c r="AK43" s="76">
        <f t="shared" si="14"/>
        <v>263581908.06</v>
      </c>
      <c r="AL43" s="76">
        <f t="shared" si="14"/>
        <v>246088409.93000001</v>
      </c>
      <c r="AM43" s="76">
        <f t="shared" si="14"/>
        <v>239803928.44</v>
      </c>
      <c r="AN43" s="76">
        <f t="shared" si="14"/>
        <v>233117678.14000002</v>
      </c>
      <c r="AO43" s="76">
        <f t="shared" si="14"/>
        <v>220872924.22</v>
      </c>
      <c r="AP43" s="76">
        <f t="shared" si="14"/>
        <v>199696425.72999999</v>
      </c>
      <c r="AQ43" s="76">
        <f t="shared" si="14"/>
        <v>197194136.16</v>
      </c>
      <c r="AR43" s="76">
        <f t="shared" si="14"/>
        <v>213530237.34</v>
      </c>
      <c r="AS43" s="76">
        <f t="shared" si="14"/>
        <v>193271908.84</v>
      </c>
      <c r="AT43" s="76">
        <f t="shared" si="14"/>
        <v>215218834.06999999</v>
      </c>
      <c r="AU43" s="76">
        <f t="shared" si="14"/>
        <v>207338394.83000001</v>
      </c>
      <c r="AV43" s="76">
        <f t="shared" si="14"/>
        <v>211450304.50999999</v>
      </c>
      <c r="AW43" s="76">
        <f t="shared" si="14"/>
        <v>191685368.28</v>
      </c>
      <c r="AX43" s="76">
        <f t="shared" si="14"/>
        <v>182578604.40000001</v>
      </c>
      <c r="AY43" s="76">
        <f t="shared" si="14"/>
        <v>193175878.59999999</v>
      </c>
      <c r="AZ43" s="76">
        <f t="shared" si="14"/>
        <v>192939801.01999998</v>
      </c>
      <c r="BA43" s="76">
        <f t="shared" si="14"/>
        <v>193568074.75999999</v>
      </c>
      <c r="BB43" s="76">
        <f t="shared" si="14"/>
        <v>208930897.93000001</v>
      </c>
      <c r="BC43" s="76">
        <f t="shared" si="14"/>
        <v>205913291.03999999</v>
      </c>
      <c r="BD43" s="76">
        <f t="shared" si="14"/>
        <v>58053432.25</v>
      </c>
      <c r="BE43" s="76">
        <f t="shared" si="14"/>
        <v>63735657.420000002</v>
      </c>
      <c r="BF43" s="76">
        <f t="shared" si="14"/>
        <v>50449967.939999998</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1.939225681726504E-2</v>
      </c>
      <c r="F44" s="110">
        <f t="shared" ref="F44:BQ44" si="16">F32/F43</f>
        <v>2.6750628692645995E-2</v>
      </c>
      <c r="G44" s="110">
        <f t="shared" si="16"/>
        <v>7.1109470578123134E-3</v>
      </c>
      <c r="H44" s="110">
        <f t="shared" si="16"/>
        <v>2.002838513523899E-3</v>
      </c>
      <c r="I44" s="110">
        <f t="shared" si="16"/>
        <v>2.6897350708601355E-2</v>
      </c>
      <c r="J44" s="110">
        <f t="shared" si="16"/>
        <v>6.1919225028891165E-3</v>
      </c>
      <c r="K44" s="110">
        <f t="shared" si="16"/>
        <v>5.1928774015828939E-3</v>
      </c>
      <c r="L44" s="110">
        <f t="shared" si="16"/>
        <v>0</v>
      </c>
      <c r="M44" s="110">
        <f t="shared" si="16"/>
        <v>1.9372279864848217E-2</v>
      </c>
      <c r="N44" s="110">
        <f t="shared" si="16"/>
        <v>1.8808382229570094E-2</v>
      </c>
      <c r="O44" s="110">
        <f t="shared" si="16"/>
        <v>2.2029173499322667E-3</v>
      </c>
      <c r="P44" s="110">
        <f t="shared" si="16"/>
        <v>1.2471695392817041E-5</v>
      </c>
      <c r="Q44" s="110">
        <f t="shared" si="16"/>
        <v>1.506548196337037E-2</v>
      </c>
      <c r="R44" s="110">
        <f t="shared" si="16"/>
        <v>-1.2715066871440368E-4</v>
      </c>
      <c r="S44" s="110">
        <f t="shared" si="16"/>
        <v>2.223585244567313E-4</v>
      </c>
      <c r="T44" s="110">
        <f t="shared" si="16"/>
        <v>3.1242792053006736E-5</v>
      </c>
      <c r="U44" s="110">
        <f t="shared" si="16"/>
        <v>-3.8561021228453618E-2</v>
      </c>
      <c r="V44" s="110">
        <f t="shared" si="16"/>
        <v>-4.2498419162993782E-5</v>
      </c>
      <c r="W44" s="110">
        <f t="shared" si="16"/>
        <v>-5.4897137055900008E-5</v>
      </c>
      <c r="X44" s="110">
        <f t="shared" si="16"/>
        <v>-4.5995096383603785E-5</v>
      </c>
      <c r="Y44" s="110">
        <f t="shared" si="16"/>
        <v>3.2707534680412857E-5</v>
      </c>
      <c r="Z44" s="110">
        <f t="shared" si="16"/>
        <v>6.287532743470512E-5</v>
      </c>
      <c r="AA44" s="110">
        <f t="shared" si="16"/>
        <v>9.243936582130863E-5</v>
      </c>
      <c r="AB44" s="110">
        <f t="shared" si="16"/>
        <v>-1.3118635571063449E-4</v>
      </c>
      <c r="AC44" s="110">
        <f t="shared" si="16"/>
        <v>1.0830587865577921E-4</v>
      </c>
      <c r="AD44" s="110">
        <f t="shared" si="16"/>
        <v>3.0680240939036061E-5</v>
      </c>
      <c r="AE44" s="110">
        <f t="shared" si="16"/>
        <v>0</v>
      </c>
      <c r="AF44" s="110">
        <f t="shared" si="16"/>
        <v>-1.5267243003988219E-4</v>
      </c>
      <c r="AG44" s="110">
        <f t="shared" si="16"/>
        <v>0</v>
      </c>
      <c r="AH44" s="110">
        <f t="shared" si="16"/>
        <v>2.5464690622175424E-4</v>
      </c>
      <c r="AI44" s="110">
        <f t="shared" si="16"/>
        <v>2.4826206486535708E-4</v>
      </c>
      <c r="AJ44" s="110">
        <f t="shared" si="16"/>
        <v>-1.1768494169375109E-4</v>
      </c>
      <c r="AK44" s="110">
        <f t="shared" si="16"/>
        <v>0</v>
      </c>
      <c r="AL44" s="110">
        <f t="shared" si="16"/>
        <v>1.9505102935830917E-4</v>
      </c>
      <c r="AM44" s="110">
        <f t="shared" si="16"/>
        <v>6.9707360862831738E-5</v>
      </c>
      <c r="AN44" s="110">
        <f t="shared" si="16"/>
        <v>-1.5243977989596197E-4</v>
      </c>
      <c r="AO44" s="110">
        <f t="shared" si="16"/>
        <v>-1.7962585321578189E-3</v>
      </c>
      <c r="AP44" s="110">
        <f t="shared" si="16"/>
        <v>-2.7196527379740928E-3</v>
      </c>
      <c r="AQ44" s="110">
        <f t="shared" si="16"/>
        <v>0</v>
      </c>
      <c r="AR44" s="110">
        <f t="shared" si="16"/>
        <v>4.2406845119917919E-4</v>
      </c>
      <c r="AS44" s="110">
        <f t="shared" si="16"/>
        <v>0</v>
      </c>
      <c r="AT44" s="110">
        <f t="shared" si="16"/>
        <v>1.2569180685088612E-3</v>
      </c>
      <c r="AU44" s="110">
        <f t="shared" si="16"/>
        <v>0</v>
      </c>
      <c r="AV44" s="110">
        <f t="shared" si="16"/>
        <v>-1.6674687171458643E-3</v>
      </c>
      <c r="AW44" s="110">
        <f t="shared" si="16"/>
        <v>0</v>
      </c>
      <c r="AX44" s="110">
        <f t="shared" si="16"/>
        <v>-3.3423262658093195E-3</v>
      </c>
      <c r="AY44" s="110">
        <f t="shared" si="16"/>
        <v>-2.9238301501925178E-3</v>
      </c>
      <c r="AZ44" s="110">
        <f t="shared" si="16"/>
        <v>1.0031500412004605E-4</v>
      </c>
      <c r="BA44" s="110">
        <f t="shared" si="16"/>
        <v>-2.197947632374376E-3</v>
      </c>
      <c r="BB44" s="110">
        <f t="shared" si="16"/>
        <v>-1.2419601428573588E-3</v>
      </c>
      <c r="BC44" s="110">
        <f t="shared" si="16"/>
        <v>-1.3644953188411764E-3</v>
      </c>
      <c r="BD44" s="110">
        <f t="shared" si="16"/>
        <v>-2.3881702720275795E-3</v>
      </c>
      <c r="BE44" s="110">
        <f t="shared" si="16"/>
        <v>-6.9838763617358956E-3</v>
      </c>
      <c r="BF44" s="110">
        <f t="shared" si="16"/>
        <v>-2.8891038382262957E-3</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695</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696</v>
      </c>
      <c r="E46" s="57">
        <f>E43/资产资本表!E70</f>
        <v>0.30694516970536773</v>
      </c>
      <c r="F46" s="57">
        <f>F43/资产资本表!F70</f>
        <v>0.24502109903104949</v>
      </c>
      <c r="G46" s="57">
        <f>G43/资产资本表!G70</f>
        <v>0.29766052922988218</v>
      </c>
      <c r="H46" s="57">
        <f>H43/资产资本表!H70</f>
        <v>0.25496677940213686</v>
      </c>
      <c r="I46" s="57">
        <f>I43/资产资本表!I70</f>
        <v>0.27525144677051583</v>
      </c>
      <c r="J46" s="57">
        <f>J43/资产资本表!J70</f>
        <v>0.40470028751357345</v>
      </c>
      <c r="K46" s="57">
        <f>K43/资产资本表!K70</f>
        <v>0.40761586564143154</v>
      </c>
      <c r="L46" s="57">
        <f>L43/资产资本表!L70</f>
        <v>0.50467685111427674</v>
      </c>
      <c r="M46" s="57">
        <f>M43/资产资本表!M70</f>
        <v>0.5571194598375947</v>
      </c>
      <c r="N46" s="57">
        <f>N43/资产资本表!N70</f>
        <v>0.49519220832025151</v>
      </c>
      <c r="O46" s="57">
        <f>O43/资产资本表!O70</f>
        <v>0.10940766091653464</v>
      </c>
      <c r="P46" s="57">
        <f>P43/资产资本表!P70</f>
        <v>0.21286288086028296</v>
      </c>
      <c r="Q46" s="57">
        <f>Q43/资产资本表!Q70</f>
        <v>0.32106119098808078</v>
      </c>
      <c r="R46" s="57">
        <f>R43/资产资本表!R70</f>
        <v>0.27431980484841484</v>
      </c>
      <c r="S46" s="57">
        <f>S43/资产资本表!S70</f>
        <v>0.21797765597453619</v>
      </c>
      <c r="T46" s="57">
        <f>T43/资产资本表!T70</f>
        <v>0.41369546621815551</v>
      </c>
      <c r="U46" s="57">
        <f>U43/资产资本表!U70</f>
        <v>0.50512208227865241</v>
      </c>
      <c r="V46" s="57">
        <f>V43/资产资本表!V70</f>
        <v>0.3445316917201714</v>
      </c>
      <c r="W46" s="57">
        <f>W43/资产资本表!W70</f>
        <v>0.31119519063286538</v>
      </c>
      <c r="X46" s="57">
        <f>X43/资产资本表!X70</f>
        <v>0.45395416586843729</v>
      </c>
      <c r="Y46" s="57">
        <f>Y43/资产资本表!Y70</f>
        <v>0.47996821583635962</v>
      </c>
      <c r="Z46" s="57">
        <f>Z43/资产资本表!Z70</f>
        <v>0.47845476376939317</v>
      </c>
      <c r="AA46" s="57">
        <f>AA43/资产资本表!AA70</f>
        <v>0.33865949825781849</v>
      </c>
      <c r="AB46" s="57">
        <f>AB43/资产资本表!AB70</f>
        <v>0.46441400615215273</v>
      </c>
      <c r="AC46" s="57">
        <f>AC43/资产资本表!AC70</f>
        <v>0.45354240228745496</v>
      </c>
      <c r="AD46" s="57">
        <f>AD43/资产资本表!AD70</f>
        <v>0.44723681972261614</v>
      </c>
      <c r="AE46" s="57">
        <f>AE43/资产资本表!AE70</f>
        <v>0.35906409778436982</v>
      </c>
      <c r="AF46" s="57">
        <f>AF43/资产资本表!AF70</f>
        <v>0.46932287874197176</v>
      </c>
      <c r="AG46" s="57">
        <f>AG43/资产资本表!AG70</f>
        <v>0.5596640814792212</v>
      </c>
      <c r="AH46" s="57">
        <f>AH43/资产资本表!AH70</f>
        <v>0.60830896295628245</v>
      </c>
      <c r="AI46" s="57">
        <f>AI43/资产资本表!AI70</f>
        <v>0.68934370699371239</v>
      </c>
      <c r="AJ46" s="57">
        <f>AJ43/资产资本表!AJ70</f>
        <v>0.76222164142678173</v>
      </c>
      <c r="AK46" s="57">
        <f>AK43/资产资本表!AK70</f>
        <v>0.73270642461605251</v>
      </c>
      <c r="AL46" s="57">
        <f>AL43/资产资本表!AL70</f>
        <v>0.69020202516523588</v>
      </c>
      <c r="AM46" s="57">
        <f>AM43/资产资本表!AM70</f>
        <v>0.67822568456535626</v>
      </c>
      <c r="AN46" s="57">
        <f>AN43/资产资本表!AN70</f>
        <v>0.67295991361349716</v>
      </c>
      <c r="AO46" s="57">
        <f>AO43/资产资本表!AO70</f>
        <v>0.63822595155076001</v>
      </c>
      <c r="AP46" s="57">
        <f>AP43/资产资本表!AP70</f>
        <v>0.58817763366091924</v>
      </c>
      <c r="AQ46" s="57">
        <f>AQ43/资产资本表!AQ70</f>
        <v>0.58471346066015217</v>
      </c>
      <c r="AR46" s="57">
        <f>AR43/资产资本表!AR70</f>
        <v>0.64023387912080287</v>
      </c>
      <c r="AS46" s="57">
        <f>AS43/资产资本表!AS70</f>
        <v>0.5825437070355205</v>
      </c>
      <c r="AT46" s="57">
        <f>AT43/资产资本表!AT70</f>
        <v>0.65847768246657312</v>
      </c>
      <c r="AU46" s="57">
        <f>AU43/资产资本表!AU70</f>
        <v>0.65254305021581571</v>
      </c>
      <c r="AV46" s="57">
        <f>AV43/资产资本表!AV70</f>
        <v>0.63788112885532589</v>
      </c>
      <c r="AW46" s="57">
        <f>AW43/资产资本表!AW70</f>
        <v>0.59544121570097464</v>
      </c>
      <c r="AX46" s="57">
        <f>AX43/资产资本表!AX70</f>
        <v>0.58519188208003214</v>
      </c>
      <c r="AY46" s="57">
        <f>AY43/资产资本表!AY70</f>
        <v>0.63037751217213978</v>
      </c>
      <c r="AZ46" s="57">
        <f>AZ43/资产资本表!AZ70</f>
        <v>0.62817601875422158</v>
      </c>
      <c r="BA46" s="57">
        <f>BA43/资产资本表!BA70</f>
        <v>0.63996179429034694</v>
      </c>
      <c r="BB46" s="57">
        <f>BB43/资产资本表!BB70</f>
        <v>0.64429647705551718</v>
      </c>
      <c r="BC46" s="57">
        <f>BC43/资产资本表!BC70</f>
        <v>0.66241521330202169</v>
      </c>
      <c r="BD46" s="57">
        <f>BD43/资产资本表!BD70</f>
        <v>0.34765768753246062</v>
      </c>
      <c r="BE46" s="57">
        <f>BE43/资产资本表!BE70</f>
        <v>0.43749018060981432</v>
      </c>
      <c r="BF46" s="57">
        <f>BF43/资产资本表!BF70</f>
        <v>0.42950611661828697</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37986</v>
      </c>
      <c r="BI48" s="1">
        <v>37621</v>
      </c>
      <c r="BJ48" s="1">
        <v>25569</v>
      </c>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6233050789.2700005</v>
      </c>
      <c r="F49" s="76">
        <f>利润表!F4</f>
        <v>2989216840.73</v>
      </c>
      <c r="G49" s="76">
        <f>利润表!G4</f>
        <v>1621362138.1800001</v>
      </c>
      <c r="H49" s="76">
        <f>利润表!H4</f>
        <v>554996254.27999997</v>
      </c>
      <c r="I49" s="76">
        <f>利润表!I4</f>
        <v>3081860748.46</v>
      </c>
      <c r="J49" s="76">
        <f>利润表!J4</f>
        <v>1882610155.46</v>
      </c>
      <c r="K49" s="76">
        <f>利润表!K4</f>
        <v>1042533326.38</v>
      </c>
      <c r="L49" s="76">
        <f>利润表!L4</f>
        <v>309009125.79000002</v>
      </c>
      <c r="M49" s="76">
        <f>利润表!M4</f>
        <v>2101482138.0899999</v>
      </c>
      <c r="N49" s="76">
        <f>利润表!N4</f>
        <v>1287716120.8399999</v>
      </c>
      <c r="O49" s="76">
        <f>利润表!O4</f>
        <v>234402082.41999999</v>
      </c>
      <c r="P49" s="76">
        <f>利润表!P4</f>
        <v>98884258.989999995</v>
      </c>
      <c r="Q49" s="76">
        <f>利润表!Q4</f>
        <v>696008522.04999995</v>
      </c>
      <c r="R49" s="76">
        <f>利润表!R4</f>
        <v>499824845.88</v>
      </c>
      <c r="S49" s="76">
        <f>利润表!S4</f>
        <v>218791842.91</v>
      </c>
      <c r="T49" s="76">
        <f>利润表!T4</f>
        <v>80628835.340000004</v>
      </c>
      <c r="U49" s="76">
        <f>利润表!U4</f>
        <v>758700415.60000002</v>
      </c>
      <c r="V49" s="76">
        <f>利润表!V4</f>
        <v>505160617.19999999</v>
      </c>
      <c r="W49" s="76">
        <f>利润表!W4</f>
        <v>244045439.34</v>
      </c>
      <c r="X49" s="76">
        <f>利润表!X4</f>
        <v>124255763.25</v>
      </c>
      <c r="Y49" s="76">
        <f>利润表!Y4</f>
        <v>691214660.60000002</v>
      </c>
      <c r="Z49" s="76">
        <f>利润表!Z4</f>
        <v>479068814.31999999</v>
      </c>
      <c r="AA49" s="76">
        <f>利润表!AA4</f>
        <v>247057637.74000001</v>
      </c>
      <c r="AB49" s="76">
        <f>利润表!AB4</f>
        <v>129105048.27</v>
      </c>
      <c r="AC49" s="76">
        <f>利润表!AC4</f>
        <v>776359138.99000001</v>
      </c>
      <c r="AD49" s="76">
        <f>利润表!AD4</f>
        <v>579326555.54999995</v>
      </c>
      <c r="AE49" s="76">
        <f>利润表!AE4</f>
        <v>304913961.62</v>
      </c>
      <c r="AF49" s="76">
        <f>利润表!AF4</f>
        <v>129331362.36</v>
      </c>
      <c r="AG49" s="76">
        <f>利润表!AG4</f>
        <v>554317044.60000002</v>
      </c>
      <c r="AH49" s="76">
        <f>利润表!AH4</f>
        <v>356208895.57999998</v>
      </c>
      <c r="AI49" s="76">
        <f>利润表!AI4</f>
        <v>184973928.56</v>
      </c>
      <c r="AJ49" s="76">
        <f>利润表!AJ4</f>
        <v>104299108.65000001</v>
      </c>
      <c r="AK49" s="76">
        <f>利润表!AK4</f>
        <v>509839028.19</v>
      </c>
      <c r="AL49" s="76">
        <f>利润表!AL4</f>
        <v>339390401.16000003</v>
      </c>
      <c r="AM49" s="76">
        <f>利润表!AM4</f>
        <v>179720032.56</v>
      </c>
      <c r="AN49" s="76">
        <f>利润表!AN4</f>
        <v>98918353.280000001</v>
      </c>
      <c r="AO49" s="76">
        <f>利润表!AO4</f>
        <v>412981840.82999998</v>
      </c>
      <c r="AP49" s="76">
        <f>利润表!AP4</f>
        <v>271774932.64999998</v>
      </c>
      <c r="AQ49" s="76">
        <f>利润表!AQ4</f>
        <v>163859513.34999999</v>
      </c>
      <c r="AR49" s="76">
        <f>利润表!AR4</f>
        <v>83742016.219999999</v>
      </c>
      <c r="AS49" s="76">
        <f>利润表!AS4</f>
        <v>566295103.17999995</v>
      </c>
      <c r="AT49" s="76">
        <f>利润表!AT4</f>
        <v>419765060.01999998</v>
      </c>
      <c r="AU49" s="76">
        <f>利润表!AU4</f>
        <v>242760630.49000001</v>
      </c>
      <c r="AV49" s="76">
        <f>利润表!AV4</f>
        <v>125941160.89</v>
      </c>
      <c r="AW49" s="76">
        <f>利润表!AW4</f>
        <v>593824099.46000004</v>
      </c>
      <c r="AX49" s="76">
        <f>利润表!AX4</f>
        <v>439235650.68000001</v>
      </c>
      <c r="AY49" s="76">
        <f>利润表!AY4</f>
        <v>287317133.20999998</v>
      </c>
      <c r="AZ49" s="76">
        <f>利润表!AZ4</f>
        <v>136790548.13</v>
      </c>
      <c r="BA49" s="76">
        <f>利润表!BA4</f>
        <v>528669895.29000002</v>
      </c>
      <c r="BB49" s="76">
        <f>利润表!BB4</f>
        <v>399564767.79000002</v>
      </c>
      <c r="BC49" s="76">
        <f>利润表!BC4</f>
        <v>215657508.13999999</v>
      </c>
      <c r="BD49" s="76">
        <f>利润表!BD4</f>
        <v>122796213.84</v>
      </c>
      <c r="BE49" s="76">
        <f>利润表!BE4</f>
        <v>563658847.70000005</v>
      </c>
      <c r="BF49" s="76">
        <f>利润表!BF4</f>
        <v>398889793.47000003</v>
      </c>
      <c r="BG49" s="76">
        <f>利润表!BG4</f>
        <v>216854594.63</v>
      </c>
      <c r="BH49" s="76">
        <f>利润表!BH4</f>
        <v>446927130.95999998</v>
      </c>
      <c r="BI49" s="76">
        <f>利润表!BI4</f>
        <v>335191928.19</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-312268224.6600008</v>
      </c>
      <c r="F50" s="76">
        <f>资产资本表!F50</f>
        <v>424747124.86000013</v>
      </c>
      <c r="G50" s="76">
        <f>资产资本表!G50</f>
        <v>279626473.51000023</v>
      </c>
      <c r="H50" s="76">
        <f>资产资本表!H50</f>
        <v>582962209.35000002</v>
      </c>
      <c r="I50" s="76">
        <f>资产资本表!I50</f>
        <v>315784890.97000003</v>
      </c>
      <c r="J50" s="76">
        <f>资产资本表!J50</f>
        <v>734462584.79000008</v>
      </c>
      <c r="K50" s="76">
        <f>资产资本表!K50</f>
        <v>639576355.18000019</v>
      </c>
      <c r="L50" s="76">
        <f>资产资本表!L50</f>
        <v>351434600.71000004</v>
      </c>
      <c r="M50" s="76">
        <f>资产资本表!M50</f>
        <v>225295058.41999996</v>
      </c>
      <c r="N50" s="76">
        <f>资产资本表!N50</f>
        <v>312015427.48999995</v>
      </c>
      <c r="O50" s="76">
        <f>资产资本表!O50</f>
        <v>118565902.59999996</v>
      </c>
      <c r="P50" s="76">
        <f>资产资本表!P50</f>
        <v>60630703.030000001</v>
      </c>
      <c r="Q50" s="76">
        <f>资产资本表!Q50</f>
        <v>39658732.99000001</v>
      </c>
      <c r="R50" s="76">
        <f>资产资本表!R50</f>
        <v>148432104.87</v>
      </c>
      <c r="S50" s="76">
        <f>资产资本表!S50</f>
        <v>178830571.69999996</v>
      </c>
      <c r="T50" s="76">
        <f>资产资本表!T50</f>
        <v>61094073.419999987</v>
      </c>
      <c r="U50" s="76">
        <f>资产资本表!U50</f>
        <v>31394280.930000007</v>
      </c>
      <c r="V50" s="76">
        <f>资产资本表!V50</f>
        <v>96390218.479999989</v>
      </c>
      <c r="W50" s="76">
        <f>资产资本表!W50</f>
        <v>110934022.71999998</v>
      </c>
      <c r="X50" s="76">
        <f>资产资本表!X50</f>
        <v>58841995.13000001</v>
      </c>
      <c r="Y50" s="76">
        <f>资产资本表!Y50</f>
        <v>45244946.259999976</v>
      </c>
      <c r="Z50" s="76">
        <f>资产资本表!Z50</f>
        <v>41891993.579999983</v>
      </c>
      <c r="AA50" s="76">
        <f>资产资本表!AA50</f>
        <v>87231020.269999981</v>
      </c>
      <c r="AB50" s="76">
        <f>资产资本表!AB50</f>
        <v>30160653.829999983</v>
      </c>
      <c r="AC50" s="76">
        <f>资产资本表!AC50</f>
        <v>29535910.109999985</v>
      </c>
      <c r="AD50" s="76">
        <f>资产资本表!AD50</f>
        <v>90482233.389999971</v>
      </c>
      <c r="AE50" s="76">
        <f>资产资本表!AE50</f>
        <v>96979767.079999983</v>
      </c>
      <c r="AF50" s="76">
        <f>资产资本表!AF50</f>
        <v>53498714.480000004</v>
      </c>
      <c r="AG50" s="76">
        <f>资产资本表!AG50</f>
        <v>55041803.75999999</v>
      </c>
      <c r="AH50" s="76">
        <f>资产资本表!AH50</f>
        <v>43542971.260000005</v>
      </c>
      <c r="AI50" s="76">
        <f>资产资本表!AI50</f>
        <v>11430932.269999996</v>
      </c>
      <c r="AJ50" s="76">
        <f>资产资本表!AJ50</f>
        <v>-7657517.0900000036</v>
      </c>
      <c r="AK50" s="76">
        <f>资产资本表!AK50</f>
        <v>-2181416.4100000113</v>
      </c>
      <c r="AL50" s="76">
        <f>资产资本表!AL50</f>
        <v>7346321.3900000155</v>
      </c>
      <c r="AM50" s="76">
        <f>资产资本表!AM50</f>
        <v>7837426.5799999982</v>
      </c>
      <c r="AN50" s="76">
        <f>资产资本表!AN50</f>
        <v>4745664.3399999961</v>
      </c>
      <c r="AO50" s="76">
        <f>资产资本表!AO50</f>
        <v>13865395.109999992</v>
      </c>
      <c r="AP50" s="76">
        <f>资产资本表!AP50</f>
        <v>13229101.739999995</v>
      </c>
      <c r="AQ50" s="76">
        <f>资产资本表!AQ50</f>
        <v>10150174.269999996</v>
      </c>
      <c r="AR50" s="76">
        <f>资产资本表!AR50</f>
        <v>-13662225.409999996</v>
      </c>
      <c r="AS50" s="76">
        <f>资产资本表!AS50</f>
        <v>3841461.8200000077</v>
      </c>
      <c r="AT50" s="76">
        <f>资产资本表!AT50</f>
        <v>-22620970.74000001</v>
      </c>
      <c r="AU50" s="76">
        <f>资产资本表!AU50</f>
        <v>-27690029.810000002</v>
      </c>
      <c r="AV50" s="76">
        <f>资产资本表!AV50</f>
        <v>-20517571.450000003</v>
      </c>
      <c r="AW50" s="76">
        <f>资产资本表!AW50</f>
        <v>-13917482.660000004</v>
      </c>
      <c r="AX50" s="76">
        <f>资产资本表!AX50</f>
        <v>-14088259.640000001</v>
      </c>
      <c r="AY50" s="76">
        <f>资产资本表!AY50</f>
        <v>-27790462.890000001</v>
      </c>
      <c r="AZ50" s="76">
        <f>资产资本表!AZ50</f>
        <v>-18872408.280000001</v>
      </c>
      <c r="BA50" s="76">
        <f>资产资本表!BA50</f>
        <v>-25687714.910000004</v>
      </c>
      <c r="BB50" s="76">
        <f>资产资本表!BB50</f>
        <v>-9852926.4899999946</v>
      </c>
      <c r="BC50" s="76">
        <f>资产资本表!BC50</f>
        <v>-18835104.50999999</v>
      </c>
      <c r="BD50" s="76">
        <f>资产资本表!BD50</f>
        <v>-13805307.769999996</v>
      </c>
      <c r="BE50" s="76">
        <f>资产资本表!BE50</f>
        <v>-14967783.209999993</v>
      </c>
      <c r="BF50" s="76">
        <f>资产资本表!BF50</f>
        <v>-17233205.170000002</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-19.960566900639915</v>
      </c>
      <c r="F51" s="44">
        <f t="shared" ref="F51:BQ51" si="18">F49/F50</f>
        <v>7.0376387873496933</v>
      </c>
      <c r="G51" s="44">
        <f t="shared" si="18"/>
        <v>5.7983141504018416</v>
      </c>
      <c r="H51" s="44">
        <f t="shared" si="18"/>
        <v>0.95202784224867343</v>
      </c>
      <c r="I51" s="44">
        <f t="shared" si="18"/>
        <v>9.7593673306959481</v>
      </c>
      <c r="J51" s="44">
        <f t="shared" si="18"/>
        <v>2.5632485499561315</v>
      </c>
      <c r="K51" s="44">
        <f t="shared" si="18"/>
        <v>1.6300373175718683</v>
      </c>
      <c r="L51" s="44">
        <f t="shared" si="18"/>
        <v>0.8792791750320309</v>
      </c>
      <c r="M51" s="44">
        <f t="shared" si="18"/>
        <v>9.3276885557444018</v>
      </c>
      <c r="N51" s="44">
        <f t="shared" si="18"/>
        <v>4.127091186480742</v>
      </c>
      <c r="O51" s="44">
        <f t="shared" si="18"/>
        <v>1.9769771686451114</v>
      </c>
      <c r="P51" s="44">
        <f t="shared" si="18"/>
        <v>1.6309271383686939</v>
      </c>
      <c r="Q51" s="44">
        <f t="shared" si="18"/>
        <v>17.549943469588381</v>
      </c>
      <c r="R51" s="44">
        <f t="shared" si="18"/>
        <v>3.3673634576411704</v>
      </c>
      <c r="S51" s="44">
        <f t="shared" si="18"/>
        <v>1.2234588349750271</v>
      </c>
      <c r="T51" s="44">
        <f t="shared" si="18"/>
        <v>1.3197488860450586</v>
      </c>
      <c r="U51" s="44">
        <f t="shared" si="18"/>
        <v>24.166835268234948</v>
      </c>
      <c r="V51" s="44">
        <f t="shared" si="18"/>
        <v>5.2407871375954587</v>
      </c>
      <c r="W51" s="44">
        <f t="shared" si="18"/>
        <v>2.1999151690007337</v>
      </c>
      <c r="X51" s="44">
        <f t="shared" si="18"/>
        <v>2.1116850809609859</v>
      </c>
      <c r="Y51" s="44">
        <f t="shared" si="18"/>
        <v>15.277168341143266</v>
      </c>
      <c r="Z51" s="44">
        <f t="shared" si="18"/>
        <v>11.435808453592344</v>
      </c>
      <c r="AA51" s="44">
        <f t="shared" si="18"/>
        <v>2.832222264227795</v>
      </c>
      <c r="AB51" s="44">
        <f t="shared" si="18"/>
        <v>4.2805785643009742</v>
      </c>
      <c r="AC51" s="44">
        <f t="shared" si="18"/>
        <v>26.285262113089509</v>
      </c>
      <c r="AD51" s="44">
        <f t="shared" si="18"/>
        <v>6.4026553484037532</v>
      </c>
      <c r="AE51" s="44">
        <f t="shared" si="18"/>
        <v>3.1440987208029916</v>
      </c>
      <c r="AF51" s="44">
        <f t="shared" si="18"/>
        <v>2.4174667301276807</v>
      </c>
      <c r="AG51" s="44">
        <f t="shared" si="18"/>
        <v>10.070837195252558</v>
      </c>
      <c r="AH51" s="44">
        <f t="shared" si="18"/>
        <v>8.1806290492450859</v>
      </c>
      <c r="AI51" s="44">
        <f t="shared" si="18"/>
        <v>16.18187600021534</v>
      </c>
      <c r="AJ51" s="44">
        <f t="shared" si="18"/>
        <v>-13.620486565574215</v>
      </c>
      <c r="AK51" s="44">
        <f t="shared" si="18"/>
        <v>-233.71925958418794</v>
      </c>
      <c r="AL51" s="44">
        <f t="shared" si="18"/>
        <v>46.198686817865905</v>
      </c>
      <c r="AM51" s="44">
        <f t="shared" si="18"/>
        <v>22.931000466227019</v>
      </c>
      <c r="AN51" s="44">
        <f t="shared" si="18"/>
        <v>20.843942216107109</v>
      </c>
      <c r="AO51" s="44">
        <f t="shared" si="18"/>
        <v>29.785075546253239</v>
      </c>
      <c r="AP51" s="44">
        <f t="shared" si="18"/>
        <v>20.543717781552118</v>
      </c>
      <c r="AQ51" s="44">
        <f t="shared" si="18"/>
        <v>16.14351724327587</v>
      </c>
      <c r="AR51" s="44">
        <f t="shared" si="18"/>
        <v>-6.129456490939277</v>
      </c>
      <c r="AS51" s="44">
        <f t="shared" si="18"/>
        <v>147.41656424428521</v>
      </c>
      <c r="AT51" s="44">
        <f t="shared" si="18"/>
        <v>-18.556456521900785</v>
      </c>
      <c r="AU51" s="44">
        <f t="shared" si="18"/>
        <v>-8.7670772532837518</v>
      </c>
      <c r="AV51" s="44">
        <f t="shared" si="18"/>
        <v>-6.1382099337102582</v>
      </c>
      <c r="AW51" s="44">
        <f t="shared" si="18"/>
        <v>-42.667493394240012</v>
      </c>
      <c r="AX51" s="44">
        <f t="shared" si="18"/>
        <v>-31.177424458653714</v>
      </c>
      <c r="AY51" s="44">
        <f t="shared" si="18"/>
        <v>-10.338695485111439</v>
      </c>
      <c r="AZ51" s="44">
        <f t="shared" si="18"/>
        <v>-7.24817660261004</v>
      </c>
      <c r="BA51" s="44">
        <f t="shared" si="18"/>
        <v>-20.580650989870392</v>
      </c>
      <c r="BB51" s="44">
        <f t="shared" si="18"/>
        <v>-40.552902550884681</v>
      </c>
      <c r="BC51" s="44">
        <f t="shared" si="18"/>
        <v>-11.449764349621869</v>
      </c>
      <c r="BD51" s="44">
        <f t="shared" si="18"/>
        <v>-8.8948552169800728</v>
      </c>
      <c r="BE51" s="44">
        <f t="shared" si="18"/>
        <v>-37.658138135206215</v>
      </c>
      <c r="BF51" s="44">
        <f t="shared" si="18"/>
        <v>-23.146581818940881</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6926202003.9099989</v>
      </c>
      <c r="F52" s="76">
        <f>资产资本表!F68</f>
        <v>3087952345.1700001</v>
      </c>
      <c r="G52" s="76">
        <f>资产资本表!G68</f>
        <v>2673923600.0400004</v>
      </c>
      <c r="H52" s="76">
        <f>资产资本表!H68</f>
        <v>2267265680.5599995</v>
      </c>
      <c r="I52" s="76">
        <f>资产资本表!I68</f>
        <v>2151784384.3699999</v>
      </c>
      <c r="J52" s="76">
        <f>资产资本表!J68</f>
        <v>1816874828.02</v>
      </c>
      <c r="K52" s="76">
        <f>资产资本表!K68</f>
        <v>1726491248.4799998</v>
      </c>
      <c r="L52" s="76">
        <f>资产资本表!L68</f>
        <v>1519527853.5900002</v>
      </c>
      <c r="M52" s="76">
        <f>资产资本表!M68</f>
        <v>1464978380.7</v>
      </c>
      <c r="N52" s="76">
        <f>资产资本表!N68</f>
        <v>1340782188.9700003</v>
      </c>
      <c r="O52" s="76">
        <f>资产资本表!O68</f>
        <v>150935960.32999998</v>
      </c>
      <c r="P52" s="76">
        <f>资产资本表!P68</f>
        <v>150654247.59999999</v>
      </c>
      <c r="Q52" s="76">
        <f>资产资本表!Q68</f>
        <v>152701650.00999999</v>
      </c>
      <c r="R52" s="76">
        <f>资产资本表!R68</f>
        <v>168298486.70000002</v>
      </c>
      <c r="S52" s="76">
        <f>资产资本表!S68</f>
        <v>171911112.94</v>
      </c>
      <c r="T52" s="76">
        <f>资产资本表!T68</f>
        <v>170844673.42999998</v>
      </c>
      <c r="U52" s="76">
        <f>资产资本表!U68</f>
        <v>173778043.35000002</v>
      </c>
      <c r="V52" s="76">
        <f>资产资本表!V68</f>
        <v>268732588.63999999</v>
      </c>
      <c r="W52" s="76">
        <f>资产资本表!W68</f>
        <v>257090381.74000001</v>
      </c>
      <c r="X52" s="76">
        <f>资产资本表!X68</f>
        <v>256987513.76000002</v>
      </c>
      <c r="Y52" s="76">
        <f>资产资本表!Y68</f>
        <v>254476128.01000002</v>
      </c>
      <c r="Z52" s="76">
        <f>资产资本表!Z68</f>
        <v>201436978.55000001</v>
      </c>
      <c r="AA52" s="76">
        <f>资产资本表!AA68</f>
        <v>203665544.75</v>
      </c>
      <c r="AB52" s="76">
        <f>资产资本表!AB68</f>
        <v>203303644.64999998</v>
      </c>
      <c r="AC52" s="76">
        <f>资产资本表!AC68</f>
        <v>204511573.42999998</v>
      </c>
      <c r="AD52" s="76">
        <f>资产资本表!AD68</f>
        <v>132167621.75</v>
      </c>
      <c r="AE52" s="76">
        <f>资产资本表!AE68</f>
        <v>147242339.22</v>
      </c>
      <c r="AF52" s="76">
        <f>资产资本表!AF68</f>
        <v>132941700.69999999</v>
      </c>
      <c r="AG52" s="76">
        <f>资产资本表!AG68</f>
        <v>97360289.589999989</v>
      </c>
      <c r="AH52" s="76">
        <f>资产资本表!AH68</f>
        <v>89294027.760000005</v>
      </c>
      <c r="AI52" s="76">
        <f>资产资本表!AI68</f>
        <v>91202893.399999991</v>
      </c>
      <c r="AJ52" s="76">
        <f>资产资本表!AJ68</f>
        <v>92538002.109999999</v>
      </c>
      <c r="AK52" s="76">
        <f>资产资本表!AK68</f>
        <v>95606980.600000009</v>
      </c>
      <c r="AL52" s="76">
        <f>资产资本表!AL68</f>
        <v>100311550.92999999</v>
      </c>
      <c r="AM52" s="76">
        <f>资产资本表!AM68</f>
        <v>103160706.26000001</v>
      </c>
      <c r="AN52" s="76">
        <f>资产资本表!AN68</f>
        <v>105752009.43000001</v>
      </c>
      <c r="AO52" s="76">
        <f>资产资本表!AO68</f>
        <v>108538430.85000001</v>
      </c>
      <c r="AP52" s="76">
        <f>资产资本表!AP68</f>
        <v>119754553.23999999</v>
      </c>
      <c r="AQ52" s="76">
        <f>资产资本表!AQ68</f>
        <v>122989834.01000001</v>
      </c>
      <c r="AR52" s="76">
        <f>资产资本表!AR68</f>
        <v>130363097.53000002</v>
      </c>
      <c r="AS52" s="76">
        <f>资产资本表!AS68</f>
        <v>131471450.87</v>
      </c>
      <c r="AT52" s="76">
        <f>资产资本表!AT68</f>
        <v>131114669.23000002</v>
      </c>
      <c r="AU52" s="76">
        <f>资产资本表!AU68</f>
        <v>135046612.16</v>
      </c>
      <c r="AV52" s="76">
        <f>资产资本表!AV68</f>
        <v>136583891.10000002</v>
      </c>
      <c r="AW52" s="76">
        <f>资产资本表!AW68</f>
        <v>140000867.26999998</v>
      </c>
      <c r="AX52" s="76">
        <f>资产资本表!AX68</f>
        <v>139714254.43000001</v>
      </c>
      <c r="AY52" s="76">
        <f>资产资本表!AY68</f>
        <v>136494340.47</v>
      </c>
      <c r="AZ52" s="76">
        <f>资产资本表!AZ68</f>
        <v>127971375.47999999</v>
      </c>
      <c r="BA52" s="76">
        <f>资产资本表!BA68</f>
        <v>129289338.47</v>
      </c>
      <c r="BB52" s="76">
        <f>资产资本表!BB68</f>
        <v>121466620.28</v>
      </c>
      <c r="BC52" s="76">
        <f>资产资本表!BC68</f>
        <v>120069260.89999999</v>
      </c>
      <c r="BD52" s="76">
        <f>资产资本表!BD68</f>
        <v>122521010.25</v>
      </c>
      <c r="BE52" s="76">
        <f>资产资本表!BE68</f>
        <v>97034992.449999988</v>
      </c>
      <c r="BF52" s="76">
        <f>资产资本表!BF68</f>
        <v>79949600.739999995</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0.89992333254954171</v>
      </c>
      <c r="F53" s="44">
        <f t="shared" ref="F53:BQ53" si="20">F49/F52</f>
        <v>0.96802557377725196</v>
      </c>
      <c r="G53" s="44">
        <f t="shared" si="20"/>
        <v>0.60636068216599204</v>
      </c>
      <c r="H53" s="44">
        <f t="shared" si="20"/>
        <v>0.24478659869403555</v>
      </c>
      <c r="I53" s="44">
        <f t="shared" si="20"/>
        <v>1.4322349259739182</v>
      </c>
      <c r="J53" s="44">
        <f t="shared" si="20"/>
        <v>1.0361804382042308</v>
      </c>
      <c r="K53" s="44">
        <f t="shared" si="20"/>
        <v>0.60384512652342992</v>
      </c>
      <c r="L53" s="44">
        <f t="shared" si="20"/>
        <v>0.20335864529231396</v>
      </c>
      <c r="M53" s="44">
        <f t="shared" si="20"/>
        <v>1.4344799662407741</v>
      </c>
      <c r="N53" s="44">
        <f t="shared" si="20"/>
        <v>0.96042155946987473</v>
      </c>
      <c r="O53" s="44">
        <f t="shared" si="20"/>
        <v>1.5529903007044392</v>
      </c>
      <c r="P53" s="44">
        <f t="shared" si="20"/>
        <v>0.65636555600175461</v>
      </c>
      <c r="Q53" s="44">
        <f t="shared" si="20"/>
        <v>4.5579633357230938</v>
      </c>
      <c r="R53" s="44">
        <f t="shared" si="20"/>
        <v>2.9698713023543779</v>
      </c>
      <c r="S53" s="44">
        <f t="shared" si="20"/>
        <v>1.2727033125913285</v>
      </c>
      <c r="T53" s="44">
        <f t="shared" si="20"/>
        <v>0.47194234225298209</v>
      </c>
      <c r="U53" s="44">
        <f t="shared" si="20"/>
        <v>4.3659164355529612</v>
      </c>
      <c r="V53" s="44">
        <f t="shared" si="20"/>
        <v>1.8797891977170067</v>
      </c>
      <c r="W53" s="44">
        <f t="shared" si="20"/>
        <v>0.94925931374129513</v>
      </c>
      <c r="X53" s="44">
        <f t="shared" si="20"/>
        <v>0.48350895120158305</v>
      </c>
      <c r="Y53" s="44">
        <f t="shared" si="20"/>
        <v>2.7162259423125055</v>
      </c>
      <c r="Z53" s="44">
        <f t="shared" si="20"/>
        <v>2.3782565533323226</v>
      </c>
      <c r="AA53" s="44">
        <f t="shared" si="20"/>
        <v>1.2130556400360402</v>
      </c>
      <c r="AB53" s="44">
        <f t="shared" si="20"/>
        <v>0.6350355818375143</v>
      </c>
      <c r="AC53" s="44">
        <f t="shared" si="20"/>
        <v>3.7961623685601902</v>
      </c>
      <c r="AD53" s="44">
        <f t="shared" si="20"/>
        <v>4.3832713933963179</v>
      </c>
      <c r="AE53" s="44">
        <f t="shared" si="20"/>
        <v>2.0708307354749182</v>
      </c>
      <c r="AF53" s="44">
        <f t="shared" si="20"/>
        <v>0.972842694797871</v>
      </c>
      <c r="AG53" s="44">
        <f t="shared" si="20"/>
        <v>5.69346133761844</v>
      </c>
      <c r="AH53" s="44">
        <f t="shared" si="20"/>
        <v>3.989168195407204</v>
      </c>
      <c r="AI53" s="44">
        <f t="shared" si="20"/>
        <v>2.0281585557679249</v>
      </c>
      <c r="AJ53" s="44">
        <f t="shared" si="20"/>
        <v>1.1270948828787071</v>
      </c>
      <c r="AK53" s="44">
        <f t="shared" si="20"/>
        <v>5.3326548437196433</v>
      </c>
      <c r="AL53" s="44">
        <f t="shared" si="20"/>
        <v>3.3833631123581718</v>
      </c>
      <c r="AM53" s="44">
        <f t="shared" si="20"/>
        <v>1.7421365079359239</v>
      </c>
      <c r="AN53" s="44">
        <f t="shared" si="20"/>
        <v>0.93538036594450358</v>
      </c>
      <c r="AO53" s="44">
        <f t="shared" si="20"/>
        <v>3.8049365335006589</v>
      </c>
      <c r="AP53" s="44">
        <f t="shared" si="20"/>
        <v>2.2694329801835265</v>
      </c>
      <c r="AQ53" s="44">
        <f t="shared" si="20"/>
        <v>1.3323012805812631</v>
      </c>
      <c r="AR53" s="44">
        <f t="shared" si="20"/>
        <v>0.642375164495679</v>
      </c>
      <c r="AS53" s="44">
        <f t="shared" si="20"/>
        <v>4.307361784118112</v>
      </c>
      <c r="AT53" s="44">
        <f t="shared" si="20"/>
        <v>3.2015110321763647</v>
      </c>
      <c r="AU53" s="44">
        <f t="shared" si="20"/>
        <v>1.7976062235636316</v>
      </c>
      <c r="AV53" s="44">
        <f t="shared" si="20"/>
        <v>0.92207916962763981</v>
      </c>
      <c r="AW53" s="44">
        <f t="shared" si="20"/>
        <v>4.2415744347838578</v>
      </c>
      <c r="AX53" s="44">
        <f t="shared" si="20"/>
        <v>3.1438141546256255</v>
      </c>
      <c r="AY53" s="44">
        <f t="shared" si="20"/>
        <v>2.1049746987359468</v>
      </c>
      <c r="AZ53" s="44">
        <f t="shared" si="20"/>
        <v>1.0689151977691942</v>
      </c>
      <c r="BA53" s="44">
        <f t="shared" si="20"/>
        <v>4.0890447854884133</v>
      </c>
      <c r="BB53" s="44">
        <f t="shared" si="20"/>
        <v>3.2895026375883289</v>
      </c>
      <c r="BC53" s="44">
        <f t="shared" si="20"/>
        <v>1.7961092333166848</v>
      </c>
      <c r="BD53" s="44">
        <f t="shared" si="20"/>
        <v>1.0022461746719069</v>
      </c>
      <c r="BE53" s="44">
        <f t="shared" si="20"/>
        <v>5.808820441661199</v>
      </c>
      <c r="BF53" s="44">
        <f t="shared" si="20"/>
        <v>4.9892656095583154</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2943099285.9800005</v>
      </c>
      <c r="F54" s="76">
        <f>资产资本表!F17</f>
        <v>1486843365.49</v>
      </c>
      <c r="G54" s="76">
        <f>资产资本表!G17</f>
        <v>1697111072.54</v>
      </c>
      <c r="H54" s="76">
        <f>资产资本表!H17</f>
        <v>1332722304.03</v>
      </c>
      <c r="I54" s="76">
        <f>资产资本表!I17</f>
        <v>1340180690.2400002</v>
      </c>
      <c r="J54" s="76">
        <f>资产资本表!J17</f>
        <v>1818600868.71</v>
      </c>
      <c r="K54" s="76">
        <f>资产资本表!K17</f>
        <v>1647513041.4200001</v>
      </c>
      <c r="L54" s="76">
        <f>资产资本表!L17</f>
        <v>1950363915.3699999</v>
      </c>
      <c r="M54" s="76">
        <f>资产资本表!M17</f>
        <v>2176602709.8800001</v>
      </c>
      <c r="N54" s="76">
        <f>资产资本表!N17</f>
        <v>1697736404.26</v>
      </c>
      <c r="O54" s="76">
        <f>资产资本表!O17</f>
        <v>240919388.28999999</v>
      </c>
      <c r="P54" s="76">
        <f>资产资本表!P17</f>
        <v>261414883.90000001</v>
      </c>
      <c r="Q54" s="76">
        <f>资产资本表!Q17</f>
        <v>356030353.00000006</v>
      </c>
      <c r="R54" s="76">
        <f>资产资本表!R17</f>
        <v>348409772.12</v>
      </c>
      <c r="S54" s="76">
        <f>资产资本表!S17</f>
        <v>299956852.39999998</v>
      </c>
      <c r="T54" s="76">
        <f>资产资本表!T17</f>
        <v>421060595.31999999</v>
      </c>
      <c r="U54" s="76">
        <f>资产资本表!U17</f>
        <v>435168969.68000001</v>
      </c>
      <c r="V54" s="76">
        <f>资产资本表!V17</f>
        <v>193356230.24000001</v>
      </c>
      <c r="W54" s="76">
        <f>资产资本表!W17</f>
        <v>167504627.19</v>
      </c>
      <c r="X54" s="76">
        <f>资产资本表!X17</f>
        <v>264834236.38999999</v>
      </c>
      <c r="Y54" s="76">
        <f>资产资本表!Y17</f>
        <v>279165938.43000001</v>
      </c>
      <c r="Z54" s="76">
        <f>资产资本表!Z17</f>
        <v>225751809.45999998</v>
      </c>
      <c r="AA54" s="76">
        <f>资产资本表!AA17</f>
        <v>150374092.89000002</v>
      </c>
      <c r="AB54" s="76">
        <f>资产资本表!AB17</f>
        <v>204775222.93000001</v>
      </c>
      <c r="AC54" s="76">
        <f>资产资本表!AC17</f>
        <v>196521614.52000001</v>
      </c>
      <c r="AD54" s="76">
        <f>资产资本表!AD17</f>
        <v>182339924.76000002</v>
      </c>
      <c r="AE54" s="76">
        <f>资产资本表!AE17</f>
        <v>138344803.64000002</v>
      </c>
      <c r="AF54" s="76">
        <f>资产资本表!AF17</f>
        <v>167287829.82000002</v>
      </c>
      <c r="AG54" s="76">
        <f>资产资本表!AG17</f>
        <v>197141114.66</v>
      </c>
      <c r="AH54" s="76">
        <f>资产资本表!AH17</f>
        <v>210666714.99000001</v>
      </c>
      <c r="AI54" s="76">
        <f>资产资本表!AI17</f>
        <v>233979628.69999999</v>
      </c>
      <c r="AJ54" s="76">
        <f>资产资本表!AJ17</f>
        <v>279400520.47999996</v>
      </c>
      <c r="AK54" s="76">
        <f>资产资本表!AK17</f>
        <v>263581908.06</v>
      </c>
      <c r="AL54" s="76">
        <f>资产资本表!AL17</f>
        <v>246088409.93000001</v>
      </c>
      <c r="AM54" s="76">
        <f>资产资本表!AM17</f>
        <v>239803928.44</v>
      </c>
      <c r="AN54" s="76">
        <f>资产资本表!AN17</f>
        <v>233117678.14000002</v>
      </c>
      <c r="AO54" s="76">
        <f>资产资本表!AO17</f>
        <v>220872924.22</v>
      </c>
      <c r="AP54" s="76">
        <f>资产资本表!AP17</f>
        <v>199696425.72999999</v>
      </c>
      <c r="AQ54" s="76">
        <f>资产资本表!AQ17</f>
        <v>197194136.16</v>
      </c>
      <c r="AR54" s="76">
        <f>资产资本表!AR17</f>
        <v>213530237.34</v>
      </c>
      <c r="AS54" s="76">
        <f>资产资本表!AS17</f>
        <v>193271908.84</v>
      </c>
      <c r="AT54" s="76">
        <f>资产资本表!AT17</f>
        <v>215218834.06999999</v>
      </c>
      <c r="AU54" s="76">
        <f>资产资本表!AU17</f>
        <v>207338394.83000001</v>
      </c>
      <c r="AV54" s="76">
        <f>资产资本表!AV17</f>
        <v>211450304.50999999</v>
      </c>
      <c r="AW54" s="76">
        <f>资产资本表!AW17</f>
        <v>191685368.28</v>
      </c>
      <c r="AX54" s="76">
        <f>资产资本表!AX17</f>
        <v>182578604.40000001</v>
      </c>
      <c r="AY54" s="76">
        <f>资产资本表!AY17</f>
        <v>193175878.59999999</v>
      </c>
      <c r="AZ54" s="76">
        <f>资产资本表!AZ17</f>
        <v>192939801.01999998</v>
      </c>
      <c r="BA54" s="76">
        <f>资产资本表!BA17</f>
        <v>193568074.75999999</v>
      </c>
      <c r="BB54" s="76">
        <f>资产资本表!BB17</f>
        <v>208930897.93000001</v>
      </c>
      <c r="BC54" s="76">
        <f>资产资本表!BC17</f>
        <v>205913291.03999999</v>
      </c>
      <c r="BD54" s="76">
        <f>资产资本表!BD17</f>
        <v>58053432.25</v>
      </c>
      <c r="BE54" s="76">
        <f>资产资本表!BE17</f>
        <v>63735657.420000002</v>
      </c>
      <c r="BF54" s="76">
        <f>资产资本表!BF17</f>
        <v>50449967.939999998</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2.1178527068258601</v>
      </c>
      <c r="F55" s="44">
        <f t="shared" ref="F55:BQ55" si="22">F49/F54</f>
        <v>2.0104450207133162</v>
      </c>
      <c r="G55" s="44">
        <f t="shared" si="22"/>
        <v>0.95536595359864729</v>
      </c>
      <c r="H55" s="44">
        <f t="shared" si="22"/>
        <v>0.41643803259070156</v>
      </c>
      <c r="I55" s="44">
        <f t="shared" si="22"/>
        <v>2.2995859968017438</v>
      </c>
      <c r="J55" s="44">
        <f t="shared" si="22"/>
        <v>1.0351969955867248</v>
      </c>
      <c r="K55" s="44">
        <f t="shared" si="22"/>
        <v>0.63279215409514156</v>
      </c>
      <c r="L55" s="44">
        <f t="shared" si="22"/>
        <v>0.15843665038859092</v>
      </c>
      <c r="M55" s="44">
        <f t="shared" si="22"/>
        <v>0.96548723777241752</v>
      </c>
      <c r="N55" s="44">
        <f t="shared" si="22"/>
        <v>0.75849002095309526</v>
      </c>
      <c r="O55" s="44">
        <f t="shared" si="22"/>
        <v>0.9729481885361797</v>
      </c>
      <c r="P55" s="44">
        <f t="shared" si="22"/>
        <v>0.378265604141448</v>
      </c>
      <c r="Q55" s="44">
        <f t="shared" si="22"/>
        <v>1.9549134397819161</v>
      </c>
      <c r="R55" s="44">
        <f t="shared" si="22"/>
        <v>1.4345890554064291</v>
      </c>
      <c r="S55" s="44">
        <f t="shared" si="22"/>
        <v>0.72941105082085467</v>
      </c>
      <c r="T55" s="44">
        <f t="shared" si="22"/>
        <v>0.1914898621152693</v>
      </c>
      <c r="U55" s="44">
        <f t="shared" si="22"/>
        <v>1.7434616630820616</v>
      </c>
      <c r="V55" s="44">
        <f t="shared" si="22"/>
        <v>2.612590329119358</v>
      </c>
      <c r="W55" s="44">
        <f t="shared" si="22"/>
        <v>1.4569474493572048</v>
      </c>
      <c r="X55" s="44">
        <f t="shared" si="22"/>
        <v>0.46918315752431106</v>
      </c>
      <c r="Y55" s="44">
        <f t="shared" si="22"/>
        <v>2.475999273003429</v>
      </c>
      <c r="Z55" s="44">
        <f t="shared" si="22"/>
        <v>2.1221039843088576</v>
      </c>
      <c r="AA55" s="44">
        <f t="shared" si="22"/>
        <v>1.6429534701880122</v>
      </c>
      <c r="AB55" s="44">
        <f t="shared" si="22"/>
        <v>0.63047201913745698</v>
      </c>
      <c r="AC55" s="44">
        <f t="shared" si="22"/>
        <v>3.9505025484664431</v>
      </c>
      <c r="AD55" s="44">
        <f t="shared" si="22"/>
        <v>3.1771788669569916</v>
      </c>
      <c r="AE55" s="44">
        <f t="shared" si="22"/>
        <v>2.2040145607018622</v>
      </c>
      <c r="AF55" s="44">
        <f t="shared" si="22"/>
        <v>0.7731068213339799</v>
      </c>
      <c r="AG55" s="44">
        <f t="shared" si="22"/>
        <v>2.8117779771916402</v>
      </c>
      <c r="AH55" s="44">
        <f t="shared" si="22"/>
        <v>1.6908646228091069</v>
      </c>
      <c r="AI55" s="44">
        <f t="shared" si="22"/>
        <v>0.79055569746700782</v>
      </c>
      <c r="AJ55" s="44">
        <f t="shared" si="22"/>
        <v>0.37329604279483058</v>
      </c>
      <c r="AK55" s="44">
        <f t="shared" si="22"/>
        <v>1.9342717106135512</v>
      </c>
      <c r="AL55" s="44">
        <f t="shared" si="22"/>
        <v>1.3791401279586464</v>
      </c>
      <c r="AM55" s="44">
        <f t="shared" si="22"/>
        <v>0.74944573981391949</v>
      </c>
      <c r="AN55" s="44">
        <f t="shared" si="22"/>
        <v>0.42432797919595816</v>
      </c>
      <c r="AO55" s="44">
        <f t="shared" si="22"/>
        <v>1.8697712374136466</v>
      </c>
      <c r="AP55" s="44">
        <f t="shared" si="22"/>
        <v>1.3609403956856689</v>
      </c>
      <c r="AQ55" s="44">
        <f t="shared" si="22"/>
        <v>0.83095530395004824</v>
      </c>
      <c r="AR55" s="44">
        <f t="shared" si="22"/>
        <v>0.39217872495809214</v>
      </c>
      <c r="AS55" s="44">
        <f t="shared" si="22"/>
        <v>2.9300435152674305</v>
      </c>
      <c r="AT55" s="44">
        <f t="shared" si="22"/>
        <v>1.9504104361213632</v>
      </c>
      <c r="AU55" s="44">
        <f t="shared" si="22"/>
        <v>1.1708426251155424</v>
      </c>
      <c r="AV55" s="44">
        <f t="shared" si="22"/>
        <v>0.59560642951944265</v>
      </c>
      <c r="AW55" s="44">
        <f t="shared" si="22"/>
        <v>3.0979104184550232</v>
      </c>
      <c r="AX55" s="44">
        <f t="shared" si="22"/>
        <v>2.405734517050564</v>
      </c>
      <c r="AY55" s="44">
        <f t="shared" si="22"/>
        <v>1.4873344192466895</v>
      </c>
      <c r="AZ55" s="44">
        <f t="shared" si="22"/>
        <v>0.70898045611553417</v>
      </c>
      <c r="BA55" s="44">
        <f t="shared" si="22"/>
        <v>2.731183310809306</v>
      </c>
      <c r="BB55" s="44">
        <f t="shared" si="22"/>
        <v>1.912425456209305</v>
      </c>
      <c r="BC55" s="44">
        <f t="shared" si="22"/>
        <v>1.0473219433810472</v>
      </c>
      <c r="BD55" s="44">
        <f t="shared" si="22"/>
        <v>2.1152274565127027</v>
      </c>
      <c r="BE55" s="44">
        <f t="shared" si="22"/>
        <v>8.8436970844381069</v>
      </c>
      <c r="BF55" s="44">
        <f t="shared" si="22"/>
        <v>7.9066411686207321</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31322043.289999999</v>
      </c>
      <c r="F56" s="76">
        <f>资产资本表!F19</f>
        <v>1068683008.58</v>
      </c>
      <c r="G56" s="76">
        <f>资产资本表!G19</f>
        <v>1050837392.97</v>
      </c>
      <c r="H56" s="76">
        <f>资产资本表!H19</f>
        <v>1044092745.36</v>
      </c>
      <c r="I56" s="76">
        <f>资产资本表!I19</f>
        <v>1061182445</v>
      </c>
      <c r="J56" s="76">
        <f>资产资本表!J19</f>
        <v>123759708.87</v>
      </c>
      <c r="K56" s="76">
        <f>资产资本表!K19</f>
        <v>28246919.280000001</v>
      </c>
      <c r="L56" s="76">
        <f>资产资本表!L19</f>
        <v>43253333.289999999</v>
      </c>
      <c r="M56" s="76">
        <f>资产资本表!M19</f>
        <v>39954303.869999997</v>
      </c>
      <c r="N56" s="76">
        <f>资产资本表!N19</f>
        <v>77905231.219999999</v>
      </c>
      <c r="O56" s="76">
        <f>资产资本表!O19</f>
        <v>2916125.61</v>
      </c>
      <c r="P56" s="76">
        <f>资产资本表!P19</f>
        <v>2785149</v>
      </c>
      <c r="Q56" s="76">
        <f>资产资本表!Q19</f>
        <v>2761283.73</v>
      </c>
      <c r="R56" s="76">
        <f>资产资本表!R19</f>
        <v>2827707.96</v>
      </c>
      <c r="S56" s="76">
        <f>资产资本表!S19</f>
        <v>2805769.23</v>
      </c>
      <c r="T56" s="76">
        <f>资产资本表!T19</f>
        <v>2750616.9</v>
      </c>
      <c r="U56" s="76">
        <f>资产资本表!U19</f>
        <v>2725792.98</v>
      </c>
      <c r="V56" s="76">
        <f>资产资本表!V19</f>
        <v>2735605.26</v>
      </c>
      <c r="W56" s="76">
        <f>资产资本表!W19</f>
        <v>2733230.21</v>
      </c>
      <c r="X56" s="76">
        <f>资产资本表!X19</f>
        <v>2730474.45</v>
      </c>
      <c r="Y56" s="76">
        <f>资产资本表!Y19</f>
        <v>2747206.44</v>
      </c>
      <c r="Z56" s="76">
        <f>资产资本表!Z19</f>
        <v>2754439.95</v>
      </c>
      <c r="AA56" s="76">
        <f>资产资本表!AA19</f>
        <v>2756731.44</v>
      </c>
      <c r="AB56" s="76">
        <f>资产资本表!AB19</f>
        <v>2692966.02</v>
      </c>
      <c r="AC56" s="76">
        <f>资产资本表!AC19</f>
        <v>2734631.71</v>
      </c>
      <c r="AD56" s="76">
        <f>资产资本表!AD19</f>
        <v>2713514.46</v>
      </c>
      <c r="AE56" s="76">
        <f>资产资本表!AE19</f>
        <v>2725867.85</v>
      </c>
      <c r="AF56" s="76">
        <f>资产资本表!AF19</f>
        <v>2716832.36</v>
      </c>
      <c r="AG56" s="76">
        <f>资产资本表!AG19</f>
        <v>2705794.89</v>
      </c>
      <c r="AH56" s="76">
        <f>资产资本表!AH19</f>
        <v>2811608.99</v>
      </c>
      <c r="AI56" s="76">
        <f>资产资本表!AI19</f>
        <v>2810299.45</v>
      </c>
      <c r="AJ56" s="76">
        <f>资产资本表!AJ19</f>
        <v>2279723.42</v>
      </c>
      <c r="AK56" s="76">
        <f>资产资本表!AK19</f>
        <v>2729933.08</v>
      </c>
      <c r="AL56" s="76">
        <f>资产资本表!AL19</f>
        <v>2799194.23</v>
      </c>
      <c r="AM56" s="76">
        <f>资产资本表!AM19</f>
        <v>2773354.54</v>
      </c>
      <c r="AN56" s="76">
        <f>资产资本表!AN19</f>
        <v>2791132.97</v>
      </c>
      <c r="AO56" s="76">
        <f>资产资本表!AO19</f>
        <v>2796491.88</v>
      </c>
      <c r="AP56" s="76">
        <f>资产资本表!AP19</f>
        <v>6837123.4500000002</v>
      </c>
      <c r="AQ56" s="76">
        <f>资产资本表!AQ19</f>
        <v>6915037.2999999998</v>
      </c>
      <c r="AR56" s="76">
        <f>资产资本表!AR19</f>
        <v>3288006.45</v>
      </c>
      <c r="AS56" s="76">
        <f>资产资本表!AS19</f>
        <v>3187552.81</v>
      </c>
      <c r="AT56" s="76">
        <f>资产资本表!AT19</f>
        <v>3130487.03</v>
      </c>
      <c r="AU56" s="76">
        <f>资产资本表!AU19</f>
        <v>3044051.32</v>
      </c>
      <c r="AV56" s="76">
        <f>资产资本表!AV19</f>
        <v>3971947.84</v>
      </c>
      <c r="AW56" s="76">
        <f>资产资本表!AW19</f>
        <v>4152812.54</v>
      </c>
      <c r="AX56" s="76">
        <f>资产资本表!AX19</f>
        <v>3793242.87</v>
      </c>
      <c r="AY56" s="76">
        <f>资产资本表!AY19</f>
        <v>4564992.99</v>
      </c>
      <c r="AZ56" s="76">
        <f>资产资本表!AZ19</f>
        <v>5104126.8600000003</v>
      </c>
      <c r="BA56" s="76">
        <f>资产资本表!BA19</f>
        <v>5298474.76</v>
      </c>
      <c r="BB56" s="76">
        <f>资产资本表!BB19</f>
        <v>3732981.37</v>
      </c>
      <c r="BC56" s="76">
        <f>资产资本表!BC19</f>
        <v>3704850.2</v>
      </c>
      <c r="BD56" s="76">
        <f>资产资本表!BD19</f>
        <v>215328.24</v>
      </c>
      <c r="BE56" s="76">
        <f>资产资本表!BE19</f>
        <v>-118094.19</v>
      </c>
      <c r="BF56" s="76">
        <f>资产资本表!BF19</f>
        <v>4294054.37</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198.99885622276722</v>
      </c>
      <c r="F57" s="117">
        <f t="shared" ref="F57:BQ57" si="24">F49/F56</f>
        <v>2.7971033662282014</v>
      </c>
      <c r="G57" s="117">
        <f t="shared" si="24"/>
        <v>1.5429239090907452</v>
      </c>
      <c r="H57" s="117">
        <f t="shared" si="24"/>
        <v>0.53155838573386405</v>
      </c>
      <c r="I57" s="117">
        <f t="shared" si="24"/>
        <v>2.904176150840867</v>
      </c>
      <c r="J57" s="117">
        <f t="shared" si="24"/>
        <v>15.211817906242299</v>
      </c>
      <c r="K57" s="117">
        <f t="shared" si="24"/>
        <v>36.907859439317939</v>
      </c>
      <c r="L57" s="117">
        <f t="shared" si="24"/>
        <v>7.144169068270207</v>
      </c>
      <c r="M57" s="117">
        <f t="shared" si="24"/>
        <v>52.597140596608277</v>
      </c>
      <c r="N57" s="117">
        <f t="shared" si="24"/>
        <v>16.529263833433237</v>
      </c>
      <c r="O57" s="117">
        <f t="shared" si="24"/>
        <v>80.381339410136036</v>
      </c>
      <c r="P57" s="117">
        <f t="shared" si="24"/>
        <v>35.504118088475693</v>
      </c>
      <c r="Q57" s="117">
        <f t="shared" si="24"/>
        <v>252.05976281546407</v>
      </c>
      <c r="R57" s="117">
        <f t="shared" si="24"/>
        <v>176.75971244215756</v>
      </c>
      <c r="S57" s="117">
        <f t="shared" si="24"/>
        <v>77.979272340227354</v>
      </c>
      <c r="T57" s="117">
        <f t="shared" si="24"/>
        <v>29.313000781751906</v>
      </c>
      <c r="U57" s="117">
        <f t="shared" si="24"/>
        <v>278.34117307030414</v>
      </c>
      <c r="V57" s="117">
        <f t="shared" si="24"/>
        <v>184.66137077101541</v>
      </c>
      <c r="W57" s="117">
        <f t="shared" si="24"/>
        <v>89.288285504498361</v>
      </c>
      <c r="X57" s="117">
        <f t="shared" si="24"/>
        <v>45.507022872893018</v>
      </c>
      <c r="Y57" s="117">
        <f t="shared" si="24"/>
        <v>251.60637749524204</v>
      </c>
      <c r="Z57" s="117">
        <f t="shared" si="24"/>
        <v>173.92603324679484</v>
      </c>
      <c r="AA57" s="117">
        <f t="shared" si="24"/>
        <v>89.619770049127467</v>
      </c>
      <c r="AB57" s="117">
        <f t="shared" si="24"/>
        <v>47.941580885599144</v>
      </c>
      <c r="AC57" s="117">
        <f t="shared" si="24"/>
        <v>283.8989748239261</v>
      </c>
      <c r="AD57" s="117">
        <f t="shared" si="24"/>
        <v>213.49676373200529</v>
      </c>
      <c r="AE57" s="117">
        <f t="shared" si="24"/>
        <v>111.85940713156729</v>
      </c>
      <c r="AF57" s="117">
        <f t="shared" si="24"/>
        <v>47.60373303268517</v>
      </c>
      <c r="AG57" s="117">
        <f t="shared" si="24"/>
        <v>204.86292092894004</v>
      </c>
      <c r="AH57" s="117">
        <f t="shared" si="24"/>
        <v>126.69218829749153</v>
      </c>
      <c r="AI57" s="117">
        <f t="shared" si="24"/>
        <v>65.820006675801039</v>
      </c>
      <c r="AJ57" s="117">
        <f t="shared" si="24"/>
        <v>45.750772981926033</v>
      </c>
      <c r="AK57" s="117">
        <f t="shared" si="24"/>
        <v>186.75880076518212</v>
      </c>
      <c r="AL57" s="117">
        <f t="shared" si="24"/>
        <v>121.24574905257647</v>
      </c>
      <c r="AM57" s="117">
        <f t="shared" si="24"/>
        <v>64.802400835487845</v>
      </c>
      <c r="AN57" s="117">
        <f t="shared" si="24"/>
        <v>35.440215261403324</v>
      </c>
      <c r="AO57" s="117">
        <f t="shared" si="24"/>
        <v>147.67854102619458</v>
      </c>
      <c r="AP57" s="117">
        <f t="shared" si="24"/>
        <v>39.749894036211963</v>
      </c>
      <c r="AQ57" s="117">
        <f t="shared" si="24"/>
        <v>23.696114169911997</v>
      </c>
      <c r="AR57" s="117">
        <f t="shared" si="24"/>
        <v>25.468933073412916</v>
      </c>
      <c r="AS57" s="117">
        <f t="shared" si="24"/>
        <v>177.65826542651067</v>
      </c>
      <c r="AT57" s="117">
        <f t="shared" si="24"/>
        <v>134.08937842492836</v>
      </c>
      <c r="AU57" s="117">
        <f t="shared" si="24"/>
        <v>79.749191117448049</v>
      </c>
      <c r="AV57" s="117">
        <f t="shared" si="24"/>
        <v>31.707657291390817</v>
      </c>
      <c r="AW57" s="117">
        <f t="shared" si="24"/>
        <v>142.99323500405342</v>
      </c>
      <c r="AX57" s="117">
        <f t="shared" si="24"/>
        <v>115.79423351819284</v>
      </c>
      <c r="AY57" s="117">
        <f t="shared" si="24"/>
        <v>62.939227692001332</v>
      </c>
      <c r="AZ57" s="117">
        <f t="shared" si="24"/>
        <v>26.799989867414851</v>
      </c>
      <c r="BA57" s="117">
        <f t="shared" si="24"/>
        <v>99.777751001308914</v>
      </c>
      <c r="BB57" s="117">
        <f t="shared" si="24"/>
        <v>107.0363680357719</v>
      </c>
      <c r="BC57" s="117">
        <f t="shared" si="24"/>
        <v>58.209508211695031</v>
      </c>
      <c r="BD57" s="117">
        <f t="shared" si="24"/>
        <v>570.27454383131544</v>
      </c>
      <c r="BE57" s="117">
        <f t="shared" si="24"/>
        <v>-4772.9600219960021</v>
      </c>
      <c r="BF57" s="117">
        <f t="shared" si="24"/>
        <v>92.893512540690068</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693</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37986</v>
      </c>
      <c r="BI61" s="1">
        <v>37621</v>
      </c>
      <c r="BJ61" s="1">
        <v>25569</v>
      </c>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6233050789.2700005</v>
      </c>
      <c r="F63" s="76">
        <f t="shared" ref="F63:BQ63" si="26">F49</f>
        <v>2989216840.73</v>
      </c>
      <c r="G63" s="76">
        <f t="shared" si="26"/>
        <v>1621362138.1800001</v>
      </c>
      <c r="H63" s="76">
        <f t="shared" si="26"/>
        <v>554996254.27999997</v>
      </c>
      <c r="I63" s="76">
        <f t="shared" si="26"/>
        <v>3081860748.46</v>
      </c>
      <c r="J63" s="76">
        <f t="shared" si="26"/>
        <v>1882610155.46</v>
      </c>
      <c r="K63" s="76">
        <f t="shared" si="26"/>
        <v>1042533326.38</v>
      </c>
      <c r="L63" s="76">
        <f t="shared" si="26"/>
        <v>309009125.79000002</v>
      </c>
      <c r="M63" s="76">
        <f t="shared" si="26"/>
        <v>2101482138.0899999</v>
      </c>
      <c r="N63" s="76">
        <f t="shared" si="26"/>
        <v>1287716120.8399999</v>
      </c>
      <c r="O63" s="76">
        <f t="shared" si="26"/>
        <v>234402082.41999999</v>
      </c>
      <c r="P63" s="76">
        <f t="shared" si="26"/>
        <v>98884258.989999995</v>
      </c>
      <c r="Q63" s="76">
        <f t="shared" si="26"/>
        <v>696008522.04999995</v>
      </c>
      <c r="R63" s="76">
        <f t="shared" si="26"/>
        <v>499824845.88</v>
      </c>
      <c r="S63" s="76">
        <f t="shared" si="26"/>
        <v>218791842.91</v>
      </c>
      <c r="T63" s="76">
        <f t="shared" si="26"/>
        <v>80628835.340000004</v>
      </c>
      <c r="U63" s="76">
        <f t="shared" si="26"/>
        <v>758700415.60000002</v>
      </c>
      <c r="V63" s="76">
        <f t="shared" si="26"/>
        <v>505160617.19999999</v>
      </c>
      <c r="W63" s="76">
        <f t="shared" si="26"/>
        <v>244045439.34</v>
      </c>
      <c r="X63" s="76">
        <f t="shared" si="26"/>
        <v>124255763.25</v>
      </c>
      <c r="Y63" s="76">
        <f t="shared" si="26"/>
        <v>691214660.60000002</v>
      </c>
      <c r="Z63" s="76">
        <f t="shared" si="26"/>
        <v>479068814.31999999</v>
      </c>
      <c r="AA63" s="76">
        <f t="shared" si="26"/>
        <v>247057637.74000001</v>
      </c>
      <c r="AB63" s="76">
        <f t="shared" si="26"/>
        <v>129105048.27</v>
      </c>
      <c r="AC63" s="76">
        <f t="shared" si="26"/>
        <v>776359138.99000001</v>
      </c>
      <c r="AD63" s="76">
        <f t="shared" si="26"/>
        <v>579326555.54999995</v>
      </c>
      <c r="AE63" s="76">
        <f t="shared" si="26"/>
        <v>304913961.62</v>
      </c>
      <c r="AF63" s="76">
        <f t="shared" si="26"/>
        <v>129331362.36</v>
      </c>
      <c r="AG63" s="76">
        <f t="shared" si="26"/>
        <v>554317044.60000002</v>
      </c>
      <c r="AH63" s="76">
        <f t="shared" si="26"/>
        <v>356208895.57999998</v>
      </c>
      <c r="AI63" s="76">
        <f t="shared" si="26"/>
        <v>184973928.56</v>
      </c>
      <c r="AJ63" s="76">
        <f t="shared" si="26"/>
        <v>104299108.65000001</v>
      </c>
      <c r="AK63" s="76">
        <f t="shared" si="26"/>
        <v>509839028.19</v>
      </c>
      <c r="AL63" s="76">
        <f t="shared" si="26"/>
        <v>339390401.16000003</v>
      </c>
      <c r="AM63" s="76">
        <f t="shared" si="26"/>
        <v>179720032.56</v>
      </c>
      <c r="AN63" s="76">
        <f t="shared" si="26"/>
        <v>98918353.280000001</v>
      </c>
      <c r="AO63" s="76">
        <f t="shared" si="26"/>
        <v>412981840.82999998</v>
      </c>
      <c r="AP63" s="76">
        <f t="shared" si="26"/>
        <v>271774932.64999998</v>
      </c>
      <c r="AQ63" s="76">
        <f t="shared" si="26"/>
        <v>163859513.34999999</v>
      </c>
      <c r="AR63" s="76">
        <f t="shared" si="26"/>
        <v>83742016.219999999</v>
      </c>
      <c r="AS63" s="76">
        <f t="shared" si="26"/>
        <v>566295103.17999995</v>
      </c>
      <c r="AT63" s="76">
        <f t="shared" si="26"/>
        <v>419765060.01999998</v>
      </c>
      <c r="AU63" s="76">
        <f t="shared" si="26"/>
        <v>242760630.49000001</v>
      </c>
      <c r="AV63" s="76">
        <f t="shared" si="26"/>
        <v>125941160.89</v>
      </c>
      <c r="AW63" s="76">
        <f t="shared" si="26"/>
        <v>593824099.46000004</v>
      </c>
      <c r="AX63" s="76">
        <f t="shared" si="26"/>
        <v>439235650.68000001</v>
      </c>
      <c r="AY63" s="76">
        <f t="shared" si="26"/>
        <v>287317133.20999998</v>
      </c>
      <c r="AZ63" s="76">
        <f t="shared" si="26"/>
        <v>136790548.13</v>
      </c>
      <c r="BA63" s="76">
        <f t="shared" si="26"/>
        <v>528669895.29000002</v>
      </c>
      <c r="BB63" s="76">
        <f t="shared" si="26"/>
        <v>399564767.79000002</v>
      </c>
      <c r="BC63" s="76">
        <f t="shared" si="26"/>
        <v>215657508.13999999</v>
      </c>
      <c r="BD63" s="76">
        <f t="shared" si="26"/>
        <v>122796213.84</v>
      </c>
      <c r="BE63" s="76">
        <f t="shared" si="26"/>
        <v>563658847.70000005</v>
      </c>
      <c r="BF63" s="76">
        <f t="shared" si="26"/>
        <v>398889793.47000003</v>
      </c>
      <c r="BG63" s="76">
        <f t="shared" si="26"/>
        <v>216854594.63</v>
      </c>
      <c r="BH63" s="76">
        <f t="shared" si="26"/>
        <v>446927130.95999998</v>
      </c>
      <c r="BI63" s="76">
        <f t="shared" si="26"/>
        <v>335191928.19</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314675848.98000002</v>
      </c>
      <c r="F64" s="76">
        <f>资产资本表!F22+资产资本表!F23-资产资本表!F37</f>
        <v>735866368.75</v>
      </c>
      <c r="G64" s="76">
        <f>资产资本表!G22+资产资本表!G23-资产资本表!G37</f>
        <v>565036107.10000014</v>
      </c>
      <c r="H64" s="76">
        <f>资产资本表!H22+资产资本表!H23-资产资本表!H37</f>
        <v>296815639.02000004</v>
      </c>
      <c r="I64" s="76">
        <f>资产资本表!I22+资产资本表!I23-资产资本表!I37</f>
        <v>411366141.23000002</v>
      </c>
      <c r="J64" s="76">
        <f>资产资本表!J22+资产资本表!J23-资产资本表!J37</f>
        <v>658514272.65999997</v>
      </c>
      <c r="K64" s="76">
        <f>资产资本表!K22+资产资本表!K23-资产资本表!K37</f>
        <v>560903821.26999998</v>
      </c>
      <c r="L64" s="76">
        <f>资产资本表!L22+资产资本表!L23-资产资本表!L37</f>
        <v>284106591.33000004</v>
      </c>
      <c r="M64" s="76">
        <f>资产资本表!M22+资产资本表!M23-资产资本表!M37</f>
        <v>333247810.33999997</v>
      </c>
      <c r="N64" s="76">
        <f>资产资本表!N22+资产资本表!N23-资产资本表!N37</f>
        <v>455662058.22999996</v>
      </c>
      <c r="O64" s="76">
        <f>资产资本表!O22+资产资本表!O23-资产资本表!O37</f>
        <v>73637359.189999998</v>
      </c>
      <c r="P64" s="76">
        <f>资产资本表!P22+资产资本表!P23-资产资本表!P37</f>
        <v>23976541.370000001</v>
      </c>
      <c r="Q64" s="76">
        <f>资产资本表!Q22+资产资本表!Q23-资产资本表!Q37</f>
        <v>53233702.380000003</v>
      </c>
      <c r="R64" s="76">
        <f>资产资本表!R22+资产资本表!R23-资产资本表!R37</f>
        <v>99382983.239999995</v>
      </c>
      <c r="S64" s="76">
        <f>资产资本表!S22+资产资本表!S23-资产资本表!S37</f>
        <v>53991903.529999994</v>
      </c>
      <c r="T64" s="76">
        <f>资产资本表!T22+资产资本表!T23-资产资本表!T37</f>
        <v>22886354.659999996</v>
      </c>
      <c r="U64" s="76">
        <f>资产资本表!U22+资产资本表!U23-资产资本表!U37</f>
        <v>60713762.140000001</v>
      </c>
      <c r="V64" s="76">
        <f>资产资本表!V22+资产资本表!V23-资产资本表!V37</f>
        <v>65549831.290000007</v>
      </c>
      <c r="W64" s="76">
        <f>资产资本表!W22+资产资本表!W23-资产资本表!W37</f>
        <v>41418209.519999996</v>
      </c>
      <c r="X64" s="76">
        <f>资产资本表!X22+资产资本表!X23-资产资本表!X37</f>
        <v>57617095.689999998</v>
      </c>
      <c r="Y64" s="76">
        <f>资产资本表!Y22+资产资本表!Y23-资产资本表!Y37</f>
        <v>87002732.709999993</v>
      </c>
      <c r="Z64" s="76">
        <f>资产资本表!Z22+资产资本表!Z23-资产资本表!Z37</f>
        <v>66111932.530000001</v>
      </c>
      <c r="AA64" s="76">
        <f>资产资本表!AA22+资产资本表!AA23-资产资本表!AA37</f>
        <v>78256124.899999991</v>
      </c>
      <c r="AB64" s="76">
        <f>资产资本表!AB22+资产资本表!AB23-资产资本表!AB37</f>
        <v>66312221.019999996</v>
      </c>
      <c r="AC64" s="76">
        <f>资产资本表!AC22+资产资本表!AC23-资产资本表!AC37</f>
        <v>70225946.289999992</v>
      </c>
      <c r="AD64" s="76">
        <f>资产资本表!AD22+资产资本表!AD23-资产资本表!AD37</f>
        <v>90598986.100000009</v>
      </c>
      <c r="AE64" s="76">
        <f>资产资本表!AE22+资产资本表!AE23-资产资本表!AE37</f>
        <v>75984999.799999997</v>
      </c>
      <c r="AF64" s="76">
        <f>资产资本表!AF22+资产资本表!AF23-资产资本表!AF37</f>
        <v>33923508.630000003</v>
      </c>
      <c r="AG64" s="76">
        <f>资产资本表!AG22+资产资本表!AG23-资产资本表!AG37</f>
        <v>15524082.219999999</v>
      </c>
      <c r="AH64" s="76">
        <f>资产资本表!AH22+资产资本表!AH23-资产资本表!AH37</f>
        <v>40463827.649999999</v>
      </c>
      <c r="AI64" s="76">
        <f>资产资本表!AI22+资产资本表!AI23-资产资本表!AI37</f>
        <v>30082587.120000005</v>
      </c>
      <c r="AJ64" s="76">
        <f>资产资本表!AJ22+资产资本表!AJ23-资产资本表!AJ37</f>
        <v>5705378.6499999994</v>
      </c>
      <c r="AK64" s="76">
        <f>资产资本表!AK22+资产资本表!AK23-资产资本表!AK37</f>
        <v>24000500.670000002</v>
      </c>
      <c r="AL64" s="76">
        <f>资产资本表!AL22+资产资本表!AL23-资产资本表!AL37</f>
        <v>11755330.33</v>
      </c>
      <c r="AM64" s="76">
        <f>资产资本表!AM22+资产资本表!AM23-资产资本表!AM37</f>
        <v>18304631.41</v>
      </c>
      <c r="AN64" s="76">
        <f>资产资本表!AN22+资产资本表!AN23-资产资本表!AN37</f>
        <v>25371622.23</v>
      </c>
      <c r="AO64" s="76">
        <f>资产资本表!AO22+资产资本表!AO23-资产资本表!AO37</f>
        <v>31375227.640000004</v>
      </c>
      <c r="AP64" s="76">
        <f>资产资本表!AP22+资产资本表!AP23-资产资本表!AP37</f>
        <v>39619171.049999997</v>
      </c>
      <c r="AQ64" s="76">
        <f>资产资本表!AQ22+资产资本表!AQ23-资产资本表!AQ37</f>
        <v>27338318.25</v>
      </c>
      <c r="AR64" s="76">
        <f>资产资本表!AR22+资产资本表!AR23-资产资本表!AR37</f>
        <v>21911875.66</v>
      </c>
      <c r="AS64" s="76">
        <f>资产资本表!AS22+资产资本表!AS23-资产资本表!AS37</f>
        <v>43557266.910000004</v>
      </c>
      <c r="AT64" s="76">
        <f>资产资本表!AT22+资产资本表!AT23-资产资本表!AT37</f>
        <v>29168720.210000001</v>
      </c>
      <c r="AU64" s="76">
        <f>资产资本表!AU22+资产资本表!AU23-资产资本表!AU37</f>
        <v>25043260.190000001</v>
      </c>
      <c r="AV64" s="76">
        <f>资产资本表!AV22+资产资本表!AV23-资产资本表!AV37</f>
        <v>37710964.359999999</v>
      </c>
      <c r="AW64" s="76">
        <f>资产资本表!AW22+资产资本表!AW23-资产资本表!AW37</f>
        <v>24726017.66</v>
      </c>
      <c r="AX64" s="76">
        <f>资产资本表!AX22+资产资本表!AX23-资产资本表!AX37</f>
        <v>39248175.600000001</v>
      </c>
      <c r="AY64" s="76">
        <f>资产资本表!AY22+资产资本表!AY23-资产资本表!AY37</f>
        <v>33796623.729999997</v>
      </c>
      <c r="AZ64" s="76">
        <f>资产资本表!AZ22+资产资本表!AZ23-资产资本表!AZ37</f>
        <v>30863708.030000001</v>
      </c>
      <c r="BA64" s="76">
        <f>资产资本表!BA22+资产资本表!BA23-资产资本表!BA37</f>
        <v>11348058.65</v>
      </c>
      <c r="BB64" s="76">
        <f>资产资本表!BB22+资产资本表!BB23-资产资本表!BB37</f>
        <v>37158598.690000005</v>
      </c>
      <c r="BC64" s="76">
        <f>资产资本表!BC22+资产资本表!BC23-资产资本表!BC37</f>
        <v>14411724.699999999</v>
      </c>
      <c r="BD64" s="76">
        <f>资产资本表!BD22+资产资本表!BD23-资产资本表!BD37</f>
        <v>37050013.390000001</v>
      </c>
      <c r="BE64" s="76">
        <f>资产资本表!BE22+资产资本表!BE23-资产资本表!BE37</f>
        <v>25705814.510000002</v>
      </c>
      <c r="BF64" s="76">
        <f>资产资本表!BF22+资产资本表!BF23-资产资本表!BF37</f>
        <v>23016600.82</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17.169945742303845</v>
      </c>
      <c r="F65" s="155">
        <f t="shared" ref="F65:BQ65" si="28">F63/(F64+J64)*2</f>
        <v>4.2875191349577246</v>
      </c>
      <c r="G65" s="155">
        <f t="shared" si="28"/>
        <v>2.8800153495350544</v>
      </c>
      <c r="H65" s="155">
        <f t="shared" si="28"/>
        <v>1.9107420073961363</v>
      </c>
      <c r="I65" s="155">
        <f t="shared" si="28"/>
        <v>8.2777410817027359</v>
      </c>
      <c r="J65" s="155">
        <f t="shared" si="28"/>
        <v>3.3793756037810967</v>
      </c>
      <c r="K65" s="155">
        <f t="shared" si="28"/>
        <v>3.2859437920931556</v>
      </c>
      <c r="L65" s="155">
        <f t="shared" si="28"/>
        <v>2.0060113196193812</v>
      </c>
      <c r="M65" s="155">
        <f t="shared" si="28"/>
        <v>10.874942624293091</v>
      </c>
      <c r="N65" s="155">
        <f t="shared" si="28"/>
        <v>4.6400418871577314</v>
      </c>
      <c r="O65" s="155">
        <f t="shared" si="28"/>
        <v>3.6731714565215969</v>
      </c>
      <c r="P65" s="155">
        <f t="shared" si="28"/>
        <v>4.2201514360827259</v>
      </c>
      <c r="Q65" s="155">
        <f t="shared" si="28"/>
        <v>12.216305557686837</v>
      </c>
      <c r="R65" s="155">
        <f t="shared" si="28"/>
        <v>6.0609509066382392</v>
      </c>
      <c r="S65" s="155">
        <f t="shared" si="28"/>
        <v>4.5863449044514057</v>
      </c>
      <c r="T65" s="155">
        <f t="shared" si="28"/>
        <v>2.0031150215165905</v>
      </c>
      <c r="U65" s="155">
        <f t="shared" si="28"/>
        <v>10.272385847909931</v>
      </c>
      <c r="V65" s="155">
        <f t="shared" si="28"/>
        <v>7.6736115717031561</v>
      </c>
      <c r="W65" s="155">
        <f t="shared" si="28"/>
        <v>4.0784925276211119</v>
      </c>
      <c r="X65" s="155">
        <f t="shared" si="28"/>
        <v>2.0052682698277744</v>
      </c>
      <c r="Y65" s="155">
        <f t="shared" si="28"/>
        <v>8.7924755839232098</v>
      </c>
      <c r="Z65" s="155">
        <f t="shared" si="28"/>
        <v>6.1140451285477866</v>
      </c>
      <c r="AA65" s="155">
        <f t="shared" si="28"/>
        <v>3.2035248474818729</v>
      </c>
      <c r="AB65" s="155">
        <f t="shared" si="28"/>
        <v>2.5760285024273277</v>
      </c>
      <c r="AC65" s="155">
        <f t="shared" si="28"/>
        <v>18.107495763676919</v>
      </c>
      <c r="AD65" s="155">
        <f t="shared" si="28"/>
        <v>8.8404412964161612</v>
      </c>
      <c r="AE65" s="155">
        <f t="shared" si="28"/>
        <v>5.7494277087679411</v>
      </c>
      <c r="AF65" s="155">
        <f t="shared" si="28"/>
        <v>6.5271256013928634</v>
      </c>
      <c r="AG65" s="155">
        <f t="shared" si="28"/>
        <v>28.049229318508313</v>
      </c>
      <c r="AH65" s="155">
        <f t="shared" si="28"/>
        <v>13.642843330274626</v>
      </c>
      <c r="AI65" s="155">
        <f t="shared" si="28"/>
        <v>7.645569808701298</v>
      </c>
      <c r="AJ65" s="155">
        <f t="shared" si="28"/>
        <v>6.7123020688346431</v>
      </c>
      <c r="AK65" s="155">
        <f t="shared" si="28"/>
        <v>18.413808495153678</v>
      </c>
      <c r="AL65" s="155">
        <f t="shared" si="28"/>
        <v>13.212406623653349</v>
      </c>
      <c r="AM65" s="155">
        <f t="shared" si="28"/>
        <v>7.8750402372658588</v>
      </c>
      <c r="AN65" s="155">
        <f t="shared" si="28"/>
        <v>4.1840539593802033</v>
      </c>
      <c r="AO65" s="155">
        <f t="shared" si="28"/>
        <v>11.022770383132798</v>
      </c>
      <c r="AP65" s="155">
        <f t="shared" si="28"/>
        <v>7.9018248029369813</v>
      </c>
      <c r="AQ65" s="155">
        <f t="shared" si="28"/>
        <v>6.2563793696171786</v>
      </c>
      <c r="AR65" s="155">
        <f t="shared" si="28"/>
        <v>2.8090582800788901</v>
      </c>
      <c r="AS65" s="155">
        <f t="shared" si="28"/>
        <v>16.586639226455709</v>
      </c>
      <c r="AT65" s="155">
        <f t="shared" si="28"/>
        <v>12.2708010952653</v>
      </c>
      <c r="AU65" s="155">
        <f t="shared" si="28"/>
        <v>8.2515672811340917</v>
      </c>
      <c r="AV65" s="155">
        <f t="shared" si="28"/>
        <v>3.6731101002931092</v>
      </c>
      <c r="AW65" s="155">
        <f t="shared" si="28"/>
        <v>32.922483966437007</v>
      </c>
      <c r="AX65" s="155">
        <f t="shared" si="28"/>
        <v>11.497296012337651</v>
      </c>
      <c r="AY65" s="155">
        <f t="shared" si="28"/>
        <v>11.919808189537681</v>
      </c>
      <c r="AZ65" s="155">
        <f t="shared" si="28"/>
        <v>4.0283626127345853</v>
      </c>
      <c r="BA65" s="155">
        <f t="shared" si="28"/>
        <v>28.53520294664926</v>
      </c>
      <c r="BB65" s="155">
        <f t="shared" si="28"/>
        <v>13.280047961406417</v>
      </c>
      <c r="BC65" s="155">
        <f t="shared" si="28"/>
        <v>29.928063799331387</v>
      </c>
      <c r="BD65" s="155">
        <f t="shared" si="28"/>
        <v>6.6286731153054514</v>
      </c>
      <c r="BE65" s="155">
        <f t="shared" si="28"/>
        <v>43.854579864079163</v>
      </c>
      <c r="BF65" s="155">
        <f t="shared" si="28"/>
        <v>34.661051524462252</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21.258075329888882</v>
      </c>
      <c r="F66" s="83">
        <f t="shared" ref="F66:BQ66" si="30">F62/F65</f>
        <v>85.130815399520998</v>
      </c>
      <c r="G66" s="83">
        <f t="shared" si="30"/>
        <v>126.73543564930134</v>
      </c>
      <c r="H66" s="83">
        <f t="shared" si="30"/>
        <v>191.02526588474586</v>
      </c>
      <c r="I66" s="83">
        <f t="shared" si="30"/>
        <v>44.094155204588652</v>
      </c>
      <c r="J66" s="83">
        <f t="shared" si="30"/>
        <v>108.00811830197593</v>
      </c>
      <c r="K66" s="83">
        <f t="shared" si="30"/>
        <v>111.07919766561008</v>
      </c>
      <c r="L66" s="83">
        <f t="shared" si="30"/>
        <v>181.95311084747755</v>
      </c>
      <c r="M66" s="83">
        <f t="shared" si="30"/>
        <v>33.563395468831381</v>
      </c>
      <c r="N66" s="83">
        <f t="shared" si="30"/>
        <v>78.663082979964571</v>
      </c>
      <c r="O66" s="83">
        <f t="shared" si="30"/>
        <v>99.369170298858307</v>
      </c>
      <c r="P66" s="83">
        <f t="shared" si="30"/>
        <v>86.489787280904835</v>
      </c>
      <c r="Q66" s="83">
        <f t="shared" si="30"/>
        <v>29.878100075053535</v>
      </c>
      <c r="R66" s="83">
        <f t="shared" si="30"/>
        <v>60.221573416843682</v>
      </c>
      <c r="S66" s="83">
        <f t="shared" si="30"/>
        <v>79.58407132567352</v>
      </c>
      <c r="T66" s="83">
        <f t="shared" si="30"/>
        <v>182.21619631390544</v>
      </c>
      <c r="U66" s="83">
        <f t="shared" si="30"/>
        <v>35.532154399580371</v>
      </c>
      <c r="V66" s="83">
        <f t="shared" si="30"/>
        <v>47.565608004704927</v>
      </c>
      <c r="W66" s="83">
        <f t="shared" si="30"/>
        <v>89.493850369488314</v>
      </c>
      <c r="X66" s="83">
        <f t="shared" si="30"/>
        <v>182.02053335803723</v>
      </c>
      <c r="Y66" s="83">
        <f t="shared" si="30"/>
        <v>41.512768106788045</v>
      </c>
      <c r="Z66" s="83">
        <f t="shared" si="30"/>
        <v>59.698610711219125</v>
      </c>
      <c r="AA66" s="83">
        <f t="shared" si="30"/>
        <v>113.9369967075198</v>
      </c>
      <c r="AB66" s="83">
        <f t="shared" si="30"/>
        <v>141.69097882887149</v>
      </c>
      <c r="AC66" s="83">
        <f t="shared" si="30"/>
        <v>20.157398061203956</v>
      </c>
      <c r="AD66" s="83">
        <f t="shared" si="30"/>
        <v>41.287531669710638</v>
      </c>
      <c r="AE66" s="83">
        <f t="shared" si="30"/>
        <v>63.484579420551881</v>
      </c>
      <c r="AF66" s="83">
        <f t="shared" si="30"/>
        <v>55.920480513215558</v>
      </c>
      <c r="AG66" s="83">
        <f t="shared" si="30"/>
        <v>13.012835249600045</v>
      </c>
      <c r="AH66" s="83">
        <f t="shared" si="30"/>
        <v>26.753953788359794</v>
      </c>
      <c r="AI66" s="83">
        <f t="shared" si="30"/>
        <v>47.740065048467606</v>
      </c>
      <c r="AJ66" s="83">
        <f t="shared" si="30"/>
        <v>54.377767307985515</v>
      </c>
      <c r="AK66" s="83">
        <f t="shared" si="30"/>
        <v>19.822080809413446</v>
      </c>
      <c r="AL66" s="83">
        <f t="shared" si="30"/>
        <v>27.62555001498086</v>
      </c>
      <c r="AM66" s="83">
        <f t="shared" si="30"/>
        <v>46.348969529421048</v>
      </c>
      <c r="AN66" s="83">
        <f t="shared" si="30"/>
        <v>87.235968642734363</v>
      </c>
      <c r="AO66" s="83">
        <f t="shared" si="30"/>
        <v>33.1132725542871</v>
      </c>
      <c r="AP66" s="83">
        <f t="shared" si="30"/>
        <v>46.19186189300671</v>
      </c>
      <c r="AQ66" s="83">
        <f t="shared" si="30"/>
        <v>58.340451950939475</v>
      </c>
      <c r="AR66" s="83">
        <f t="shared" si="30"/>
        <v>129.93678436239111</v>
      </c>
      <c r="AS66" s="83">
        <f t="shared" si="30"/>
        <v>22.005663414793791</v>
      </c>
      <c r="AT66" s="83">
        <f t="shared" si="30"/>
        <v>29.745409217075125</v>
      </c>
      <c r="AU66" s="83">
        <f t="shared" si="30"/>
        <v>44.234020951936607</v>
      </c>
      <c r="AV66" s="83">
        <f t="shared" si="30"/>
        <v>99.370830177639789</v>
      </c>
      <c r="AW66" s="83">
        <f t="shared" si="30"/>
        <v>11.086648272715422</v>
      </c>
      <c r="AX66" s="83">
        <f t="shared" si="30"/>
        <v>31.746594991406813</v>
      </c>
      <c r="AY66" s="83">
        <f t="shared" si="30"/>
        <v>30.621298111186871</v>
      </c>
      <c r="AZ66" s="83">
        <f t="shared" si="30"/>
        <v>90.607533404800904</v>
      </c>
      <c r="BA66" s="83">
        <f t="shared" si="30"/>
        <v>12.791217945161312</v>
      </c>
      <c r="BB66" s="83">
        <f t="shared" si="30"/>
        <v>27.484840496114057</v>
      </c>
      <c r="BC66" s="83">
        <f t="shared" si="30"/>
        <v>12.195910916500864</v>
      </c>
      <c r="BD66" s="83">
        <f t="shared" si="30"/>
        <v>55.063810456609112</v>
      </c>
      <c r="BE66" s="83">
        <f t="shared" si="30"/>
        <v>8.3229619604443581</v>
      </c>
      <c r="BF66" s="83">
        <f t="shared" si="30"/>
        <v>10.530551842675603</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3305842153.46</v>
      </c>
      <c r="F67" s="76">
        <f>股权价值增加表!F5</f>
        <v>1607703653.8599999</v>
      </c>
      <c r="G67" s="76">
        <f>股权价值增加表!G5</f>
        <v>912262660.67999995</v>
      </c>
      <c r="H67" s="76">
        <f>股权价值增加表!H5</f>
        <v>403895644.81</v>
      </c>
      <c r="I67" s="76">
        <f>股权价值增加表!I5</f>
        <v>1593099881.1400001</v>
      </c>
      <c r="J67" s="76">
        <f>股权价值增加表!J5</f>
        <v>1054987145.26</v>
      </c>
      <c r="K67" s="76">
        <f>股权价值增加表!K5</f>
        <v>645996106.79999995</v>
      </c>
      <c r="L67" s="76">
        <f>股权价值增加表!L5</f>
        <v>287994101.57999998</v>
      </c>
      <c r="M67" s="76">
        <f>股权价值增加表!M5</f>
        <v>1093803294.7</v>
      </c>
      <c r="N67" s="76">
        <f>股权价值增加表!N5</f>
        <v>735007941.15999997</v>
      </c>
      <c r="O67" s="76">
        <f>股权价值增加表!O5</f>
        <v>203239821.19</v>
      </c>
      <c r="P67" s="76">
        <f>股权价值增加表!P5</f>
        <v>85021682.310000002</v>
      </c>
      <c r="Q67" s="76">
        <f>股权价值增加表!Q5</f>
        <v>556375832.12</v>
      </c>
      <c r="R67" s="76">
        <f>股权价值增加表!R5</f>
        <v>390693544.98000002</v>
      </c>
      <c r="S67" s="76">
        <f>股权价值增加表!S5</f>
        <v>180750310.22</v>
      </c>
      <c r="T67" s="76">
        <f>股权价值增加表!T5</f>
        <v>65873397.520000003</v>
      </c>
      <c r="U67" s="76">
        <f>股权价值增加表!U5</f>
        <v>624264230.88999999</v>
      </c>
      <c r="V67" s="76">
        <f>股权价值增加表!V5</f>
        <v>411752426.16000003</v>
      </c>
      <c r="W67" s="76">
        <f>股权价值增加表!W5</f>
        <v>204748056.61000001</v>
      </c>
      <c r="X67" s="76">
        <f>股权价值增加表!X5</f>
        <v>105999396.81999999</v>
      </c>
      <c r="Y67" s="76">
        <f>股权价值增加表!Y5</f>
        <v>552430922.80999994</v>
      </c>
      <c r="Z67" s="76">
        <f>股权价值增加表!Z5</f>
        <v>392694832.89999998</v>
      </c>
      <c r="AA67" s="76">
        <f>股权价值增加表!AA5</f>
        <v>209481156.28999999</v>
      </c>
      <c r="AB67" s="76">
        <f>股权价值增加表!AB5</f>
        <v>108166229.47</v>
      </c>
      <c r="AC67" s="76">
        <f>股权价值增加表!AC5</f>
        <v>643419400.03999996</v>
      </c>
      <c r="AD67" s="76">
        <f>股权价值增加表!AD5</f>
        <v>499522077.79000002</v>
      </c>
      <c r="AE67" s="76">
        <f>股权价值增加表!AE5</f>
        <v>270291582.54000002</v>
      </c>
      <c r="AF67" s="76">
        <f>股权价值增加表!AF5</f>
        <v>113183634.31</v>
      </c>
      <c r="AG67" s="76">
        <f>股权价值增加表!AG5</f>
        <v>487245059.11000001</v>
      </c>
      <c r="AH67" s="76">
        <f>股权价值增加表!AH5</f>
        <v>309240439.19</v>
      </c>
      <c r="AI67" s="76">
        <f>股权价值增加表!AI5</f>
        <v>161559143.69999999</v>
      </c>
      <c r="AJ67" s="76">
        <f>股权价值增加表!AJ5</f>
        <v>92342805.459999993</v>
      </c>
      <c r="AK67" s="76">
        <f>股权价值增加表!AK5</f>
        <v>439583068.93000001</v>
      </c>
      <c r="AL67" s="76">
        <f>股权价值增加表!AL5</f>
        <v>300397846.06999999</v>
      </c>
      <c r="AM67" s="76">
        <f>股权价值增加表!AM5</f>
        <v>159877295.71000001</v>
      </c>
      <c r="AN67" s="76">
        <f>股权价值增加表!AN5</f>
        <v>89069045.790000007</v>
      </c>
      <c r="AO67" s="76">
        <f>股权价值增加表!AO5</f>
        <v>365088505.76999998</v>
      </c>
      <c r="AP67" s="76">
        <f>股权价值增加表!AP5</f>
        <v>236760445.34999999</v>
      </c>
      <c r="AQ67" s="76">
        <f>股权价值增加表!AQ5</f>
        <v>147704653.58000001</v>
      </c>
      <c r="AR67" s="76">
        <f>股权价值增加表!AR5</f>
        <v>76475808.640000001</v>
      </c>
      <c r="AS67" s="76">
        <f>股权价值增加表!AS5</f>
        <v>501552367.08999997</v>
      </c>
      <c r="AT67" s="76">
        <f>股权价值增加表!AT5</f>
        <v>370580841.50999999</v>
      </c>
      <c r="AU67" s="76">
        <f>股权价值增加表!AU5</f>
        <v>219786798.90000001</v>
      </c>
      <c r="AV67" s="76">
        <f>股权价值增加表!AV5</f>
        <v>112239155.43000001</v>
      </c>
      <c r="AW67" s="76">
        <f>股权价值增加表!AW5</f>
        <v>525457022.52999997</v>
      </c>
      <c r="AX67" s="76">
        <f>股权价值增加表!AX5</f>
        <v>383078442.14999998</v>
      </c>
      <c r="AY67" s="76">
        <f>股权价值增加表!AY5</f>
        <v>258654230.25</v>
      </c>
      <c r="AZ67" s="76">
        <f>股权价值增加表!AZ5</f>
        <v>120869082.25</v>
      </c>
      <c r="BA67" s="76">
        <f>股权价值增加表!BA5</f>
        <v>451775599.12</v>
      </c>
      <c r="BB67" s="76">
        <f>股权价值增加表!BB5</f>
        <v>342468923.31</v>
      </c>
      <c r="BC67" s="76">
        <f>股权价值增加表!BC5</f>
        <v>186594625.97</v>
      </c>
      <c r="BD67" s="76">
        <f>股权价值增加表!BD5</f>
        <v>106630749.14</v>
      </c>
      <c r="BE67" s="76">
        <f>股权价值增加表!BE5</f>
        <v>493558949.17000002</v>
      </c>
      <c r="BF67" s="76">
        <f>股权价值增加表!BF5</f>
        <v>353278186.13999999</v>
      </c>
      <c r="BG67" s="76">
        <f>股权价值增加表!BG5</f>
        <v>195848178.13999999</v>
      </c>
      <c r="BH67" s="76">
        <f>股权价值增加表!BH5</f>
        <v>380728387.19</v>
      </c>
      <c r="BI67" s="76">
        <f>股权价值增加表!BI5</f>
        <v>286706185.30000001</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83122825.379999995</v>
      </c>
      <c r="F68" s="76">
        <f>资产资本表!F26</f>
        <v>57044480.520000003</v>
      </c>
      <c r="G68" s="76">
        <f>资产资本表!G26</f>
        <v>47677538.25</v>
      </c>
      <c r="H68" s="76">
        <f>资产资本表!H26</f>
        <v>42037934.75</v>
      </c>
      <c r="I68" s="76">
        <f>资产资本表!I26</f>
        <v>45176574.219999999</v>
      </c>
      <c r="J68" s="76">
        <f>资产资本表!J26</f>
        <v>35656710.659999996</v>
      </c>
      <c r="K68" s="76">
        <f>资产资本表!K26</f>
        <v>33530235.5</v>
      </c>
      <c r="L68" s="76">
        <f>资产资本表!L26</f>
        <v>27238144.920000002</v>
      </c>
      <c r="M68" s="76">
        <f>资产资本表!M26</f>
        <v>24659185.920000002</v>
      </c>
      <c r="N68" s="76">
        <f>资产资本表!N26</f>
        <v>22346972.960000001</v>
      </c>
      <c r="O68" s="76">
        <f>资产资本表!O26</f>
        <v>109159582.8</v>
      </c>
      <c r="P68" s="76">
        <f>资产资本表!P26</f>
        <v>61386202.329999998</v>
      </c>
      <c r="Q68" s="76">
        <f>资产资本表!Q26</f>
        <v>63925647.109999999</v>
      </c>
      <c r="R68" s="76">
        <f>资产资本表!R26</f>
        <v>92353987.709999993</v>
      </c>
      <c r="S68" s="76">
        <f>资产资本表!S26</f>
        <v>133361516.81</v>
      </c>
      <c r="T68" s="76">
        <f>资产资本表!T26</f>
        <v>104384431.04000001</v>
      </c>
      <c r="U68" s="76">
        <f>资产资本表!U26</f>
        <v>62509537.659999996</v>
      </c>
      <c r="V68" s="76">
        <f>资产资本表!V26</f>
        <v>158966574.78</v>
      </c>
      <c r="W68" s="76">
        <f>资产资本表!W26</f>
        <v>167468495.16999999</v>
      </c>
      <c r="X68" s="76">
        <f>资产资本表!X26</f>
        <v>87593585.530000001</v>
      </c>
      <c r="Y68" s="76">
        <f>资产资本表!Y26</f>
        <v>72802442.879999995</v>
      </c>
      <c r="Z68" s="76">
        <f>资产资本表!Z26</f>
        <v>92138960</v>
      </c>
      <c r="AA68" s="76">
        <f>资产资本表!AA26</f>
        <v>115508017.56999999</v>
      </c>
      <c r="AB68" s="76">
        <f>资产资本表!AB26</f>
        <v>60115616.479999997</v>
      </c>
      <c r="AC68" s="76">
        <f>资产资本表!AC26</f>
        <v>71546826.420000002</v>
      </c>
      <c r="AD68" s="76">
        <f>资产资本表!AD26</f>
        <v>62131807.420000002</v>
      </c>
      <c r="AE68" s="76">
        <f>资产资本表!AE26</f>
        <v>96753622.599999994</v>
      </c>
      <c r="AF68" s="76">
        <f>资产资本表!AF26</f>
        <v>69318999.340000004</v>
      </c>
      <c r="AG68" s="76">
        <f>资产资本表!AG26</f>
        <v>76456562.099999994</v>
      </c>
      <c r="AH68" s="76">
        <f>资产资本表!AH26</f>
        <v>94632916.969999999</v>
      </c>
      <c r="AI68" s="76">
        <f>资产资本表!AI26</f>
        <v>72866244.739999995</v>
      </c>
      <c r="AJ68" s="76">
        <f>资产资本表!AJ26</f>
        <v>27259415.440000001</v>
      </c>
      <c r="AK68" s="76">
        <f>资产资本表!AK26</f>
        <v>47683647.850000001</v>
      </c>
      <c r="AL68" s="76">
        <f>资产资本表!AL26</f>
        <v>52860796.130000003</v>
      </c>
      <c r="AM68" s="76">
        <f>资产资本表!AM26</f>
        <v>61402419.630000003</v>
      </c>
      <c r="AN68" s="76">
        <f>资产资本表!AN26</f>
        <v>30557835.559999999</v>
      </c>
      <c r="AO68" s="76">
        <f>资产资本表!AO26</f>
        <v>30776280.800000001</v>
      </c>
      <c r="AP68" s="76">
        <f>资产资本表!AP26</f>
        <v>28090756.77</v>
      </c>
      <c r="AQ68" s="76">
        <f>资产资本表!AQ26</f>
        <v>34583447.020000003</v>
      </c>
      <c r="AR68" s="76">
        <f>资产资本表!AR26</f>
        <v>17230602.039999999</v>
      </c>
      <c r="AS68" s="76">
        <f>资产资本表!AS26</f>
        <v>28740382.899999999</v>
      </c>
      <c r="AT68" s="76">
        <f>资产资本表!AT26</f>
        <v>33475989.190000001</v>
      </c>
      <c r="AU68" s="76">
        <f>资产资本表!AU26</f>
        <v>30898126.359999999</v>
      </c>
      <c r="AV68" s="76">
        <f>资产资本表!AV26</f>
        <v>21656172.489999998</v>
      </c>
      <c r="AW68" s="76">
        <f>资产资本表!AW26</f>
        <v>33090922.789999999</v>
      </c>
      <c r="AX68" s="76">
        <f>资产资本表!AX26</f>
        <v>30714967.23</v>
      </c>
      <c r="AY68" s="76">
        <f>资产资本表!AY26</f>
        <v>18836904.050000001</v>
      </c>
      <c r="AZ68" s="76">
        <f>资产资本表!AZ26</f>
        <v>35092418.810000002</v>
      </c>
      <c r="BA68" s="76">
        <f>资产资本表!BA26</f>
        <v>30391921.16</v>
      </c>
      <c r="BB68" s="76">
        <f>资产资本表!BB26</f>
        <v>28510636.18</v>
      </c>
      <c r="BC68" s="76">
        <f>资产资本表!BC26</f>
        <v>47757007.450000003</v>
      </c>
      <c r="BD68" s="76">
        <f>资产资本表!BD26</f>
        <v>33694407.719999999</v>
      </c>
      <c r="BE68" s="76">
        <f>资产资本表!BE26</f>
        <v>35593268.740000002</v>
      </c>
      <c r="BF68" s="76">
        <f>资产资本表!BF26</f>
        <v>7556921.7800000003</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51.533244329539329</v>
      </c>
      <c r="F69" s="155">
        <f t="shared" ref="F69:BQ69" si="32">F67/(F68+J68)*2</f>
        <v>34.68571726847145</v>
      </c>
      <c r="G69" s="155">
        <f t="shared" si="32"/>
        <v>22.467372729325682</v>
      </c>
      <c r="H69" s="155">
        <f t="shared" si="32"/>
        <v>11.660464816542065</v>
      </c>
      <c r="I69" s="155">
        <f t="shared" si="32"/>
        <v>45.624186747486014</v>
      </c>
      <c r="J69" s="155">
        <f t="shared" si="32"/>
        <v>36.376556777722804</v>
      </c>
      <c r="K69" s="155">
        <f t="shared" si="32"/>
        <v>9.0545508361615159</v>
      </c>
      <c r="L69" s="155">
        <f t="shared" si="32"/>
        <v>6.4992095404121573</v>
      </c>
      <c r="M69" s="155">
        <f t="shared" si="32"/>
        <v>24.695046709171407</v>
      </c>
      <c r="N69" s="155">
        <f t="shared" si="32"/>
        <v>12.816072975616169</v>
      </c>
      <c r="O69" s="155">
        <f t="shared" si="32"/>
        <v>1.6760588791394355</v>
      </c>
      <c r="P69" s="155">
        <f t="shared" si="32"/>
        <v>1.0257749588279805</v>
      </c>
      <c r="Q69" s="155">
        <f t="shared" si="32"/>
        <v>8.8009652239147034</v>
      </c>
      <c r="R69" s="155">
        <f t="shared" si="32"/>
        <v>3.1091251834640121</v>
      </c>
      <c r="S69" s="155">
        <f t="shared" si="32"/>
        <v>1.2016773793966857</v>
      </c>
      <c r="T69" s="155">
        <f t="shared" si="32"/>
        <v>0.68625979887630428</v>
      </c>
      <c r="U69" s="155">
        <f t="shared" si="32"/>
        <v>9.2270356017065218</v>
      </c>
      <c r="V69" s="155">
        <f t="shared" si="32"/>
        <v>3.2795169291728028</v>
      </c>
      <c r="W69" s="155">
        <f t="shared" si="32"/>
        <v>1.4471028328638949</v>
      </c>
      <c r="X69" s="155">
        <f t="shared" si="32"/>
        <v>1.4352443230019452</v>
      </c>
      <c r="Y69" s="155">
        <f t="shared" si="32"/>
        <v>7.6540868615259408</v>
      </c>
      <c r="Z69" s="155">
        <f t="shared" si="32"/>
        <v>5.0909817779138127</v>
      </c>
      <c r="AA69" s="155">
        <f t="shared" si="32"/>
        <v>1.9738013531057885</v>
      </c>
      <c r="AB69" s="155">
        <f t="shared" si="32"/>
        <v>1.6713647857606011</v>
      </c>
      <c r="AC69" s="155">
        <f t="shared" si="32"/>
        <v>8.6946576895846341</v>
      </c>
      <c r="AD69" s="155">
        <f t="shared" si="32"/>
        <v>6.3728887954063795</v>
      </c>
      <c r="AE69" s="155">
        <f t="shared" si="32"/>
        <v>3.187027401668761</v>
      </c>
      <c r="AF69" s="155">
        <f t="shared" si="32"/>
        <v>2.3438702026291427</v>
      </c>
      <c r="AG69" s="155">
        <f t="shared" si="32"/>
        <v>7.8499151774634175</v>
      </c>
      <c r="AH69" s="155">
        <f t="shared" si="32"/>
        <v>4.1932694308175229</v>
      </c>
      <c r="AI69" s="155">
        <f t="shared" si="32"/>
        <v>2.4065055604455328</v>
      </c>
      <c r="AJ69" s="155">
        <f t="shared" si="32"/>
        <v>3.1942994128171192</v>
      </c>
      <c r="AK69" s="155">
        <f t="shared" si="32"/>
        <v>11.20528852099587</v>
      </c>
      <c r="AL69" s="155">
        <f t="shared" si="32"/>
        <v>7.4216697594691841</v>
      </c>
      <c r="AM69" s="155">
        <f t="shared" si="32"/>
        <v>3.3312674311307058</v>
      </c>
      <c r="AN69" s="155">
        <f t="shared" si="32"/>
        <v>3.7276400009361268</v>
      </c>
      <c r="AO69" s="155">
        <f t="shared" si="32"/>
        <v>12.268446618925649</v>
      </c>
      <c r="AP69" s="155">
        <f t="shared" si="32"/>
        <v>7.6911794397522186</v>
      </c>
      <c r="AQ69" s="155">
        <f t="shared" si="32"/>
        <v>4.5113348979214773</v>
      </c>
      <c r="AR69" s="155">
        <f t="shared" si="32"/>
        <v>3.9332554352637894</v>
      </c>
      <c r="AS69" s="155">
        <f t="shared" si="32"/>
        <v>16.223250067032509</v>
      </c>
      <c r="AT69" s="155">
        <f t="shared" si="32"/>
        <v>11.546200965921049</v>
      </c>
      <c r="AU69" s="155">
        <f t="shared" si="32"/>
        <v>8.8383096215342203</v>
      </c>
      <c r="AV69" s="155">
        <f t="shared" si="32"/>
        <v>3.9556631401350755</v>
      </c>
      <c r="AW69" s="155">
        <f t="shared" si="32"/>
        <v>16.554300022974946</v>
      </c>
      <c r="AX69" s="155">
        <f t="shared" si="32"/>
        <v>12.936244465018612</v>
      </c>
      <c r="AY69" s="155">
        <f t="shared" si="32"/>
        <v>7.7681044535129908</v>
      </c>
      <c r="AZ69" s="155">
        <f t="shared" si="32"/>
        <v>3.5143090137262072</v>
      </c>
      <c r="BA69" s="155">
        <f t="shared" si="32"/>
        <v>13.693242371649216</v>
      </c>
      <c r="BB69" s="155">
        <f t="shared" si="32"/>
        <v>18.990413694756285</v>
      </c>
      <c r="BC69" s="155">
        <f t="shared" si="32"/>
        <v>7.8143349398665052</v>
      </c>
      <c r="BD69" s="155">
        <f t="shared" si="32"/>
        <v>6.3292846709815977</v>
      </c>
      <c r="BE69" s="155">
        <f t="shared" si="32"/>
        <v>27.733274669169933</v>
      </c>
      <c r="BF69" s="155">
        <f t="shared" si="32"/>
        <v>93.497907329140034</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7.0828065406854011</v>
      </c>
      <c r="F70" s="83">
        <f t="shared" ref="F70:BQ70" si="34">F62/F69</f>
        <v>10.523063345493417</v>
      </c>
      <c r="G70" s="83">
        <f t="shared" si="34"/>
        <v>16.245780243080286</v>
      </c>
      <c r="H70" s="83">
        <f t="shared" si="34"/>
        <v>31.302354215090499</v>
      </c>
      <c r="I70" s="83">
        <f t="shared" si="34"/>
        <v>8.0001426002428904</v>
      </c>
      <c r="J70" s="83">
        <f t="shared" si="34"/>
        <v>10.033934828695164</v>
      </c>
      <c r="K70" s="83">
        <f t="shared" si="34"/>
        <v>40.311221020736347</v>
      </c>
      <c r="L70" s="83">
        <f t="shared" si="34"/>
        <v>56.160675806869428</v>
      </c>
      <c r="M70" s="83">
        <f t="shared" si="34"/>
        <v>14.780291946742661</v>
      </c>
      <c r="N70" s="83">
        <f t="shared" si="34"/>
        <v>28.479862801534303</v>
      </c>
      <c r="O70" s="83">
        <f t="shared" si="34"/>
        <v>217.77277907289721</v>
      </c>
      <c r="P70" s="83">
        <f t="shared" si="34"/>
        <v>355.8285341816474</v>
      </c>
      <c r="Q70" s="83">
        <f t="shared" si="34"/>
        <v>41.472723810814763</v>
      </c>
      <c r="R70" s="83">
        <f t="shared" si="34"/>
        <v>117.39636665042144</v>
      </c>
      <c r="S70" s="83">
        <f t="shared" si="34"/>
        <v>303.7420910621218</v>
      </c>
      <c r="T70" s="83">
        <f t="shared" si="34"/>
        <v>531.86854395035004</v>
      </c>
      <c r="U70" s="83">
        <f t="shared" si="34"/>
        <v>39.557666812566971</v>
      </c>
      <c r="V70" s="83">
        <f t="shared" si="34"/>
        <v>111.29687935230889</v>
      </c>
      <c r="W70" s="83">
        <f t="shared" si="34"/>
        <v>252.22810135589691</v>
      </c>
      <c r="X70" s="83">
        <f t="shared" si="34"/>
        <v>254.31210153583399</v>
      </c>
      <c r="Y70" s="83">
        <f t="shared" si="34"/>
        <v>47.686942492736819</v>
      </c>
      <c r="Z70" s="83">
        <f t="shared" si="34"/>
        <v>71.695404918453676</v>
      </c>
      <c r="AA70" s="83">
        <f t="shared" si="34"/>
        <v>184.92235777712395</v>
      </c>
      <c r="AB70" s="83">
        <f t="shared" si="34"/>
        <v>218.38440244144343</v>
      </c>
      <c r="AC70" s="83">
        <f t="shared" si="34"/>
        <v>41.979801049239121</v>
      </c>
      <c r="AD70" s="83">
        <f t="shared" si="34"/>
        <v>57.273869310742469</v>
      </c>
      <c r="AE70" s="83">
        <f t="shared" si="34"/>
        <v>114.52678436617212</v>
      </c>
      <c r="AF70" s="83">
        <f t="shared" si="34"/>
        <v>155.72534673233008</v>
      </c>
      <c r="AG70" s="83">
        <f t="shared" si="34"/>
        <v>46.497317709609227</v>
      </c>
      <c r="AH70" s="83">
        <f t="shared" si="34"/>
        <v>87.04425175198898</v>
      </c>
      <c r="AI70" s="83">
        <f t="shared" si="34"/>
        <v>151.67220304798508</v>
      </c>
      <c r="AJ70" s="83">
        <f t="shared" si="34"/>
        <v>114.26605738192178</v>
      </c>
      <c r="AK70" s="83">
        <f t="shared" si="34"/>
        <v>32.573904662613778</v>
      </c>
      <c r="AL70" s="83">
        <f t="shared" si="34"/>
        <v>49.180307374132703</v>
      </c>
      <c r="AM70" s="83">
        <f t="shared" si="34"/>
        <v>109.56790697410653</v>
      </c>
      <c r="AN70" s="83">
        <f t="shared" si="34"/>
        <v>97.917180819053641</v>
      </c>
      <c r="AO70" s="83">
        <f t="shared" si="34"/>
        <v>29.751117752506726</v>
      </c>
      <c r="AP70" s="83">
        <f t="shared" si="34"/>
        <v>47.456960646826225</v>
      </c>
      <c r="AQ70" s="83">
        <f t="shared" si="34"/>
        <v>80.907316406096939</v>
      </c>
      <c r="AR70" s="83">
        <f t="shared" si="34"/>
        <v>92.798448005073624</v>
      </c>
      <c r="AS70" s="83">
        <f t="shared" si="34"/>
        <v>22.498574483649335</v>
      </c>
      <c r="AT70" s="83">
        <f t="shared" si="34"/>
        <v>31.612129485473901</v>
      </c>
      <c r="AU70" s="83">
        <f t="shared" si="34"/>
        <v>41.297489636557962</v>
      </c>
      <c r="AV70" s="83">
        <f t="shared" si="34"/>
        <v>92.272771231863842</v>
      </c>
      <c r="AW70" s="83">
        <f t="shared" si="34"/>
        <v>22.048651981263685</v>
      </c>
      <c r="AX70" s="83">
        <f t="shared" si="34"/>
        <v>28.215298573477821</v>
      </c>
      <c r="AY70" s="83">
        <f t="shared" si="34"/>
        <v>46.987009789104349</v>
      </c>
      <c r="AZ70" s="83">
        <f t="shared" si="34"/>
        <v>103.86110002688467</v>
      </c>
      <c r="BA70" s="83">
        <f t="shared" si="34"/>
        <v>26.655483784885298</v>
      </c>
      <c r="BB70" s="83">
        <f t="shared" si="34"/>
        <v>19.220223733239965</v>
      </c>
      <c r="BC70" s="83">
        <f t="shared" si="34"/>
        <v>46.70902934271146</v>
      </c>
      <c r="BD70" s="83">
        <f t="shared" si="34"/>
        <v>57.668444219841483</v>
      </c>
      <c r="BE70" s="83">
        <f t="shared" si="34"/>
        <v>13.161085531877601</v>
      </c>
      <c r="BF70" s="83">
        <f t="shared" si="34"/>
        <v>3.9038306891200572</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473114000.85999995</v>
      </c>
      <c r="F71" s="76">
        <f>资产资本表!F35+资产资本表!F36-资产资本表!F24</f>
        <v>342623039.29999995</v>
      </c>
      <c r="G71" s="76">
        <f>资产资本表!G35+资产资本表!G36-资产资本表!G24</f>
        <v>234849484.82999998</v>
      </c>
      <c r="H71" s="76">
        <f>资产资本表!H35+资产资本表!H36-资产资本表!H24</f>
        <v>222370479.31000003</v>
      </c>
      <c r="I71" s="76">
        <f>资产资本表!I35+资产资本表!I36-资产资本表!I24</f>
        <v>204298610.31999999</v>
      </c>
      <c r="J71" s="76">
        <f>资产资本表!J35+资产资本表!J36-资产资本表!J24</f>
        <v>170588723.41999999</v>
      </c>
      <c r="K71" s="76">
        <f>资产资本表!K35+资产资本表!K36-资产资本表!K24</f>
        <v>123059306.54000001</v>
      </c>
      <c r="L71" s="76">
        <f>资产资本表!L35+资产资本表!L36-资产资本表!L24</f>
        <v>59135842.689999998</v>
      </c>
      <c r="M71" s="76">
        <f>资产资本表!M35+资产资本表!M36-资产资本表!M24</f>
        <v>79535766.209999993</v>
      </c>
      <c r="N71" s="76">
        <f>资产资本表!N35+资产资本表!N36-资产资本表!N24</f>
        <v>108242721.95999999</v>
      </c>
      <c r="O71" s="76">
        <f>资产资本表!O35+资产资本表!O36-资产资本表!O24</f>
        <v>35772908.230000004</v>
      </c>
      <c r="P71" s="76">
        <f>资产资本表!P35+资产资本表!P36-资产资本表!P24</f>
        <v>22871533.039999999</v>
      </c>
      <c r="Q71" s="76">
        <f>资产资本表!Q35+资产资本表!Q36-资产资本表!Q24</f>
        <v>58425797.199999996</v>
      </c>
      <c r="R71" s="76">
        <f>资产资本表!R35+资产资本表!R36-资产资本表!R24</f>
        <v>65782404.50999999</v>
      </c>
      <c r="S71" s="76">
        <f>资产资本表!S35+资产资本表!S36-资产资本表!S24</f>
        <v>54295138.210000008</v>
      </c>
      <c r="T71" s="76">
        <f>资产资本表!T35+资产资本表!T36-资产资本表!T24</f>
        <v>61237791.930000007</v>
      </c>
      <c r="U71" s="76">
        <f>资产资本表!U35+资产资本表!U36-资产资本表!U24</f>
        <v>65487702.200000003</v>
      </c>
      <c r="V71" s="76">
        <f>资产资本表!V35+资产资本表!V36-资产资本表!V24</f>
        <v>114765019.01000001</v>
      </c>
      <c r="W71" s="76">
        <f>资产资本表!W35+资产资本表!W36-资产资本表!W24</f>
        <v>97133275.790000007</v>
      </c>
      <c r="X71" s="76">
        <f>资产资本表!X35+资产资本表!X36-资产资本表!X24</f>
        <v>76607631.840000004</v>
      </c>
      <c r="Y71" s="76">
        <f>资产资本表!Y35+资产资本表!Y36-资产资本表!Y24</f>
        <v>84890212.209999993</v>
      </c>
      <c r="Z71" s="76">
        <f>资产资本表!Z35+资产资本表!Z36-资产资本表!Z24</f>
        <v>78383793.949999988</v>
      </c>
      <c r="AA71" s="76">
        <f>资产资本表!AA35+资产资本表!AA36-资产资本表!AA24</f>
        <v>78124180.179999992</v>
      </c>
      <c r="AB71" s="76">
        <f>资产资本表!AB35+资产资本表!AB36-资产资本表!AB24</f>
        <v>68214785.739999995</v>
      </c>
      <c r="AC71" s="76">
        <f>资产资本表!AC35+资产资本表!AC36-资产资本表!AC24</f>
        <v>63736065.790000007</v>
      </c>
      <c r="AD71" s="76">
        <f>资产资本表!AD35+资产资本表!AD36-资产资本表!AD24</f>
        <v>42185272.989999995</v>
      </c>
      <c r="AE71" s="76">
        <f>资产资本表!AE35+资产资本表!AE36-资产资本表!AE24</f>
        <v>64525880.650000006</v>
      </c>
      <c r="AF71" s="76">
        <f>资产资本表!AF35+资产资本表!AF36-资产资本表!AF24</f>
        <v>29667623.350000001</v>
      </c>
      <c r="AG71" s="76">
        <f>资产资本表!AG35+资产资本表!AG36-资产资本表!AG24</f>
        <v>17930761.979999997</v>
      </c>
      <c r="AH71" s="76">
        <f>资产资本表!AH35+资产资本表!AH36-资产资本表!AH24</f>
        <v>72731642.730000004</v>
      </c>
      <c r="AI71" s="76">
        <f>资产资本表!AI35+资产资本表!AI36-资产资本表!AI24</f>
        <v>68694373.689999998</v>
      </c>
      <c r="AJ71" s="76">
        <f>资产资本表!AJ35+资产资本表!AJ36-资产资本表!AJ24</f>
        <v>15706486.930000003</v>
      </c>
      <c r="AK71" s="76">
        <f>资产资本表!AK35+资产资本表!AK36-资产资本表!AK24</f>
        <v>48325476.549999997</v>
      </c>
      <c r="AL71" s="76">
        <f>资产资本表!AL35+资产资本表!AL36-资产资本表!AL24</f>
        <v>37510935.170000009</v>
      </c>
      <c r="AM71" s="76">
        <f>资产资本表!AM35+资产资本表!AM36-资产资本表!AM24</f>
        <v>49802010.359999999</v>
      </c>
      <c r="AN71" s="76">
        <f>资产资本表!AN35+资产资本表!AN36-资产资本表!AN24</f>
        <v>24576123.059999999</v>
      </c>
      <c r="AO71" s="76">
        <f>资产资本表!AO35+资产资本表!AO36-资产资本表!AO24</f>
        <v>27083437.550000004</v>
      </c>
      <c r="AP71" s="76">
        <f>资产资本表!AP35+资产资本表!AP36-资产资本表!AP24</f>
        <v>28353506.23</v>
      </c>
      <c r="AQ71" s="76">
        <f>资产资本表!AQ35+资产资本表!AQ36-资产资本表!AQ24</f>
        <v>28787055.700000003</v>
      </c>
      <c r="AR71" s="76">
        <f>资产资本表!AR35+资产资本表!AR36-资产资本表!AR24</f>
        <v>27640303</v>
      </c>
      <c r="AS71" s="76">
        <f>资产资本表!AS35+资产资本表!AS36-资产资本表!AS24</f>
        <v>39232302.899999999</v>
      </c>
      <c r="AT71" s="76">
        <f>资产资本表!AT35+资产资本表!AT36-资产资本表!AT24</f>
        <v>52855152.850000001</v>
      </c>
      <c r="AU71" s="76">
        <f>资产资本表!AU35+资产资本表!AU36-资产资本表!AU24</f>
        <v>52061515.600000001</v>
      </c>
      <c r="AV71" s="76">
        <f>资产资本表!AV35+资产资本表!AV36-资产资本表!AV24</f>
        <v>43892177.400000006</v>
      </c>
      <c r="AW71" s="76">
        <f>资产资本表!AW35+资产资本表!AW36-资产资本表!AW24</f>
        <v>35316068.799999997</v>
      </c>
      <c r="AX71" s="76">
        <f>资产资本表!AX35+资产资本表!AX36-资产资本表!AX24</f>
        <v>46881543.039999999</v>
      </c>
      <c r="AY71" s="76">
        <f>资产资本表!AY35+资产资本表!AY36-资产资本表!AY24</f>
        <v>39176901.129999995</v>
      </c>
      <c r="AZ71" s="76">
        <f>资产资本表!AZ35+资产资本表!AZ36-资产资本表!AZ24</f>
        <v>40265843.869999997</v>
      </c>
      <c r="BA71" s="76">
        <f>资产资本表!BA35+资产资本表!BA36-资产资本表!BA24</f>
        <v>29127675.649999999</v>
      </c>
      <c r="BB71" s="76">
        <f>资产资本表!BB35+资产资本表!BB36-资产资本表!BB24</f>
        <v>38038092.989999995</v>
      </c>
      <c r="BC71" s="76">
        <f>资产资本表!BC35+资产资本表!BC36-资产资本表!BC24</f>
        <v>42482906.509999998</v>
      </c>
      <c r="BD71" s="76">
        <f>资产资本表!BD35+资产资本表!BD36-资产资本表!BD24</f>
        <v>43584099.600000001</v>
      </c>
      <c r="BE71" s="76">
        <f>资产资本表!BE35+资产资本表!BE36-资产资本表!BE24</f>
        <v>50711129.18</v>
      </c>
      <c r="BF71" s="76">
        <f>资产资本表!BF35+资产资本表!BF36-资产资本表!BF24</f>
        <v>9746305.0500000007</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9.7602025675355542</v>
      </c>
      <c r="F72" s="155">
        <f t="shared" ref="F72:BQ72" si="36">F67/(F71+J71)*2</f>
        <v>6.2652642462411263</v>
      </c>
      <c r="G72" s="155">
        <f t="shared" si="36"/>
        <v>5.0977382097156614</v>
      </c>
      <c r="H72" s="155">
        <f t="shared" si="36"/>
        <v>2.8695316108033979</v>
      </c>
      <c r="I72" s="155">
        <f t="shared" si="36"/>
        <v>11.225559783253505</v>
      </c>
      <c r="J72" s="155">
        <f t="shared" si="36"/>
        <v>7.5672035040540804</v>
      </c>
      <c r="K72" s="155">
        <f t="shared" si="36"/>
        <v>8.1343209592014674</v>
      </c>
      <c r="L72" s="155">
        <f t="shared" si="36"/>
        <v>7.023614620426045</v>
      </c>
      <c r="M72" s="155">
        <f t="shared" si="36"/>
        <v>15.85663814854561</v>
      </c>
      <c r="N72" s="155">
        <f t="shared" si="36"/>
        <v>8.4471473294600052</v>
      </c>
      <c r="O72" s="155">
        <f t="shared" si="36"/>
        <v>4.5130282985629275</v>
      </c>
      <c r="P72" s="155">
        <f t="shared" si="36"/>
        <v>2.0216945586075128</v>
      </c>
      <c r="Q72" s="155">
        <f t="shared" si="36"/>
        <v>8.9800681090279983</v>
      </c>
      <c r="R72" s="155">
        <f t="shared" si="36"/>
        <v>4.3278772675116164</v>
      </c>
      <c r="S72" s="155">
        <f t="shared" si="36"/>
        <v>2.3872707300493814</v>
      </c>
      <c r="T72" s="155">
        <f t="shared" si="36"/>
        <v>0.95575748136422878</v>
      </c>
      <c r="U72" s="155">
        <f t="shared" si="36"/>
        <v>8.3026052507679537</v>
      </c>
      <c r="V72" s="155">
        <f t="shared" si="36"/>
        <v>4.2635770818355647</v>
      </c>
      <c r="W72" s="155">
        <f t="shared" si="36"/>
        <v>2.3365403255088686</v>
      </c>
      <c r="X72" s="155">
        <f t="shared" si="36"/>
        <v>1.4638534363845412</v>
      </c>
      <c r="Y72" s="155">
        <f t="shared" si="36"/>
        <v>7.4338257035542519</v>
      </c>
      <c r="Z72" s="155">
        <f t="shared" si="36"/>
        <v>6.514022922569696</v>
      </c>
      <c r="AA72" s="155">
        <f t="shared" si="36"/>
        <v>2.936993578147078</v>
      </c>
      <c r="AB72" s="155">
        <f t="shared" si="36"/>
        <v>2.210126017036306</v>
      </c>
      <c r="AC72" s="155">
        <f t="shared" si="36"/>
        <v>15.757178712807981</v>
      </c>
      <c r="AD72" s="155">
        <f t="shared" si="36"/>
        <v>8.6936213813309617</v>
      </c>
      <c r="AE72" s="155">
        <f t="shared" si="36"/>
        <v>4.0578151404841405</v>
      </c>
      <c r="AF72" s="155">
        <f t="shared" si="36"/>
        <v>4.9889081509941624</v>
      </c>
      <c r="AG72" s="155">
        <f t="shared" si="36"/>
        <v>14.707899812011863</v>
      </c>
      <c r="AH72" s="155">
        <f t="shared" si="36"/>
        <v>5.6101815665179577</v>
      </c>
      <c r="AI72" s="155">
        <f t="shared" si="36"/>
        <v>2.7268198096547738</v>
      </c>
      <c r="AJ72" s="155">
        <f t="shared" si="36"/>
        <v>4.5847478841576415</v>
      </c>
      <c r="AK72" s="155">
        <f t="shared" si="36"/>
        <v>11.65865001973288</v>
      </c>
      <c r="AL72" s="155">
        <f t="shared" si="36"/>
        <v>9.1217002584341351</v>
      </c>
      <c r="AM72" s="155">
        <f t="shared" si="36"/>
        <v>4.0686905628306942</v>
      </c>
      <c r="AN72" s="155">
        <f t="shared" si="36"/>
        <v>3.4115335924237327</v>
      </c>
      <c r="AO72" s="155">
        <f t="shared" si="36"/>
        <v>11.010613869124038</v>
      </c>
      <c r="AP72" s="155">
        <f t="shared" si="36"/>
        <v>5.8309162602171121</v>
      </c>
      <c r="AQ72" s="155">
        <f t="shared" si="36"/>
        <v>3.6538593374005606</v>
      </c>
      <c r="AR72" s="155">
        <f t="shared" si="36"/>
        <v>2.1382121299962638</v>
      </c>
      <c r="AS72" s="155">
        <f t="shared" si="36"/>
        <v>13.455756461277613</v>
      </c>
      <c r="AT72" s="155">
        <f t="shared" si="36"/>
        <v>7.4311834416234337</v>
      </c>
      <c r="AU72" s="155">
        <f t="shared" si="36"/>
        <v>4.8178564858355806</v>
      </c>
      <c r="AV72" s="155">
        <f t="shared" si="36"/>
        <v>2.6673430229522315</v>
      </c>
      <c r="AW72" s="155">
        <f t="shared" si="36"/>
        <v>16.307464037496661</v>
      </c>
      <c r="AX72" s="155">
        <f t="shared" si="36"/>
        <v>9.0221404626526631</v>
      </c>
      <c r="AY72" s="155">
        <f t="shared" si="36"/>
        <v>6.3349213701380709</v>
      </c>
      <c r="AZ72" s="155">
        <f t="shared" si="36"/>
        <v>2.8829854200973859</v>
      </c>
      <c r="BA72" s="155">
        <f t="shared" si="36"/>
        <v>11.317193439505049</v>
      </c>
      <c r="BB72" s="155">
        <f t="shared" si="36"/>
        <v>14.333922257357793</v>
      </c>
      <c r="BC72" s="155">
        <f t="shared" si="36"/>
        <v>8.7844566814691802</v>
      </c>
      <c r="BD72" s="155">
        <f t="shared" si="36"/>
        <v>4.8931032242776906</v>
      </c>
      <c r="BE72" s="155">
        <f t="shared" si="36"/>
        <v>19.465508149822668</v>
      </c>
      <c r="BF72" s="155">
        <f t="shared" si="36"/>
        <v>72.494793529984975</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37.396764818597646</v>
      </c>
      <c r="F73" s="83">
        <f t="shared" ref="F73:BQ73" si="38">F62/F72</f>
        <v>58.25771837460541</v>
      </c>
      <c r="G73" s="83">
        <f t="shared" si="38"/>
        <v>71.600381381757686</v>
      </c>
      <c r="H73" s="83">
        <f t="shared" si="38"/>
        <v>127.19845936731431</v>
      </c>
      <c r="I73" s="83">
        <f t="shared" si="38"/>
        <v>32.515082280753042</v>
      </c>
      <c r="J73" s="83">
        <f t="shared" si="38"/>
        <v>48.23446333965429</v>
      </c>
      <c r="K73" s="83">
        <f t="shared" si="38"/>
        <v>44.871600448358926</v>
      </c>
      <c r="L73" s="83">
        <f t="shared" si="38"/>
        <v>51.967543740015095</v>
      </c>
      <c r="M73" s="83">
        <f t="shared" si="38"/>
        <v>23.01875066963537</v>
      </c>
      <c r="N73" s="83">
        <f t="shared" si="38"/>
        <v>43.20985366586865</v>
      </c>
      <c r="O73" s="83">
        <f t="shared" si="38"/>
        <v>80.876957965503124</v>
      </c>
      <c r="P73" s="83">
        <f t="shared" si="38"/>
        <v>180.54161467961902</v>
      </c>
      <c r="Q73" s="83">
        <f t="shared" si="38"/>
        <v>40.645571455416004</v>
      </c>
      <c r="R73" s="83">
        <f t="shared" si="38"/>
        <v>84.336957228424993</v>
      </c>
      <c r="S73" s="83">
        <f t="shared" si="38"/>
        <v>152.894263480728</v>
      </c>
      <c r="T73" s="83">
        <f t="shared" si="38"/>
        <v>381.89604279006682</v>
      </c>
      <c r="U73" s="83">
        <f t="shared" si="38"/>
        <v>43.96210454137141</v>
      </c>
      <c r="V73" s="83">
        <f t="shared" si="38"/>
        <v>85.608866215891041</v>
      </c>
      <c r="W73" s="83">
        <f t="shared" si="38"/>
        <v>156.21386715014546</v>
      </c>
      <c r="X73" s="83">
        <f t="shared" si="38"/>
        <v>249.34190194715487</v>
      </c>
      <c r="Y73" s="83">
        <f t="shared" si="38"/>
        <v>49.099886727971928</v>
      </c>
      <c r="Z73" s="83">
        <f t="shared" si="38"/>
        <v>56.03296217078897</v>
      </c>
      <c r="AA73" s="83">
        <f t="shared" si="38"/>
        <v>124.2767443265147</v>
      </c>
      <c r="AB73" s="83">
        <f t="shared" si="38"/>
        <v>165.14895403541331</v>
      </c>
      <c r="AC73" s="83">
        <f t="shared" si="38"/>
        <v>23.164045204571764</v>
      </c>
      <c r="AD73" s="83">
        <f t="shared" si="38"/>
        <v>41.984805179555657</v>
      </c>
      <c r="AE73" s="83">
        <f t="shared" si="38"/>
        <v>89.949883709205054</v>
      </c>
      <c r="AF73" s="83">
        <f t="shared" si="38"/>
        <v>73.162301039209311</v>
      </c>
      <c r="AG73" s="83">
        <f t="shared" si="38"/>
        <v>24.816595480335433</v>
      </c>
      <c r="AH73" s="83">
        <f t="shared" si="38"/>
        <v>65.060282928871885</v>
      </c>
      <c r="AI73" s="83">
        <f t="shared" si="38"/>
        <v>133.85556269895605</v>
      </c>
      <c r="AJ73" s="83">
        <f t="shared" si="38"/>
        <v>79.611793106713364</v>
      </c>
      <c r="AK73" s="83">
        <f t="shared" si="38"/>
        <v>31.307226770013532</v>
      </c>
      <c r="AL73" s="83">
        <f t="shared" si="38"/>
        <v>40.014469853086055</v>
      </c>
      <c r="AM73" s="83">
        <f t="shared" si="38"/>
        <v>89.709451815883483</v>
      </c>
      <c r="AN73" s="83">
        <f t="shared" si="38"/>
        <v>106.99000613993216</v>
      </c>
      <c r="AO73" s="83">
        <f t="shared" si="38"/>
        <v>33.149832001967937</v>
      </c>
      <c r="AP73" s="83">
        <f t="shared" si="38"/>
        <v>62.59736612756798</v>
      </c>
      <c r="AQ73" s="83">
        <f t="shared" si="38"/>
        <v>99.894376410141007</v>
      </c>
      <c r="AR73" s="83">
        <f t="shared" si="38"/>
        <v>170.70336234629713</v>
      </c>
      <c r="AS73" s="83">
        <f t="shared" si="38"/>
        <v>27.125936847205956</v>
      </c>
      <c r="AT73" s="83">
        <f t="shared" si="38"/>
        <v>49.117344884203433</v>
      </c>
      <c r="AU73" s="83">
        <f t="shared" si="38"/>
        <v>75.759832421968994</v>
      </c>
      <c r="AV73" s="83">
        <f t="shared" si="38"/>
        <v>136.84029270296693</v>
      </c>
      <c r="AW73" s="83">
        <f t="shared" si="38"/>
        <v>22.382388773676592</v>
      </c>
      <c r="AX73" s="83">
        <f t="shared" si="38"/>
        <v>40.456031638049204</v>
      </c>
      <c r="AY73" s="83">
        <f t="shared" si="38"/>
        <v>57.617131874842002</v>
      </c>
      <c r="AZ73" s="83">
        <f t="shared" si="38"/>
        <v>126.60487196902663</v>
      </c>
      <c r="BA73" s="83">
        <f t="shared" si="38"/>
        <v>32.251812426028749</v>
      </c>
      <c r="BB73" s="83">
        <f t="shared" si="38"/>
        <v>25.464070018423648</v>
      </c>
      <c r="BC73" s="83">
        <f t="shared" si="38"/>
        <v>41.550663089951577</v>
      </c>
      <c r="BD73" s="83">
        <f t="shared" si="38"/>
        <v>74.59478847472721</v>
      </c>
      <c r="BE73" s="83">
        <f t="shared" si="38"/>
        <v>18.751115932379353</v>
      </c>
      <c r="BF73" s="83">
        <f t="shared" si="38"/>
        <v>5.0348443278072148</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28.340881870574282</v>
      </c>
      <c r="F74" s="256">
        <f t="shared" ref="F74:BQ74" si="40">F66+F70</f>
        <v>95.65387874501441</v>
      </c>
      <c r="G74" s="256">
        <f t="shared" si="40"/>
        <v>142.98121589238161</v>
      </c>
      <c r="H74" s="256">
        <f t="shared" si="40"/>
        <v>222.32762009983637</v>
      </c>
      <c r="I74" s="256">
        <f t="shared" si="40"/>
        <v>52.094297804831541</v>
      </c>
      <c r="J74" s="256">
        <f t="shared" si="40"/>
        <v>118.04205313067109</v>
      </c>
      <c r="K74" s="256">
        <f t="shared" si="40"/>
        <v>151.39041868634644</v>
      </c>
      <c r="L74" s="256">
        <f t="shared" si="40"/>
        <v>238.11378665434697</v>
      </c>
      <c r="M74" s="256">
        <f t="shared" si="40"/>
        <v>48.343687415574038</v>
      </c>
      <c r="N74" s="256">
        <f t="shared" si="40"/>
        <v>107.14294578149887</v>
      </c>
      <c r="O74" s="256">
        <f t="shared" si="40"/>
        <v>317.14194937175552</v>
      </c>
      <c r="P74" s="256">
        <f t="shared" si="40"/>
        <v>442.31832146255226</v>
      </c>
      <c r="Q74" s="256">
        <f t="shared" si="40"/>
        <v>71.350823885868294</v>
      </c>
      <c r="R74" s="256">
        <f t="shared" si="40"/>
        <v>177.61794006726512</v>
      </c>
      <c r="S74" s="256">
        <f t="shared" si="40"/>
        <v>383.32616238779531</v>
      </c>
      <c r="T74" s="256">
        <f t="shared" si="40"/>
        <v>714.08474026425552</v>
      </c>
      <c r="U74" s="256">
        <f t="shared" si="40"/>
        <v>75.089821212147342</v>
      </c>
      <c r="V74" s="256">
        <f t="shared" si="40"/>
        <v>158.86248735701383</v>
      </c>
      <c r="W74" s="256">
        <f t="shared" si="40"/>
        <v>341.72195172538522</v>
      </c>
      <c r="X74" s="256">
        <f t="shared" si="40"/>
        <v>436.33263489387122</v>
      </c>
      <c r="Y74" s="256">
        <f t="shared" si="40"/>
        <v>89.199710599524863</v>
      </c>
      <c r="Z74" s="256">
        <f t="shared" si="40"/>
        <v>131.39401562967279</v>
      </c>
      <c r="AA74" s="256">
        <f t="shared" si="40"/>
        <v>298.85935448464375</v>
      </c>
      <c r="AB74" s="256">
        <f t="shared" si="40"/>
        <v>360.07538127031489</v>
      </c>
      <c r="AC74" s="256">
        <f t="shared" si="40"/>
        <v>62.137199110443078</v>
      </c>
      <c r="AD74" s="256">
        <f t="shared" si="40"/>
        <v>98.561400980453101</v>
      </c>
      <c r="AE74" s="256">
        <f t="shared" si="40"/>
        <v>178.01136378672402</v>
      </c>
      <c r="AF74" s="256">
        <f t="shared" si="40"/>
        <v>211.64582724554563</v>
      </c>
      <c r="AG74" s="256">
        <f t="shared" si="40"/>
        <v>59.510152959209272</v>
      </c>
      <c r="AH74" s="256">
        <f t="shared" si="40"/>
        <v>113.79820554034877</v>
      </c>
      <c r="AI74" s="256">
        <f t="shared" si="40"/>
        <v>199.41226809645269</v>
      </c>
      <c r="AJ74" s="256">
        <f t="shared" si="40"/>
        <v>168.64382468990729</v>
      </c>
      <c r="AK74" s="256">
        <f t="shared" si="40"/>
        <v>52.39598547202722</v>
      </c>
      <c r="AL74" s="256">
        <f t="shared" si="40"/>
        <v>76.805857389113555</v>
      </c>
      <c r="AM74" s="256">
        <f t="shared" si="40"/>
        <v>155.91687650352759</v>
      </c>
      <c r="AN74" s="256">
        <f t="shared" si="40"/>
        <v>185.15314946178802</v>
      </c>
      <c r="AO74" s="256">
        <f t="shared" si="40"/>
        <v>62.864390306793823</v>
      </c>
      <c r="AP74" s="256">
        <f t="shared" si="40"/>
        <v>93.648822539832935</v>
      </c>
      <c r="AQ74" s="256">
        <f t="shared" si="40"/>
        <v>139.24776835703642</v>
      </c>
      <c r="AR74" s="256">
        <f t="shared" si="40"/>
        <v>222.73523236746473</v>
      </c>
      <c r="AS74" s="256">
        <f t="shared" si="40"/>
        <v>44.504237898443122</v>
      </c>
      <c r="AT74" s="256">
        <f t="shared" si="40"/>
        <v>61.357538702549022</v>
      </c>
      <c r="AU74" s="256">
        <f t="shared" si="40"/>
        <v>85.531510588494569</v>
      </c>
      <c r="AV74" s="256">
        <f t="shared" si="40"/>
        <v>191.64360140950362</v>
      </c>
      <c r="AW74" s="256">
        <f t="shared" si="40"/>
        <v>33.135300253979111</v>
      </c>
      <c r="AX74" s="256">
        <f t="shared" si="40"/>
        <v>59.961893564884633</v>
      </c>
      <c r="AY74" s="256">
        <f t="shared" si="40"/>
        <v>77.608307900291223</v>
      </c>
      <c r="AZ74" s="256">
        <f t="shared" si="40"/>
        <v>194.46863343168559</v>
      </c>
      <c r="BA74" s="256">
        <f t="shared" si="40"/>
        <v>39.446701730046613</v>
      </c>
      <c r="BB74" s="256">
        <f t="shared" si="40"/>
        <v>46.705064229354022</v>
      </c>
      <c r="BC74" s="256">
        <f t="shared" si="40"/>
        <v>58.904940259212324</v>
      </c>
      <c r="BD74" s="256">
        <f t="shared" si="40"/>
        <v>112.73225467645059</v>
      </c>
      <c r="BE74" s="256">
        <f t="shared" si="40"/>
        <v>21.48404749232196</v>
      </c>
      <c r="BF74" s="256">
        <f t="shared" si="40"/>
        <v>14.434382531795659</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-9.0558829480233634</v>
      </c>
      <c r="F75" s="256">
        <f t="shared" ref="F75:BQ75" si="42">F74-F73</f>
        <v>37.396160370409</v>
      </c>
      <c r="G75" s="256">
        <f t="shared" si="42"/>
        <v>71.380834510623927</v>
      </c>
      <c r="H75" s="256">
        <f t="shared" si="42"/>
        <v>95.129160732522053</v>
      </c>
      <c r="I75" s="256">
        <f t="shared" si="42"/>
        <v>19.579215524078499</v>
      </c>
      <c r="J75" s="256">
        <f t="shared" si="42"/>
        <v>69.807589791016795</v>
      </c>
      <c r="K75" s="256">
        <f t="shared" si="42"/>
        <v>106.51881823798752</v>
      </c>
      <c r="L75" s="256">
        <f t="shared" si="42"/>
        <v>186.14624291433188</v>
      </c>
      <c r="M75" s="256">
        <f t="shared" si="42"/>
        <v>25.324936745938668</v>
      </c>
      <c r="N75" s="256">
        <f t="shared" si="42"/>
        <v>63.933092115630217</v>
      </c>
      <c r="O75" s="256">
        <f t="shared" si="42"/>
        <v>236.26499140625239</v>
      </c>
      <c r="P75" s="256">
        <f t="shared" si="42"/>
        <v>261.77670678293327</v>
      </c>
      <c r="Q75" s="256">
        <f t="shared" si="42"/>
        <v>30.70525243045229</v>
      </c>
      <c r="R75" s="256">
        <f t="shared" si="42"/>
        <v>93.280982838840131</v>
      </c>
      <c r="S75" s="256">
        <f t="shared" si="42"/>
        <v>230.43189890706731</v>
      </c>
      <c r="T75" s="256">
        <f t="shared" si="42"/>
        <v>332.1886974741887</v>
      </c>
      <c r="U75" s="256">
        <f t="shared" si="42"/>
        <v>31.127716670775932</v>
      </c>
      <c r="V75" s="256">
        <f t="shared" si="42"/>
        <v>73.253621141122792</v>
      </c>
      <c r="W75" s="256">
        <f t="shared" si="42"/>
        <v>185.50808457523976</v>
      </c>
      <c r="X75" s="256">
        <f t="shared" si="42"/>
        <v>186.99073294671635</v>
      </c>
      <c r="Y75" s="256">
        <f t="shared" si="42"/>
        <v>40.099823871552935</v>
      </c>
      <c r="Z75" s="256">
        <f t="shared" si="42"/>
        <v>75.361053458883816</v>
      </c>
      <c r="AA75" s="256">
        <f t="shared" si="42"/>
        <v>174.58261015812906</v>
      </c>
      <c r="AB75" s="256">
        <f t="shared" si="42"/>
        <v>194.92642723490158</v>
      </c>
      <c r="AC75" s="256">
        <f t="shared" si="42"/>
        <v>38.973153905871314</v>
      </c>
      <c r="AD75" s="256">
        <f t="shared" si="42"/>
        <v>56.576595800897444</v>
      </c>
      <c r="AE75" s="256">
        <f t="shared" si="42"/>
        <v>88.061480077518965</v>
      </c>
      <c r="AF75" s="256">
        <f t="shared" si="42"/>
        <v>138.48352620633631</v>
      </c>
      <c r="AG75" s="256">
        <f t="shared" si="42"/>
        <v>34.693557478873842</v>
      </c>
      <c r="AH75" s="256">
        <f t="shared" si="42"/>
        <v>48.73792261147689</v>
      </c>
      <c r="AI75" s="256">
        <f t="shared" si="42"/>
        <v>65.556705397496643</v>
      </c>
      <c r="AJ75" s="256">
        <f t="shared" si="42"/>
        <v>89.032031583193927</v>
      </c>
      <c r="AK75" s="256">
        <f t="shared" si="42"/>
        <v>21.088758702013688</v>
      </c>
      <c r="AL75" s="256">
        <f t="shared" si="42"/>
        <v>36.7913875360275</v>
      </c>
      <c r="AM75" s="256">
        <f t="shared" si="42"/>
        <v>66.207424687644107</v>
      </c>
      <c r="AN75" s="256">
        <f t="shared" si="42"/>
        <v>78.163143321855856</v>
      </c>
      <c r="AO75" s="256">
        <f t="shared" si="42"/>
        <v>29.714558304825886</v>
      </c>
      <c r="AP75" s="256">
        <f t="shared" si="42"/>
        <v>31.051456412264955</v>
      </c>
      <c r="AQ75" s="256">
        <f t="shared" si="42"/>
        <v>39.353391946895414</v>
      </c>
      <c r="AR75" s="256">
        <f t="shared" si="42"/>
        <v>52.031870021167606</v>
      </c>
      <c r="AS75" s="256">
        <f t="shared" si="42"/>
        <v>17.378301051237166</v>
      </c>
      <c r="AT75" s="256">
        <f t="shared" si="42"/>
        <v>12.240193818345588</v>
      </c>
      <c r="AU75" s="256">
        <f t="shared" si="42"/>
        <v>9.7716781665255752</v>
      </c>
      <c r="AV75" s="256">
        <f t="shared" si="42"/>
        <v>54.803308706536683</v>
      </c>
      <c r="AW75" s="256">
        <f t="shared" si="42"/>
        <v>10.752911480302519</v>
      </c>
      <c r="AX75" s="256">
        <f t="shared" si="42"/>
        <v>19.505861926835429</v>
      </c>
      <c r="AY75" s="256">
        <f t="shared" si="42"/>
        <v>19.991176025449221</v>
      </c>
      <c r="AZ75" s="256">
        <f t="shared" si="42"/>
        <v>67.863761462658957</v>
      </c>
      <c r="BA75" s="256">
        <f t="shared" si="42"/>
        <v>7.1948893040178632</v>
      </c>
      <c r="BB75" s="256">
        <f t="shared" si="42"/>
        <v>21.240994210930374</v>
      </c>
      <c r="BC75" s="256">
        <f t="shared" si="42"/>
        <v>17.354277169260747</v>
      </c>
      <c r="BD75" s="256">
        <f t="shared" si="42"/>
        <v>38.137466201723385</v>
      </c>
      <c r="BE75" s="256">
        <f t="shared" si="42"/>
        <v>2.7329315599426067</v>
      </c>
      <c r="BF75" s="256">
        <f t="shared" si="42"/>
        <v>9.3995382039884454</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75315326.49999994</v>
      </c>
      <c r="F76" s="120">
        <f t="shared" ref="F76:BQ76" si="44">F71-F64-F68</f>
        <v>-450287809.97000003</v>
      </c>
      <c r="G76" s="120">
        <f t="shared" si="44"/>
        <v>-377864160.52000016</v>
      </c>
      <c r="H76" s="120">
        <f t="shared" si="44"/>
        <v>-116483094.46000001</v>
      </c>
      <c r="I76" s="120">
        <f t="shared" si="44"/>
        <v>-252244105.13000003</v>
      </c>
      <c r="J76" s="120">
        <f t="shared" si="44"/>
        <v>-523582259.89999998</v>
      </c>
      <c r="K76" s="120">
        <f t="shared" si="44"/>
        <v>-471374750.22999996</v>
      </c>
      <c r="L76" s="120">
        <f t="shared" si="44"/>
        <v>-252208893.56000006</v>
      </c>
      <c r="M76" s="120">
        <f t="shared" si="44"/>
        <v>-278371230.05000001</v>
      </c>
      <c r="N76" s="120">
        <f t="shared" si="44"/>
        <v>-369766309.22999996</v>
      </c>
      <c r="O76" s="120">
        <f t="shared" si="44"/>
        <v>-147024033.75999999</v>
      </c>
      <c r="P76" s="120">
        <f t="shared" si="44"/>
        <v>-62491210.659999996</v>
      </c>
      <c r="Q76" s="120">
        <f t="shared" si="44"/>
        <v>-58733552.290000007</v>
      </c>
      <c r="R76" s="120">
        <f t="shared" si="44"/>
        <v>-125954566.44</v>
      </c>
      <c r="S76" s="120">
        <f t="shared" si="44"/>
        <v>-133058282.13</v>
      </c>
      <c r="T76" s="120">
        <f t="shared" si="44"/>
        <v>-66032993.769999996</v>
      </c>
      <c r="U76" s="120">
        <f t="shared" si="44"/>
        <v>-57735597.599999994</v>
      </c>
      <c r="V76" s="120">
        <f t="shared" si="44"/>
        <v>-109751387.06</v>
      </c>
      <c r="W76" s="120">
        <f t="shared" si="44"/>
        <v>-111753428.89999998</v>
      </c>
      <c r="X76" s="120">
        <f t="shared" si="44"/>
        <v>-68603049.379999995</v>
      </c>
      <c r="Y76" s="120">
        <f t="shared" si="44"/>
        <v>-74914963.379999995</v>
      </c>
      <c r="Z76" s="120">
        <f t="shared" si="44"/>
        <v>-79867098.580000013</v>
      </c>
      <c r="AA76" s="120">
        <f t="shared" si="44"/>
        <v>-115639962.28999999</v>
      </c>
      <c r="AB76" s="120">
        <f t="shared" si="44"/>
        <v>-58213051.759999998</v>
      </c>
      <c r="AC76" s="120">
        <f t="shared" si="44"/>
        <v>-78036706.919999987</v>
      </c>
      <c r="AD76" s="120">
        <f t="shared" si="44"/>
        <v>-110545520.53000002</v>
      </c>
      <c r="AE76" s="120">
        <f t="shared" si="44"/>
        <v>-108212741.74999999</v>
      </c>
      <c r="AF76" s="120">
        <f t="shared" si="44"/>
        <v>-73574884.620000005</v>
      </c>
      <c r="AG76" s="120">
        <f t="shared" si="44"/>
        <v>-74049882.340000004</v>
      </c>
      <c r="AH76" s="120">
        <f t="shared" si="44"/>
        <v>-62365101.889999993</v>
      </c>
      <c r="AI76" s="120">
        <f t="shared" si="44"/>
        <v>-34254458.170000002</v>
      </c>
      <c r="AJ76" s="120">
        <f t="shared" si="44"/>
        <v>-17258307.159999996</v>
      </c>
      <c r="AK76" s="120">
        <f t="shared" si="44"/>
        <v>-23358671.970000006</v>
      </c>
      <c r="AL76" s="120">
        <f t="shared" si="44"/>
        <v>-27105191.289999992</v>
      </c>
      <c r="AM76" s="120">
        <f t="shared" si="44"/>
        <v>-29905040.680000003</v>
      </c>
      <c r="AN76" s="120">
        <f t="shared" si="44"/>
        <v>-31353334.73</v>
      </c>
      <c r="AO76" s="120">
        <f t="shared" si="44"/>
        <v>-35068070.890000001</v>
      </c>
      <c r="AP76" s="120">
        <f t="shared" si="44"/>
        <v>-39356421.589999996</v>
      </c>
      <c r="AQ76" s="120">
        <f t="shared" si="44"/>
        <v>-33134709.57</v>
      </c>
      <c r="AR76" s="120">
        <f t="shared" si="44"/>
        <v>-11502174.699999999</v>
      </c>
      <c r="AS76" s="120">
        <f t="shared" si="44"/>
        <v>-33065346.910000004</v>
      </c>
      <c r="AT76" s="120">
        <f t="shared" si="44"/>
        <v>-9789556.5500000007</v>
      </c>
      <c r="AU76" s="120">
        <f t="shared" si="44"/>
        <v>-3879870.9499999993</v>
      </c>
      <c r="AV76" s="120">
        <f t="shared" si="44"/>
        <v>-15474959.449999992</v>
      </c>
      <c r="AW76" s="120">
        <f t="shared" si="44"/>
        <v>-22500871.650000002</v>
      </c>
      <c r="AX76" s="120">
        <f t="shared" si="44"/>
        <v>-23081599.790000003</v>
      </c>
      <c r="AY76" s="120">
        <f t="shared" si="44"/>
        <v>-13456626.650000002</v>
      </c>
      <c r="AZ76" s="120">
        <f t="shared" si="44"/>
        <v>-25690282.970000006</v>
      </c>
      <c r="BA76" s="120">
        <f t="shared" si="44"/>
        <v>-12612304.16</v>
      </c>
      <c r="BB76" s="120">
        <f t="shared" si="44"/>
        <v>-27631141.88000001</v>
      </c>
      <c r="BC76" s="120">
        <f t="shared" si="44"/>
        <v>-19685825.640000004</v>
      </c>
      <c r="BD76" s="120">
        <f t="shared" si="44"/>
        <v>-27160321.509999998</v>
      </c>
      <c r="BE76" s="120">
        <f t="shared" si="44"/>
        <v>-10587954.070000004</v>
      </c>
      <c r="BF76" s="120">
        <f t="shared" si="44"/>
        <v>-20827217.550000001</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690</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37986</v>
      </c>
      <c r="BI80" s="1">
        <v>37621</v>
      </c>
      <c r="BJ80" s="1">
        <v>25569</v>
      </c>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6233050789.2700005</v>
      </c>
      <c r="F81" s="76">
        <f>股权价值增加表!F4</f>
        <v>2989216840.73</v>
      </c>
      <c r="G81" s="76">
        <f>股权价值增加表!G4</f>
        <v>1621362138.1800001</v>
      </c>
      <c r="H81" s="76">
        <f>股权价值增加表!H4</f>
        <v>554996254.27999997</v>
      </c>
      <c r="I81" s="76">
        <f>股权价值增加表!I4</f>
        <v>3081860748.46</v>
      </c>
      <c r="J81" s="76">
        <f>股权价值增加表!J4</f>
        <v>1882610155.46</v>
      </c>
      <c r="K81" s="76">
        <f>股权价值增加表!K4</f>
        <v>1042533326.38</v>
      </c>
      <c r="L81" s="76">
        <f>股权价值增加表!L4</f>
        <v>309009125.79000002</v>
      </c>
      <c r="M81" s="76">
        <f>股权价值增加表!M4</f>
        <v>2101482138.0899999</v>
      </c>
      <c r="N81" s="76">
        <f>股权价值增加表!N4</f>
        <v>1287716120.8399999</v>
      </c>
      <c r="O81" s="76">
        <f>股权价值增加表!O4</f>
        <v>234402082.41999999</v>
      </c>
      <c r="P81" s="76">
        <f>股权价值增加表!P4</f>
        <v>98884258.989999995</v>
      </c>
      <c r="Q81" s="76">
        <f>股权价值增加表!Q4</f>
        <v>696008522.04999995</v>
      </c>
      <c r="R81" s="76">
        <f>股权价值增加表!R4</f>
        <v>499824845.88</v>
      </c>
      <c r="S81" s="76">
        <f>股权价值增加表!S4</f>
        <v>218791842.91</v>
      </c>
      <c r="T81" s="76">
        <f>股权价值增加表!T4</f>
        <v>80628835.340000004</v>
      </c>
      <c r="U81" s="76">
        <f>股权价值增加表!U4</f>
        <v>758700415.60000002</v>
      </c>
      <c r="V81" s="76">
        <f>股权价值增加表!V4</f>
        <v>505160617.19999999</v>
      </c>
      <c r="W81" s="76">
        <f>股权价值增加表!W4</f>
        <v>244045439.34</v>
      </c>
      <c r="X81" s="76">
        <f>股权价值增加表!X4</f>
        <v>124255763.25</v>
      </c>
      <c r="Y81" s="76">
        <f>股权价值增加表!Y4</f>
        <v>691214660.60000002</v>
      </c>
      <c r="Z81" s="76">
        <f>股权价值增加表!Z4</f>
        <v>479068814.31999999</v>
      </c>
      <c r="AA81" s="76">
        <f>股权价值增加表!AA4</f>
        <v>247057637.74000001</v>
      </c>
      <c r="AB81" s="76">
        <f>股权价值增加表!AB4</f>
        <v>129105048.27</v>
      </c>
      <c r="AC81" s="76">
        <f>股权价值增加表!AC4</f>
        <v>776359138.99000001</v>
      </c>
      <c r="AD81" s="76">
        <f>股权价值增加表!AD4</f>
        <v>579326555.54999995</v>
      </c>
      <c r="AE81" s="76">
        <f>股权价值增加表!AE4</f>
        <v>304913961.62</v>
      </c>
      <c r="AF81" s="76">
        <f>股权价值增加表!AF4</f>
        <v>129331362.36</v>
      </c>
      <c r="AG81" s="76">
        <f>股权价值增加表!AG4</f>
        <v>554317044.60000002</v>
      </c>
      <c r="AH81" s="76">
        <f>股权价值增加表!AH4</f>
        <v>356208895.57999998</v>
      </c>
      <c r="AI81" s="76">
        <f>股权价值增加表!AI4</f>
        <v>184973928.56</v>
      </c>
      <c r="AJ81" s="76">
        <f>股权价值增加表!AJ4</f>
        <v>104299108.65000001</v>
      </c>
      <c r="AK81" s="76">
        <f>股权价值增加表!AK4</f>
        <v>509839028.19</v>
      </c>
      <c r="AL81" s="76">
        <f>股权价值增加表!AL4</f>
        <v>339390401.16000003</v>
      </c>
      <c r="AM81" s="76">
        <f>股权价值增加表!AM4</f>
        <v>179720032.56</v>
      </c>
      <c r="AN81" s="76">
        <f>股权价值增加表!AN4</f>
        <v>98918353.280000001</v>
      </c>
      <c r="AO81" s="76">
        <f>股权价值增加表!AO4</f>
        <v>412981840.82999998</v>
      </c>
      <c r="AP81" s="76">
        <f>股权价值增加表!AP4</f>
        <v>271774932.64999998</v>
      </c>
      <c r="AQ81" s="76">
        <f>股权价值增加表!AQ4</f>
        <v>163859513.34999999</v>
      </c>
      <c r="AR81" s="76">
        <f>股权价值增加表!AR4</f>
        <v>83742016.219999999</v>
      </c>
      <c r="AS81" s="76">
        <f>股权价值增加表!AS4</f>
        <v>566295103.17999995</v>
      </c>
      <c r="AT81" s="76">
        <f>股权价值增加表!AT4</f>
        <v>419765060.01999998</v>
      </c>
      <c r="AU81" s="76">
        <f>股权价值增加表!AU4</f>
        <v>242760630.49000001</v>
      </c>
      <c r="AV81" s="76">
        <f>股权价值增加表!AV4</f>
        <v>125941160.89</v>
      </c>
      <c r="AW81" s="76">
        <f>股权价值增加表!AW4</f>
        <v>593824099.46000004</v>
      </c>
      <c r="AX81" s="76">
        <f>股权价值增加表!AX4</f>
        <v>439235650.68000001</v>
      </c>
      <c r="AY81" s="76">
        <f>股权价值增加表!AY4</f>
        <v>287317133.20999998</v>
      </c>
      <c r="AZ81" s="76">
        <f>股权价值增加表!AZ4</f>
        <v>136790548.13</v>
      </c>
      <c r="BA81" s="76">
        <f>股权价值增加表!BA4</f>
        <v>528669895.29000002</v>
      </c>
      <c r="BB81" s="76">
        <f>股权价值增加表!BB4</f>
        <v>399564767.79000002</v>
      </c>
      <c r="BC81" s="76">
        <f>股权价值增加表!BC4</f>
        <v>215657508.13999999</v>
      </c>
      <c r="BD81" s="76">
        <f>股权价值增加表!BD4</f>
        <v>122796213.84</v>
      </c>
      <c r="BE81" s="76">
        <f>股权价值增加表!BE4</f>
        <v>563658847.70000005</v>
      </c>
      <c r="BF81" s="76">
        <f>股权价值增加表!BF4</f>
        <v>398889793.47000003</v>
      </c>
      <c r="BG81" s="76">
        <f>股权价值增加表!BG4</f>
        <v>216854594.63</v>
      </c>
      <c r="BH81" s="76">
        <f>股权价值增加表!BH4</f>
        <v>446927130.95999998</v>
      </c>
      <c r="BI81" s="76">
        <f>股权价值增加表!BI4</f>
        <v>335191928.19</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3267634913.3800001</v>
      </c>
      <c r="F82" s="76">
        <f>投资和筹资活动现金流表!F34</f>
        <v>3457713931.04</v>
      </c>
      <c r="G82" s="76">
        <f>投资和筹资活动现金流表!G34</f>
        <v>3105529970.5399995</v>
      </c>
      <c r="H82" s="76">
        <f>投资和筹资活动现金流表!H34</f>
        <v>2853467543.2799997</v>
      </c>
      <c r="I82" s="76">
        <f>投资和筹资活动现金流表!I34</f>
        <v>2670697841.0599999</v>
      </c>
      <c r="J82" s="76">
        <f>投资和筹资活动现金流表!J34</f>
        <v>1589606829.8999999</v>
      </c>
      <c r="K82" s="76">
        <f>投资和筹资活动现金流表!K34</f>
        <v>1388891502.9800003</v>
      </c>
      <c r="L82" s="76">
        <f>投资和筹资活动现金流表!L34</f>
        <v>1203078739.1899998</v>
      </c>
      <c r="M82" s="76">
        <f>投资和筹资活动现金流表!M34</f>
        <v>1091720198.5999997</v>
      </c>
      <c r="N82" s="76">
        <f>投资和筹资活动现金流表!N34</f>
        <v>1051997208.3500001</v>
      </c>
      <c r="O82" s="76">
        <f>投资和筹资活动现金流表!O34</f>
        <v>342234217.83999997</v>
      </c>
      <c r="P82" s="76">
        <f>投资和筹资活动现金流表!P34</f>
        <v>317355456.69999999</v>
      </c>
      <c r="Q82" s="76">
        <f>投资和筹资活动现金流表!Q34</f>
        <v>338144759</v>
      </c>
      <c r="R82" s="76">
        <f>投资和筹资活动现金流表!R34</f>
        <v>341824288.39999998</v>
      </c>
      <c r="S82" s="76">
        <f>投资和筹资活动现金流表!S34</f>
        <v>337640256.63</v>
      </c>
      <c r="T82" s="76">
        <f>投资和筹资活动现金流表!T34</f>
        <v>328879453.85000002</v>
      </c>
      <c r="U82" s="76">
        <f>投资和筹资活动现金流表!U34</f>
        <v>292636045.38</v>
      </c>
      <c r="V82" s="76">
        <f>投资和筹资活动现金流表!V34</f>
        <v>277297220.52999997</v>
      </c>
      <c r="W82" s="76">
        <f>投资和筹资活动现金流表!W34</f>
        <v>265741132.91</v>
      </c>
      <c r="X82" s="76">
        <f>投资和筹资活动现金流表!X34</f>
        <v>265724003.5</v>
      </c>
      <c r="Y82" s="76">
        <f>投资和筹资活动现金流表!AZ34</f>
        <v>133075502.34</v>
      </c>
      <c r="Z82" s="76">
        <f>投资和筹资活动现金流表!BA34</f>
        <v>134587813.22999999</v>
      </c>
      <c r="AA82" s="76">
        <f>投资和筹资活动现金流表!BB34</f>
        <v>125199601.65000001</v>
      </c>
      <c r="AB82" s="76">
        <f>投资和筹资活动现金流表!BC34</f>
        <v>123774111.09999999</v>
      </c>
      <c r="AC82" s="76">
        <f>投资和筹资活动现金流表!BD34</f>
        <v>122736338.48999999</v>
      </c>
      <c r="AD82" s="76">
        <f>投资和筹资活动现金流表!BE34</f>
        <v>96916898.260000005</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126348690.89999999</v>
      </c>
      <c r="AQ82" s="76">
        <f>投资和筹资活动现金流表!BR34</f>
        <v>129661885.52</v>
      </c>
      <c r="AR82" s="76">
        <f>投资和筹资活动现金流表!BS34</f>
        <v>133408118.19</v>
      </c>
      <c r="AS82" s="76">
        <f>投资和筹资活动现金流表!AS34</f>
        <v>134416017.89000002</v>
      </c>
      <c r="AT82" s="76">
        <f>投资和筹资活动现金流表!AT34</f>
        <v>134023171.15999998</v>
      </c>
      <c r="AU82" s="76">
        <f>投资和筹资活动现金流表!AU34</f>
        <v>137868678.38</v>
      </c>
      <c r="AV82" s="76">
        <f>投资和筹资活动现金流表!AV34</f>
        <v>140586607.24000001</v>
      </c>
      <c r="AW82" s="76">
        <f>投资和筹资活动现金流表!AW34</f>
        <v>143939001.25</v>
      </c>
      <c r="AX82" s="76">
        <f>投资和筹资活动现金流表!AX34</f>
        <v>143507497.30000001</v>
      </c>
      <c r="AY82" s="76">
        <f>投资和筹资活动现金流表!AY34</f>
        <v>141059333.46000001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1.9075113819317753</v>
      </c>
      <c r="F83" s="155">
        <f t="shared" ref="F83:BQ83" si="46">F81/F82</f>
        <v>0.86450669440745587</v>
      </c>
      <c r="G83" s="155">
        <f t="shared" si="46"/>
        <v>0.52208871064222007</v>
      </c>
      <c r="H83" s="155">
        <f t="shared" si="46"/>
        <v>0.19449888455434949</v>
      </c>
      <c r="I83" s="155">
        <f t="shared" si="46"/>
        <v>1.1539533604583323</v>
      </c>
      <c r="J83" s="155">
        <f t="shared" si="46"/>
        <v>1.1843244002533839</v>
      </c>
      <c r="K83" s="155">
        <f t="shared" si="46"/>
        <v>0.75062258221260947</v>
      </c>
      <c r="L83" s="155">
        <f t="shared" si="46"/>
        <v>0.2568486298727608</v>
      </c>
      <c r="M83" s="155">
        <f t="shared" si="46"/>
        <v>1.9249274134388088</v>
      </c>
      <c r="N83" s="155">
        <f t="shared" si="46"/>
        <v>1.2240680019101116</v>
      </c>
      <c r="O83" s="155">
        <f t="shared" si="46"/>
        <v>0.68491714212395538</v>
      </c>
      <c r="P83" s="155">
        <f t="shared" si="46"/>
        <v>0.31158833699675914</v>
      </c>
      <c r="Q83" s="155">
        <f t="shared" si="46"/>
        <v>2.0583152733412615</v>
      </c>
      <c r="R83" s="155">
        <f t="shared" si="46"/>
        <v>1.4622274157859405</v>
      </c>
      <c r="S83" s="155">
        <f t="shared" si="46"/>
        <v>0.6480028332337191</v>
      </c>
      <c r="T83" s="155">
        <f t="shared" si="46"/>
        <v>0.24516227570961102</v>
      </c>
      <c r="U83" s="155">
        <f t="shared" si="46"/>
        <v>2.5926417048685719</v>
      </c>
      <c r="V83" s="155">
        <f t="shared" si="46"/>
        <v>1.8217298256162944</v>
      </c>
      <c r="W83" s="155">
        <f t="shared" si="46"/>
        <v>0.91835778928003675</v>
      </c>
      <c r="X83" s="155">
        <f t="shared" si="46"/>
        <v>0.46761211487617826</v>
      </c>
      <c r="Y83" s="155">
        <f t="shared" si="46"/>
        <v>5.1941540587537114</v>
      </c>
      <c r="Z83" s="155">
        <f t="shared" si="46"/>
        <v>3.5595259542653319</v>
      </c>
      <c r="AA83" s="155">
        <f t="shared" si="46"/>
        <v>1.9733100943137065</v>
      </c>
      <c r="AB83" s="155">
        <f t="shared" si="46"/>
        <v>1.0430698885463456</v>
      </c>
      <c r="AC83" s="155">
        <f t="shared" si="46"/>
        <v>6.3254220269350325</v>
      </c>
      <c r="AD83" s="155">
        <f t="shared" si="46"/>
        <v>5.9775598058847734</v>
      </c>
      <c r="AE83" s="155">
        <f t="shared" si="46"/>
        <v>0.11577099153778511</v>
      </c>
      <c r="AF83" s="155">
        <f t="shared" si="46"/>
        <v>5.089966146812222E-2</v>
      </c>
      <c r="AG83" s="155">
        <f t="shared" si="46"/>
        <v>0.21096735260906943</v>
      </c>
      <c r="AH83" s="155">
        <f t="shared" si="46"/>
        <v>0.13523519404191348</v>
      </c>
      <c r="AI83" s="155">
        <f t="shared" si="46"/>
        <v>6.8569609240715312E-2</v>
      </c>
      <c r="AJ83" s="155">
        <f t="shared" si="46"/>
        <v>4.1618741429069087E-2</v>
      </c>
      <c r="AK83" s="155">
        <f t="shared" si="46"/>
        <v>0.20815297595148263</v>
      </c>
      <c r="AL83" s="155">
        <f t="shared" si="46"/>
        <v>0.1390297803926196</v>
      </c>
      <c r="AM83" s="155">
        <f t="shared" si="46"/>
        <v>8.4740394182682963E-2</v>
      </c>
      <c r="AN83" s="155">
        <f t="shared" si="46"/>
        <v>4.5957660013587191E-2</v>
      </c>
      <c r="AO83" s="155">
        <f t="shared" si="46"/>
        <v>0.19505265004786931</v>
      </c>
      <c r="AP83" s="155">
        <f t="shared" si="46"/>
        <v>2.1509912822531665</v>
      </c>
      <c r="AQ83" s="155">
        <f t="shared" si="46"/>
        <v>1.2637446439472384</v>
      </c>
      <c r="AR83" s="155">
        <f t="shared" si="46"/>
        <v>0.62771304592374599</v>
      </c>
      <c r="AS83" s="155">
        <f t="shared" si="46"/>
        <v>4.213003123209841</v>
      </c>
      <c r="AT83" s="155">
        <f t="shared" si="46"/>
        <v>3.132033486350466</v>
      </c>
      <c r="AU83" s="155">
        <f t="shared" si="46"/>
        <v>1.7608106013817872</v>
      </c>
      <c r="AV83" s="155">
        <f t="shared" si="46"/>
        <v>0.89582616269415849</v>
      </c>
      <c r="AW83" s="155">
        <f t="shared" si="46"/>
        <v>4.1255260513348881</v>
      </c>
      <c r="AX83" s="155">
        <f t="shared" si="46"/>
        <v>3.0607157043634121</v>
      </c>
      <c r="AY83" s="155">
        <f t="shared" si="46"/>
        <v>2.0368530473134134</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1808726761.47</v>
      </c>
      <c r="F84" s="76">
        <f>资产资本表!F52</f>
        <v>1321298357.1400001</v>
      </c>
      <c r="G84" s="76">
        <f>资产资本表!G52</f>
        <v>1119790051.77</v>
      </c>
      <c r="H84" s="76">
        <f>资产资本表!H52</f>
        <v>973643001.10000002</v>
      </c>
      <c r="I84" s="76">
        <f>资产资本表!I52</f>
        <v>937188164.47000003</v>
      </c>
      <c r="J84" s="76">
        <f>资产资本表!J52</f>
        <v>834578078.26999998</v>
      </c>
      <c r="K84" s="76">
        <f>资产资本表!K52</f>
        <v>772629534.74000001</v>
      </c>
      <c r="L84" s="76">
        <f>资产资本表!L52</f>
        <v>639717992.72000003</v>
      </c>
      <c r="M84" s="76">
        <f>资产资本表!M52</f>
        <v>624270621.21000004</v>
      </c>
      <c r="N84" s="76">
        <f>资产资本表!N52</f>
        <v>548512113.38</v>
      </c>
      <c r="O84" s="76">
        <f>资产资本表!O52</f>
        <v>105739088.01000001</v>
      </c>
      <c r="P84" s="76">
        <f>资产资本表!P52</f>
        <v>107021970.59999999</v>
      </c>
      <c r="Q84" s="76">
        <f>资产资本表!Q52</f>
        <v>109353799.56</v>
      </c>
      <c r="R84" s="76">
        <f>资产资本表!R52</f>
        <v>124914582.86</v>
      </c>
      <c r="S84" s="76">
        <f>资产资本表!S52</f>
        <v>128618179.91</v>
      </c>
      <c r="T84" s="76">
        <f>资产资本表!T52</f>
        <v>131836608.39</v>
      </c>
      <c r="U84" s="76">
        <f>资产资本表!U52</f>
        <v>134528661.02000001</v>
      </c>
      <c r="V84" s="76">
        <f>资产资本表!V52</f>
        <v>225485732.38999999</v>
      </c>
      <c r="W84" s="76">
        <f>资产资本表!W52</f>
        <v>71837700.840000004</v>
      </c>
      <c r="X84" s="76">
        <f>资产资本表!X52</f>
        <v>73954009.260000005</v>
      </c>
      <c r="Y84" s="76">
        <f>资产资本表!Y52</f>
        <v>68644677.290000007</v>
      </c>
      <c r="Z84" s="76">
        <f>资产资本表!Z52</f>
        <v>70505573.069999993</v>
      </c>
      <c r="AA84" s="76">
        <f>资产资本表!AA52</f>
        <v>72929809.629999995</v>
      </c>
      <c r="AB84" s="76">
        <f>资产资本表!AB52</f>
        <v>76249289.349999994</v>
      </c>
      <c r="AC84" s="76">
        <f>资产资本表!AC52</f>
        <v>78863507.109999999</v>
      </c>
      <c r="AD84" s="76">
        <f>资产资本表!AD52</f>
        <v>91220429.010000005</v>
      </c>
      <c r="AE84" s="76">
        <f>资产资本表!AE52</f>
        <v>81654078.569999993</v>
      </c>
      <c r="AF84" s="76">
        <f>资产资本表!AF52</f>
        <v>83582103.200000003</v>
      </c>
      <c r="AG84" s="76">
        <f>资产资本表!AG52</f>
        <v>71142828.819999993</v>
      </c>
      <c r="AH84" s="76">
        <f>资产资本表!AH52</f>
        <v>70651228.430000007</v>
      </c>
      <c r="AI84" s="76">
        <f>资产资本表!AI52</f>
        <v>72615053.879999995</v>
      </c>
      <c r="AJ84" s="76">
        <f>资产资本表!AJ52</f>
        <v>74034135.370000005</v>
      </c>
      <c r="AK84" s="76">
        <f>资产资本表!AK52</f>
        <v>76691788.629999995</v>
      </c>
      <c r="AL84" s="76">
        <f>资产资本表!AL52</f>
        <v>80171220.379999995</v>
      </c>
      <c r="AM84" s="76">
        <f>资产资本表!AM52</f>
        <v>82844383.959999993</v>
      </c>
      <c r="AN84" s="76">
        <f>资产资本表!AN52</f>
        <v>85219311.060000002</v>
      </c>
      <c r="AO84" s="76">
        <f>资产资本表!AO52</f>
        <v>87798678.769999996</v>
      </c>
      <c r="AP84" s="76">
        <f>资产资本表!AP52</f>
        <v>97221758.420000002</v>
      </c>
      <c r="AQ84" s="76">
        <f>资产资本表!AQ52</f>
        <v>100107448.90000001</v>
      </c>
      <c r="AR84" s="76">
        <f>资产资本表!AR52</f>
        <v>105545297.15000001</v>
      </c>
      <c r="AS84" s="76">
        <f>资产资本表!AS52</f>
        <v>108959292.11</v>
      </c>
      <c r="AT84" s="76">
        <f>资产资本表!AT52</f>
        <v>107562404.90000001</v>
      </c>
      <c r="AU84" s="76">
        <f>资产资本表!AU52</f>
        <v>111350961.84999999</v>
      </c>
      <c r="AV84" s="76">
        <f>资产资本表!AV52</f>
        <v>112430179.5</v>
      </c>
      <c r="AW84" s="76">
        <f>资产资本表!AW52</f>
        <v>115471019.20999999</v>
      </c>
      <c r="AX84" s="76">
        <f>资产资本表!AX52</f>
        <v>102018433.22</v>
      </c>
      <c r="AY84" s="76">
        <f>资产资本表!AY52</f>
        <v>101147452.47</v>
      </c>
      <c r="AZ84" s="76">
        <f>资产资本表!AZ52</f>
        <v>103004116.77</v>
      </c>
      <c r="BA84" s="76">
        <f>资产资本表!BA52</f>
        <v>104720818.37</v>
      </c>
      <c r="BB84" s="76">
        <f>资产资本表!BB52</f>
        <v>92125532.340000004</v>
      </c>
      <c r="BC84" s="76">
        <f>资产资本表!BC52</f>
        <v>90055706.709999993</v>
      </c>
      <c r="BD84" s="76">
        <f>资产资本表!BD52</f>
        <v>96738278.030000001</v>
      </c>
      <c r="BE84" s="76">
        <f>资产资本表!BE52</f>
        <v>84203748.209999993</v>
      </c>
      <c r="BF84" s="76">
        <f>资产资本表!BF52</f>
        <v>71196967.909999996</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3.4460986159148965</v>
      </c>
      <c r="F85" s="155">
        <f t="shared" ref="F85:BQ85" si="48">F81/F84</f>
        <v>2.262332973152462</v>
      </c>
      <c r="G85" s="155">
        <f t="shared" si="48"/>
        <v>1.4479161835892258</v>
      </c>
      <c r="H85" s="155">
        <f t="shared" si="48"/>
        <v>0.57002027812347822</v>
      </c>
      <c r="I85" s="155">
        <f t="shared" si="48"/>
        <v>3.2884119382822745</v>
      </c>
      <c r="J85" s="155">
        <f t="shared" si="48"/>
        <v>2.2557627674123308</v>
      </c>
      <c r="K85" s="155">
        <f t="shared" si="48"/>
        <v>1.3493314447665092</v>
      </c>
      <c r="L85" s="155">
        <f t="shared" si="48"/>
        <v>0.48303960386690437</v>
      </c>
      <c r="M85" s="155">
        <f t="shared" si="48"/>
        <v>3.3662999133561291</v>
      </c>
      <c r="N85" s="155">
        <f t="shared" si="48"/>
        <v>2.3476530224737111</v>
      </c>
      <c r="O85" s="155">
        <f t="shared" si="48"/>
        <v>2.2167968991545681</v>
      </c>
      <c r="P85" s="155">
        <f t="shared" si="48"/>
        <v>0.92396223350796725</v>
      </c>
      <c r="Q85" s="155">
        <f t="shared" si="48"/>
        <v>6.3647401814156037</v>
      </c>
      <c r="R85" s="155">
        <f t="shared" si="48"/>
        <v>4.0013330264264395</v>
      </c>
      <c r="S85" s="155">
        <f t="shared" si="48"/>
        <v>1.7010957787079448</v>
      </c>
      <c r="T85" s="155">
        <f t="shared" si="48"/>
        <v>0.61158153508836643</v>
      </c>
      <c r="U85" s="155">
        <f t="shared" si="48"/>
        <v>5.6396935035814124</v>
      </c>
      <c r="V85" s="155">
        <f t="shared" si="48"/>
        <v>2.2403218680207866</v>
      </c>
      <c r="W85" s="155">
        <f t="shared" si="48"/>
        <v>3.3971777560580403</v>
      </c>
      <c r="X85" s="155">
        <f t="shared" si="48"/>
        <v>1.6801761593905502</v>
      </c>
      <c r="Y85" s="155">
        <f t="shared" si="48"/>
        <v>10.06945750039522</v>
      </c>
      <c r="Z85" s="155">
        <f t="shared" si="48"/>
        <v>6.7947652002539778</v>
      </c>
      <c r="AA85" s="155">
        <f t="shared" si="48"/>
        <v>3.387608427794</v>
      </c>
      <c r="AB85" s="155">
        <f t="shared" si="48"/>
        <v>1.6931967415116638</v>
      </c>
      <c r="AC85" s="155">
        <f t="shared" si="48"/>
        <v>9.8443395106322455</v>
      </c>
      <c r="AD85" s="155">
        <f t="shared" si="48"/>
        <v>6.3508422601969068</v>
      </c>
      <c r="AE85" s="155">
        <f t="shared" si="48"/>
        <v>3.7342159382596538</v>
      </c>
      <c r="AF85" s="155">
        <f t="shared" si="48"/>
        <v>1.5473571184315447</v>
      </c>
      <c r="AG85" s="155">
        <f t="shared" si="48"/>
        <v>7.7916081465145215</v>
      </c>
      <c r="AH85" s="155">
        <f t="shared" si="48"/>
        <v>5.0417933770666918</v>
      </c>
      <c r="AI85" s="155">
        <f t="shared" si="48"/>
        <v>2.5473220589449492</v>
      </c>
      <c r="AJ85" s="155">
        <f t="shared" si="48"/>
        <v>1.4087975516799771</v>
      </c>
      <c r="AK85" s="155">
        <f t="shared" si="48"/>
        <v>6.6478959129473632</v>
      </c>
      <c r="AL85" s="155">
        <f t="shared" si="48"/>
        <v>4.2333196320492386</v>
      </c>
      <c r="AM85" s="155">
        <f t="shared" si="48"/>
        <v>2.169368929664258</v>
      </c>
      <c r="AN85" s="155">
        <f t="shared" si="48"/>
        <v>1.1607504455223179</v>
      </c>
      <c r="AO85" s="155">
        <f t="shared" si="48"/>
        <v>4.7037363957589768</v>
      </c>
      <c r="AP85" s="155">
        <f t="shared" si="48"/>
        <v>2.7954126428769852</v>
      </c>
      <c r="AQ85" s="155">
        <f t="shared" si="48"/>
        <v>1.6368363708247486</v>
      </c>
      <c r="AR85" s="155">
        <f t="shared" si="48"/>
        <v>0.79342252550567571</v>
      </c>
      <c r="AS85" s="155">
        <f t="shared" si="48"/>
        <v>5.1973089418412881</v>
      </c>
      <c r="AT85" s="155">
        <f t="shared" si="48"/>
        <v>3.9025257980262951</v>
      </c>
      <c r="AU85" s="155">
        <f t="shared" si="48"/>
        <v>2.1801395017765626</v>
      </c>
      <c r="AV85" s="155">
        <f t="shared" si="48"/>
        <v>1.1201721944240071</v>
      </c>
      <c r="AW85" s="155">
        <f t="shared" si="48"/>
        <v>5.1426245608869952</v>
      </c>
      <c r="AX85" s="155">
        <f t="shared" si="48"/>
        <v>4.3054537970878277</v>
      </c>
      <c r="AY85" s="155">
        <f t="shared" si="48"/>
        <v>2.8405770604575267</v>
      </c>
      <c r="AZ85" s="155">
        <f t="shared" si="48"/>
        <v>1.3280104953032354</v>
      </c>
      <c r="BA85" s="155">
        <f t="shared" si="48"/>
        <v>5.0483743683333477</v>
      </c>
      <c r="BB85" s="155">
        <f t="shared" si="48"/>
        <v>4.3371773018945463</v>
      </c>
      <c r="BC85" s="155">
        <f t="shared" si="48"/>
        <v>2.3947122955180018</v>
      </c>
      <c r="BD85" s="155">
        <f t="shared" si="48"/>
        <v>1.2693653054473333</v>
      </c>
      <c r="BE85" s="155">
        <f t="shared" si="48"/>
        <v>6.6939876155425138</v>
      </c>
      <c r="BF85" s="155">
        <f t="shared" si="48"/>
        <v>5.6026233304518831</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86580880.549999997</v>
      </c>
      <c r="F86" s="76">
        <f>资产资本表!F53</f>
        <v>118534163.42</v>
      </c>
      <c r="G86" s="76">
        <f>资产资本表!G53</f>
        <v>113990648.06999999</v>
      </c>
      <c r="H86" s="76">
        <f>资产资本表!H53</f>
        <v>67715996.980000004</v>
      </c>
      <c r="I86" s="76">
        <f>资产资本表!I53</f>
        <v>50307909.130000003</v>
      </c>
      <c r="J86" s="76">
        <f>资产资本表!J53</f>
        <v>66836269.710000001</v>
      </c>
      <c r="K86" s="76">
        <f>资产资本表!K53</f>
        <v>57719469.490000002</v>
      </c>
      <c r="L86" s="76">
        <f>资产资本表!L53</f>
        <v>63765929.75</v>
      </c>
      <c r="M86" s="76">
        <f>资产资本表!M53</f>
        <v>64095829.43</v>
      </c>
      <c r="N86" s="76">
        <f>资产资本表!N53</f>
        <v>51975949.509999998</v>
      </c>
      <c r="O86" s="76">
        <f>资产资本表!O53</f>
        <v>0</v>
      </c>
      <c r="P86" s="76">
        <f>资产资本表!P53</f>
        <v>1013325</v>
      </c>
      <c r="Q86" s="76">
        <f>资产资本表!Q53</f>
        <v>0</v>
      </c>
      <c r="R86" s="76">
        <f>资产资本表!R53</f>
        <v>4358025.1500000004</v>
      </c>
      <c r="S86" s="76">
        <f>资产资本表!S53</f>
        <v>4358025.1500000004</v>
      </c>
      <c r="T86" s="76">
        <f>资产资本表!T53</f>
        <v>830690.47</v>
      </c>
      <c r="U86" s="76">
        <f>资产资本表!U53</f>
        <v>0</v>
      </c>
      <c r="V86" s="76">
        <f>资产资本表!V53</f>
        <v>25979.3</v>
      </c>
      <c r="W86" s="76">
        <f>资产资本表!W53</f>
        <v>143002291.38</v>
      </c>
      <c r="X86" s="76">
        <f>资产资本表!X53</f>
        <v>139899562.30000001</v>
      </c>
      <c r="Y86" s="76">
        <f>资产资本表!Y53</f>
        <v>142404148.69</v>
      </c>
      <c r="Z86" s="76">
        <f>资产资本表!Z53</f>
        <v>88183905.590000004</v>
      </c>
      <c r="AA86" s="76">
        <f>资产资本表!AA53</f>
        <v>87620430.579999998</v>
      </c>
      <c r="AB86" s="76">
        <f>资产资本表!AB53</f>
        <v>87388092.239999995</v>
      </c>
      <c r="AC86" s="76">
        <f>资产资本表!AC53</f>
        <v>85646742.239999995</v>
      </c>
      <c r="AD86" s="76">
        <f>资产资本表!AD53</f>
        <v>1222110.3700000001</v>
      </c>
      <c r="AE86" s="76">
        <f>资产资本表!AE53</f>
        <v>25531029</v>
      </c>
      <c r="AF86" s="76">
        <f>资产资本表!AF53</f>
        <v>9851529</v>
      </c>
      <c r="AG86" s="76">
        <f>资产资本表!AG53</f>
        <v>8090529</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1469160</v>
      </c>
      <c r="AQ86" s="76">
        <f>资产资本表!AQ53</f>
        <v>1469160</v>
      </c>
      <c r="AR86" s="76">
        <f>资产资本表!AR53</f>
        <v>1469160</v>
      </c>
      <c r="AS86" s="76">
        <f>资产资本表!AS53</f>
        <v>0</v>
      </c>
      <c r="AT86" s="76">
        <f>资产资本表!AT53</f>
        <v>0</v>
      </c>
      <c r="AU86" s="76">
        <f>资产资本表!AU53</f>
        <v>190880</v>
      </c>
      <c r="AV86" s="76">
        <f>资产资本表!AV53</f>
        <v>190880</v>
      </c>
      <c r="AW86" s="76">
        <f>资产资本表!AW53</f>
        <v>190880</v>
      </c>
      <c r="AX86" s="76">
        <f>资产资本表!AX53</f>
        <v>13669307.609999999</v>
      </c>
      <c r="AY86" s="76">
        <f>资产资本表!AY53</f>
        <v>11031680</v>
      </c>
      <c r="AZ86" s="76">
        <f>资产资本表!AZ53</f>
        <v>779101.05</v>
      </c>
      <c r="BA86" s="76">
        <f>资产资本表!BA53</f>
        <v>84601.05</v>
      </c>
      <c r="BB86" s="76">
        <f>资产资本表!BB53</f>
        <v>4443193.09</v>
      </c>
      <c r="BC86" s="76">
        <f>资产资本表!BC53</f>
        <v>4876000</v>
      </c>
      <c r="BD86" s="76">
        <f>资产资本表!BD53</f>
        <v>0</v>
      </c>
      <c r="BE86" s="76">
        <f>资产资本表!BE53</f>
        <v>1355266.33</v>
      </c>
      <c r="BF86" s="76">
        <f>资产资本表!BF53</f>
        <v>1547935.78</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71.991076432520771</v>
      </c>
      <c r="F87" s="54">
        <f t="shared" ref="F87:BQ87" si="50">F81/F86</f>
        <v>25.218188195569923</v>
      </c>
      <c r="G87" s="54">
        <f t="shared" si="50"/>
        <v>14.223641725278597</v>
      </c>
      <c r="H87" s="54">
        <f t="shared" si="50"/>
        <v>8.1959400884833578</v>
      </c>
      <c r="I87" s="54">
        <f t="shared" si="50"/>
        <v>61.259964919158229</v>
      </c>
      <c r="J87" s="54">
        <f t="shared" si="50"/>
        <v>28.167492944004401</v>
      </c>
      <c r="K87" s="54">
        <f t="shared" si="50"/>
        <v>18.062073951677963</v>
      </c>
      <c r="L87" s="54">
        <f t="shared" si="50"/>
        <v>4.8459910645308204</v>
      </c>
      <c r="M87" s="54">
        <f t="shared" si="50"/>
        <v>32.786565940067277</v>
      </c>
      <c r="N87" s="54">
        <f t="shared" si="50"/>
        <v>24.775230332102883</v>
      </c>
      <c r="O87" s="54" t="e">
        <f t="shared" si="50"/>
        <v>#DIV/0!</v>
      </c>
      <c r="P87" s="54">
        <f t="shared" si="50"/>
        <v>97.583952818690932</v>
      </c>
      <c r="Q87" s="54" t="e">
        <f t="shared" si="50"/>
        <v>#DIV/0!</v>
      </c>
      <c r="R87" s="54">
        <f t="shared" si="50"/>
        <v>114.69067494481989</v>
      </c>
      <c r="S87" s="54">
        <f t="shared" si="50"/>
        <v>50.204355270873087</v>
      </c>
      <c r="T87" s="54">
        <f t="shared" si="50"/>
        <v>97.062429691771968</v>
      </c>
      <c r="U87" s="54" t="e">
        <f t="shared" si="50"/>
        <v>#DIV/0!</v>
      </c>
      <c r="V87" s="54">
        <f t="shared" si="50"/>
        <v>19444.735508654969</v>
      </c>
      <c r="W87" s="54">
        <f t="shared" si="50"/>
        <v>1.7065841182327495</v>
      </c>
      <c r="X87" s="54">
        <f t="shared" si="50"/>
        <v>0.88817835600905226</v>
      </c>
      <c r="Y87" s="54">
        <f t="shared" si="50"/>
        <v>4.8538941242836069</v>
      </c>
      <c r="Z87" s="54">
        <f t="shared" si="50"/>
        <v>5.4326105326676082</v>
      </c>
      <c r="AA87" s="54">
        <f t="shared" si="50"/>
        <v>2.8196350566256259</v>
      </c>
      <c r="AB87" s="54">
        <f t="shared" si="50"/>
        <v>1.4773757494949062</v>
      </c>
      <c r="AC87" s="54">
        <f t="shared" si="50"/>
        <v>9.0646663105349656</v>
      </c>
      <c r="AD87" s="54">
        <f t="shared" si="50"/>
        <v>474.03783632897239</v>
      </c>
      <c r="AE87" s="54">
        <f t="shared" si="50"/>
        <v>11.942877884788741</v>
      </c>
      <c r="AF87" s="54">
        <f t="shared" si="50"/>
        <v>13.128049702741574</v>
      </c>
      <c r="AG87" s="54">
        <f t="shared" si="50"/>
        <v>68.514314033112058</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f t="shared" si="50"/>
        <v>184.98661320074055</v>
      </c>
      <c r="AQ87" s="54">
        <f t="shared" si="50"/>
        <v>111.53278972337934</v>
      </c>
      <c r="AR87" s="54">
        <f t="shared" si="50"/>
        <v>56.999929360995395</v>
      </c>
      <c r="AS87" s="54" t="e">
        <f t="shared" si="50"/>
        <v>#DIV/0!</v>
      </c>
      <c r="AT87" s="54" t="e">
        <f t="shared" si="50"/>
        <v>#DIV/0!</v>
      </c>
      <c r="AU87" s="54">
        <f t="shared" si="50"/>
        <v>1271.7971002200336</v>
      </c>
      <c r="AV87" s="54">
        <f t="shared" si="50"/>
        <v>659.79233492246442</v>
      </c>
      <c r="AW87" s="54">
        <f t="shared" si="50"/>
        <v>3110.9812419321042</v>
      </c>
      <c r="AX87" s="54">
        <f t="shared" si="50"/>
        <v>32.132984582091794</v>
      </c>
      <c r="AY87" s="54">
        <f t="shared" si="50"/>
        <v>26.044730558718161</v>
      </c>
      <c r="AZ87" s="54">
        <f t="shared" si="50"/>
        <v>175.57484761443973</v>
      </c>
      <c r="BA87" s="54">
        <f t="shared" si="50"/>
        <v>6248.9755776080792</v>
      </c>
      <c r="BB87" s="54">
        <f t="shared" si="50"/>
        <v>89.927392237189508</v>
      </c>
      <c r="BC87" s="54">
        <f t="shared" si="50"/>
        <v>44.22836508203445</v>
      </c>
      <c r="BD87" s="54" t="e">
        <f t="shared" si="50"/>
        <v>#DIV/0!</v>
      </c>
      <c r="BE87" s="54">
        <f t="shared" si="50"/>
        <v>415.90264232418434</v>
      </c>
      <c r="BF87" s="54">
        <f t="shared" si="50"/>
        <v>257.69143566795776</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32000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137885873.52000001</v>
      </c>
      <c r="F92" s="76">
        <f>资产资本表!F58</f>
        <v>28582869.510000002</v>
      </c>
      <c r="G92" s="76">
        <f>资产资本表!G58</f>
        <v>26958709.91</v>
      </c>
      <c r="H92" s="76">
        <f>资产资本表!H58</f>
        <v>25480965.449999999</v>
      </c>
      <c r="I92" s="76">
        <f>资产资本表!I58</f>
        <v>25862058.609999999</v>
      </c>
      <c r="J92" s="76">
        <f>资产资本表!J58</f>
        <v>13448709.52</v>
      </c>
      <c r="K92" s="76">
        <f>资产资本表!K58</f>
        <v>13163920.67</v>
      </c>
      <c r="L92" s="76">
        <f>资产资本表!L58</f>
        <v>13021499.880000001</v>
      </c>
      <c r="M92" s="76">
        <f>资产资本表!M58</f>
        <v>12664653.48</v>
      </c>
      <c r="N92" s="76">
        <f>资产资本表!N58</f>
        <v>12790114</v>
      </c>
      <c r="O92" s="76">
        <f>资产资本表!O58</f>
        <v>34987024.579999998</v>
      </c>
      <c r="P92" s="76">
        <f>资产资本表!P58</f>
        <v>35197449.829999998</v>
      </c>
      <c r="Q92" s="76">
        <f>资产资本表!Q58</f>
        <v>35350625.890000001</v>
      </c>
      <c r="R92" s="76">
        <f>资产资本表!R58</f>
        <v>35558235.609999999</v>
      </c>
      <c r="S92" s="76">
        <f>资产资本表!S58</f>
        <v>36265845.329999998</v>
      </c>
      <c r="T92" s="76">
        <f>资产资本表!T58</f>
        <v>36473455.049999997</v>
      </c>
      <c r="U92" s="76">
        <f>资产资本表!U58</f>
        <v>36681064.770000003</v>
      </c>
      <c r="V92" s="76">
        <f>资产资本表!V58</f>
        <v>36379462.460000001</v>
      </c>
      <c r="W92" s="76">
        <f>资产资本表!W58</f>
        <v>36587072.18</v>
      </c>
      <c r="X92" s="76">
        <f>资产资本表!X58</f>
        <v>36794681.899999999</v>
      </c>
      <c r="Y92" s="76">
        <f>资产资本表!Y58</f>
        <v>37002291.520000003</v>
      </c>
      <c r="Z92" s="76">
        <f>资产资本表!Z58</f>
        <v>37231591.240000002</v>
      </c>
      <c r="AA92" s="76">
        <f>资产资本表!AA58</f>
        <v>37504390.960000001</v>
      </c>
      <c r="AB92" s="76">
        <f>资产资本表!AB58</f>
        <v>37777190.68</v>
      </c>
      <c r="AC92" s="76">
        <f>资产资本表!AC58</f>
        <v>38050050.399999999</v>
      </c>
      <c r="AD92" s="76">
        <f>资产资本表!AD58</f>
        <v>38322910.109999999</v>
      </c>
      <c r="AE92" s="76">
        <f>资产资本表!AE58</f>
        <v>38595769.840000004</v>
      </c>
      <c r="AF92" s="76">
        <f>资产资本表!AF58</f>
        <v>38868629.549999997</v>
      </c>
      <c r="AG92" s="76">
        <f>资产资本表!AG58</f>
        <v>17940984.140000001</v>
      </c>
      <c r="AH92" s="76">
        <f>资产资本表!AH58</f>
        <v>18108368.719999999</v>
      </c>
      <c r="AI92" s="76">
        <f>资产资本表!AI58</f>
        <v>18260253.300000001</v>
      </c>
      <c r="AJ92" s="76">
        <f>资产资本表!AJ58</f>
        <v>18443137.879999999</v>
      </c>
      <c r="AK92" s="76">
        <f>资产资本表!AK58</f>
        <v>18609849.18</v>
      </c>
      <c r="AL92" s="76">
        <f>资产资本表!AL58</f>
        <v>19492112.039999999</v>
      </c>
      <c r="AM92" s="76">
        <f>资产资本表!AM58</f>
        <v>19687100.309999999</v>
      </c>
      <c r="AN92" s="76">
        <f>资产资本表!AN58</f>
        <v>19900512.84</v>
      </c>
      <c r="AO92" s="76">
        <f>资产资本表!AO58</f>
        <v>20123137.510000002</v>
      </c>
      <c r="AP92" s="76">
        <f>资产资本表!AP58</f>
        <v>20342854.210000001</v>
      </c>
      <c r="AQ92" s="76">
        <f>资产资本表!AQ58</f>
        <v>20569518.91</v>
      </c>
      <c r="AR92" s="76">
        <f>资产资本表!AR58</f>
        <v>21588124.98</v>
      </c>
      <c r="AS92" s="76">
        <f>资产资本表!AS58</f>
        <v>21820913.059999999</v>
      </c>
      <c r="AT92" s="76">
        <f>资产资本表!AT58</f>
        <v>22616860.48</v>
      </c>
      <c r="AU92" s="76">
        <f>资产资本表!AU58</f>
        <v>22859281.780000001</v>
      </c>
      <c r="AV92" s="76">
        <f>资产资本表!AV58</f>
        <v>23089790.66</v>
      </c>
      <c r="AW92" s="76">
        <f>资产资本表!AW58</f>
        <v>23322660.460000001</v>
      </c>
      <c r="AX92" s="76">
        <f>资产资本表!AX58</f>
        <v>23995784.789999999</v>
      </c>
      <c r="AY92" s="76">
        <f>资产资本表!AY58</f>
        <v>24246548.25</v>
      </c>
      <c r="AZ92" s="76">
        <f>资产资本表!AZ58</f>
        <v>24041200.879999999</v>
      </c>
      <c r="BA92" s="76">
        <f>资产资本表!BA58</f>
        <v>24280714.34</v>
      </c>
      <c r="BB92" s="76">
        <f>资产资本表!BB58</f>
        <v>24530851.579999998</v>
      </c>
      <c r="BC92" s="76">
        <f>资产资本表!BC58</f>
        <v>24764462.960000001</v>
      </c>
      <c r="BD92" s="76">
        <f>资产资本表!BD58</f>
        <v>25238768.219999999</v>
      </c>
      <c r="BE92" s="76">
        <f>资产资本表!BE58</f>
        <v>10484416.890000001</v>
      </c>
      <c r="BF92" s="76">
        <f>资产资本表!BF58</f>
        <v>5798533.1100000003</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45.204418916531807</v>
      </c>
      <c r="F93" s="155">
        <f t="shared" ref="F93:BQ93" si="52">F81/F92</f>
        <v>104.58071187303965</v>
      </c>
      <c r="G93" s="155">
        <f t="shared" si="52"/>
        <v>60.14242312012771</v>
      </c>
      <c r="H93" s="155">
        <f t="shared" si="52"/>
        <v>21.780817346542101</v>
      </c>
      <c r="I93" s="155">
        <f t="shared" si="52"/>
        <v>119.16532998917367</v>
      </c>
      <c r="J93" s="155">
        <f t="shared" si="52"/>
        <v>139.98444628908902</v>
      </c>
      <c r="K93" s="155">
        <f t="shared" si="52"/>
        <v>79.196263219352872</v>
      </c>
      <c r="L93" s="155">
        <f t="shared" si="52"/>
        <v>23.730686068247309</v>
      </c>
      <c r="M93" s="155">
        <f t="shared" si="52"/>
        <v>165.93285725572019</v>
      </c>
      <c r="N93" s="155">
        <f t="shared" si="52"/>
        <v>100.68058195884727</v>
      </c>
      <c r="O93" s="155">
        <f t="shared" si="52"/>
        <v>6.6996861046021534</v>
      </c>
      <c r="P93" s="155">
        <f t="shared" si="52"/>
        <v>2.8094154396866995</v>
      </c>
      <c r="Q93" s="155">
        <f t="shared" si="52"/>
        <v>19.688718502913044</v>
      </c>
      <c r="R93" s="155">
        <f t="shared" si="52"/>
        <v>14.056514259088685</v>
      </c>
      <c r="S93" s="155">
        <f t="shared" si="52"/>
        <v>6.0329999457922465</v>
      </c>
      <c r="T93" s="155">
        <f t="shared" si="52"/>
        <v>2.2106168782055104</v>
      </c>
      <c r="U93" s="155">
        <f t="shared" si="52"/>
        <v>20.683707530227181</v>
      </c>
      <c r="V93" s="155">
        <f t="shared" si="52"/>
        <v>13.885873595725471</v>
      </c>
      <c r="W93" s="155">
        <f t="shared" si="52"/>
        <v>6.6702642435927215</v>
      </c>
      <c r="X93" s="155">
        <f t="shared" si="52"/>
        <v>3.377003328570698</v>
      </c>
      <c r="Y93" s="155">
        <f t="shared" si="52"/>
        <v>18.680320385735936</v>
      </c>
      <c r="Z93" s="155">
        <f t="shared" si="52"/>
        <v>12.867266704553559</v>
      </c>
      <c r="AA93" s="155">
        <f t="shared" si="52"/>
        <v>6.5874323356829683</v>
      </c>
      <c r="AB93" s="155">
        <f t="shared" si="52"/>
        <v>3.4175396832340632</v>
      </c>
      <c r="AC93" s="155">
        <f t="shared" si="52"/>
        <v>20.403629714771679</v>
      </c>
      <c r="AD93" s="155">
        <f t="shared" si="52"/>
        <v>15.116977126401217</v>
      </c>
      <c r="AE93" s="155">
        <f t="shared" si="52"/>
        <v>7.9001912096592601</v>
      </c>
      <c r="AF93" s="155">
        <f t="shared" si="52"/>
        <v>3.3273970257590419</v>
      </c>
      <c r="AG93" s="155">
        <f t="shared" si="52"/>
        <v>30.896691077505185</v>
      </c>
      <c r="AH93" s="155">
        <f t="shared" si="52"/>
        <v>19.67095441272857</v>
      </c>
      <c r="AI93" s="155">
        <f t="shared" si="52"/>
        <v>10.129866520526306</v>
      </c>
      <c r="AJ93" s="155">
        <f t="shared" si="52"/>
        <v>5.6551715509920601</v>
      </c>
      <c r="AK93" s="155">
        <f t="shared" si="52"/>
        <v>27.396193448892852</v>
      </c>
      <c r="AL93" s="155">
        <f t="shared" si="52"/>
        <v>17.411679168657191</v>
      </c>
      <c r="AM93" s="155">
        <f t="shared" si="52"/>
        <v>9.1288219052102768</v>
      </c>
      <c r="AN93" s="155">
        <f t="shared" si="52"/>
        <v>4.9706434238807287</v>
      </c>
      <c r="AO93" s="155">
        <f t="shared" si="52"/>
        <v>20.522736110349221</v>
      </c>
      <c r="AP93" s="155">
        <f t="shared" si="52"/>
        <v>13.359724738940651</v>
      </c>
      <c r="AQ93" s="155">
        <f t="shared" si="52"/>
        <v>7.9661325122357951</v>
      </c>
      <c r="AR93" s="155">
        <f t="shared" si="52"/>
        <v>3.8790777938140319</v>
      </c>
      <c r="AS93" s="155">
        <f t="shared" si="52"/>
        <v>25.951943515052893</v>
      </c>
      <c r="AT93" s="155">
        <f t="shared" si="52"/>
        <v>18.559828867105431</v>
      </c>
      <c r="AU93" s="155">
        <f t="shared" si="52"/>
        <v>10.619783807135869</v>
      </c>
      <c r="AV93" s="155">
        <f t="shared" si="52"/>
        <v>5.4544089526188886</v>
      </c>
      <c r="AW93" s="155">
        <f t="shared" si="52"/>
        <v>25.461250464047616</v>
      </c>
      <c r="AX93" s="155">
        <f t="shared" si="52"/>
        <v>18.304700368168287</v>
      </c>
      <c r="AY93" s="155">
        <f t="shared" si="52"/>
        <v>11.849815909775939</v>
      </c>
      <c r="AZ93" s="155">
        <f t="shared" si="52"/>
        <v>5.6898384075230108</v>
      </c>
      <c r="BA93" s="155">
        <f t="shared" si="52"/>
        <v>21.773243072139369</v>
      </c>
      <c r="BB93" s="155">
        <f t="shared" si="52"/>
        <v>16.288255076956446</v>
      </c>
      <c r="BC93" s="155">
        <f t="shared" si="52"/>
        <v>8.7083458457521896</v>
      </c>
      <c r="BD93" s="155">
        <f t="shared" si="52"/>
        <v>4.8653806227632135</v>
      </c>
      <c r="BE93" s="155">
        <f t="shared" si="52"/>
        <v>53.761582891425832</v>
      </c>
      <c r="BF93" s="155">
        <f t="shared" si="52"/>
        <v>68.791500523138339</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24056.6</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4045550972.4299998</v>
      </c>
      <c r="F95" s="76">
        <f>资产资本表!F60</f>
        <v>1045852003.49</v>
      </c>
      <c r="G95" s="76">
        <f>资产资本表!G60</f>
        <v>870699739.72000003</v>
      </c>
      <c r="H95" s="76">
        <f>资产资本表!H60</f>
        <v>722121477.36000001</v>
      </c>
      <c r="I95" s="76">
        <f>资产资本表!I60</f>
        <v>709575043.62</v>
      </c>
      <c r="J95" s="76">
        <f>资产资本表!J60</f>
        <v>499748454.42000002</v>
      </c>
      <c r="K95" s="76">
        <f>资产资本表!K60</f>
        <v>474260065.75999999</v>
      </c>
      <c r="L95" s="76">
        <f>资产资本表!L60</f>
        <v>417249139.39999998</v>
      </c>
      <c r="M95" s="76">
        <f>资产资本表!M60</f>
        <v>417249139.39999998</v>
      </c>
      <c r="N95" s="76">
        <f>资产资本表!N60</f>
        <v>367254530.99000001</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242985.79</v>
      </c>
      <c r="AM95" s="76">
        <f>资产资本表!AM60</f>
        <v>242985.79</v>
      </c>
      <c r="AN95" s="76">
        <f>资产资本表!AN60</f>
        <v>242985.79</v>
      </c>
      <c r="AO95" s="76">
        <f>资产资本表!AO60</f>
        <v>242985.79</v>
      </c>
      <c r="AP95" s="76">
        <f>资产资本表!AP60</f>
        <v>242985.79</v>
      </c>
      <c r="AQ95" s="76">
        <f>资产资本表!AQ60</f>
        <v>242985.79</v>
      </c>
      <c r="AR95" s="76">
        <f>资产资本表!AR60</f>
        <v>242985.79</v>
      </c>
      <c r="AS95" s="76">
        <f>资产资本表!AS60</f>
        <v>242985.79</v>
      </c>
      <c r="AT95" s="76">
        <f>资产资本表!AT60</f>
        <v>242985.79</v>
      </c>
      <c r="AU95" s="76">
        <f>资产资本表!AU60</f>
        <v>242985.79</v>
      </c>
      <c r="AV95" s="76">
        <f>资产资本表!AV60</f>
        <v>0</v>
      </c>
      <c r="AW95" s="76">
        <f>资产资本表!AW60</f>
        <v>242985.79</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656199140.10000002</v>
      </c>
      <c r="F96" s="76">
        <f>资产资本表!F61</f>
        <v>416772358.72000003</v>
      </c>
      <c r="G96" s="76">
        <f>资产资本表!G61</f>
        <v>374762614.91000003</v>
      </c>
      <c r="H96" s="76">
        <f>资产资本表!H61</f>
        <v>346995799.00999999</v>
      </c>
      <c r="I96" s="76">
        <f>资产资本表!I61</f>
        <v>360789263.17000002</v>
      </c>
      <c r="J96" s="76">
        <f>资产资本表!J61</f>
        <v>340639328.95999998</v>
      </c>
      <c r="K96" s="76">
        <f>资产资本表!K61</f>
        <v>314458256.73000002</v>
      </c>
      <c r="L96" s="76">
        <f>资产资本表!L61</f>
        <v>285274465.14999998</v>
      </c>
      <c r="M96" s="76">
        <f>资产资本表!M61</f>
        <v>284440506.01999998</v>
      </c>
      <c r="N96" s="76">
        <f>资产资本表!N61</f>
        <v>269124811.12</v>
      </c>
      <c r="O96" s="76">
        <f>资产资本表!O61</f>
        <v>7944906.6699999999</v>
      </c>
      <c r="P96" s="76">
        <f>资产资本表!P61</f>
        <v>5906005.7800000003</v>
      </c>
      <c r="Q96" s="76">
        <f>资产资本表!Q61</f>
        <v>6009930.3399999999</v>
      </c>
      <c r="R96" s="76">
        <f>资产资本表!R61</f>
        <v>661867.43000000005</v>
      </c>
      <c r="S96" s="76">
        <f>资产资本表!S61</f>
        <v>1291962.3700000001</v>
      </c>
      <c r="T96" s="76">
        <f>资产资本表!T61</f>
        <v>1489720.45</v>
      </c>
      <c r="U96" s="76">
        <f>资产资本表!U61</f>
        <v>1650426.46</v>
      </c>
      <c r="V96" s="76">
        <f>资产资本表!V61</f>
        <v>1584408.29</v>
      </c>
      <c r="W96" s="76">
        <f>资产资本表!W61</f>
        <v>861626</v>
      </c>
      <c r="X96" s="76">
        <f>资产资本表!X61</f>
        <v>932663</v>
      </c>
      <c r="Y96" s="76">
        <f>资产资本表!Y61</f>
        <v>1003700</v>
      </c>
      <c r="Z96" s="76">
        <f>资产资本表!Z61</f>
        <v>1098704.93</v>
      </c>
      <c r="AA96" s="76">
        <f>资产资本表!AA61</f>
        <v>1193709.8600000001</v>
      </c>
      <c r="AB96" s="76">
        <f>资产资本表!AB61</f>
        <v>1216806</v>
      </c>
      <c r="AC96" s="76">
        <f>资产资本表!AC61</f>
        <v>1287842.98</v>
      </c>
      <c r="AD96" s="76">
        <f>资产资本表!AD61</f>
        <v>1098676.71</v>
      </c>
      <c r="AE96" s="76">
        <f>资产资本表!AE61</f>
        <v>1159951.8600000001</v>
      </c>
      <c r="AF96" s="76">
        <f>资产资本表!AF61</f>
        <v>351992.07</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1069269.7</v>
      </c>
      <c r="AS96" s="76">
        <f>资产资本表!AS61</f>
        <v>0</v>
      </c>
      <c r="AT96" s="76">
        <f>资产资本表!AT61</f>
        <v>269643.62</v>
      </c>
      <c r="AU96" s="76">
        <f>资产资本表!AU61</f>
        <v>0</v>
      </c>
      <c r="AV96" s="76">
        <f>资产资本表!AV61</f>
        <v>0</v>
      </c>
      <c r="AW96" s="76">
        <f>资产资本表!AW61</f>
        <v>12290.36</v>
      </c>
      <c r="AX96" s="76">
        <f>资产资本表!AX61</f>
        <v>30728.81</v>
      </c>
      <c r="AY96" s="76">
        <f>资产资本表!AY61</f>
        <v>68659.75</v>
      </c>
      <c r="AZ96" s="76">
        <f>资产资本表!AZ61</f>
        <v>146956.78</v>
      </c>
      <c r="BA96" s="76">
        <f>资产资本表!BA61</f>
        <v>203204.71</v>
      </c>
      <c r="BB96" s="76">
        <f>资产资本表!BB61</f>
        <v>335043.27</v>
      </c>
      <c r="BC96" s="76">
        <f>资产资本表!BC61</f>
        <v>373091.23</v>
      </c>
      <c r="BD96" s="76">
        <f>资产资本表!BD61</f>
        <v>543964</v>
      </c>
      <c r="BE96" s="76">
        <f>资产资本表!BE61</f>
        <v>991561.02</v>
      </c>
      <c r="BF96" s="76">
        <f>资产资本表!BF61</f>
        <v>1406163.94</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77347441.689999998</v>
      </c>
      <c r="F97" s="76">
        <f>资产资本表!F62</f>
        <v>59028774.950000003</v>
      </c>
      <c r="G97" s="76">
        <f>资产资本表!G62</f>
        <v>55604453.380000003</v>
      </c>
      <c r="H97" s="76">
        <f>资产资本表!H62</f>
        <v>66807974.159999996</v>
      </c>
      <c r="I97" s="76">
        <f>资产资本表!I62</f>
        <v>38388437.299999997</v>
      </c>
      <c r="J97" s="76">
        <f>资产资本表!J62</f>
        <v>42939676.799999997</v>
      </c>
      <c r="K97" s="76">
        <f>资产资本表!K62</f>
        <v>51989400.469999999</v>
      </c>
      <c r="L97" s="76">
        <f>资产资本表!L62</f>
        <v>73433521.069999993</v>
      </c>
      <c r="M97" s="76">
        <f>资产资本表!M62</f>
        <v>39731451.789999999</v>
      </c>
      <c r="N97" s="76">
        <f>资产资本表!N62</f>
        <v>51921398.890000001</v>
      </c>
      <c r="O97" s="76">
        <f>资产资本表!O62</f>
        <v>2264941.0699999998</v>
      </c>
      <c r="P97" s="76">
        <f>资产资本表!P62</f>
        <v>1515496.39</v>
      </c>
      <c r="Q97" s="76">
        <f>资产资本表!Q62</f>
        <v>1987294.22</v>
      </c>
      <c r="R97" s="76">
        <f>资产资本表!R62</f>
        <v>2855919.02</v>
      </c>
      <c r="S97" s="76">
        <f>资产资本表!S62</f>
        <v>1403136.65</v>
      </c>
      <c r="T97" s="76">
        <f>资产资本表!T62</f>
        <v>264292.14</v>
      </c>
      <c r="U97" s="76">
        <f>资产资本表!U62</f>
        <v>967984.17</v>
      </c>
      <c r="V97" s="76">
        <f>资产资本表!V62</f>
        <v>5257006.2</v>
      </c>
      <c r="W97" s="76">
        <f>资产资本表!W62</f>
        <v>4801691.34</v>
      </c>
      <c r="X97" s="76">
        <f>资产资本表!X62</f>
        <v>5406597.2999999998</v>
      </c>
      <c r="Y97" s="76">
        <f>资产资本表!Y62</f>
        <v>5421310.5099999998</v>
      </c>
      <c r="Z97" s="76">
        <f>资产资本表!Z62</f>
        <v>4417203.72</v>
      </c>
      <c r="AA97" s="76">
        <f>资产资本表!AA62</f>
        <v>4417203.72</v>
      </c>
      <c r="AB97" s="76">
        <f>资产资本表!AB62</f>
        <v>672266.38</v>
      </c>
      <c r="AC97" s="76">
        <f>资产资本表!AC62</f>
        <v>663430.69999999995</v>
      </c>
      <c r="AD97" s="76">
        <f>资产资本表!AD62</f>
        <v>303495.55</v>
      </c>
      <c r="AE97" s="76">
        <f>资产资本表!AE62</f>
        <v>301509.95</v>
      </c>
      <c r="AF97" s="76">
        <f>资产资本表!AF62</f>
        <v>287446.88</v>
      </c>
      <c r="AG97" s="76">
        <f>资产资本表!AG62</f>
        <v>185947.63</v>
      </c>
      <c r="AH97" s="76">
        <f>资产资本表!AH62</f>
        <v>534430.61</v>
      </c>
      <c r="AI97" s="76">
        <f>资产资本表!AI62</f>
        <v>327586.21999999997</v>
      </c>
      <c r="AJ97" s="76">
        <f>资产资本表!AJ62</f>
        <v>60728.86</v>
      </c>
      <c r="AK97" s="76">
        <f>资产资本表!AK62</f>
        <v>305342.78999999998</v>
      </c>
      <c r="AL97" s="76">
        <f>资产资本表!AL62</f>
        <v>405232.72</v>
      </c>
      <c r="AM97" s="76">
        <f>资产资本表!AM62</f>
        <v>386236.2</v>
      </c>
      <c r="AN97" s="76">
        <f>资产资本表!AN62</f>
        <v>389199.74</v>
      </c>
      <c r="AO97" s="76">
        <f>资产资本表!AO62</f>
        <v>373628.78</v>
      </c>
      <c r="AP97" s="76">
        <f>资产资本表!AP62</f>
        <v>477794.82</v>
      </c>
      <c r="AQ97" s="76">
        <f>资产资本表!AQ62</f>
        <v>600720.41</v>
      </c>
      <c r="AR97" s="76">
        <f>资产资本表!AR62</f>
        <v>448259.91</v>
      </c>
      <c r="AS97" s="76">
        <f>资产资本表!AS62</f>
        <v>448259.91</v>
      </c>
      <c r="AT97" s="76">
        <f>资产资本表!AT62</f>
        <v>443775.13</v>
      </c>
      <c r="AU97" s="76">
        <f>资产资本表!AU62</f>
        <v>423503.43</v>
      </c>
      <c r="AV97" s="76">
        <f>资产资本表!AV62</f>
        <v>903809.24</v>
      </c>
      <c r="AW97" s="76">
        <f>资产资本表!AW62</f>
        <v>789338.68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18662995.09</v>
      </c>
      <c r="F98" s="76">
        <f>资产资本表!F63</f>
        <v>19918853.199999999</v>
      </c>
      <c r="G98" s="76">
        <f>资产资本表!G63</f>
        <v>14885174.109999999</v>
      </c>
      <c r="H98" s="76">
        <f>资产资本表!H63</f>
        <v>11135043.470000001</v>
      </c>
      <c r="I98" s="76">
        <f>资产资本表!I63</f>
        <v>11109206.34</v>
      </c>
      <c r="J98" s="76">
        <f>资产资本表!J63</f>
        <v>3287796.74</v>
      </c>
      <c r="K98" s="76">
        <f>资产资本表!K63</f>
        <v>1561919.33</v>
      </c>
      <c r="L98" s="76">
        <f>资产资本表!L63</f>
        <v>1251641.93</v>
      </c>
      <c r="M98" s="76">
        <f>资产资本表!M63</f>
        <v>1286364.54</v>
      </c>
      <c r="N98" s="76">
        <f>资产资本表!N63</f>
        <v>449319.15</v>
      </c>
      <c r="O98" s="76">
        <f>资产资本表!O63</f>
        <v>0</v>
      </c>
      <c r="P98" s="76">
        <f>资产资本表!P63</f>
        <v>0</v>
      </c>
      <c r="Q98" s="76">
        <f>资产资本表!Q63</f>
        <v>0</v>
      </c>
      <c r="R98" s="76">
        <f>资产资本表!R63</f>
        <v>50143.37</v>
      </c>
      <c r="S98" s="76">
        <f>资产资本表!S63</f>
        <v>50093.07</v>
      </c>
      <c r="T98" s="76">
        <f>资产资本表!T63</f>
        <v>50093.07</v>
      </c>
      <c r="U98" s="76">
        <f>资产资本表!U63</f>
        <v>50093.07</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21000.69</v>
      </c>
      <c r="AU98" s="76">
        <f>资产资本表!AU63</f>
        <v>21000.69</v>
      </c>
      <c r="AV98" s="76">
        <f>资产资本表!AV63</f>
        <v>30768.3</v>
      </c>
      <c r="AW98" s="76">
        <f>资产资本表!AW63</f>
        <v>28307.23</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132573929.23999999</v>
      </c>
      <c r="F99" s="93">
        <f>资产资本表!F64</f>
        <v>117802671.14</v>
      </c>
      <c r="G99" s="93">
        <f>资产资本表!G64</f>
        <v>127002556.39</v>
      </c>
      <c r="H99" s="93">
        <f>资产资本表!H64</f>
        <v>75635509.969999999</v>
      </c>
      <c r="I99" s="93">
        <f>资产资本表!I64</f>
        <v>40782714.409999996</v>
      </c>
      <c r="J99" s="93">
        <f>资产资本表!J64</f>
        <v>21972107.079999998</v>
      </c>
      <c r="K99" s="93">
        <f>资产资本表!K64</f>
        <v>43832519.950000003</v>
      </c>
      <c r="L99" s="93">
        <f>资产资本表!L64</f>
        <v>28316947.550000001</v>
      </c>
      <c r="M99" s="93">
        <f>资产资本表!M64</f>
        <v>23812543.91</v>
      </c>
      <c r="N99" s="93">
        <f>资产资本表!N64</f>
        <v>39652590.229999997</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1372957462.97</v>
      </c>
      <c r="F100" s="197">
        <f t="shared" ref="F100:BQ100" si="54">(F84+J84)/2</f>
        <v>1077938217.7049999</v>
      </c>
      <c r="G100" s="197">
        <f t="shared" si="54"/>
        <v>946209793.255</v>
      </c>
      <c r="H100" s="197">
        <f t="shared" si="54"/>
        <v>806680496.91000009</v>
      </c>
      <c r="I100" s="197">
        <f t="shared" si="54"/>
        <v>780729392.84000003</v>
      </c>
      <c r="J100" s="197">
        <f t="shared" si="54"/>
        <v>691545095.82500005</v>
      </c>
      <c r="K100" s="197">
        <f t="shared" si="54"/>
        <v>439184311.375</v>
      </c>
      <c r="L100" s="197">
        <f t="shared" si="54"/>
        <v>373369981.66000003</v>
      </c>
      <c r="M100" s="197">
        <f t="shared" si="54"/>
        <v>366812210.38499999</v>
      </c>
      <c r="N100" s="197">
        <f t="shared" si="54"/>
        <v>336713348.12</v>
      </c>
      <c r="O100" s="197">
        <f t="shared" si="54"/>
        <v>117178633.96000001</v>
      </c>
      <c r="P100" s="197">
        <f t="shared" si="54"/>
        <v>119429289.495</v>
      </c>
      <c r="Q100" s="197">
        <f t="shared" si="54"/>
        <v>121941230.29000001</v>
      </c>
      <c r="R100" s="197">
        <f t="shared" si="54"/>
        <v>175200157.625</v>
      </c>
      <c r="S100" s="197">
        <f t="shared" si="54"/>
        <v>100227940.375</v>
      </c>
      <c r="T100" s="197">
        <f t="shared" si="54"/>
        <v>102895308.825</v>
      </c>
      <c r="U100" s="197">
        <f t="shared" si="54"/>
        <v>101586669.155</v>
      </c>
      <c r="V100" s="197">
        <f t="shared" si="54"/>
        <v>147995652.72999999</v>
      </c>
      <c r="W100" s="197">
        <f t="shared" si="54"/>
        <v>72383755.234999999</v>
      </c>
      <c r="X100" s="197">
        <f t="shared" si="54"/>
        <v>75101649.305000007</v>
      </c>
      <c r="Y100" s="197">
        <f t="shared" si="54"/>
        <v>73754092.200000003</v>
      </c>
      <c r="Z100" s="197">
        <f t="shared" si="54"/>
        <v>80863001.039999992</v>
      </c>
      <c r="AA100" s="197">
        <f t="shared" si="54"/>
        <v>77291944.099999994</v>
      </c>
      <c r="AB100" s="197">
        <f t="shared" si="54"/>
        <v>79915696.275000006</v>
      </c>
      <c r="AC100" s="197">
        <f t="shared" si="54"/>
        <v>75003167.965000004</v>
      </c>
      <c r="AD100" s="197">
        <f t="shared" si="54"/>
        <v>80935828.719999999</v>
      </c>
      <c r="AE100" s="197">
        <f t="shared" si="54"/>
        <v>77134566.224999994</v>
      </c>
      <c r="AF100" s="197">
        <f t="shared" si="54"/>
        <v>78808119.284999996</v>
      </c>
      <c r="AG100" s="197">
        <f t="shared" si="54"/>
        <v>73917308.724999994</v>
      </c>
      <c r="AH100" s="197">
        <f t="shared" si="54"/>
        <v>75411224.405000001</v>
      </c>
      <c r="AI100" s="197">
        <f t="shared" si="54"/>
        <v>77729718.919999987</v>
      </c>
      <c r="AJ100" s="197">
        <f t="shared" si="54"/>
        <v>79626723.215000004</v>
      </c>
      <c r="AK100" s="197">
        <f t="shared" si="54"/>
        <v>82245233.699999988</v>
      </c>
      <c r="AL100" s="197">
        <f t="shared" si="54"/>
        <v>88696489.400000006</v>
      </c>
      <c r="AM100" s="197">
        <f t="shared" si="54"/>
        <v>91475916.430000007</v>
      </c>
      <c r="AN100" s="197">
        <f t="shared" si="54"/>
        <v>95382304.105000004</v>
      </c>
      <c r="AO100" s="197">
        <f t="shared" si="54"/>
        <v>98378985.439999998</v>
      </c>
      <c r="AP100" s="197">
        <f t="shared" si="54"/>
        <v>102392081.66</v>
      </c>
      <c r="AQ100" s="197">
        <f t="shared" si="54"/>
        <v>105729205.375</v>
      </c>
      <c r="AR100" s="197">
        <f t="shared" si="54"/>
        <v>108987738.325</v>
      </c>
      <c r="AS100" s="197">
        <f t="shared" si="54"/>
        <v>112215155.66</v>
      </c>
      <c r="AT100" s="197">
        <f t="shared" si="54"/>
        <v>104790419.06</v>
      </c>
      <c r="AU100" s="197">
        <f t="shared" si="54"/>
        <v>106249207.16</v>
      </c>
      <c r="AV100" s="197">
        <f t="shared" si="54"/>
        <v>107717148.13499999</v>
      </c>
      <c r="AW100" s="197">
        <f t="shared" si="54"/>
        <v>110095918.78999999</v>
      </c>
      <c r="AX100" s="197">
        <f t="shared" si="54"/>
        <v>97071982.780000001</v>
      </c>
      <c r="AY100" s="197">
        <f t="shared" si="54"/>
        <v>95601579.590000004</v>
      </c>
      <c r="AZ100" s="197">
        <f t="shared" si="54"/>
        <v>99871197.400000006</v>
      </c>
      <c r="BA100" s="197">
        <f t="shared" si="54"/>
        <v>94462283.289999992</v>
      </c>
      <c r="BB100" s="197">
        <f t="shared" si="54"/>
        <v>81661250.125</v>
      </c>
      <c r="BC100" s="197">
        <f t="shared" si="54"/>
        <v>45027853.354999997</v>
      </c>
      <c r="BD100" s="197">
        <f t="shared" si="54"/>
        <v>48369139.015000001</v>
      </c>
      <c r="BE100" s="197">
        <f t="shared" si="54"/>
        <v>42101874.104999997</v>
      </c>
      <c r="BF100" s="197">
        <f t="shared" si="54"/>
        <v>35598483.954999998</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0.75907400289370475</v>
      </c>
      <c r="F101" s="252">
        <f t="shared" ref="F101:BQ101" si="56">F100/F84</f>
        <v>0.81581742070597718</v>
      </c>
      <c r="G101" s="252">
        <f t="shared" si="56"/>
        <v>0.84498856884767837</v>
      </c>
      <c r="H101" s="252">
        <f t="shared" si="56"/>
        <v>0.82851773801961348</v>
      </c>
      <c r="I101" s="252">
        <f t="shared" si="56"/>
        <v>0.83305511362440132</v>
      </c>
      <c r="J101" s="252">
        <f t="shared" si="56"/>
        <v>0.82861641568456534</v>
      </c>
      <c r="K101" s="252">
        <f t="shared" si="56"/>
        <v>0.56842806497526821</v>
      </c>
      <c r="L101" s="252">
        <f t="shared" si="56"/>
        <v>0.58364777278262581</v>
      </c>
      <c r="M101" s="252">
        <f t="shared" si="56"/>
        <v>0.58758525216839741</v>
      </c>
      <c r="N101" s="252">
        <f t="shared" si="56"/>
        <v>0.61386674953289622</v>
      </c>
      <c r="O101" s="252">
        <f t="shared" si="56"/>
        <v>1.1081865388220309</v>
      </c>
      <c r="P101" s="252">
        <f t="shared" si="56"/>
        <v>1.115932446631664</v>
      </c>
      <c r="Q101" s="252">
        <f t="shared" si="56"/>
        <v>1.1151073925245145</v>
      </c>
      <c r="R101" s="252">
        <f t="shared" si="56"/>
        <v>1.40255968209379</v>
      </c>
      <c r="S101" s="252">
        <f t="shared" si="56"/>
        <v>0.77926728900326581</v>
      </c>
      <c r="T101" s="252">
        <f t="shared" si="56"/>
        <v>0.78047600041874832</v>
      </c>
      <c r="U101" s="252">
        <f t="shared" si="56"/>
        <v>0.75513030743610376</v>
      </c>
      <c r="V101" s="252">
        <f t="shared" si="56"/>
        <v>0.65634153949051999</v>
      </c>
      <c r="W101" s="252">
        <f t="shared" si="56"/>
        <v>1.0076012231546245</v>
      </c>
      <c r="X101" s="252">
        <f t="shared" si="56"/>
        <v>1.0155182938218432</v>
      </c>
      <c r="Y101" s="252">
        <f t="shared" si="56"/>
        <v>1.0744327908836178</v>
      </c>
      <c r="Z101" s="252">
        <f t="shared" si="56"/>
        <v>1.1469022591975366</v>
      </c>
      <c r="AA101" s="252">
        <f t="shared" si="56"/>
        <v>1.0598127774106463</v>
      </c>
      <c r="AB101" s="252">
        <f t="shared" si="56"/>
        <v>1.0480844733931938</v>
      </c>
      <c r="AC101" s="252">
        <f t="shared" si="56"/>
        <v>0.95105037441949503</v>
      </c>
      <c r="AD101" s="252">
        <f t="shared" si="56"/>
        <v>0.88725551500231858</v>
      </c>
      <c r="AE101" s="252">
        <f t="shared" si="56"/>
        <v>0.94465050094067826</v>
      </c>
      <c r="AF101" s="252">
        <f t="shared" si="56"/>
        <v>0.94288270177197453</v>
      </c>
      <c r="AG101" s="252">
        <f t="shared" si="56"/>
        <v>1.038998729049976</v>
      </c>
      <c r="AH101" s="252">
        <f t="shared" si="56"/>
        <v>1.067373152325527</v>
      </c>
      <c r="AI101" s="252">
        <f t="shared" si="56"/>
        <v>1.0704353266535096</v>
      </c>
      <c r="AJ101" s="252">
        <f t="shared" si="56"/>
        <v>1.0755406653572701</v>
      </c>
      <c r="AK101" s="252">
        <f t="shared" si="56"/>
        <v>1.0724125120720893</v>
      </c>
      <c r="AL101" s="252">
        <f t="shared" si="56"/>
        <v>1.1063382717587618</v>
      </c>
      <c r="AM101" s="252">
        <f t="shared" si="56"/>
        <v>1.1041897115701602</v>
      </c>
      <c r="AN101" s="252">
        <f t="shared" si="56"/>
        <v>1.1192569256731562</v>
      </c>
      <c r="AO101" s="252">
        <f t="shared" si="56"/>
        <v>1.1205064451791635</v>
      </c>
      <c r="AP101" s="252">
        <f t="shared" si="56"/>
        <v>1.0531807213120348</v>
      </c>
      <c r="AQ101" s="252">
        <f t="shared" si="56"/>
        <v>1.0561572244300792</v>
      </c>
      <c r="AR101" s="252">
        <f t="shared" si="56"/>
        <v>1.0326157703654728</v>
      </c>
      <c r="AS101" s="252">
        <f t="shared" si="56"/>
        <v>1.0298814675366377</v>
      </c>
      <c r="AT101" s="252">
        <f t="shared" si="56"/>
        <v>0.97422904552406486</v>
      </c>
      <c r="AU101" s="252">
        <f t="shared" si="56"/>
        <v>0.95418311072272077</v>
      </c>
      <c r="AV101" s="252">
        <f t="shared" si="56"/>
        <v>0.95808037142731761</v>
      </c>
      <c r="AW101" s="252">
        <f t="shared" si="56"/>
        <v>0.9534506540535107</v>
      </c>
      <c r="AX101" s="252">
        <f t="shared" si="56"/>
        <v>0.95151415010135365</v>
      </c>
      <c r="AY101" s="252">
        <f t="shared" si="56"/>
        <v>0.94517041463160045</v>
      </c>
      <c r="AZ101" s="252">
        <f t="shared" si="56"/>
        <v>0.96958452275266294</v>
      </c>
      <c r="BA101" s="252">
        <f t="shared" si="56"/>
        <v>0.90203920061286647</v>
      </c>
      <c r="BB101" s="252">
        <f t="shared" si="56"/>
        <v>0.8864127897098022</v>
      </c>
      <c r="BC101" s="252">
        <f t="shared" si="56"/>
        <v>0.5</v>
      </c>
      <c r="BD101" s="252">
        <f t="shared" si="56"/>
        <v>0.5</v>
      </c>
      <c r="BE101" s="252">
        <f t="shared" si="56"/>
        <v>0.5</v>
      </c>
      <c r="BF101" s="252">
        <f t="shared" si="56"/>
        <v>0.5</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7" t="s">
        <v>688</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E31" sqref="E31"/>
    </sheetView>
  </sheetViews>
  <sheetFormatPr defaultRowHeight="14.4" x14ac:dyDescent="0.25"/>
  <cols>
    <col min="1" max="1" width="63.21875" style="17" bestFit="1" customWidth="1"/>
    <col min="2" max="4" width="9.5546875" hidden="1" customWidth="1"/>
    <col min="5" max="5" width="21.44140625" bestFit="1" customWidth="1"/>
    <col min="6" max="6" width="19.33203125" hidden="1" customWidth="1"/>
    <col min="7" max="8" width="20.21875" hidden="1" customWidth="1"/>
    <col min="9" max="9" width="19.33203125" bestFit="1" customWidth="1"/>
    <col min="10" max="10" width="19.33203125" hidden="1" customWidth="1"/>
    <col min="11" max="12" width="20.21875" hidden="1" customWidth="1"/>
    <col min="13" max="13" width="19.33203125" bestFit="1" customWidth="1"/>
    <col min="14" max="14" width="19.33203125" hidden="1" customWidth="1"/>
    <col min="15" max="15" width="19" hidden="1" customWidth="1"/>
    <col min="16" max="16" width="17.21875" hidden="1" customWidth="1"/>
    <col min="17" max="17" width="17.77734375" bestFit="1" customWidth="1"/>
    <col min="18" max="18" width="19" hidden="1" customWidth="1"/>
    <col min="19" max="19" width="20.21875" hidden="1" customWidth="1"/>
    <col min="20" max="20" width="19" hidden="1" customWidth="1"/>
    <col min="21" max="21" width="19" bestFit="1" customWidth="1"/>
    <col min="22" max="23" width="19" hidden="1" customWidth="1"/>
    <col min="24" max="24" width="17.21875" hidden="1" customWidth="1"/>
    <col min="25" max="25" width="17.77734375" bestFit="1" customWidth="1"/>
    <col min="26" max="26" width="17.77734375" hidden="1" customWidth="1"/>
    <col min="27" max="27" width="19" hidden="1" customWidth="1"/>
    <col min="28" max="28" width="17.77734375" hidden="1" customWidth="1"/>
    <col min="29" max="29" width="17.77734375" bestFit="1" customWidth="1"/>
    <col min="30" max="30" width="17.77734375" hidden="1" customWidth="1"/>
    <col min="31" max="31" width="19" hidden="1" customWidth="1"/>
    <col min="32" max="32" width="17.77734375" hidden="1" customWidth="1"/>
    <col min="33" max="33" width="17.77734375" bestFit="1" customWidth="1"/>
    <col min="34" max="34" width="19" hidden="1" customWidth="1"/>
    <col min="35" max="36" width="17.77734375" hidden="1" customWidth="1"/>
    <col min="37" max="37" width="17.77734375" bestFit="1" customWidth="1"/>
    <col min="38" max="38" width="17.77734375" hidden="1" customWidth="1"/>
    <col min="39" max="39" width="17.21875" hidden="1" customWidth="1"/>
    <col min="40" max="40" width="17.77734375" hidden="1" customWidth="1"/>
    <col min="41" max="41" width="17.77734375" bestFit="1" customWidth="1"/>
    <col min="42" max="42" width="17.21875" hidden="1" customWidth="1"/>
    <col min="43" max="44" width="17.77734375" hidden="1" customWidth="1"/>
    <col min="45" max="45" width="17.77734375" bestFit="1" customWidth="1"/>
    <col min="46" max="48" width="17.77734375" hidden="1" customWidth="1"/>
    <col min="49" max="49" width="17.77734375" bestFit="1" customWidth="1"/>
    <col min="50" max="51" width="17.77734375" hidden="1" customWidth="1"/>
    <col min="52" max="52" width="17.21875" hidden="1" customWidth="1"/>
    <col min="53" max="53" width="17.77734375" bestFit="1" customWidth="1"/>
    <col min="54" max="54" width="17.77734375" hidden="1" customWidth="1"/>
    <col min="55" max="55" width="17.21875" hidden="1" customWidth="1"/>
    <col min="56" max="56" width="17.77734375" bestFit="1" customWidth="1"/>
    <col min="57" max="60" width="17.21875" hidden="1" customWidth="1"/>
    <col min="61" max="61" width="17.21875" bestFit="1" customWidth="1"/>
    <col min="62" max="62" width="10.5546875" hidden="1" customWidth="1"/>
    <col min="63" max="63" width="16.109375" hidden="1" customWidth="1"/>
    <col min="64"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5" bestFit="1" customWidth="1"/>
    <col min="72" max="72" width="15" hidden="1" customWidth="1"/>
    <col min="73" max="73" width="17.21875" bestFit="1" customWidth="1"/>
    <col min="74" max="74" width="17.21875" hidden="1" customWidth="1"/>
    <col min="75" max="75" width="16.109375" bestFit="1" customWidth="1"/>
    <col min="76" max="76" width="17.21875" bestFit="1" customWidth="1"/>
    <col min="77" max="77" width="16.10937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6365503568.4300003</v>
      </c>
      <c r="F2" s="26">
        <f>现金流量表!F4</f>
        <v>2563812880.6199999</v>
      </c>
      <c r="G2" s="26">
        <f>现金流量表!G4</f>
        <v>1434475395.1600001</v>
      </c>
      <c r="H2" s="26">
        <f>现金流量表!H4</f>
        <v>734676277.87</v>
      </c>
      <c r="I2" s="26">
        <f>现金流量表!I4</f>
        <v>2996647206.96</v>
      </c>
      <c r="J2" s="26">
        <f>现金流量表!J4</f>
        <v>1608019774.3399999</v>
      </c>
      <c r="K2" s="26">
        <f>现金流量表!K4</f>
        <v>925311345.46000004</v>
      </c>
      <c r="L2" s="26">
        <f>现金流量表!L4</f>
        <v>497404132.92000002</v>
      </c>
      <c r="M2" s="26">
        <f>现金流量表!M4</f>
        <v>2007165347.3099999</v>
      </c>
      <c r="N2" s="26">
        <f>现金流量表!N4</f>
        <v>1255295061.2</v>
      </c>
      <c r="O2" s="26">
        <f>现金流量表!O4</f>
        <v>219369473.03999999</v>
      </c>
      <c r="P2" s="26">
        <f>现金流量表!P4</f>
        <v>134656836.88999999</v>
      </c>
      <c r="Q2" s="26">
        <f>现金流量表!Q4</f>
        <v>729675637.25999999</v>
      </c>
      <c r="R2" s="26">
        <f>现金流量表!R4</f>
        <v>461048190.47000003</v>
      </c>
      <c r="S2" s="26">
        <f>现金流量表!S4</f>
        <v>221636268.99000001</v>
      </c>
      <c r="T2" s="26">
        <f>现金流量表!T4</f>
        <v>121405850.08</v>
      </c>
      <c r="U2" s="26">
        <f>现金流量表!U4</f>
        <v>818944827.64999998</v>
      </c>
      <c r="V2" s="26">
        <f>现金流量表!V4</f>
        <v>535894525.52999997</v>
      </c>
      <c r="W2" s="26">
        <f>现金流量表!W4</f>
        <v>296943999.95999998</v>
      </c>
      <c r="X2" s="26">
        <f>现金流量表!X4</f>
        <v>158423526.66999999</v>
      </c>
      <c r="Y2" s="26">
        <f>现金流量表!Y4</f>
        <v>695136214.37</v>
      </c>
      <c r="Z2" s="26">
        <f>现金流量表!Z4</f>
        <v>498755274.87</v>
      </c>
      <c r="AA2" s="26">
        <f>现金流量表!AA4</f>
        <v>245931844.19</v>
      </c>
      <c r="AB2" s="26">
        <f>现金流量表!AB4</f>
        <v>132755071.81</v>
      </c>
      <c r="AC2" s="26">
        <f>现金流量表!AC4</f>
        <v>751409957.61000001</v>
      </c>
      <c r="AD2" s="26">
        <f>现金流量表!AD4</f>
        <v>533218581.94999999</v>
      </c>
      <c r="AE2" s="26">
        <f>现金流量表!AE4</f>
        <v>259714741.61000001</v>
      </c>
      <c r="AF2" s="26">
        <f>现金流量表!AF4</f>
        <v>113588937.41</v>
      </c>
      <c r="AG2" s="26">
        <f>现金流量表!AG4</f>
        <v>570193955.13</v>
      </c>
      <c r="AH2" s="26">
        <f>现金流量表!AH4</f>
        <v>349422574.08999997</v>
      </c>
      <c r="AI2" s="26">
        <f>现金流量表!AI4</f>
        <v>186863822.75</v>
      </c>
      <c r="AJ2" s="26">
        <f>现金流量表!AJ4</f>
        <v>126922728.20999999</v>
      </c>
      <c r="AK2" s="26">
        <f>现金流量表!AK4</f>
        <v>534102709.42000002</v>
      </c>
      <c r="AL2" s="26">
        <f>现金流量表!AL4</f>
        <v>370297207.61000001</v>
      </c>
      <c r="AM2" s="26">
        <f>现金流量表!AM4</f>
        <v>199969332.44</v>
      </c>
      <c r="AN2" s="26">
        <f>现金流量表!AN4</f>
        <v>108299394.04000001</v>
      </c>
      <c r="AO2" s="26">
        <f>现金流量表!AO4</f>
        <v>441443269.69999999</v>
      </c>
      <c r="AP2" s="26">
        <f>现金流量表!AP4</f>
        <v>287267891.01999998</v>
      </c>
      <c r="AQ2" s="26">
        <f>现金流量表!AQ4</f>
        <v>190717958.13</v>
      </c>
      <c r="AR2" s="26">
        <f>现金流量表!AR4</f>
        <v>110970878.48999999</v>
      </c>
      <c r="AS2" s="26">
        <f>现金流量表!AS4</f>
        <v>564252268.80999994</v>
      </c>
      <c r="AT2" s="26">
        <f>现金流量表!AT4</f>
        <v>429697088.97000003</v>
      </c>
      <c r="AU2" s="26">
        <f>现金流量表!AU4</f>
        <v>251850745.08000001</v>
      </c>
      <c r="AV2" s="26">
        <f>现金流量表!AV4</f>
        <v>117979610.13</v>
      </c>
      <c r="AW2" s="26">
        <f>现金流量表!AW4</f>
        <v>606495973.63</v>
      </c>
      <c r="AX2" s="26">
        <f>现金流量表!AX4</f>
        <v>429730394.70999998</v>
      </c>
      <c r="AY2" s="26">
        <f>现金流量表!AY4</f>
        <v>276992441.45999998</v>
      </c>
      <c r="AZ2" s="26">
        <f>现金流量表!AZ4</f>
        <v>121935846.84999999</v>
      </c>
      <c r="BA2" s="26">
        <f>现金流量表!BA4</f>
        <v>586815278.88</v>
      </c>
      <c r="BB2" s="26">
        <f>现金流量表!BB4</f>
        <v>422348027.94</v>
      </c>
      <c r="BC2" s="26">
        <f>现金流量表!BC4</f>
        <v>255113644.09999999</v>
      </c>
      <c r="BD2" s="26">
        <f>现金流量表!BD4</f>
        <v>581554886.69000006</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6233050789.2700005</v>
      </c>
      <c r="F3" s="26">
        <f>利润表!F3</f>
        <v>2989216840.73</v>
      </c>
      <c r="G3" s="26">
        <f>利润表!G3</f>
        <v>1621362138.1800001</v>
      </c>
      <c r="H3" s="26">
        <f>利润表!H3</f>
        <v>554996254.27999997</v>
      </c>
      <c r="I3" s="26">
        <f>利润表!I3</f>
        <v>3081860748.46</v>
      </c>
      <c r="J3" s="26">
        <f>利润表!J3</f>
        <v>1882610155.46</v>
      </c>
      <c r="K3" s="26">
        <f>利润表!K3</f>
        <v>1042533326.38</v>
      </c>
      <c r="L3" s="26">
        <f>利润表!L3</f>
        <v>309009125.79000002</v>
      </c>
      <c r="M3" s="26">
        <f>利润表!M3</f>
        <v>2101482138.0899999</v>
      </c>
      <c r="N3" s="26">
        <f>利润表!N3</f>
        <v>1287716120.8399999</v>
      </c>
      <c r="O3" s="26">
        <f>利润表!O3</f>
        <v>243000932.12</v>
      </c>
      <c r="P3" s="26">
        <f>利润表!P3</f>
        <v>103093463.67</v>
      </c>
      <c r="Q3" s="26">
        <f>利润表!Q3</f>
        <v>716060234.61000001</v>
      </c>
      <c r="R3" s="26">
        <f>利润表!R3</f>
        <v>513808009.31</v>
      </c>
      <c r="S3" s="26">
        <f>利润表!S3</f>
        <v>226679169.19999999</v>
      </c>
      <c r="T3" s="26">
        <f>利润表!T3</f>
        <v>84384146.780000001</v>
      </c>
      <c r="U3" s="26">
        <f>利润表!U3</f>
        <v>769233340.97000003</v>
      </c>
      <c r="V3" s="26">
        <f>利润表!V3</f>
        <v>505160617.19999999</v>
      </c>
      <c r="W3" s="26">
        <f>利润表!W3</f>
        <v>244045439.34</v>
      </c>
      <c r="X3" s="26">
        <f>利润表!X3</f>
        <v>124255763.25</v>
      </c>
      <c r="Y3" s="26">
        <f>利润表!Y3</f>
        <v>691214660.60000002</v>
      </c>
      <c r="Z3" s="26">
        <f>利润表!Z3</f>
        <v>479068814.31999999</v>
      </c>
      <c r="AA3" s="26">
        <f>利润表!AA3</f>
        <v>247057637.74000001</v>
      </c>
      <c r="AB3" s="26">
        <f>利润表!AB3</f>
        <v>129105048.27</v>
      </c>
      <c r="AC3" s="26">
        <f>利润表!AC3</f>
        <v>776359138.99000001</v>
      </c>
      <c r="AD3" s="26">
        <f>利润表!AD3</f>
        <v>579326555.54999995</v>
      </c>
      <c r="AE3" s="26">
        <f>利润表!AE3</f>
        <v>304913961.62</v>
      </c>
      <c r="AF3" s="26">
        <f>利润表!AF3</f>
        <v>129331362.36</v>
      </c>
      <c r="AG3" s="26">
        <f>利润表!AG3</f>
        <v>554317044.60000002</v>
      </c>
      <c r="AH3" s="26">
        <f>利润表!AH3</f>
        <v>356208895.57999998</v>
      </c>
      <c r="AI3" s="26">
        <f>利润表!AI3</f>
        <v>184973928.56</v>
      </c>
      <c r="AJ3" s="26">
        <f>利润表!AJ3</f>
        <v>104299108.65000001</v>
      </c>
      <c r="AK3" s="26">
        <f>利润表!AK3</f>
        <v>509839028.19</v>
      </c>
      <c r="AL3" s="26">
        <f>利润表!AL3</f>
        <v>339390401.16000003</v>
      </c>
      <c r="AM3" s="26">
        <f>利润表!AM3</f>
        <v>179720032.56</v>
      </c>
      <c r="AN3" s="26">
        <f>利润表!AN3</f>
        <v>98918353.280000001</v>
      </c>
      <c r="AO3" s="26">
        <f>利润表!AO3</f>
        <v>412981840.82999998</v>
      </c>
      <c r="AP3" s="26">
        <f>利润表!AP3</f>
        <v>271774932.64999998</v>
      </c>
      <c r="AQ3" s="26">
        <f>利润表!AQ3</f>
        <v>163859513.34999999</v>
      </c>
      <c r="AR3" s="26">
        <f>利润表!AR3</f>
        <v>83742016.219999999</v>
      </c>
      <c r="AS3" s="26">
        <f>利润表!AS3</f>
        <v>566295103.17999995</v>
      </c>
      <c r="AT3" s="26">
        <f>利润表!AT3</f>
        <v>419765060.01999998</v>
      </c>
      <c r="AU3" s="26">
        <f>利润表!AU3</f>
        <v>242760630.49000001</v>
      </c>
      <c r="AV3" s="26">
        <f>利润表!AV3</f>
        <v>125941160.89</v>
      </c>
      <c r="AW3" s="26">
        <f>利润表!AW3</f>
        <v>593824099.46000004</v>
      </c>
      <c r="AX3" s="26">
        <f>利润表!AX3</f>
        <v>439235650.68000001</v>
      </c>
      <c r="AY3" s="26">
        <f>利润表!AY3</f>
        <v>287317133.20999998</v>
      </c>
      <c r="AZ3" s="26">
        <f>利润表!AZ3</f>
        <v>136790548.13</v>
      </c>
      <c r="BA3" s="26">
        <f>利润表!BA3</f>
        <v>529133442.5</v>
      </c>
      <c r="BB3" s="26">
        <f>利润表!BB3</f>
        <v>399964743</v>
      </c>
      <c r="BC3" s="26">
        <f>利润表!BC3</f>
        <v>216043193.16</v>
      </c>
      <c r="BD3" s="26">
        <f>利润表!BD3</f>
        <v>122965520.65000001</v>
      </c>
      <c r="BE3" s="26">
        <f>利润表!BE3</f>
        <v>563946853.73000002</v>
      </c>
      <c r="BF3" s="26">
        <f>利润表!BF3</f>
        <v>399399559.06999999</v>
      </c>
      <c r="BG3" s="26">
        <f>利润表!BG3</f>
        <v>216779358.47999999</v>
      </c>
      <c r="BH3" s="26">
        <f>利润表!BH3</f>
        <v>447530446.68000001</v>
      </c>
      <c r="BI3" s="26">
        <f>利润表!BI3</f>
        <v>335665721.81999999</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0.87286330955369151</v>
      </c>
      <c r="F5" s="28">
        <f t="shared" ref="F5:BQ5" si="2">(F2/(1+F4))/F3</f>
        <v>0.73306594239039424</v>
      </c>
      <c r="G5" s="28">
        <f t="shared" si="2"/>
        <v>0.75618353076065559</v>
      </c>
      <c r="H5" s="28">
        <f t="shared" si="2"/>
        <v>1.1314102352610416</v>
      </c>
      <c r="I5" s="28">
        <f t="shared" si="2"/>
        <v>0.83106835060782247</v>
      </c>
      <c r="J5" s="28">
        <f t="shared" si="2"/>
        <v>0.73003742783298442</v>
      </c>
      <c r="K5" s="28">
        <f t="shared" si="2"/>
        <v>0.75859867288385607</v>
      </c>
      <c r="L5" s="28">
        <f t="shared" si="2"/>
        <v>1.3757902341932047</v>
      </c>
      <c r="M5" s="28">
        <f t="shared" si="2"/>
        <v>0.81634095611728885</v>
      </c>
      <c r="N5" s="28">
        <f t="shared" si="2"/>
        <v>0.83318189804871678</v>
      </c>
      <c r="O5" s="28">
        <f t="shared" si="2"/>
        <v>0.77158253866274962</v>
      </c>
      <c r="P5" s="28">
        <f t="shared" si="2"/>
        <v>1.1163783763207475</v>
      </c>
      <c r="Q5" s="28">
        <f t="shared" si="2"/>
        <v>0.87095241528135459</v>
      </c>
      <c r="R5" s="28">
        <f t="shared" si="2"/>
        <v>0.76693682331300728</v>
      </c>
      <c r="S5" s="28">
        <f t="shared" si="2"/>
        <v>0.83568644268024594</v>
      </c>
      <c r="T5" s="28">
        <f t="shared" si="2"/>
        <v>1.2296822067726765</v>
      </c>
      <c r="U5" s="28">
        <f t="shared" si="2"/>
        <v>0.90993565523650022</v>
      </c>
      <c r="V5" s="28">
        <f t="shared" si="2"/>
        <v>0.90670074705894954</v>
      </c>
      <c r="W5" s="28">
        <f t="shared" si="2"/>
        <v>1.0399632595080583</v>
      </c>
      <c r="X5" s="28">
        <f t="shared" si="2"/>
        <v>1.0897259017043834</v>
      </c>
      <c r="Y5" s="28">
        <f t="shared" si="2"/>
        <v>0.85954993495049081</v>
      </c>
      <c r="Z5" s="28">
        <f t="shared" si="2"/>
        <v>0.88982322993206842</v>
      </c>
      <c r="AA5" s="28">
        <f t="shared" si="2"/>
        <v>0.85080614932682241</v>
      </c>
      <c r="AB5" s="28">
        <f t="shared" si="2"/>
        <v>0.87886472963153905</v>
      </c>
      <c r="AC5" s="28">
        <f t="shared" si="2"/>
        <v>0.82723407344119937</v>
      </c>
      <c r="AD5" s="28">
        <f t="shared" si="2"/>
        <v>0.78667613864579522</v>
      </c>
      <c r="AE5" s="28">
        <f t="shared" si="2"/>
        <v>0.72800343563513159</v>
      </c>
      <c r="AF5" s="28">
        <f t="shared" si="2"/>
        <v>0.75066526878955619</v>
      </c>
      <c r="AG5" s="28">
        <f t="shared" si="2"/>
        <v>0.87918144596571868</v>
      </c>
      <c r="AH5" s="28">
        <f t="shared" si="2"/>
        <v>0.83841750285380612</v>
      </c>
      <c r="AI5" s="28">
        <f t="shared" si="2"/>
        <v>0.86343340523952816</v>
      </c>
      <c r="AJ5" s="28">
        <f t="shared" si="2"/>
        <v>1.0400948357678153</v>
      </c>
      <c r="AK5" s="28">
        <f t="shared" si="2"/>
        <v>0.89537680914689544</v>
      </c>
      <c r="AL5" s="28">
        <f t="shared" si="2"/>
        <v>0.93253474098226263</v>
      </c>
      <c r="AM5" s="28">
        <f t="shared" si="2"/>
        <v>0.95100115950272424</v>
      </c>
      <c r="AN5" s="28">
        <f t="shared" si="2"/>
        <v>0.9357574361105726</v>
      </c>
      <c r="AO5" s="28">
        <f t="shared" si="2"/>
        <v>0.91360418936638588</v>
      </c>
      <c r="AP5" s="28">
        <f t="shared" si="2"/>
        <v>0.90342442398506473</v>
      </c>
      <c r="AQ5" s="28">
        <f t="shared" si="2"/>
        <v>0.99479608164302435</v>
      </c>
      <c r="AR5" s="28">
        <f t="shared" si="2"/>
        <v>1.1326083246328087</v>
      </c>
      <c r="AS5" s="28">
        <f t="shared" si="2"/>
        <v>0.8516176348879928</v>
      </c>
      <c r="AT5" s="28">
        <f t="shared" si="2"/>
        <v>0.87492386619226903</v>
      </c>
      <c r="AU5" s="28">
        <f t="shared" si="2"/>
        <v>0.88670492675207546</v>
      </c>
      <c r="AV5" s="28">
        <f t="shared" si="2"/>
        <v>0.80066971673747145</v>
      </c>
      <c r="AW5" s="28">
        <f t="shared" si="2"/>
        <v>0.87293969292518681</v>
      </c>
      <c r="AX5" s="28">
        <f t="shared" si="2"/>
        <v>0.83620474586011728</v>
      </c>
      <c r="AY5" s="28">
        <f t="shared" si="2"/>
        <v>0.82398732653545292</v>
      </c>
      <c r="AZ5" s="28">
        <f t="shared" si="2"/>
        <v>0.76188504210336572</v>
      </c>
      <c r="BA5" s="28">
        <f t="shared" si="2"/>
        <v>0.94787340985399249</v>
      </c>
      <c r="BB5" s="28">
        <f t="shared" si="2"/>
        <v>0.90253260263377388</v>
      </c>
      <c r="BC5" s="28">
        <f t="shared" si="2"/>
        <v>1.009269704214363</v>
      </c>
      <c r="BD5" s="28">
        <f t="shared" si="2"/>
        <v>4.0422344091412734</v>
      </c>
      <c r="BE5" s="28">
        <f t="shared" si="2"/>
        <v>0</v>
      </c>
      <c r="BF5" s="28">
        <f t="shared" si="2"/>
        <v>0</v>
      </c>
      <c r="BG5" s="28">
        <f t="shared" si="2"/>
        <v>0</v>
      </c>
      <c r="BH5" s="28">
        <f t="shared" si="2"/>
        <v>0</v>
      </c>
      <c r="BI5" s="28">
        <f t="shared" si="2"/>
        <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1735677826.6400001</v>
      </c>
      <c r="F6" s="26">
        <f>现金流量表!F8</f>
        <v>856433476.79999995</v>
      </c>
      <c r="G6" s="26">
        <f>现金流量表!G8</f>
        <v>454963734</v>
      </c>
      <c r="H6" s="26">
        <f>现金流量表!H8</f>
        <v>298591130.30000001</v>
      </c>
      <c r="I6" s="26">
        <f>现金流量表!I8</f>
        <v>781758916.35000002</v>
      </c>
      <c r="J6" s="26">
        <f>现金流量表!J8</f>
        <v>614886313.38</v>
      </c>
      <c r="K6" s="26">
        <f>现金流量表!K8</f>
        <v>280544184.22000003</v>
      </c>
      <c r="L6" s="26">
        <f>现金流量表!L8</f>
        <v>264833431.72999999</v>
      </c>
      <c r="M6" s="26">
        <f>现金流量表!M8</f>
        <v>561321834.40999997</v>
      </c>
      <c r="N6" s="26">
        <f>现金流量表!N8</f>
        <v>489046815.98000002</v>
      </c>
      <c r="O6" s="26">
        <f>现金流量表!O8</f>
        <v>258771722.56999999</v>
      </c>
      <c r="P6" s="26">
        <f>现金流量表!P8</f>
        <v>109393546.27</v>
      </c>
      <c r="Q6" s="26">
        <f>现金流量表!Q8</f>
        <v>520279276.26999998</v>
      </c>
      <c r="R6" s="26">
        <f>现金流量表!R8</f>
        <v>386459034.92000002</v>
      </c>
      <c r="S6" s="26">
        <f>现金流量表!S8</f>
        <v>234963797.44</v>
      </c>
      <c r="T6" s="26">
        <f>现金流量表!T8</f>
        <v>95722820.790000007</v>
      </c>
      <c r="U6" s="26">
        <f>现金流量表!U8</f>
        <v>653764447.67999995</v>
      </c>
      <c r="V6" s="26">
        <f>现金流量表!V8</f>
        <v>485180916.74000001</v>
      </c>
      <c r="W6" s="26">
        <f>现金流量表!W8</f>
        <v>291060157.99000001</v>
      </c>
      <c r="X6" s="26">
        <f>现金流量表!X8</f>
        <v>123741299.36</v>
      </c>
      <c r="Y6" s="26">
        <f>现金流量表!Y8</f>
        <v>527425391.63</v>
      </c>
      <c r="Z6" s="26">
        <f>现金流量表!Z8</f>
        <v>389274946.60000002</v>
      </c>
      <c r="AA6" s="26">
        <f>现金流量表!AA8</f>
        <v>228879600.58000001</v>
      </c>
      <c r="AB6" s="26">
        <f>现金流量表!AB8</f>
        <v>93434068</v>
      </c>
      <c r="AC6" s="26">
        <f>现金流量表!AC8</f>
        <v>611801729.51999998</v>
      </c>
      <c r="AD6" s="26">
        <f>现金流量表!AD8</f>
        <v>435935982.60000002</v>
      </c>
      <c r="AE6" s="26">
        <f>现金流量表!AE8</f>
        <v>230287125.59</v>
      </c>
      <c r="AF6" s="26">
        <f>现金流量表!AF8</f>
        <v>80161402.819999993</v>
      </c>
      <c r="AG6" s="26">
        <f>现金流量表!AG8</f>
        <v>494229957.38</v>
      </c>
      <c r="AH6" s="26">
        <f>现金流量表!AH8</f>
        <v>328490588.72000003</v>
      </c>
      <c r="AI6" s="26">
        <f>现金流量表!AI8</f>
        <v>145406043.63999999</v>
      </c>
      <c r="AJ6" s="26">
        <f>现金流量表!AJ8</f>
        <v>90490850.540000007</v>
      </c>
      <c r="AK6" s="26">
        <f>现金流量表!AK8</f>
        <v>441443482.63999999</v>
      </c>
      <c r="AL6" s="26">
        <f>现金流量表!AL8</f>
        <v>292968096.56</v>
      </c>
      <c r="AM6" s="26">
        <f>现金流量表!AM8</f>
        <v>151980840.63</v>
      </c>
      <c r="AN6" s="26">
        <f>现金流量表!AN8</f>
        <v>76783428.049999997</v>
      </c>
      <c r="AO6" s="26">
        <f>现金流量表!AO8</f>
        <v>333112880.50999999</v>
      </c>
      <c r="AP6" s="26">
        <f>现金流量表!AP8</f>
        <v>222176966.63999999</v>
      </c>
      <c r="AQ6" s="26">
        <f>现金流量表!AQ8</f>
        <v>140223540.88</v>
      </c>
      <c r="AR6" s="26">
        <f>现金流量表!AR8</f>
        <v>64848005.93</v>
      </c>
      <c r="AS6" s="26">
        <f>现金流量表!AS8</f>
        <v>416635042.57999998</v>
      </c>
      <c r="AT6" s="26">
        <f>现金流量表!AT8</f>
        <v>304812873.58999997</v>
      </c>
      <c r="AU6" s="26">
        <f>现金流量表!AU8</f>
        <v>164444339.34</v>
      </c>
      <c r="AV6" s="26">
        <f>现金流量表!AV8</f>
        <v>80553118.489999995</v>
      </c>
      <c r="AW6" s="26">
        <f>现金流量表!AW8</f>
        <v>459004274.41000003</v>
      </c>
      <c r="AX6" s="26">
        <f>现金流量表!AX8</f>
        <v>328984130.49000001</v>
      </c>
      <c r="AY6" s="26">
        <f>现金流量表!AY8</f>
        <v>207273632.52000001</v>
      </c>
      <c r="AZ6" s="26">
        <f>现金流量表!AZ8</f>
        <v>98711983.319999993</v>
      </c>
      <c r="BA6" s="26">
        <f>现金流量表!BA8</f>
        <v>446074522.51999998</v>
      </c>
      <c r="BB6" s="26">
        <f>现金流量表!BB8</f>
        <v>324475334.25999999</v>
      </c>
      <c r="BC6" s="26">
        <f>现金流量表!BC8</f>
        <v>189863866.68000001</v>
      </c>
      <c r="BD6" s="26">
        <f>现金流量表!BD8</f>
        <v>443258079.81999999</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2187291484.0300002</v>
      </c>
      <c r="F7" s="26">
        <f>现金流量表!F9</f>
        <v>1045420812.29</v>
      </c>
      <c r="G7" s="26">
        <f>现金流量表!G9</f>
        <v>652793678.22000003</v>
      </c>
      <c r="H7" s="26">
        <f>现金流量表!H9</f>
        <v>323280615.83999997</v>
      </c>
      <c r="I7" s="26">
        <f>现金流量表!I9</f>
        <v>1008641925.25</v>
      </c>
      <c r="J7" s="26">
        <f>现金流量表!J9</f>
        <v>669728251.63999999</v>
      </c>
      <c r="K7" s="26">
        <f>现金流量表!K9</f>
        <v>418294029.52999997</v>
      </c>
      <c r="L7" s="26">
        <f>现金流量表!L9</f>
        <v>209612355.61000001</v>
      </c>
      <c r="M7" s="26">
        <f>现金流量表!M9</f>
        <v>747644103.13999999</v>
      </c>
      <c r="N7" s="26">
        <f>现金流量表!N9</f>
        <v>511722342.19999999</v>
      </c>
      <c r="O7" s="26">
        <f>现金流量表!O9</f>
        <v>53528847.100000001</v>
      </c>
      <c r="P7" s="26">
        <f>现金流量表!P9</f>
        <v>34353450.590000004</v>
      </c>
      <c r="Q7" s="26">
        <f>现金流量表!Q9</f>
        <v>89055988.120000005</v>
      </c>
      <c r="R7" s="26">
        <f>现金流量表!R9</f>
        <v>60422681.990000002</v>
      </c>
      <c r="S7" s="26">
        <f>现金流量表!S9</f>
        <v>40189477.530000001</v>
      </c>
      <c r="T7" s="26">
        <f>现金流量表!T9</f>
        <v>24090784.859999999</v>
      </c>
      <c r="U7" s="26">
        <f>现金流量表!U9</f>
        <v>88663992.299999997</v>
      </c>
      <c r="V7" s="26">
        <f>现金流量表!V9</f>
        <v>60929233.399999999</v>
      </c>
      <c r="W7" s="26">
        <f>现金流量表!W9</f>
        <v>38513042.75</v>
      </c>
      <c r="X7" s="26">
        <f>现金流量表!X9</f>
        <v>22240314.52</v>
      </c>
      <c r="Y7" s="26">
        <f>现金流量表!Y9</f>
        <v>79826509.209999993</v>
      </c>
      <c r="Z7" s="26">
        <f>现金流量表!Z9</f>
        <v>61828788.270000003</v>
      </c>
      <c r="AA7" s="26">
        <f>现金流量表!AA9</f>
        <v>39676427.979999997</v>
      </c>
      <c r="AB7" s="26">
        <f>现金流量表!AB9</f>
        <v>19239507.100000001</v>
      </c>
      <c r="AC7" s="26">
        <f>现金流量表!AC9</f>
        <v>68637526.060000002</v>
      </c>
      <c r="AD7" s="26">
        <f>现金流量表!AD9</f>
        <v>52098579.509999998</v>
      </c>
      <c r="AE7" s="26">
        <f>现金流量表!AE9</f>
        <v>39435107.840000004</v>
      </c>
      <c r="AF7" s="26">
        <f>现金流量表!AF9</f>
        <v>17163129.960000001</v>
      </c>
      <c r="AG7" s="26">
        <f>现金流量表!AG9</f>
        <v>72110375.489999995</v>
      </c>
      <c r="AH7" s="26">
        <f>现金流量表!AH9</f>
        <v>43937841.979999997</v>
      </c>
      <c r="AI7" s="26">
        <f>现金流量表!AI9</f>
        <v>34885391.490000002</v>
      </c>
      <c r="AJ7" s="26">
        <f>现金流量表!AJ9</f>
        <v>15321839.77</v>
      </c>
      <c r="AK7" s="26">
        <f>现金流量表!AK9</f>
        <v>62430105.759999998</v>
      </c>
      <c r="AL7" s="26">
        <f>现金流量表!AL9</f>
        <v>50248326.049999997</v>
      </c>
      <c r="AM7" s="26">
        <f>现金流量表!AM9</f>
        <v>37081508.509999998</v>
      </c>
      <c r="AN7" s="26">
        <f>现金流量表!AN9</f>
        <v>16153032.619999999</v>
      </c>
      <c r="AO7" s="26">
        <f>现金流量表!AO9</f>
        <v>75393032.730000004</v>
      </c>
      <c r="AP7" s="26">
        <f>现金流量表!AP9</f>
        <v>47555284.119999997</v>
      </c>
      <c r="AQ7" s="26">
        <f>现金流量表!AQ9</f>
        <v>41524749.140000001</v>
      </c>
      <c r="AR7" s="26">
        <f>现金流量表!AR9</f>
        <v>20072836.390000001</v>
      </c>
      <c r="AS7" s="26">
        <f>现金流量表!AS9</f>
        <v>101508801.76000001</v>
      </c>
      <c r="AT7" s="26">
        <f>现金流量表!AT9</f>
        <v>69708689.230000004</v>
      </c>
      <c r="AU7" s="26">
        <f>现金流量表!AU9</f>
        <v>46942742.82</v>
      </c>
      <c r="AV7" s="26">
        <f>现金流量表!AV9</f>
        <v>21188679</v>
      </c>
      <c r="AW7" s="26">
        <f>现金流量表!AW9</f>
        <v>100012476.70999999</v>
      </c>
      <c r="AX7" s="26">
        <f>现金流量表!AX9</f>
        <v>61751002.469999999</v>
      </c>
      <c r="AY7" s="26">
        <f>现金流量表!AY9</f>
        <v>43450341.960000001</v>
      </c>
      <c r="AZ7" s="26">
        <f>现金流量表!AZ9</f>
        <v>22625762.199999999</v>
      </c>
      <c r="BA7" s="26">
        <f>现金流量表!BA9</f>
        <v>73920169.640000001</v>
      </c>
      <c r="BB7" s="26">
        <f>现金流量表!BB9</f>
        <v>56281937.32</v>
      </c>
      <c r="BC7" s="26">
        <f>现金流量表!BC9</f>
        <v>40414259.289999999</v>
      </c>
      <c r="BD7" s="26">
        <f>现金流量表!BD9</f>
        <v>93481901.659999996</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3305842153.46</v>
      </c>
      <c r="F8" s="58">
        <f>利润表!F6</f>
        <v>1607703653.8599999</v>
      </c>
      <c r="G8" s="58">
        <f>利润表!G6</f>
        <v>912262660.67999995</v>
      </c>
      <c r="H8" s="58">
        <f>利润表!H6</f>
        <v>403895644.81</v>
      </c>
      <c r="I8" s="58">
        <f>利润表!I6</f>
        <v>1593099881.1400001</v>
      </c>
      <c r="J8" s="58">
        <f>利润表!J6</f>
        <v>1054987145.26</v>
      </c>
      <c r="K8" s="58">
        <f>利润表!K6</f>
        <v>645996106.79999995</v>
      </c>
      <c r="L8" s="58">
        <f>利润表!L6</f>
        <v>287994101.57999998</v>
      </c>
      <c r="M8" s="58">
        <f>利润表!M6</f>
        <v>1093803294.7</v>
      </c>
      <c r="N8" s="58">
        <f>利润表!N6</f>
        <v>735007941.15999997</v>
      </c>
      <c r="O8" s="58">
        <f>利润表!O6</f>
        <v>203239821.19</v>
      </c>
      <c r="P8" s="58">
        <f>利润表!P6</f>
        <v>85021682.310000002</v>
      </c>
      <c r="Q8" s="58">
        <f>利润表!Q6</f>
        <v>556375832.12</v>
      </c>
      <c r="R8" s="58">
        <f>利润表!R6</f>
        <v>390693544.98000002</v>
      </c>
      <c r="S8" s="58">
        <f>利润表!S6</f>
        <v>180750310.22</v>
      </c>
      <c r="T8" s="58">
        <f>利润表!T6</f>
        <v>65873397.520000003</v>
      </c>
      <c r="U8" s="58">
        <f>利润表!U6</f>
        <v>624264230.88999999</v>
      </c>
      <c r="V8" s="58">
        <f>利润表!V6</f>
        <v>411752426.16000003</v>
      </c>
      <c r="W8" s="58">
        <f>利润表!W6</f>
        <v>204748056.61000001</v>
      </c>
      <c r="X8" s="58">
        <f>利润表!X6</f>
        <v>105999396.81999999</v>
      </c>
      <c r="Y8" s="58">
        <f>利润表!Y6</f>
        <v>552430922.80999994</v>
      </c>
      <c r="Z8" s="58">
        <f>利润表!Z6</f>
        <v>392694832.89999998</v>
      </c>
      <c r="AA8" s="58">
        <f>利润表!AA6</f>
        <v>209481156.28999999</v>
      </c>
      <c r="AB8" s="58">
        <f>利润表!AB6</f>
        <v>108166229.47</v>
      </c>
      <c r="AC8" s="58">
        <f>利润表!AC6</f>
        <v>643419400.03999996</v>
      </c>
      <c r="AD8" s="58">
        <f>利润表!AD6</f>
        <v>499522077.79000002</v>
      </c>
      <c r="AE8" s="58">
        <f>利润表!AE6</f>
        <v>270291582.54000002</v>
      </c>
      <c r="AF8" s="58">
        <f>利润表!AF6</f>
        <v>113183634.31</v>
      </c>
      <c r="AG8" s="58">
        <f>利润表!AG6</f>
        <v>487245059.11000001</v>
      </c>
      <c r="AH8" s="58">
        <f>利润表!AH6</f>
        <v>309240439.19</v>
      </c>
      <c r="AI8" s="58">
        <f>利润表!AI6</f>
        <v>161559143.69999999</v>
      </c>
      <c r="AJ8" s="58">
        <f>利润表!AJ6</f>
        <v>92342805.459999993</v>
      </c>
      <c r="AK8" s="58">
        <f>利润表!AK6</f>
        <v>439583068.93000001</v>
      </c>
      <c r="AL8" s="58">
        <f>利润表!AL6</f>
        <v>300397846.06999999</v>
      </c>
      <c r="AM8" s="58">
        <f>利润表!AM6</f>
        <v>159877295.71000001</v>
      </c>
      <c r="AN8" s="58">
        <f>利润表!AN6</f>
        <v>89069045.790000007</v>
      </c>
      <c r="AO8" s="58">
        <f>利润表!AO6</f>
        <v>365088505.76999998</v>
      </c>
      <c r="AP8" s="58">
        <f>利润表!AP6</f>
        <v>236760445.34999999</v>
      </c>
      <c r="AQ8" s="58">
        <f>利润表!AQ6</f>
        <v>147704653.58000001</v>
      </c>
      <c r="AR8" s="58">
        <f>利润表!AR6</f>
        <v>76475808.640000001</v>
      </c>
      <c r="AS8" s="58">
        <f>利润表!AS6</f>
        <v>501552367.08999997</v>
      </c>
      <c r="AT8" s="58">
        <f>利润表!AT6</f>
        <v>370580841.50999999</v>
      </c>
      <c r="AU8" s="58">
        <f>利润表!AU6</f>
        <v>219786798.90000001</v>
      </c>
      <c r="AV8" s="58">
        <f>利润表!AV6</f>
        <v>112239155.43000001</v>
      </c>
      <c r="AW8" s="58">
        <f>利润表!AW6</f>
        <v>525457022.52999997</v>
      </c>
      <c r="AX8" s="58">
        <f>利润表!AX6</f>
        <v>383078442.14999998</v>
      </c>
      <c r="AY8" s="58">
        <f>利润表!AY6</f>
        <v>258654230.25</v>
      </c>
      <c r="AZ8" s="58">
        <f>利润表!AZ6</f>
        <v>120869082.25</v>
      </c>
      <c r="BA8" s="58">
        <f>利润表!BA6</f>
        <v>451775599.12</v>
      </c>
      <c r="BB8" s="58">
        <f>利润表!BB6</f>
        <v>342468923.31</v>
      </c>
      <c r="BC8" s="58">
        <f>利润表!BC6</f>
        <v>186594625.97</v>
      </c>
      <c r="BD8" s="58">
        <f>利润表!BD6</f>
        <v>106630749.14</v>
      </c>
      <c r="BE8" s="58">
        <f>利润表!BE6</f>
        <v>493558949.17000002</v>
      </c>
      <c r="BF8" s="58">
        <f>利润表!BF6</f>
        <v>353278186.13999999</v>
      </c>
      <c r="BG8" s="58">
        <f>利润表!BG6</f>
        <v>195848178.13999999</v>
      </c>
      <c r="BH8" s="58">
        <f>利润表!BH6</f>
        <v>380728387.19</v>
      </c>
      <c r="BI8" s="58">
        <f>利润表!BI6</f>
        <v>286706185.30000001</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7779361.5499999998</v>
      </c>
      <c r="F9" s="58">
        <f>利润表!F7</f>
        <v>609410.35</v>
      </c>
      <c r="G9" s="58">
        <f>利润表!G7</f>
        <v>289899.03999999998</v>
      </c>
      <c r="H9" s="58">
        <f>利润表!H7</f>
        <v>44951.11</v>
      </c>
      <c r="I9" s="58">
        <f>利润表!I7</f>
        <v>815109.12</v>
      </c>
      <c r="J9" s="58">
        <f>利润表!J7</f>
        <v>216155.37</v>
      </c>
      <c r="K9" s="58">
        <f>利润表!K7</f>
        <v>123487</v>
      </c>
      <c r="L9" s="58">
        <f>利润表!L7</f>
        <v>53201.64</v>
      </c>
      <c r="M9" s="58">
        <f>利润表!M7</f>
        <v>2354162.14</v>
      </c>
      <c r="N9" s="58">
        <f>利润表!N7</f>
        <v>655348.03</v>
      </c>
      <c r="O9" s="58">
        <f>利润表!O7</f>
        <v>2024948.34</v>
      </c>
      <c r="P9" s="58">
        <f>利润表!P7</f>
        <v>1401204.46</v>
      </c>
      <c r="Q9" s="58">
        <f>利润表!Q7</f>
        <v>5794018.9400000004</v>
      </c>
      <c r="R9" s="58">
        <f>利润表!R7</f>
        <v>2923435.89</v>
      </c>
      <c r="S9" s="58">
        <f>利润表!S7</f>
        <v>2361889.4300000002</v>
      </c>
      <c r="T9" s="58">
        <f>利润表!T7</f>
        <v>2018220.45</v>
      </c>
      <c r="U9" s="58">
        <f>利润表!U7</f>
        <v>4530749.54</v>
      </c>
      <c r="V9" s="58">
        <f>利润表!V7</f>
        <v>1679468.93</v>
      </c>
      <c r="W9" s="58">
        <f>利润表!W7</f>
        <v>1661713.03</v>
      </c>
      <c r="X9" s="58">
        <f>利润表!X7</f>
        <v>1042669.28</v>
      </c>
      <c r="Y9" s="58">
        <f>利润表!Y7</f>
        <v>4857444.91</v>
      </c>
      <c r="Z9" s="58">
        <f>利润表!Z7</f>
        <v>3130687.74</v>
      </c>
      <c r="AA9" s="58">
        <f>利润表!AA7</f>
        <v>2569636.8199999998</v>
      </c>
      <c r="AB9" s="58">
        <f>利润表!AB7</f>
        <v>1948066.91</v>
      </c>
      <c r="AC9" s="58">
        <f>利润表!AC7</f>
        <v>3136069.67</v>
      </c>
      <c r="AD9" s="58">
        <f>利润表!AD7</f>
        <v>1478208</v>
      </c>
      <c r="AE9" s="58">
        <f>利润表!AE7</f>
        <v>1290432.23</v>
      </c>
      <c r="AF9" s="58">
        <f>利润表!AF7</f>
        <v>373720.48</v>
      </c>
      <c r="AG9" s="58">
        <f>利润表!AG7</f>
        <v>824735.49</v>
      </c>
      <c r="AH9" s="58">
        <f>利润表!AH7</f>
        <v>545994.86</v>
      </c>
      <c r="AI9" s="58">
        <f>利润表!AI7</f>
        <v>536286.68000000005</v>
      </c>
      <c r="AJ9" s="58">
        <f>利润表!AJ7</f>
        <v>155584.76999999999</v>
      </c>
      <c r="AK9" s="58">
        <f>利润表!AK7</f>
        <v>555155.07999999996</v>
      </c>
      <c r="AL9" s="58">
        <f>利润表!AL7</f>
        <v>435891.13</v>
      </c>
      <c r="AM9" s="58">
        <f>利润表!AM7</f>
        <v>220558.07999999999</v>
      </c>
      <c r="AN9" s="58">
        <f>利润表!AN7</f>
        <v>127518.08</v>
      </c>
      <c r="AO9" s="58">
        <f>利润表!AO7</f>
        <v>796320.63</v>
      </c>
      <c r="AP9" s="58">
        <f>利润表!AP7</f>
        <v>574148.56000000006</v>
      </c>
      <c r="AQ9" s="58">
        <f>利润表!AQ7</f>
        <v>440939.33</v>
      </c>
      <c r="AR9" s="58">
        <f>利润表!AR7</f>
        <v>340998.51</v>
      </c>
      <c r="AS9" s="58">
        <f>利润表!AS7</f>
        <v>893734.55</v>
      </c>
      <c r="AT9" s="58">
        <f>利润表!AT7</f>
        <v>624953.15</v>
      </c>
      <c r="AU9" s="58">
        <f>利润表!AU7</f>
        <v>373929.53</v>
      </c>
      <c r="AV9" s="58">
        <f>利润表!AV7</f>
        <v>65319.26</v>
      </c>
      <c r="AW9" s="58">
        <f>利润表!AW7</f>
        <v>1130422.42</v>
      </c>
      <c r="AX9" s="58">
        <f>利润表!AX7</f>
        <v>618176.18000000005</v>
      </c>
      <c r="AY9" s="58">
        <f>利润表!AY7</f>
        <v>449690.21</v>
      </c>
      <c r="AZ9" s="58">
        <f>利润表!AZ7</f>
        <v>107520.55</v>
      </c>
      <c r="BA9" s="58">
        <f>利润表!BA7</f>
        <v>488426.56</v>
      </c>
      <c r="BB9" s="58">
        <f>利润表!BB7</f>
        <v>322468.73</v>
      </c>
      <c r="BC9" s="58">
        <f>利润表!BC7</f>
        <v>230764.04</v>
      </c>
      <c r="BD9" s="58">
        <f>利润表!BD7</f>
        <v>149907.04</v>
      </c>
      <c r="BE9" s="58">
        <f>利润表!BE7</f>
        <v>559071.49</v>
      </c>
      <c r="BF9" s="58">
        <f>利润表!BF7</f>
        <v>360289.04</v>
      </c>
      <c r="BG9" s="58">
        <f>利润表!BG7</f>
        <v>248176.14</v>
      </c>
      <c r="BH9" s="58">
        <f>利润表!BH7</f>
        <v>441914.22</v>
      </c>
      <c r="BI9" s="58">
        <f>利润表!BI7</f>
        <v>497665.04</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1488121514.8800001</v>
      </c>
      <c r="F10" s="58">
        <f>利润表!F8</f>
        <v>787218730.94000006</v>
      </c>
      <c r="G10" s="58">
        <f>利润表!G8</f>
        <v>453550589.17000002</v>
      </c>
      <c r="H10" s="58">
        <f>利润表!H8</f>
        <v>185640586.59</v>
      </c>
      <c r="I10" s="58">
        <f>利润表!I8</f>
        <v>718023350.42999995</v>
      </c>
      <c r="J10" s="58">
        <f>利润表!J8</f>
        <v>497367843.00999999</v>
      </c>
      <c r="K10" s="58">
        <f>利润表!K8</f>
        <v>298292455.66000003</v>
      </c>
      <c r="L10" s="58">
        <f>利润表!L8</f>
        <v>123044101.31</v>
      </c>
      <c r="M10" s="58">
        <f>利润表!M8</f>
        <v>483963720.38999999</v>
      </c>
      <c r="N10" s="58">
        <f>利润表!N8</f>
        <v>342368671.48000002</v>
      </c>
      <c r="O10" s="58">
        <f>利润表!O8</f>
        <v>3174807.23</v>
      </c>
      <c r="P10" s="58">
        <f>利润表!P8</f>
        <v>1657360.64</v>
      </c>
      <c r="Q10" s="58">
        <f>利润表!Q8</f>
        <v>10790437.960000001</v>
      </c>
      <c r="R10" s="58">
        <f>利润表!R8</f>
        <v>6878197.2199999997</v>
      </c>
      <c r="S10" s="58">
        <f>利润表!S8</f>
        <v>3407029.8</v>
      </c>
      <c r="T10" s="58">
        <f>利润表!T8</f>
        <v>1578821.93</v>
      </c>
      <c r="U10" s="58">
        <f>利润表!U8</f>
        <v>10842038.74</v>
      </c>
      <c r="V10" s="58">
        <f>利润表!V8</f>
        <v>6755973.3399999999</v>
      </c>
      <c r="W10" s="58">
        <f>利润表!W8</f>
        <v>3993292.95</v>
      </c>
      <c r="X10" s="58">
        <f>利润表!X8</f>
        <v>2277423.2999999998</v>
      </c>
      <c r="Y10" s="58">
        <f>利润表!Y8</f>
        <v>10121159.449999999</v>
      </c>
      <c r="Z10" s="58">
        <f>利润表!Z8</f>
        <v>6886421.9699999997</v>
      </c>
      <c r="AA10" s="58">
        <f>利润表!AA8</f>
        <v>4013467.36</v>
      </c>
      <c r="AB10" s="58">
        <f>利润表!AB8</f>
        <v>2471837.4</v>
      </c>
      <c r="AC10" s="58">
        <f>利润表!AC8</f>
        <v>10966096.58</v>
      </c>
      <c r="AD10" s="58">
        <f>利润表!AD8</f>
        <v>7458358.6299999999</v>
      </c>
      <c r="AE10" s="58">
        <f>利润表!AE8</f>
        <v>4805150.51</v>
      </c>
      <c r="AF10" s="58">
        <f>利润表!AF8</f>
        <v>2180572.61</v>
      </c>
      <c r="AG10" s="58">
        <f>利润表!AG8</f>
        <v>9161172.6699999999</v>
      </c>
      <c r="AH10" s="58">
        <f>利润表!AH8</f>
        <v>6073507.0999999996</v>
      </c>
      <c r="AI10" s="58">
        <f>利润表!AI8</f>
        <v>3573572.5</v>
      </c>
      <c r="AJ10" s="58">
        <f>利润表!AJ8</f>
        <v>2031097.27</v>
      </c>
      <c r="AK10" s="58">
        <f>利润表!AK8</f>
        <v>9233460.9000000004</v>
      </c>
      <c r="AL10" s="58">
        <f>利润表!AL8</f>
        <v>5424458.4500000002</v>
      </c>
      <c r="AM10" s="58">
        <f>利润表!AM8</f>
        <v>3418431.18</v>
      </c>
      <c r="AN10" s="58">
        <f>利润表!AN8</f>
        <v>1467674.65</v>
      </c>
      <c r="AO10" s="58">
        <f>利润表!AO8</f>
        <v>6606826.7400000002</v>
      </c>
      <c r="AP10" s="58">
        <f>利润表!AP8</f>
        <v>4537138.16</v>
      </c>
      <c r="AQ10" s="58">
        <f>利润表!AQ8</f>
        <v>2908525.41</v>
      </c>
      <c r="AR10" s="58">
        <f>利润表!AR8</f>
        <v>1178748.47</v>
      </c>
      <c r="AS10" s="58">
        <f>利润表!AS8</f>
        <v>9146015.4499999993</v>
      </c>
      <c r="AT10" s="58">
        <f>利润表!AT8</f>
        <v>7107999.21</v>
      </c>
      <c r="AU10" s="58">
        <f>利润表!AU8</f>
        <v>4730788.82</v>
      </c>
      <c r="AV10" s="58">
        <f>利润表!AV8</f>
        <v>3323357.19</v>
      </c>
      <c r="AW10" s="58">
        <f>利润表!AW8</f>
        <v>8759969.5700000003</v>
      </c>
      <c r="AX10" s="58">
        <f>利润表!AX8</f>
        <v>7647869.71</v>
      </c>
      <c r="AY10" s="58">
        <f>利润表!AY8</f>
        <v>5471102.8799999999</v>
      </c>
      <c r="AZ10" s="58">
        <f>利润表!AZ8</f>
        <v>3569133.41</v>
      </c>
      <c r="BA10" s="58">
        <f>利润表!BA8</f>
        <v>9783034.9000000004</v>
      </c>
      <c r="BB10" s="58">
        <f>利润表!BB8</f>
        <v>7308959.0499999998</v>
      </c>
      <c r="BC10" s="58">
        <f>利润表!BC8</f>
        <v>5731423.1500000004</v>
      </c>
      <c r="BD10" s="58">
        <f>利润表!BD8</f>
        <v>4832341.4000000004</v>
      </c>
      <c r="BE10" s="58">
        <f>利润表!BE8</f>
        <v>9200229.9100000001</v>
      </c>
      <c r="BF10" s="58">
        <f>利润表!BF8</f>
        <v>5753790.2999999998</v>
      </c>
      <c r="BG10" s="58">
        <f>利润表!BG8</f>
        <v>3010235.19</v>
      </c>
      <c r="BH10" s="58">
        <f>利润表!BH8</f>
        <v>6748485.5899999999</v>
      </c>
      <c r="BI10" s="58">
        <f>利润表!BI8</f>
        <v>3028378.55</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463538394.62</v>
      </c>
      <c r="F11" s="58">
        <f>利润表!F9</f>
        <v>234548046.56999999</v>
      </c>
      <c r="G11" s="58">
        <f>利润表!G9</f>
        <v>153887803.25999999</v>
      </c>
      <c r="H11" s="58">
        <f>利润表!H9</f>
        <v>69031923.219999999</v>
      </c>
      <c r="I11" s="58">
        <f>利润表!I9</f>
        <v>263725741.44</v>
      </c>
      <c r="J11" s="58">
        <f>利润表!J9</f>
        <v>164162372.47</v>
      </c>
      <c r="K11" s="58">
        <f>利润表!K9</f>
        <v>109973147.16</v>
      </c>
      <c r="L11" s="58">
        <f>利润表!L9</f>
        <v>59134578.759999998</v>
      </c>
      <c r="M11" s="58">
        <f>利润表!M9</f>
        <v>195338730.59</v>
      </c>
      <c r="N11" s="58">
        <f>利润表!N9</f>
        <v>140259560.37</v>
      </c>
      <c r="O11" s="58">
        <f>利润表!O9</f>
        <v>20015563.760000002</v>
      </c>
      <c r="P11" s="58">
        <f>利润表!P9</f>
        <v>10229813.67</v>
      </c>
      <c r="Q11" s="58">
        <f>利润表!Q9</f>
        <v>50180749.780000001</v>
      </c>
      <c r="R11" s="58">
        <f>利润表!R9</f>
        <v>31861827.140000001</v>
      </c>
      <c r="S11" s="58">
        <f>利润表!S9</f>
        <v>19844144.109999999</v>
      </c>
      <c r="T11" s="58">
        <f>利润表!T9</f>
        <v>9316399.4800000004</v>
      </c>
      <c r="U11" s="58">
        <f>利润表!U9</f>
        <v>44008332.509999998</v>
      </c>
      <c r="V11" s="58">
        <f>利润表!V9</f>
        <v>27631818.120000001</v>
      </c>
      <c r="W11" s="58">
        <f>利润表!W9</f>
        <v>17190247.170000002</v>
      </c>
      <c r="X11" s="58">
        <f>利润表!X9</f>
        <v>8164594.46</v>
      </c>
      <c r="Y11" s="58">
        <f>利润表!Y9</f>
        <v>37359226.710000001</v>
      </c>
      <c r="Z11" s="58">
        <f>利润表!Z9</f>
        <v>26415311.77</v>
      </c>
      <c r="AA11" s="58">
        <f>利润表!AA9</f>
        <v>16833217.43</v>
      </c>
      <c r="AB11" s="58">
        <f>利润表!AB9</f>
        <v>8895081.2400000002</v>
      </c>
      <c r="AC11" s="58">
        <f>利润表!AC9</f>
        <v>35708982.93</v>
      </c>
      <c r="AD11" s="58">
        <f>利润表!AD9</f>
        <v>22334122.620000001</v>
      </c>
      <c r="AE11" s="58">
        <f>利润表!AE9</f>
        <v>14047428.210000001</v>
      </c>
      <c r="AF11" s="58">
        <f>利润表!AF9</f>
        <v>6686464.3700000001</v>
      </c>
      <c r="AG11" s="58">
        <f>利润表!AG9</f>
        <v>26126420.640000001</v>
      </c>
      <c r="AH11" s="58">
        <f>利润表!AH9</f>
        <v>18827237.800000001</v>
      </c>
      <c r="AI11" s="58">
        <f>利润表!AI9</f>
        <v>13329673.050000001</v>
      </c>
      <c r="AJ11" s="58">
        <f>利润表!AJ9</f>
        <v>7472893.1500000004</v>
      </c>
      <c r="AK11" s="58">
        <f>利润表!AK9</f>
        <v>35014157.420000002</v>
      </c>
      <c r="AL11" s="58">
        <f>利润表!AL9</f>
        <v>20352361.289999999</v>
      </c>
      <c r="AM11" s="58">
        <f>利润表!AM9</f>
        <v>13794834.4</v>
      </c>
      <c r="AN11" s="58">
        <f>利润表!AN9</f>
        <v>6731794.2599999998</v>
      </c>
      <c r="AO11" s="58">
        <f>利润表!AO9</f>
        <v>24880534.25</v>
      </c>
      <c r="AP11" s="58">
        <f>利润表!AP9</f>
        <v>15647808.710000001</v>
      </c>
      <c r="AQ11" s="58">
        <f>利润表!AQ9</f>
        <v>10731399.140000001</v>
      </c>
      <c r="AR11" s="58">
        <f>利润表!AR9</f>
        <v>5361907.88</v>
      </c>
      <c r="AS11" s="58">
        <f>利润表!AS9</f>
        <v>23769539.98</v>
      </c>
      <c r="AT11" s="58">
        <f>利润表!AT9</f>
        <v>17280211.280000001</v>
      </c>
      <c r="AU11" s="58">
        <f>利润表!AU9</f>
        <v>11657931.970000001</v>
      </c>
      <c r="AV11" s="58">
        <f>利润表!AV9</f>
        <v>6116957.6200000001</v>
      </c>
      <c r="AW11" s="58">
        <f>利润表!AW9</f>
        <v>23896954.370000001</v>
      </c>
      <c r="AX11" s="58">
        <f>利润表!AX9</f>
        <v>18713339.670000002</v>
      </c>
      <c r="AY11" s="58">
        <f>利润表!AY9</f>
        <v>12501660.880000001</v>
      </c>
      <c r="AZ11" s="58">
        <f>利润表!AZ9</f>
        <v>6415014.8200000003</v>
      </c>
      <c r="BA11" s="58">
        <f>利润表!BA9</f>
        <v>38104606.450000003</v>
      </c>
      <c r="BB11" s="58">
        <f>利润表!BB9</f>
        <v>28683922.649999999</v>
      </c>
      <c r="BC11" s="58">
        <f>利润表!BC9</f>
        <v>18607387.100000001</v>
      </c>
      <c r="BD11" s="58">
        <f>利润表!BD9</f>
        <v>8052727.5</v>
      </c>
      <c r="BE11" s="58">
        <f>利润表!BE9</f>
        <v>31376172.039999999</v>
      </c>
      <c r="BF11" s="58">
        <f>利润表!BF9</f>
        <v>21094998.489999998</v>
      </c>
      <c r="BG11" s="58">
        <f>利润表!BG9</f>
        <v>13283840.18</v>
      </c>
      <c r="BH11" s="58">
        <f>利润表!BH9</f>
        <v>31129663.550000001</v>
      </c>
      <c r="BI11" s="58">
        <f>利润表!BI9</f>
        <v>25821544.140000001</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5265281424.5100002</v>
      </c>
      <c r="F12" s="58">
        <f t="shared" ref="F12:BQ12" si="4">SUM(F8:F11)</f>
        <v>2630079841.7199998</v>
      </c>
      <c r="G12" s="58">
        <f t="shared" si="4"/>
        <v>1519990952.1499999</v>
      </c>
      <c r="H12" s="58">
        <f t="shared" si="4"/>
        <v>658613105.73000002</v>
      </c>
      <c r="I12" s="58">
        <f t="shared" si="4"/>
        <v>2575664082.1300001</v>
      </c>
      <c r="J12" s="58">
        <f t="shared" si="4"/>
        <v>1716733516.1099999</v>
      </c>
      <c r="K12" s="58">
        <f t="shared" si="4"/>
        <v>1054385196.62</v>
      </c>
      <c r="L12" s="58">
        <f t="shared" si="4"/>
        <v>470225983.28999996</v>
      </c>
      <c r="M12" s="58">
        <f t="shared" si="4"/>
        <v>1775459907.8199999</v>
      </c>
      <c r="N12" s="58">
        <f t="shared" si="4"/>
        <v>1218291521.04</v>
      </c>
      <c r="O12" s="58">
        <f t="shared" si="4"/>
        <v>228455140.51999998</v>
      </c>
      <c r="P12" s="58">
        <f t="shared" si="4"/>
        <v>98310061.079999998</v>
      </c>
      <c r="Q12" s="58">
        <f t="shared" si="4"/>
        <v>623141038.80000007</v>
      </c>
      <c r="R12" s="58">
        <f t="shared" si="4"/>
        <v>432357005.23000002</v>
      </c>
      <c r="S12" s="58">
        <f t="shared" si="4"/>
        <v>206363373.56</v>
      </c>
      <c r="T12" s="58">
        <f t="shared" si="4"/>
        <v>78786839.38000001</v>
      </c>
      <c r="U12" s="58">
        <f t="shared" si="4"/>
        <v>683645351.67999995</v>
      </c>
      <c r="V12" s="58">
        <f t="shared" si="4"/>
        <v>447819686.55000001</v>
      </c>
      <c r="W12" s="58">
        <f t="shared" si="4"/>
        <v>227593309.75999999</v>
      </c>
      <c r="X12" s="58">
        <f t="shared" si="4"/>
        <v>117484083.85999998</v>
      </c>
      <c r="Y12" s="58">
        <f t="shared" si="4"/>
        <v>604768753.88</v>
      </c>
      <c r="Z12" s="58">
        <f t="shared" si="4"/>
        <v>429127254.38</v>
      </c>
      <c r="AA12" s="58">
        <f t="shared" si="4"/>
        <v>232897477.90000001</v>
      </c>
      <c r="AB12" s="58">
        <f t="shared" si="4"/>
        <v>121481215.02</v>
      </c>
      <c r="AC12" s="58">
        <f t="shared" si="4"/>
        <v>693230549.21999991</v>
      </c>
      <c r="AD12" s="58">
        <f t="shared" si="4"/>
        <v>530792767.04000002</v>
      </c>
      <c r="AE12" s="58">
        <f t="shared" si="4"/>
        <v>290434593.49000001</v>
      </c>
      <c r="AF12" s="58">
        <f t="shared" si="4"/>
        <v>122424391.77000001</v>
      </c>
      <c r="AG12" s="58">
        <f t="shared" si="4"/>
        <v>523357387.91000003</v>
      </c>
      <c r="AH12" s="58">
        <f t="shared" si="4"/>
        <v>334687178.95000005</v>
      </c>
      <c r="AI12" s="58">
        <f t="shared" si="4"/>
        <v>178998675.93000001</v>
      </c>
      <c r="AJ12" s="58">
        <f t="shared" si="4"/>
        <v>102002380.64999999</v>
      </c>
      <c r="AK12" s="58">
        <f t="shared" si="4"/>
        <v>484385842.32999998</v>
      </c>
      <c r="AL12" s="58">
        <f t="shared" si="4"/>
        <v>326610556.94</v>
      </c>
      <c r="AM12" s="58">
        <f t="shared" si="4"/>
        <v>177311119.37000003</v>
      </c>
      <c r="AN12" s="58">
        <f t="shared" si="4"/>
        <v>97396032.780000016</v>
      </c>
      <c r="AO12" s="58">
        <f t="shared" si="4"/>
        <v>397372187.38999999</v>
      </c>
      <c r="AP12" s="58">
        <f t="shared" si="4"/>
        <v>257519540.78</v>
      </c>
      <c r="AQ12" s="58">
        <f t="shared" si="4"/>
        <v>161785517.46000004</v>
      </c>
      <c r="AR12" s="58">
        <f t="shared" si="4"/>
        <v>83357463.5</v>
      </c>
      <c r="AS12" s="58">
        <f t="shared" si="4"/>
        <v>535361657.06999999</v>
      </c>
      <c r="AT12" s="58">
        <f t="shared" si="4"/>
        <v>395594005.14999998</v>
      </c>
      <c r="AU12" s="58">
        <f t="shared" si="4"/>
        <v>236549449.22</v>
      </c>
      <c r="AV12" s="58">
        <f t="shared" si="4"/>
        <v>121744789.50000001</v>
      </c>
      <c r="AW12" s="58">
        <f t="shared" si="4"/>
        <v>559244368.88999999</v>
      </c>
      <c r="AX12" s="58">
        <f t="shared" si="4"/>
        <v>410057827.70999998</v>
      </c>
      <c r="AY12" s="58">
        <f t="shared" si="4"/>
        <v>277076684.22000003</v>
      </c>
      <c r="AZ12" s="58">
        <f t="shared" si="4"/>
        <v>130960751.03</v>
      </c>
      <c r="BA12" s="58">
        <f t="shared" si="4"/>
        <v>500151667.02999997</v>
      </c>
      <c r="BB12" s="58">
        <f t="shared" si="4"/>
        <v>378784273.74000001</v>
      </c>
      <c r="BC12" s="58">
        <f t="shared" si="4"/>
        <v>211164200.25999999</v>
      </c>
      <c r="BD12" s="58">
        <f t="shared" si="4"/>
        <v>119665725.08000001</v>
      </c>
      <c r="BE12" s="58">
        <f t="shared" si="4"/>
        <v>534694422.61000007</v>
      </c>
      <c r="BF12" s="58">
        <f t="shared" si="4"/>
        <v>380487263.97000003</v>
      </c>
      <c r="BG12" s="58">
        <f t="shared" si="4"/>
        <v>212390429.64999998</v>
      </c>
      <c r="BH12" s="58">
        <f t="shared" si="4"/>
        <v>419048450.55000001</v>
      </c>
      <c r="BI12" s="58">
        <f t="shared" si="4"/>
        <v>316053773.03000003</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0.6971663069816143</v>
      </c>
      <c r="F13" s="28">
        <f t="shared" ref="F13:BQ13" si="6">(F6/(1+F4)+F7)/F12</f>
        <v>0.67580276792776139</v>
      </c>
      <c r="G13" s="28">
        <f t="shared" si="6"/>
        <v>0.6853011651512102</v>
      </c>
      <c r="H13" s="28">
        <f t="shared" si="6"/>
        <v>0.87834072094923699</v>
      </c>
      <c r="I13" s="28">
        <f t="shared" si="6"/>
        <v>0.65102120686393383</v>
      </c>
      <c r="J13" s="28">
        <f t="shared" si="6"/>
        <v>0.69624790220100552</v>
      </c>
      <c r="K13" s="28">
        <f t="shared" si="6"/>
        <v>0.62413185017558448</v>
      </c>
      <c r="L13" s="28">
        <f t="shared" si="6"/>
        <v>0.92714084622184878</v>
      </c>
      <c r="M13" s="28">
        <f t="shared" si="6"/>
        <v>0.69131741548563075</v>
      </c>
      <c r="N13" s="28">
        <f t="shared" si="6"/>
        <v>0.76312693452318014</v>
      </c>
      <c r="O13" s="28">
        <f t="shared" si="6"/>
        <v>1.2024297589790627</v>
      </c>
      <c r="P13" s="28">
        <f t="shared" si="6"/>
        <v>1.3004997319825335</v>
      </c>
      <c r="Q13" s="28">
        <f t="shared" si="6"/>
        <v>0.85653021867881995</v>
      </c>
      <c r="R13" s="28">
        <f t="shared" si="6"/>
        <v>0.90371971476473689</v>
      </c>
      <c r="S13" s="28">
        <f t="shared" si="6"/>
        <v>1.1679070363503825</v>
      </c>
      <c r="T13" s="28">
        <f t="shared" si="6"/>
        <v>1.3441986305960856</v>
      </c>
      <c r="U13" s="28">
        <f t="shared" si="6"/>
        <v>0.94703638796651957</v>
      </c>
      <c r="V13" s="28">
        <f t="shared" si="6"/>
        <v>1.0620653622585192</v>
      </c>
      <c r="W13" s="28">
        <f t="shared" si="6"/>
        <v>1.2622620974947012</v>
      </c>
      <c r="X13" s="28">
        <f t="shared" si="6"/>
        <v>1.0895272333001307</v>
      </c>
      <c r="Y13" s="28">
        <f t="shared" si="6"/>
        <v>0.8773889835128299</v>
      </c>
      <c r="Z13" s="28">
        <f t="shared" si="6"/>
        <v>0.91940657186335473</v>
      </c>
      <c r="AA13" s="28">
        <f t="shared" si="6"/>
        <v>1.010315870918739</v>
      </c>
      <c r="AB13" s="28">
        <f t="shared" si="6"/>
        <v>0.81574492699519752</v>
      </c>
      <c r="AC13" s="28">
        <f t="shared" si="6"/>
        <v>0.85331638637938267</v>
      </c>
      <c r="AD13" s="28">
        <f t="shared" si="6"/>
        <v>0.80011157424282031</v>
      </c>
      <c r="AE13" s="28">
        <f t="shared" si="6"/>
        <v>0.81347648043348819</v>
      </c>
      <c r="AF13" s="28">
        <f t="shared" si="6"/>
        <v>0.69983724832577543</v>
      </c>
      <c r="AG13" s="28">
        <f t="shared" si="6"/>
        <v>0.94491671256677756</v>
      </c>
      <c r="AH13" s="28">
        <f t="shared" si="6"/>
        <v>0.97015675933220857</v>
      </c>
      <c r="AI13" s="28">
        <f t="shared" si="6"/>
        <v>0.8891912772026378</v>
      </c>
      <c r="AJ13" s="28">
        <f t="shared" si="6"/>
        <v>0.90845376822237256</v>
      </c>
      <c r="AK13" s="28">
        <f t="shared" si="6"/>
        <v>0.907813955831829</v>
      </c>
      <c r="AL13" s="28">
        <f t="shared" si="6"/>
        <v>0.92051038214035807</v>
      </c>
      <c r="AM13" s="28">
        <f t="shared" si="6"/>
        <v>0.94173260812918502</v>
      </c>
      <c r="AN13" s="28">
        <f t="shared" si="6"/>
        <v>0.83966350442550919</v>
      </c>
      <c r="AO13" s="28">
        <f t="shared" si="6"/>
        <v>0.90621565333745069</v>
      </c>
      <c r="AP13" s="28">
        <f t="shared" si="6"/>
        <v>0.92206644467771059</v>
      </c>
      <c r="AQ13" s="28">
        <f t="shared" si="6"/>
        <v>0.99745596461818309</v>
      </c>
      <c r="AR13" s="28">
        <f t="shared" si="6"/>
        <v>0.90571952785028187</v>
      </c>
      <c r="AS13" s="28">
        <f t="shared" si="6"/>
        <v>0.85476261272782861</v>
      </c>
      <c r="AT13" s="28">
        <f t="shared" si="6"/>
        <v>0.83477633258365513</v>
      </c>
      <c r="AU13" s="28">
        <f t="shared" si="6"/>
        <v>0.79261846021141791</v>
      </c>
      <c r="AV13" s="28">
        <f t="shared" si="6"/>
        <v>0.73955935684805807</v>
      </c>
      <c r="AW13" s="28">
        <f t="shared" si="6"/>
        <v>0.88033755858239104</v>
      </c>
      <c r="AX13" s="28">
        <f t="shared" si="6"/>
        <v>0.83630648364393478</v>
      </c>
      <c r="AY13" s="28">
        <f t="shared" si="6"/>
        <v>0.79619580208572072</v>
      </c>
      <c r="AZ13" s="28">
        <f t="shared" si="6"/>
        <v>0.8170003445407128</v>
      </c>
      <c r="BA13" s="28">
        <f t="shared" si="6"/>
        <v>0.91008483086954728</v>
      </c>
      <c r="BB13" s="28">
        <f t="shared" si="6"/>
        <v>0.88074216901190705</v>
      </c>
      <c r="BC13" s="28">
        <f t="shared" si="6"/>
        <v>0.95987420295977188</v>
      </c>
      <c r="BD13" s="28">
        <f t="shared" si="6"/>
        <v>3.9471198709525557</v>
      </c>
      <c r="BE13" s="28">
        <f t="shared" si="6"/>
        <v>0</v>
      </c>
      <c r="BF13" s="28">
        <f t="shared" si="6"/>
        <v>0</v>
      </c>
      <c r="BG13" s="28">
        <f t="shared" si="6"/>
        <v>0</v>
      </c>
      <c r="BH13" s="28">
        <f t="shared" si="6"/>
        <v>0</v>
      </c>
      <c r="BI13" s="28">
        <f t="shared" si="6"/>
        <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1444532051.76</v>
      </c>
      <c r="F14" s="26">
        <f>现金流量表!F13</f>
        <v>25050902.539999999</v>
      </c>
      <c r="G14" s="26">
        <f>现金流量表!G13</f>
        <v>-77792233.489999995</v>
      </c>
      <c r="H14" s="26">
        <f>现金流量表!H13</f>
        <v>-207202091.75</v>
      </c>
      <c r="I14" s="26">
        <f>现金流量表!I13</f>
        <v>707081569.03999996</v>
      </c>
      <c r="J14" s="26">
        <f>现金流量表!J13</f>
        <v>-7890483.6100000003</v>
      </c>
      <c r="K14" s="26">
        <f>现金流量表!K13</f>
        <v>-18350760.559999999</v>
      </c>
      <c r="L14" s="26">
        <f>现金流量表!L13</f>
        <v>-167464199.06</v>
      </c>
      <c r="M14" s="26">
        <f>现金流量表!M13</f>
        <v>329839402.07999998</v>
      </c>
      <c r="N14" s="26">
        <f>现金流量表!N13</f>
        <v>18669092.190000001</v>
      </c>
      <c r="O14" s="26">
        <f>现金流量表!O13</f>
        <v>-89772991.200000003</v>
      </c>
      <c r="P14" s="26">
        <f>现金流量表!P13</f>
        <v>2967561.12</v>
      </c>
      <c r="Q14" s="26">
        <f>现金流量表!Q13</f>
        <v>29845946.210000001</v>
      </c>
      <c r="R14" s="26">
        <f>现金流量表!R13</f>
        <v>-53476826.460000001</v>
      </c>
      <c r="S14" s="26">
        <f>现金流量表!S13</f>
        <v>-101562822.12</v>
      </c>
      <c r="T14" s="26">
        <f>现金流量表!T13</f>
        <v>-43176033.659999996</v>
      </c>
      <c r="U14" s="26">
        <f>现金流量表!U13</f>
        <v>26160340.649999999</v>
      </c>
      <c r="V14" s="26">
        <f>现金流量表!V13</f>
        <v>-14855381.16</v>
      </c>
      <c r="W14" s="26">
        <f>现金流量表!W13</f>
        <v>-43047013.130000003</v>
      </c>
      <c r="X14" s="26">
        <f>现金流量表!X13</f>
        <v>1746052</v>
      </c>
      <c r="Y14" s="26">
        <f>现金流量表!Y13</f>
        <v>66693658.280000001</v>
      </c>
      <c r="Z14" s="26">
        <f>现金流量表!Z13</f>
        <v>32049791.030000001</v>
      </c>
      <c r="AA14" s="26">
        <f>现金流量表!AA13</f>
        <v>-43787282.979999997</v>
      </c>
      <c r="AB14" s="26">
        <f>现金流量表!AB13</f>
        <v>10353604.720000001</v>
      </c>
      <c r="AC14" s="26">
        <f>现金流量表!AC13</f>
        <v>63428318.07</v>
      </c>
      <c r="AD14" s="26">
        <f>现金流量表!AD13</f>
        <v>50590543.590000004</v>
      </c>
      <c r="AE14" s="26">
        <f>现金流量表!AE13</f>
        <v>-13988725.539999999</v>
      </c>
      <c r="AF14" s="26">
        <f>现金流量表!AF13</f>
        <v>20015092.460000001</v>
      </c>
      <c r="AG14" s="26">
        <f>现金流量表!AG13</f>
        <v>7395157.7999999998</v>
      </c>
      <c r="AH14" s="26">
        <f>现金流量表!AH13</f>
        <v>-30139481.140000001</v>
      </c>
      <c r="AI14" s="26">
        <f>现金流量表!AI13</f>
        <v>3156098.02</v>
      </c>
      <c r="AJ14" s="26">
        <f>现金流量表!AJ13</f>
        <v>19637281.809999999</v>
      </c>
      <c r="AK14" s="26">
        <f>现金流量表!AK13</f>
        <v>40501415.049999997</v>
      </c>
      <c r="AL14" s="26">
        <f>现金流量表!AL13</f>
        <v>14278788.75</v>
      </c>
      <c r="AM14" s="26">
        <f>现金流量表!AM13</f>
        <v>9874825.5899999999</v>
      </c>
      <c r="AN14" s="26">
        <f>现金流量表!AN13</f>
        <v>13955977.08</v>
      </c>
      <c r="AO14" s="26">
        <f>现金流量表!AO13</f>
        <v>25084177.030000001</v>
      </c>
      <c r="AP14" s="26">
        <f>现金流量表!AP13</f>
        <v>5988186.9199999999</v>
      </c>
      <c r="AQ14" s="26">
        <f>现金流量表!AQ13</f>
        <v>519973.69</v>
      </c>
      <c r="AR14" s="26">
        <f>现金流量表!AR13</f>
        <v>20013906.16</v>
      </c>
      <c r="AS14" s="26">
        <f>现金流量表!AS13</f>
        <v>27271032.739999998</v>
      </c>
      <c r="AT14" s="26">
        <f>现金流量表!AT13</f>
        <v>43567893.57</v>
      </c>
      <c r="AU14" s="26">
        <f>现金流量表!AU13</f>
        <v>29941999.370000001</v>
      </c>
      <c r="AV14" s="26">
        <f>现金流量表!AV13</f>
        <v>15360687.01</v>
      </c>
      <c r="AW14" s="26">
        <f>现金流量表!AW13</f>
        <v>26473280.34</v>
      </c>
      <c r="AX14" s="26">
        <f>现金流量表!AX13</f>
        <v>20184377.239999998</v>
      </c>
      <c r="AY14" s="26">
        <f>现金流量表!AY13</f>
        <v>15428371.85</v>
      </c>
      <c r="AZ14" s="26">
        <f>现金流量表!AZ13</f>
        <v>1269120.93</v>
      </c>
      <c r="BA14" s="26">
        <f>现金流量表!BA13</f>
        <v>49283884.990000002</v>
      </c>
      <c r="BB14" s="26">
        <f>现金流量表!BB13</f>
        <v>26470599.609999999</v>
      </c>
      <c r="BC14" s="26">
        <f>现金流量表!BC13</f>
        <v>13892938.720000001</v>
      </c>
      <c r="BD14" s="26">
        <f>现金流量表!BD13</f>
        <v>42068867.590000004</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712475552.88294196</v>
      </c>
      <c r="F15" s="26">
        <f>股权价值增加表!F17</f>
        <v>258922111.76696318</v>
      </c>
      <c r="G15" s="26">
        <f>股权价值增加表!G17</f>
        <v>52932342.646724112</v>
      </c>
      <c r="H15" s="26">
        <f>股权价值增加表!H17</f>
        <v>-86863089.54114081</v>
      </c>
      <c r="I15" s="26">
        <f>股权价值增加表!I17</f>
        <v>372209977.03327262</v>
      </c>
      <c r="J15" s="26">
        <f>股权价值增加表!J17</f>
        <v>121548408.85939723</v>
      </c>
      <c r="K15" s="26">
        <f>股权价值增加表!K17</f>
        <v>-11548583.87262355</v>
      </c>
      <c r="L15" s="26">
        <f>股权价值增加表!L17</f>
        <v>-130665667.77966194</v>
      </c>
      <c r="M15" s="26">
        <f>股权价值增加表!M17</f>
        <v>253842927.50485846</v>
      </c>
      <c r="N15" s="26">
        <f>股权价值增加表!N17</f>
        <v>61977179.431889527</v>
      </c>
      <c r="O15" s="26">
        <f>股权价值增加表!O17</f>
        <v>1339915.1658716402</v>
      </c>
      <c r="P15" s="26">
        <f>股权价值增加表!P17</f>
        <v>73627.103470739909</v>
      </c>
      <c r="Q15" s="26">
        <f>股权价值增加表!Q17</f>
        <v>28964238.536427379</v>
      </c>
      <c r="R15" s="26">
        <f>股权价值增加表!R17</f>
        <v>29813629.120508496</v>
      </c>
      <c r="S15" s="26">
        <f>股权价值增加表!S17</f>
        <v>5280211.3368851533</v>
      </c>
      <c r="T15" s="26">
        <f>股权价值增加表!T17</f>
        <v>1429247.0913469587</v>
      </c>
      <c r="U15" s="26">
        <f>股权价值增加表!U17</f>
        <v>-30944089.413187891</v>
      </c>
      <c r="V15" s="26">
        <f>股权价值增加表!V17</f>
        <v>40413315.888438806</v>
      </c>
      <c r="W15" s="26">
        <f>股权价值增加表!W17</f>
        <v>12248352.260931205</v>
      </c>
      <c r="X15" s="26">
        <f>股权价值增加表!X17</f>
        <v>6040243.2815340525</v>
      </c>
      <c r="Y15" s="26">
        <f>股权价值增加表!Y17</f>
        <v>59535554.572981566</v>
      </c>
      <c r="Z15" s="26">
        <f>股权价值增加表!Z17</f>
        <v>34885751.841444433</v>
      </c>
      <c r="AA15" s="26">
        <f>股权价值增加表!AA17</f>
        <v>7654200.6205729544</v>
      </c>
      <c r="AB15" s="26">
        <f>股权价值增加表!AB17</f>
        <v>4192803.3214189024</v>
      </c>
      <c r="AC15" s="26">
        <f>股权价值增加表!AC17</f>
        <v>59189611.941047028</v>
      </c>
      <c r="AD15" s="26">
        <f>股权价值增加表!AD17</f>
        <v>31784091.765680879</v>
      </c>
      <c r="AE15" s="26">
        <f>股权价值增加表!AE17</f>
        <v>7334933.7899867035</v>
      </c>
      <c r="AF15" s="26">
        <f>股权价值增加表!AF17</f>
        <v>4574662.0747087356</v>
      </c>
      <c r="AG15" s="26">
        <f>股权价值增加表!AG17</f>
        <v>23295607.601102028</v>
      </c>
      <c r="AH15" s="26">
        <f>股权价值增加表!AH17</f>
        <v>15366602.47546972</v>
      </c>
      <c r="AI15" s="26">
        <f>股权价值增加表!AI17</f>
        <v>4245046.1293332586</v>
      </c>
      <c r="AJ15" s="26">
        <f>股权价值增加表!AJ17</f>
        <v>2253633.8092574035</v>
      </c>
      <c r="AK15" s="26">
        <f>股权价值增加表!AK17</f>
        <v>14852606.520171981</v>
      </c>
      <c r="AL15" s="26">
        <f>股权价值增加表!AL17</f>
        <v>9974896.6390956268</v>
      </c>
      <c r="AM15" s="26">
        <f>股权价值增加表!AM17</f>
        <v>2611637.5076598329</v>
      </c>
      <c r="AN15" s="26">
        <f>股权价值增加表!AN17</f>
        <v>1085023.1705455827</v>
      </c>
      <c r="AO15" s="26">
        <f>股权价值增加表!AO17</f>
        <v>13424812.564856924</v>
      </c>
      <c r="AP15" s="26">
        <f>股权价值增加表!AP17</f>
        <v>10786479.008059148</v>
      </c>
      <c r="AQ15" s="26">
        <f>股权价值增加表!AQ17</f>
        <v>2789683.8004335333</v>
      </c>
      <c r="AR15" s="26">
        <f>股权价值增加表!AR17</f>
        <v>1311784.2109624096</v>
      </c>
      <c r="AS15" s="26">
        <f>股权价值增加表!AS17</f>
        <v>25279752.002657019</v>
      </c>
      <c r="AT15" s="26">
        <f>股权价值增加表!AT17</f>
        <v>21056376.862885516</v>
      </c>
      <c r="AU15" s="26">
        <f>股权价值增加表!AU17</f>
        <v>5957295.3379204413</v>
      </c>
      <c r="AV15" s="26">
        <f>股权价值增加表!AV17</f>
        <v>2707995.2482534572</v>
      </c>
      <c r="AW15" s="26">
        <f>股权价值增加表!AW17</f>
        <v>27920219.228853434</v>
      </c>
      <c r="AX15" s="26">
        <f>股权价值增加表!AX17</f>
        <v>22177492.141647227</v>
      </c>
      <c r="AY15" s="26">
        <f>股权价值增加表!AY17</f>
        <v>6495286.6503340481</v>
      </c>
      <c r="AZ15" s="26">
        <f>股权价值增加表!AZ17</f>
        <v>3937890.9180124863</v>
      </c>
      <c r="BA15" s="26">
        <f>股权价值增加表!BA17</f>
        <v>23617658.476098653</v>
      </c>
      <c r="BB15" s="26">
        <f>股权价值增加表!BB17</f>
        <v>17071140.875610162</v>
      </c>
      <c r="BC15" s="26">
        <f>股权价值增加表!BC17</f>
        <v>3603993.968266408</v>
      </c>
      <c r="BD15" s="26">
        <f>股权价值增加表!BD17</f>
        <v>2460204.0101361116</v>
      </c>
      <c r="BE15" s="26">
        <f>股权价值增加表!BE17</f>
        <v>22881275.229180519</v>
      </c>
      <c r="BF15" s="26">
        <f>股权价值增加表!BF17</f>
        <v>14439456.212387512</v>
      </c>
      <c r="BG15" s="26">
        <f>股权价值增加表!BG17</f>
        <v>2618662.4150095046</v>
      </c>
      <c r="BH15" s="26">
        <f>股权价值增加表!BH17</f>
        <v>22246925.769836754</v>
      </c>
      <c r="BI15" s="26">
        <f>股权价值增加表!BI17</f>
        <v>14911714.796748716</v>
      </c>
      <c r="BJ15" s="26" t="e">
        <f>股权价值增加表!BJ17</f>
        <v>#DIV/0!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2.0274829724541203</v>
      </c>
      <c r="F16" s="28">
        <f t="shared" ref="F16:BQ16" si="8">F14/F15</f>
        <v>9.6750726962038999E-2</v>
      </c>
      <c r="G16" s="28">
        <f t="shared" si="8"/>
        <v>-1.46965408293363</v>
      </c>
      <c r="H16" s="28">
        <f t="shared" si="8"/>
        <v>2.3853870826441561</v>
      </c>
      <c r="I16" s="28">
        <f t="shared" si="8"/>
        <v>1.8996846206967539</v>
      </c>
      <c r="J16" s="28">
        <f t="shared" si="8"/>
        <v>-6.491638750390738E-2</v>
      </c>
      <c r="K16" s="28">
        <f t="shared" si="8"/>
        <v>1.5890052635372309</v>
      </c>
      <c r="L16" s="28">
        <f t="shared" si="8"/>
        <v>1.2816235657433019</v>
      </c>
      <c r="M16" s="28">
        <f t="shared" si="8"/>
        <v>1.2993838564743427</v>
      </c>
      <c r="N16" s="28">
        <f t="shared" si="8"/>
        <v>0.30122526325220395</v>
      </c>
      <c r="O16" s="28">
        <f t="shared" si="8"/>
        <v>-66.999011196056557</v>
      </c>
      <c r="P16" s="28">
        <f t="shared" si="8"/>
        <v>40.305281344923969</v>
      </c>
      <c r="Q16" s="28">
        <f t="shared" si="8"/>
        <v>1.0304412516304797</v>
      </c>
      <c r="R16" s="28">
        <f t="shared" si="8"/>
        <v>-1.7937040218701128</v>
      </c>
      <c r="S16" s="28">
        <f t="shared" si="8"/>
        <v>-19.234613094087418</v>
      </c>
      <c r="T16" s="28">
        <f t="shared" si="8"/>
        <v>-30.208935824602456</v>
      </c>
      <c r="U16" s="28">
        <f t="shared" si="8"/>
        <v>-0.84540670435275</v>
      </c>
      <c r="V16" s="28">
        <f t="shared" si="8"/>
        <v>-0.36758629757103739</v>
      </c>
      <c r="W16" s="28">
        <f t="shared" si="8"/>
        <v>-3.5145146231063138</v>
      </c>
      <c r="X16" s="28">
        <f t="shared" si="8"/>
        <v>0.28906981368415208</v>
      </c>
      <c r="Y16" s="28">
        <f t="shared" si="8"/>
        <v>1.120232418398718</v>
      </c>
      <c r="Z16" s="28">
        <f t="shared" si="8"/>
        <v>0.91870718956169095</v>
      </c>
      <c r="AA16" s="28">
        <f t="shared" si="8"/>
        <v>-5.7206866073393181</v>
      </c>
      <c r="AB16" s="28">
        <f t="shared" si="8"/>
        <v>2.4693752428378155</v>
      </c>
      <c r="AC16" s="28">
        <f t="shared" si="8"/>
        <v>1.0716123317918478</v>
      </c>
      <c r="AD16" s="28">
        <f t="shared" si="8"/>
        <v>1.5916938562525023</v>
      </c>
      <c r="AE16" s="28">
        <f t="shared" si="8"/>
        <v>-1.9071372612929007</v>
      </c>
      <c r="AF16" s="28">
        <f t="shared" si="8"/>
        <v>4.3752067656875715</v>
      </c>
      <c r="AG16" s="28">
        <f t="shared" si="8"/>
        <v>0.3174485905939694</v>
      </c>
      <c r="AH16" s="28">
        <f t="shared" si="8"/>
        <v>-1.9613627142442696</v>
      </c>
      <c r="AI16" s="28">
        <f t="shared" si="8"/>
        <v>0.74347790903645783</v>
      </c>
      <c r="AJ16" s="28">
        <f t="shared" si="8"/>
        <v>8.7136080978793498</v>
      </c>
      <c r="AK16" s="28">
        <f t="shared" si="8"/>
        <v>2.7268893843645041</v>
      </c>
      <c r="AL16" s="28">
        <f t="shared" si="8"/>
        <v>1.4314723517069532</v>
      </c>
      <c r="AM16" s="28">
        <f t="shared" si="8"/>
        <v>3.7810858363909672</v>
      </c>
      <c r="AN16" s="28">
        <f t="shared" si="8"/>
        <v>12.862377006181822</v>
      </c>
      <c r="AO16" s="28">
        <f t="shared" si="8"/>
        <v>1.8684936500092832</v>
      </c>
      <c r="AP16" s="28">
        <f t="shared" si="8"/>
        <v>0.55515677688019505</v>
      </c>
      <c r="AQ16" s="28">
        <f t="shared" si="8"/>
        <v>0.18639162256281269</v>
      </c>
      <c r="AR16" s="28">
        <f t="shared" si="8"/>
        <v>15.257011018082391</v>
      </c>
      <c r="AS16" s="28">
        <f t="shared" si="8"/>
        <v>1.0787697892421448</v>
      </c>
      <c r="AT16" s="28">
        <f t="shared" si="8"/>
        <v>2.0691068484243287</v>
      </c>
      <c r="AU16" s="28">
        <f t="shared" si="8"/>
        <v>5.026106256543609</v>
      </c>
      <c r="AV16" s="28">
        <f t="shared" si="8"/>
        <v>5.6723463676337671</v>
      </c>
      <c r="AW16" s="28">
        <f t="shared" si="8"/>
        <v>0.948175948154514</v>
      </c>
      <c r="AX16" s="28">
        <f t="shared" si="8"/>
        <v>0.9101289321210333</v>
      </c>
      <c r="AY16" s="28">
        <f t="shared" si="8"/>
        <v>2.3753180853390865</v>
      </c>
      <c r="AZ16" s="28">
        <f t="shared" si="8"/>
        <v>0.32228443002188201</v>
      </c>
      <c r="BA16" s="28">
        <f t="shared" si="8"/>
        <v>2.0867388289095583</v>
      </c>
      <c r="BB16" s="28">
        <f t="shared" si="8"/>
        <v>1.5506051881874521</v>
      </c>
      <c r="BC16" s="28">
        <f t="shared" si="8"/>
        <v>3.8548729110894651</v>
      </c>
      <c r="BD16" s="28">
        <f t="shared" si="8"/>
        <v>17.099747588685755</v>
      </c>
      <c r="BE16" s="28">
        <f t="shared" si="8"/>
        <v>0</v>
      </c>
      <c r="BF16" s="28">
        <f t="shared" si="8"/>
        <v>0</v>
      </c>
      <c r="BG16" s="28">
        <f t="shared" si="8"/>
        <v>0</v>
      </c>
      <c r="BH16" s="28">
        <f t="shared" si="8"/>
        <v>0</v>
      </c>
      <c r="BI16" s="28">
        <f t="shared" si="8"/>
        <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672814812.24000001</v>
      </c>
      <c r="F17" s="26">
        <f>股权价值增加表!F42</f>
        <v>254277693.38999996</v>
      </c>
      <c r="G17" s="26">
        <f>股权价值增加表!G42</f>
        <v>36470578.730000094</v>
      </c>
      <c r="H17" s="26">
        <f>股权价值增加表!H42</f>
        <v>-112966406.31000006</v>
      </c>
      <c r="I17" s="26">
        <f>股权价值增加表!I42</f>
        <v>367497803.49999988</v>
      </c>
      <c r="J17" s="26">
        <f>股权价值增加表!J42</f>
        <v>112222387.96000001</v>
      </c>
      <c r="K17" s="26">
        <f>股权价值增加表!K42</f>
        <v>-21860446.840000004</v>
      </c>
      <c r="L17" s="26">
        <f>股权价值增加表!L42</f>
        <v>-139176602.41999999</v>
      </c>
      <c r="M17" s="26">
        <f>股权价值增加表!M42</f>
        <v>280572019.19</v>
      </c>
      <c r="N17" s="26">
        <f>股权价值增加表!N42</f>
        <v>85506626.899999961</v>
      </c>
      <c r="O17" s="26">
        <f>股权价值增加表!O42</f>
        <v>1531805.9399999864</v>
      </c>
      <c r="P17" s="26">
        <f>股权价值增加表!P42</f>
        <v>107515.5199999935</v>
      </c>
      <c r="Q17" s="26">
        <f>股权价值增加表!Q42</f>
        <v>26072542.089999937</v>
      </c>
      <c r="R17" s="26">
        <f>股权价值增加表!R42</f>
        <v>25438915.939999972</v>
      </c>
      <c r="S17" s="26">
        <f>股权价值增加表!S42</f>
        <v>3340234.9399999976</v>
      </c>
      <c r="T17" s="26">
        <f>股权价值增加表!T42</f>
        <v>778454.19000000064</v>
      </c>
      <c r="U17" s="26">
        <f>股权价值增加表!U42</f>
        <v>-65488111.839999959</v>
      </c>
      <c r="V17" s="26">
        <f>股权价值增加表!V42</f>
        <v>35432998.069999963</v>
      </c>
      <c r="W17" s="26">
        <f>股权价值增加表!W42</f>
        <v>8480617.3099999893</v>
      </c>
      <c r="X17" s="26">
        <f>股权价值增加表!X42</f>
        <v>4760000.6200000076</v>
      </c>
      <c r="Y17" s="26">
        <f>股权价值增加表!Y42</f>
        <v>58877702.760000072</v>
      </c>
      <c r="Z17" s="26">
        <f>股权价值增加表!Z42</f>
        <v>36151655.140000008</v>
      </c>
      <c r="AA17" s="26">
        <f>股权价值增加表!AA42</f>
        <v>8343822.9500000216</v>
      </c>
      <c r="AB17" s="26">
        <f>股权价值增加表!AB42</f>
        <v>4610348.4599999962</v>
      </c>
      <c r="AC17" s="26">
        <f>股权价值增加表!AC42</f>
        <v>58324839.750000052</v>
      </c>
      <c r="AD17" s="26">
        <f>股权价值增加表!AD42</f>
        <v>31014853.869999923</v>
      </c>
      <c r="AE17" s="26">
        <f>股权价值增加表!AE42</f>
        <v>7504657.2999999821</v>
      </c>
      <c r="AF17" s="26">
        <f>股权价值增加表!AF42</f>
        <v>5151978.1899999967</v>
      </c>
      <c r="AG17" s="26">
        <f>股权价值增加表!AG42</f>
        <v>24376002.670000009</v>
      </c>
      <c r="AH17" s="26">
        <f>股权价值增加表!AH42</f>
        <v>17017660.519999988</v>
      </c>
      <c r="AI17" s="26">
        <f>股权价值增加表!AI42</f>
        <v>5750465.330000014</v>
      </c>
      <c r="AJ17" s="26">
        <f>股权价值增加表!AJ42</f>
        <v>3801149.3100000108</v>
      </c>
      <c r="AK17" s="26">
        <f>股权价值增加表!AK42</f>
        <v>17416030.959999979</v>
      </c>
      <c r="AL17" s="26">
        <f>股权价值增加表!AL42</f>
        <v>12979604.360000035</v>
      </c>
      <c r="AM17" s="26">
        <f>股权价值增加表!AM42</f>
        <v>4247313.3399999943</v>
      </c>
      <c r="AN17" s="26">
        <f>股权价值增加表!AN42</f>
        <v>2833742.0299999937</v>
      </c>
      <c r="AO17" s="26">
        <f>股权价值增加表!AO42</f>
        <v>13812249.279999999</v>
      </c>
      <c r="AP17" s="26">
        <f>股权价值增加表!AP42</f>
        <v>11639330.21999998</v>
      </c>
      <c r="AQ17" s="26">
        <f>股权价值增加表!AQ42</f>
        <v>4374064.3599999808</v>
      </c>
      <c r="AR17" s="26">
        <f>股权价值增加表!AR42</f>
        <v>2877945.9199999981</v>
      </c>
      <c r="AS17" s="26">
        <f>股权价值增加表!AS42</f>
        <v>26911995.609999973</v>
      </c>
      <c r="AT17" s="26">
        <f>股权价值增加表!AT42</f>
        <v>22743686.749999989</v>
      </c>
      <c r="AU17" s="26">
        <f>股权价值增加表!AU42</f>
        <v>7442870.0300000031</v>
      </c>
      <c r="AV17" s="26">
        <f>股权价值增加表!AV42</f>
        <v>4464330.519999993</v>
      </c>
      <c r="AW17" s="26">
        <f>股权价值增加表!AW42</f>
        <v>27963222.630000066</v>
      </c>
      <c r="AX17" s="26">
        <f>股权价值增加表!AX42</f>
        <v>22137475.440000031</v>
      </c>
      <c r="AY17" s="26">
        <f>股权价值增加表!AY42</f>
        <v>6284476.8499999801</v>
      </c>
      <c r="AZ17" s="26">
        <f>股权价值增加表!AZ42</f>
        <v>3948762.0099999928</v>
      </c>
      <c r="BA17" s="26">
        <f>股权价值增加表!BA42</f>
        <v>23733398.870000012</v>
      </c>
      <c r="BB17" s="26">
        <f>股权价值增加表!BB42</f>
        <v>16748030.470000016</v>
      </c>
      <c r="BC17" s="26">
        <f>股权价值增加表!BC42</f>
        <v>3427701.9199999846</v>
      </c>
      <c r="BD17" s="26">
        <f>股权价值增加表!BD42</f>
        <v>2295888.0800000019</v>
      </c>
      <c r="BE17" s="26">
        <f>股权价值增加表!BE42</f>
        <v>22097272.940000035</v>
      </c>
      <c r="BF17" s="26">
        <f>股权价值增加表!BF42</f>
        <v>14015862.020000044</v>
      </c>
      <c r="BG17" s="26">
        <f>股权价值增加表!BG42</f>
        <v>2412171.8700000099</v>
      </c>
      <c r="BH17" s="26">
        <f>股权价值增加表!BH42</f>
        <v>22458964.499999981</v>
      </c>
      <c r="BI17" s="26">
        <f>股权价值增加表!BI42</f>
        <v>17799326.819999985</v>
      </c>
      <c r="BJ17" s="26">
        <f>股权价值增加表!BJ42</f>
        <v>0</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2.146997993327056</v>
      </c>
      <c r="F18" s="28">
        <f t="shared" ref="F18:BQ18" si="10">F14/F17</f>
        <v>9.8517892804611942E-2</v>
      </c>
      <c r="G18" s="28">
        <f t="shared" si="10"/>
        <v>-2.1330134096832798</v>
      </c>
      <c r="H18" s="28">
        <f t="shared" si="10"/>
        <v>1.8341921153214376</v>
      </c>
      <c r="I18" s="28">
        <f t="shared" si="10"/>
        <v>1.9240429801371595</v>
      </c>
      <c r="J18" s="28">
        <f t="shared" si="10"/>
        <v>-7.0311136248610615E-2</v>
      </c>
      <c r="K18" s="28">
        <f t="shared" si="10"/>
        <v>0.839450387007734</v>
      </c>
      <c r="L18" s="28">
        <f t="shared" si="10"/>
        <v>1.2032496565380664</v>
      </c>
      <c r="M18" s="28">
        <f t="shared" si="10"/>
        <v>1.1755962088886587</v>
      </c>
      <c r="N18" s="28">
        <f t="shared" si="10"/>
        <v>0.21833503281369657</v>
      </c>
      <c r="O18" s="28">
        <f t="shared" si="10"/>
        <v>-58.605981903948482</v>
      </c>
      <c r="P18" s="28">
        <f t="shared" si="10"/>
        <v>27.601234872883278</v>
      </c>
      <c r="Q18" s="28">
        <f t="shared" si="10"/>
        <v>1.144727127373105</v>
      </c>
      <c r="R18" s="28">
        <f t="shared" si="10"/>
        <v>-2.1021660901797086</v>
      </c>
      <c r="S18" s="28">
        <f t="shared" si="10"/>
        <v>-30.405891784366545</v>
      </c>
      <c r="T18" s="28">
        <f t="shared" si="10"/>
        <v>-55.463807908850697</v>
      </c>
      <c r="U18" s="28">
        <f t="shared" si="10"/>
        <v>-0.39946701645505883</v>
      </c>
      <c r="V18" s="28">
        <f t="shared" si="10"/>
        <v>-0.41925272963502341</v>
      </c>
      <c r="W18" s="28">
        <f t="shared" si="10"/>
        <v>-5.0759292108654357</v>
      </c>
      <c r="X18" s="28">
        <f t="shared" si="10"/>
        <v>0.36681759928006002</v>
      </c>
      <c r="Y18" s="28">
        <f t="shared" si="10"/>
        <v>1.1327489890673839</v>
      </c>
      <c r="Z18" s="28">
        <f t="shared" si="10"/>
        <v>0.88653730806749431</v>
      </c>
      <c r="AA18" s="28">
        <f t="shared" si="10"/>
        <v>-5.2478681825337485</v>
      </c>
      <c r="AB18" s="28">
        <f t="shared" si="10"/>
        <v>2.2457314907602473</v>
      </c>
      <c r="AC18" s="28">
        <f t="shared" si="10"/>
        <v>1.0875009402833369</v>
      </c>
      <c r="AD18" s="28">
        <f t="shared" si="10"/>
        <v>1.6311714316647248</v>
      </c>
      <c r="AE18" s="28">
        <f t="shared" si="10"/>
        <v>-1.8640059073716841</v>
      </c>
      <c r="AF18" s="28">
        <f t="shared" si="10"/>
        <v>3.8849334608693313</v>
      </c>
      <c r="AG18" s="28">
        <f t="shared" si="10"/>
        <v>0.30337860969720665</v>
      </c>
      <c r="AH18" s="28">
        <f t="shared" si="10"/>
        <v>-1.7710707711308853</v>
      </c>
      <c r="AI18" s="28">
        <f t="shared" si="10"/>
        <v>0.5488421960453751</v>
      </c>
      <c r="AJ18" s="28">
        <f t="shared" si="10"/>
        <v>5.1661432394508973</v>
      </c>
      <c r="AK18" s="28">
        <f t="shared" si="10"/>
        <v>2.325524980003828</v>
      </c>
      <c r="AL18" s="28">
        <f t="shared" si="10"/>
        <v>1.1000942982517814</v>
      </c>
      <c r="AM18" s="28">
        <f t="shared" si="10"/>
        <v>2.3249581086946631</v>
      </c>
      <c r="AN18" s="28">
        <f t="shared" si="10"/>
        <v>4.9249285687448516</v>
      </c>
      <c r="AO18" s="28">
        <f t="shared" si="10"/>
        <v>1.816081980675055</v>
      </c>
      <c r="AP18" s="28">
        <f t="shared" si="10"/>
        <v>0.5144786518480623</v>
      </c>
      <c r="AQ18" s="28">
        <f t="shared" si="10"/>
        <v>0.11887655215022998</v>
      </c>
      <c r="AR18" s="28">
        <f t="shared" si="10"/>
        <v>6.9542328856547844</v>
      </c>
      <c r="AS18" s="28">
        <f t="shared" si="10"/>
        <v>1.0133411559366714</v>
      </c>
      <c r="AT18" s="28">
        <f t="shared" si="10"/>
        <v>1.915603835424792</v>
      </c>
      <c r="AU18" s="28">
        <f t="shared" si="10"/>
        <v>4.0229104161852449</v>
      </c>
      <c r="AV18" s="28">
        <f t="shared" si="10"/>
        <v>3.4407593571275328</v>
      </c>
      <c r="AW18" s="28">
        <f t="shared" si="10"/>
        <v>0.94671779037364612</v>
      </c>
      <c r="AX18" s="28">
        <f t="shared" si="10"/>
        <v>0.91177412233415767</v>
      </c>
      <c r="AY18" s="28">
        <f t="shared" si="10"/>
        <v>2.4549970058366988</v>
      </c>
      <c r="AZ18" s="28">
        <f t="shared" si="10"/>
        <v>0.32139716872934621</v>
      </c>
      <c r="BA18" s="28">
        <f t="shared" si="10"/>
        <v>2.076562453610336</v>
      </c>
      <c r="BB18" s="28">
        <f t="shared" si="10"/>
        <v>1.5805201487670792</v>
      </c>
      <c r="BC18" s="28">
        <f t="shared" si="10"/>
        <v>4.0531350287308712</v>
      </c>
      <c r="BD18" s="28">
        <f t="shared" si="10"/>
        <v>18.323570716042905</v>
      </c>
      <c r="BE18" s="28">
        <f t="shared" si="10"/>
        <v>0</v>
      </c>
      <c r="BF18" s="28">
        <f t="shared" si="10"/>
        <v>0</v>
      </c>
      <c r="BG18" s="28">
        <f t="shared" si="10"/>
        <v>0</v>
      </c>
      <c r="BH18" s="28">
        <f t="shared" si="10"/>
        <v>0</v>
      </c>
      <c r="BI18" s="28">
        <f t="shared" si="10"/>
        <v>0</v>
      </c>
      <c r="BJ18" s="28" t="e">
        <f t="shared" si="10"/>
        <v>#DIV/0!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17753750.18</v>
      </c>
      <c r="F19" s="26">
        <f>现金流量表!F48</f>
        <v>0</v>
      </c>
      <c r="G19" s="26">
        <f>现金流量表!G48</f>
        <v>9052580.5099999998</v>
      </c>
      <c r="H19" s="26">
        <f>现金流量表!H48</f>
        <v>0</v>
      </c>
      <c r="I19" s="26">
        <f>现金流量表!I48</f>
        <v>6030144.29</v>
      </c>
      <c r="J19" s="26">
        <f>现金流量表!J48</f>
        <v>0</v>
      </c>
      <c r="K19" s="26">
        <f>现金流量表!K48</f>
        <v>1409999.82</v>
      </c>
      <c r="L19" s="26">
        <f>现金流量表!L48</f>
        <v>0</v>
      </c>
      <c r="M19" s="26">
        <f>现金流量表!M48</f>
        <v>2015855.42</v>
      </c>
      <c r="N19" s="26">
        <f>现金流量表!N48</f>
        <v>0</v>
      </c>
      <c r="O19" s="26">
        <f>现金流量表!O48</f>
        <v>2298283.84</v>
      </c>
      <c r="P19" s="26">
        <f>现金流量表!P48</f>
        <v>0</v>
      </c>
      <c r="Q19" s="26">
        <f>现金流量表!Q48</f>
        <v>17882149.25</v>
      </c>
      <c r="R19" s="26">
        <f>现金流量表!R48</f>
        <v>0</v>
      </c>
      <c r="S19" s="26">
        <f>现金流量表!S48</f>
        <v>-632888.44999999995</v>
      </c>
      <c r="T19" s="26">
        <f>现金流量表!T48</f>
        <v>0</v>
      </c>
      <c r="U19" s="26">
        <f>现金流量表!U48</f>
        <v>92404460.180000007</v>
      </c>
      <c r="V19" s="26">
        <f>现金流量表!V48</f>
        <v>0</v>
      </c>
      <c r="W19" s="26">
        <f>现金流量表!W48</f>
        <v>-2957452.54</v>
      </c>
      <c r="X19" s="26">
        <f>现金流量表!X48</f>
        <v>0</v>
      </c>
      <c r="Y19" s="26">
        <f>现金流量表!Y48</f>
        <v>3955385.3</v>
      </c>
      <c r="Z19" s="26">
        <f>现金流量表!Z48</f>
        <v>0</v>
      </c>
      <c r="AA19" s="26">
        <f>现金流量表!AA48</f>
        <v>1869700.4</v>
      </c>
      <c r="AB19" s="26">
        <f>现金流量表!AB48</f>
        <v>0</v>
      </c>
      <c r="AC19" s="26">
        <f>现金流量表!AC48</f>
        <v>4268461.83</v>
      </c>
      <c r="AD19" s="26">
        <f>现金流量表!AD48</f>
        <v>0</v>
      </c>
      <c r="AE19" s="26">
        <f>现金流量表!AE48</f>
        <v>4088140.79</v>
      </c>
      <c r="AF19" s="26">
        <f>现金流量表!AF48</f>
        <v>0</v>
      </c>
      <c r="AG19" s="26">
        <f>现金流量表!AG48</f>
        <v>191297.45</v>
      </c>
      <c r="AH19" s="26">
        <f>现金流量表!AH48</f>
        <v>0</v>
      </c>
      <c r="AI19" s="26">
        <f>现金流量表!AI48</f>
        <v>606605.75</v>
      </c>
      <c r="AJ19" s="26">
        <f>现金流量表!AJ48</f>
        <v>0</v>
      </c>
      <c r="AK19" s="26">
        <f>现金流量表!AK48</f>
        <v>2097034.57</v>
      </c>
      <c r="AL19" s="26">
        <f>现金流量表!AL48</f>
        <v>0</v>
      </c>
      <c r="AM19" s="26">
        <f>现金流量表!AM48</f>
        <v>-763064.65</v>
      </c>
      <c r="AN19" s="26">
        <f>现金流量表!AN48</f>
        <v>0</v>
      </c>
      <c r="AO19" s="26">
        <f>现金流量表!AO48</f>
        <v>-401552.42</v>
      </c>
      <c r="AP19" s="26">
        <f>现金流量表!AP48</f>
        <v>0</v>
      </c>
      <c r="AQ19" s="26">
        <f>现金流量表!AQ48</f>
        <v>-1095416.8400000001</v>
      </c>
      <c r="AR19" s="26">
        <f>现金流量表!AR48</f>
        <v>0</v>
      </c>
      <c r="AS19" s="26">
        <f>现金流量表!AS48</f>
        <v>2113419.54</v>
      </c>
      <c r="AT19" s="26">
        <f>现金流量表!AT48</f>
        <v>0</v>
      </c>
      <c r="AU19" s="26">
        <f>现金流量表!AU48</f>
        <v>-45554.71</v>
      </c>
      <c r="AV19" s="26">
        <f>现金流量表!AV48</f>
        <v>0</v>
      </c>
      <c r="AW19" s="26">
        <f>现金流量表!AW48</f>
        <v>1083571.67</v>
      </c>
      <c r="AX19" s="26">
        <f>现金流量表!AX48</f>
        <v>0</v>
      </c>
      <c r="AY19" s="26">
        <f>现金流量表!AY48</f>
        <v>0</v>
      </c>
      <c r="AZ19" s="26">
        <f>现金流量表!AZ48</f>
        <v>0</v>
      </c>
      <c r="BA19" s="26">
        <f>现金流量表!BA48</f>
        <v>-1655054.47</v>
      </c>
      <c r="BB19" s="26">
        <f>现金流量表!BB48</f>
        <v>-678845.06</v>
      </c>
      <c r="BC19" s="26">
        <f>现金流量表!BC48</f>
        <v>-2176514.36</v>
      </c>
      <c r="BD19" s="26">
        <f>现金流量表!BD48</f>
        <v>1211301.76</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209282298.00999999</v>
      </c>
      <c r="F20" s="26">
        <f>现金流量表!F49</f>
        <v>0</v>
      </c>
      <c r="G20" s="26">
        <f>现金流量表!G49</f>
        <v>73760572.890000001</v>
      </c>
      <c r="H20" s="26">
        <f>现金流量表!H49</f>
        <v>0</v>
      </c>
      <c r="I20" s="26">
        <f>现金流量表!I49</f>
        <v>108874131.90000001</v>
      </c>
      <c r="J20" s="26">
        <f>现金流量表!J49</f>
        <v>0</v>
      </c>
      <c r="K20" s="26">
        <f>现金流量表!K49</f>
        <v>50867459.140000001</v>
      </c>
      <c r="L20" s="26">
        <f>现金流量表!L49</f>
        <v>0</v>
      </c>
      <c r="M20" s="26">
        <f>现金流量表!M49</f>
        <v>75408286.25</v>
      </c>
      <c r="N20" s="26">
        <f>现金流量表!N49</f>
        <v>0</v>
      </c>
      <c r="O20" s="26">
        <f>现金流量表!O49</f>
        <v>5798043.4800000004</v>
      </c>
      <c r="P20" s="26">
        <f>现金流量表!P49</f>
        <v>0</v>
      </c>
      <c r="Q20" s="26">
        <f>现金流量表!Q49</f>
        <v>14129958.48</v>
      </c>
      <c r="R20" s="26">
        <f>现金流量表!R49</f>
        <v>0</v>
      </c>
      <c r="S20" s="26">
        <f>现金流量表!S49</f>
        <v>7173480.4699999997</v>
      </c>
      <c r="T20" s="26">
        <f>现金流量表!T49</f>
        <v>0</v>
      </c>
      <c r="U20" s="26">
        <f>现金流量表!U49</f>
        <v>14831348.48</v>
      </c>
      <c r="V20" s="26">
        <f>现金流量表!V49</f>
        <v>0</v>
      </c>
      <c r="W20" s="26">
        <f>现金流量表!W49</f>
        <v>5710946.6299999999</v>
      </c>
      <c r="X20" s="26">
        <f>现金流量表!X49</f>
        <v>0</v>
      </c>
      <c r="Y20" s="26">
        <f>现金流量表!Y49</f>
        <v>11638710.630000001</v>
      </c>
      <c r="Z20" s="26">
        <f>现金流量表!Z49</f>
        <v>0</v>
      </c>
      <c r="AA20" s="26">
        <f>现金流量表!AA49</f>
        <v>5966957.9500000002</v>
      </c>
      <c r="AB20" s="26">
        <f>现金流量表!AB49</f>
        <v>0</v>
      </c>
      <c r="AC20" s="26">
        <f>现金流量表!AC49</f>
        <v>11299530.359999999</v>
      </c>
      <c r="AD20" s="26">
        <f>现金流量表!AD49</f>
        <v>0</v>
      </c>
      <c r="AE20" s="26">
        <f>现金流量表!AE49</f>
        <v>5629272.9299999997</v>
      </c>
      <c r="AF20" s="26">
        <f>现金流量表!AF49</f>
        <v>0</v>
      </c>
      <c r="AG20" s="26">
        <f>现金流量表!AG49</f>
        <v>11144292.689999999</v>
      </c>
      <c r="AH20" s="26">
        <f>现金流量表!AH49</f>
        <v>0</v>
      </c>
      <c r="AI20" s="26">
        <f>现金流量表!AI49</f>
        <v>5540404.1399999997</v>
      </c>
      <c r="AJ20" s="26">
        <f>现金流量表!AJ49</f>
        <v>0</v>
      </c>
      <c r="AK20" s="26">
        <f>现金流量表!AK49</f>
        <v>12075392.859999999</v>
      </c>
      <c r="AL20" s="26">
        <f>现金流量表!AL49</f>
        <v>0</v>
      </c>
      <c r="AM20" s="26">
        <f>现金流量表!AM49</f>
        <v>5970464.9400000004</v>
      </c>
      <c r="AN20" s="26">
        <f>现金流量表!AN49</f>
        <v>0</v>
      </c>
      <c r="AO20" s="26">
        <f>现金流量表!AO49</f>
        <v>12762872.439999999</v>
      </c>
      <c r="AP20" s="26">
        <f>现金流量表!AP49</f>
        <v>0</v>
      </c>
      <c r="AQ20" s="26">
        <f>现金流量表!AQ49</f>
        <v>6692623.8499999996</v>
      </c>
      <c r="AR20" s="26">
        <f>现金流量表!AR49</f>
        <v>0</v>
      </c>
      <c r="AS20" s="26">
        <f>现金流量表!AS49</f>
        <v>13822854.84</v>
      </c>
      <c r="AT20" s="26">
        <f>现金流量表!AT49</f>
        <v>0</v>
      </c>
      <c r="AU20" s="26">
        <f>现金流量表!AU49</f>
        <v>6857883.5999999996</v>
      </c>
      <c r="AV20" s="26">
        <f>现金流量表!AV49</f>
        <v>0</v>
      </c>
      <c r="AW20" s="26">
        <f>现金流量表!AW49</f>
        <v>11839273.16</v>
      </c>
      <c r="AX20" s="26">
        <f>现金流量表!AX49</f>
        <v>0</v>
      </c>
      <c r="AY20" s="26">
        <f>现金流量表!AY49</f>
        <v>0</v>
      </c>
      <c r="AZ20" s="26">
        <f>现金流量表!AZ49</f>
        <v>0</v>
      </c>
      <c r="BA20" s="26">
        <f>现金流量表!BA49</f>
        <v>10613587.960000001</v>
      </c>
      <c r="BB20" s="26">
        <f>现金流量表!BB49</f>
        <v>7810030.1100000003</v>
      </c>
      <c r="BC20" s="26">
        <f>现金流量表!BC49</f>
        <v>5720562.71</v>
      </c>
      <c r="BD20" s="26">
        <f>现金流量表!BD49</f>
        <v>11051484.050000001</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3950619.18</v>
      </c>
      <c r="F21" s="26">
        <f>现金流量表!F50</f>
        <v>0</v>
      </c>
      <c r="G21" s="26">
        <f>现金流量表!G50</f>
        <v>1192053.3400000001</v>
      </c>
      <c r="H21" s="26">
        <f>现金流量表!H50</f>
        <v>0</v>
      </c>
      <c r="I21" s="26">
        <f>现金流量表!I50</f>
        <v>2107000.9</v>
      </c>
      <c r="J21" s="26">
        <f>现金流量表!J50</f>
        <v>0</v>
      </c>
      <c r="K21" s="26">
        <f>现金流量表!K50</f>
        <v>994719.05</v>
      </c>
      <c r="L21" s="26">
        <f>现金流量表!L50</f>
        <v>0</v>
      </c>
      <c r="M21" s="26">
        <f>现金流量表!M50</f>
        <v>1839999.16</v>
      </c>
      <c r="N21" s="26">
        <f>现金流量表!N50</f>
        <v>0</v>
      </c>
      <c r="O21" s="26">
        <f>现金流量表!O50</f>
        <v>419911.99</v>
      </c>
      <c r="P21" s="26">
        <f>现金流量表!P50</f>
        <v>0</v>
      </c>
      <c r="Q21" s="26">
        <f>现金流量表!Q50</f>
        <v>830438.88</v>
      </c>
      <c r="R21" s="26">
        <f>现金流量表!R50</f>
        <v>0</v>
      </c>
      <c r="S21" s="26">
        <f>现金流量表!S50</f>
        <v>415219.44</v>
      </c>
      <c r="T21" s="26">
        <f>现金流量表!T50</f>
        <v>0</v>
      </c>
      <c r="U21" s="26">
        <f>现金流量表!U50</f>
        <v>821226.75</v>
      </c>
      <c r="V21" s="26">
        <f>现金流量表!V50</f>
        <v>0</v>
      </c>
      <c r="W21" s="26">
        <f>现金流量表!W50</f>
        <v>415219.34</v>
      </c>
      <c r="X21" s="26">
        <f>现金流量表!X50</f>
        <v>0</v>
      </c>
      <c r="Y21" s="26">
        <f>现金流量表!Y50</f>
        <v>1047758.88</v>
      </c>
      <c r="Z21" s="26">
        <f>现金流量表!Z50</f>
        <v>0</v>
      </c>
      <c r="AA21" s="26">
        <f>现金流量表!AA50</f>
        <v>545659.43999999994</v>
      </c>
      <c r="AB21" s="26">
        <f>现金流量表!AB50</f>
        <v>0</v>
      </c>
      <c r="AC21" s="26">
        <f>现金流量表!AC50</f>
        <v>985963.74</v>
      </c>
      <c r="AD21" s="26">
        <f>现金流量表!AD50</f>
        <v>0</v>
      </c>
      <c r="AE21" s="26">
        <f>现金流量表!AE50</f>
        <v>440244.3</v>
      </c>
      <c r="AF21" s="26">
        <f>现金流量表!AF50</f>
        <v>0</v>
      </c>
      <c r="AG21" s="26">
        <f>现金流量表!AG50</f>
        <v>668865.04</v>
      </c>
      <c r="AH21" s="26">
        <f>现金流量表!AH50</f>
        <v>0</v>
      </c>
      <c r="AI21" s="26">
        <f>现金流量表!AI50</f>
        <v>968345.88</v>
      </c>
      <c r="AJ21" s="26">
        <f>现金流量表!AJ50</f>
        <v>0</v>
      </c>
      <c r="AK21" s="26">
        <f>现金流量表!AK50</f>
        <v>894538.33</v>
      </c>
      <c r="AL21" s="26">
        <f>现金流量表!AL50</f>
        <v>0</v>
      </c>
      <c r="AM21" s="26">
        <f>现金流量表!AM50</f>
        <v>436037.2</v>
      </c>
      <c r="AN21" s="26">
        <f>现金流量表!AN50</f>
        <v>0</v>
      </c>
      <c r="AO21" s="26">
        <f>现金流量表!AO50</f>
        <v>890498.67</v>
      </c>
      <c r="AP21" s="26">
        <f>现金流量表!AP50</f>
        <v>0</v>
      </c>
      <c r="AQ21" s="26">
        <f>现金流量表!AQ50</f>
        <v>444117.27</v>
      </c>
      <c r="AR21" s="26">
        <f>现金流量表!AR50</f>
        <v>0</v>
      </c>
      <c r="AS21" s="26">
        <f>现金流量表!AS50</f>
        <v>932084.82</v>
      </c>
      <c r="AT21" s="26">
        <f>现金流量表!AT50</f>
        <v>0</v>
      </c>
      <c r="AU21" s="26">
        <f>现金流量表!AU50</f>
        <v>463378.68</v>
      </c>
      <c r="AV21" s="26">
        <f>现金流量表!AV50</f>
        <v>0</v>
      </c>
      <c r="AW21" s="26">
        <f>现金流量表!AW50</f>
        <v>958053.88</v>
      </c>
      <c r="AX21" s="26">
        <f>现金流量表!AX50</f>
        <v>0</v>
      </c>
      <c r="AY21" s="26">
        <f>现金流量表!AY50</f>
        <v>0</v>
      </c>
      <c r="AZ21" s="26">
        <f>现金流量表!AZ50</f>
        <v>0</v>
      </c>
      <c r="BA21" s="26">
        <f>现金流量表!BA50</f>
        <v>958053.88</v>
      </c>
      <c r="BB21" s="26">
        <f>现金流量表!BB50</f>
        <v>707916.64</v>
      </c>
      <c r="BC21" s="26">
        <f>现金流量表!BC50</f>
        <v>474305.26</v>
      </c>
      <c r="BD21" s="26">
        <f>现金流量表!BD50</f>
        <v>751311.67</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193846580.61000001</v>
      </c>
      <c r="F22" s="26">
        <f>现金流量表!F51</f>
        <v>0</v>
      </c>
      <c r="G22" s="26">
        <f>现金流量表!G51</f>
        <v>72216669.159999996</v>
      </c>
      <c r="H22" s="26">
        <f>现金流量表!H51</f>
        <v>0</v>
      </c>
      <c r="I22" s="26">
        <f>现金流量表!I51</f>
        <v>107048261.22</v>
      </c>
      <c r="J22" s="26">
        <f>现金流量表!J51</f>
        <v>0</v>
      </c>
      <c r="K22" s="26">
        <f>现金流量表!K51</f>
        <v>45569031.82</v>
      </c>
      <c r="L22" s="26">
        <f>现金流量表!L51</f>
        <v>0</v>
      </c>
      <c r="M22" s="26">
        <f>现金流量表!M51</f>
        <v>72749835.430000007</v>
      </c>
      <c r="N22" s="26">
        <f>现金流量表!N51</f>
        <v>0</v>
      </c>
      <c r="O22" s="26">
        <f>现金流量表!O51</f>
        <v>534957.74</v>
      </c>
      <c r="P22" s="26">
        <f>现金流量表!P51</f>
        <v>0</v>
      </c>
      <c r="Q22" s="26">
        <f>现金流量表!Q51</f>
        <v>1455644.74</v>
      </c>
      <c r="R22" s="26">
        <f>现金流量表!R51</f>
        <v>0</v>
      </c>
      <c r="S22" s="26">
        <f>现金流量表!S51</f>
        <v>358464.09</v>
      </c>
      <c r="T22" s="26">
        <f>现金流量表!T51</f>
        <v>0</v>
      </c>
      <c r="U22" s="26">
        <f>现金流量表!U51</f>
        <v>440413.74</v>
      </c>
      <c r="V22" s="26">
        <f>现金流量表!V51</f>
        <v>0</v>
      </c>
      <c r="W22" s="26">
        <f>现金流量表!W51</f>
        <v>142074</v>
      </c>
      <c r="X22" s="26">
        <f>现金流量表!X51</f>
        <v>0</v>
      </c>
      <c r="Y22" s="26">
        <f>现金流量表!Y51</f>
        <v>356046.77</v>
      </c>
      <c r="Z22" s="26">
        <f>现金流量表!Z51</f>
        <v>0</v>
      </c>
      <c r="AA22" s="26">
        <f>现金流量表!AA51</f>
        <v>94133.119999999995</v>
      </c>
      <c r="AB22" s="26">
        <f>现金流量表!AB51</f>
        <v>0</v>
      </c>
      <c r="AC22" s="26">
        <f>现金流量表!AC51</f>
        <v>606080.80000000005</v>
      </c>
      <c r="AD22" s="26">
        <f>现金流量表!AD51</f>
        <v>0</v>
      </c>
      <c r="AE22" s="26">
        <f>现金流量表!AE51</f>
        <v>65551.3</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12290.36</v>
      </c>
      <c r="AT22" s="26">
        <f>现金流量表!AT51</f>
        <v>0</v>
      </c>
      <c r="AU22" s="26">
        <f>现金流量表!AU51</f>
        <v>12290.36</v>
      </c>
      <c r="AV22" s="26">
        <f>现金流量表!AV51</f>
        <v>0</v>
      </c>
      <c r="AW22" s="26">
        <f>现金流量表!AW51</f>
        <v>190914.35</v>
      </c>
      <c r="AX22" s="26">
        <f>现金流量表!AX51</f>
        <v>0</v>
      </c>
      <c r="AY22" s="26">
        <f>现金流量表!AY51</f>
        <v>0</v>
      </c>
      <c r="AZ22" s="26">
        <f>现金流量表!AZ51</f>
        <v>0</v>
      </c>
      <c r="BA22" s="26">
        <f>现金流量表!BA51</f>
        <v>340759.29</v>
      </c>
      <c r="BB22" s="26">
        <f>现金流量表!BB51</f>
        <v>208920.73</v>
      </c>
      <c r="BC22" s="26">
        <f>现金流量表!BC51</f>
        <v>170872.77</v>
      </c>
      <c r="BD22" s="26">
        <f>现金流量表!BD51</f>
        <v>447597.02</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610803.46</v>
      </c>
      <c r="F23" s="26">
        <f>现金流量表!F54</f>
        <v>0</v>
      </c>
      <c r="G23" s="26">
        <f>现金流量表!G54</f>
        <v>455628.15</v>
      </c>
      <c r="H23" s="26">
        <f>现金流量表!H54</f>
        <v>0</v>
      </c>
      <c r="I23" s="26">
        <f>现金流量表!I54</f>
        <v>572403.73</v>
      </c>
      <c r="J23" s="26">
        <f>现金流量表!J54</f>
        <v>0</v>
      </c>
      <c r="K23" s="26">
        <f>现金流量表!K54</f>
        <v>17731.310000000001</v>
      </c>
      <c r="L23" s="26">
        <f>现金流量表!L54</f>
        <v>0</v>
      </c>
      <c r="M23" s="26">
        <f>现金流量表!M54</f>
        <v>294172.09000000003</v>
      </c>
      <c r="N23" s="26">
        <f>现金流量表!N54</f>
        <v>0</v>
      </c>
      <c r="O23" s="26">
        <f>现金流量表!O54</f>
        <v>-493485.37</v>
      </c>
      <c r="P23" s="26">
        <f>现金流量表!P54</f>
        <v>0</v>
      </c>
      <c r="Q23" s="26">
        <f>现金流量表!Q54</f>
        <v>1810478.16</v>
      </c>
      <c r="R23" s="26">
        <f>现金流量表!R54</f>
        <v>0</v>
      </c>
      <c r="S23" s="26">
        <f>现金流量表!S54</f>
        <v>-13800</v>
      </c>
      <c r="T23" s="26">
        <f>现金流量表!T54</f>
        <v>0</v>
      </c>
      <c r="U23" s="26">
        <f>现金流量表!U54</f>
        <v>32652.54</v>
      </c>
      <c r="V23" s="26">
        <f>现金流量表!V54</f>
        <v>0</v>
      </c>
      <c r="W23" s="26">
        <f>现金流量表!W54</f>
        <v>0</v>
      </c>
      <c r="X23" s="26">
        <f>现金流量表!X54</f>
        <v>0</v>
      </c>
      <c r="Y23" s="26">
        <f>现金流量表!Y54</f>
        <v>-135618.15</v>
      </c>
      <c r="Z23" s="26">
        <f>现金流量表!Z54</f>
        <v>0</v>
      </c>
      <c r="AA23" s="26">
        <f>现金流量表!AA54</f>
        <v>-140821.79999999999</v>
      </c>
      <c r="AB23" s="26">
        <f>现金流量表!AB54</f>
        <v>0</v>
      </c>
      <c r="AC23" s="26">
        <f>现金流量表!AC54</f>
        <v>-809235.78</v>
      </c>
      <c r="AD23" s="26">
        <f>现金流量表!AD54</f>
        <v>0</v>
      </c>
      <c r="AE23" s="26">
        <f>现金流量表!AE54</f>
        <v>-521519.5</v>
      </c>
      <c r="AF23" s="26">
        <f>现金流量表!AF54</f>
        <v>0</v>
      </c>
      <c r="AG23" s="26">
        <f>现金流量表!AG54</f>
        <v>-48148.52</v>
      </c>
      <c r="AH23" s="26">
        <f>现金流量表!AH54</f>
        <v>0</v>
      </c>
      <c r="AI23" s="26">
        <f>现金流量表!AI54</f>
        <v>-609025.31999999995</v>
      </c>
      <c r="AJ23" s="26">
        <f>现金流量表!AJ54</f>
        <v>0</v>
      </c>
      <c r="AK23" s="26">
        <f>现金流量表!AK54</f>
        <v>7053.63</v>
      </c>
      <c r="AL23" s="26">
        <f>现金流量表!AL54</f>
        <v>0</v>
      </c>
      <c r="AM23" s="26">
        <f>现金流量表!AM54</f>
        <v>-74784.19</v>
      </c>
      <c r="AN23" s="26">
        <f>现金流量表!AN54</f>
        <v>0</v>
      </c>
      <c r="AO23" s="26">
        <f>现金流量表!AO54</f>
        <v>5557.09</v>
      </c>
      <c r="AP23" s="26">
        <f>现金流量表!AP54</f>
        <v>0</v>
      </c>
      <c r="AQ23" s="26">
        <f>现金流量表!AQ54</f>
        <v>192552.25</v>
      </c>
      <c r="AR23" s="26">
        <f>现金流量表!AR54</f>
        <v>0</v>
      </c>
      <c r="AS23" s="26">
        <f>现金流量表!AS54</f>
        <v>-1509789.73</v>
      </c>
      <c r="AT23" s="26">
        <f>现金流量表!AT54</f>
        <v>0</v>
      </c>
      <c r="AU23" s="26">
        <f>现金流量表!AU54</f>
        <v>-774444.16</v>
      </c>
      <c r="AV23" s="26">
        <f>现金流量表!AV54</f>
        <v>0</v>
      </c>
      <c r="AW23" s="26">
        <f>现金流量表!AW54</f>
        <v>97068.04</v>
      </c>
      <c r="AX23" s="26">
        <f>现金流量表!AX54</f>
        <v>0</v>
      </c>
      <c r="AY23" s="26">
        <f>现金流量表!AY54</f>
        <v>0</v>
      </c>
      <c r="AZ23" s="26">
        <f>现金流量表!AZ54</f>
        <v>0</v>
      </c>
      <c r="BA23" s="26">
        <f>现金流量表!BA54</f>
        <v>-67381.09</v>
      </c>
      <c r="BB23" s="26">
        <f>现金流量表!BB54</f>
        <v>58500.84</v>
      </c>
      <c r="BC23" s="26">
        <f>现金流量表!BC54</f>
        <v>14154.34</v>
      </c>
      <c r="BD23" s="26">
        <f>现金流量表!BD54</f>
        <v>-296477.02</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2541666.4</v>
      </c>
      <c r="F24" s="26">
        <f>现金流量表!F55</f>
        <v>0</v>
      </c>
      <c r="G24" s="26">
        <f>现金流量表!G55</f>
        <v>0</v>
      </c>
      <c r="H24" s="26">
        <f>现金流量表!H55</f>
        <v>0</v>
      </c>
      <c r="I24" s="26">
        <f>现金流量表!I55</f>
        <v>301347.15000000002</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97068.64</v>
      </c>
      <c r="T24" s="26">
        <f>现金流量表!T55</f>
        <v>0</v>
      </c>
      <c r="U24" s="26">
        <f>现金流量表!U55</f>
        <v>0</v>
      </c>
      <c r="V24" s="26">
        <f>现金流量表!V55</f>
        <v>0</v>
      </c>
      <c r="W24" s="26">
        <f>现金流量表!W55</f>
        <v>-18765.16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-48688.71</v>
      </c>
      <c r="AF24" s="26">
        <f>现金流量表!AF55</f>
        <v>0</v>
      </c>
      <c r="AG24" s="26">
        <f>现金流量表!AG55</f>
        <v>295218.21999999997</v>
      </c>
      <c r="AH24" s="26">
        <f>现金流量表!AH55</f>
        <v>0</v>
      </c>
      <c r="AI24" s="26">
        <f>现金流量表!AI55</f>
        <v>256138.49</v>
      </c>
      <c r="AJ24" s="26">
        <f>现金流量表!AJ55</f>
        <v>0</v>
      </c>
      <c r="AK24" s="26">
        <f>现金流量表!AK55</f>
        <v>2182832.2999999998</v>
      </c>
      <c r="AL24" s="26">
        <f>现金流量表!AL55</f>
        <v>0</v>
      </c>
      <c r="AM24" s="26">
        <f>现金流量表!AM55</f>
        <v>0</v>
      </c>
      <c r="AN24" s="26">
        <f>现金流量表!AN55</f>
        <v>0</v>
      </c>
      <c r="AO24" s="26">
        <f>现金流量表!AO55</f>
        <v>0</v>
      </c>
      <c r="AP24" s="26">
        <f>现金流量表!AP55</f>
        <v>0</v>
      </c>
      <c r="AQ24" s="26">
        <f>现金流量表!AQ55</f>
        <v>11475</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427985717.83999997</v>
      </c>
      <c r="F25" s="28">
        <f t="shared" ref="F25:BQ25" si="12">SUM(F19:F24)</f>
        <v>0</v>
      </c>
      <c r="G25" s="28">
        <f t="shared" si="12"/>
        <v>156677504.05000001</v>
      </c>
      <c r="H25" s="28">
        <f t="shared" si="12"/>
        <v>0</v>
      </c>
      <c r="I25" s="28">
        <f t="shared" si="12"/>
        <v>224933289.19</v>
      </c>
      <c r="J25" s="28">
        <f t="shared" si="12"/>
        <v>0</v>
      </c>
      <c r="K25" s="28">
        <f t="shared" si="12"/>
        <v>98858941.140000001</v>
      </c>
      <c r="L25" s="28">
        <f t="shared" si="12"/>
        <v>0</v>
      </c>
      <c r="M25" s="28">
        <f t="shared" si="12"/>
        <v>152308148.34999999</v>
      </c>
      <c r="N25" s="28">
        <f t="shared" si="12"/>
        <v>0</v>
      </c>
      <c r="O25" s="28">
        <f t="shared" si="12"/>
        <v>8557711.6800000016</v>
      </c>
      <c r="P25" s="28">
        <f t="shared" si="12"/>
        <v>0</v>
      </c>
      <c r="Q25" s="28">
        <f t="shared" si="12"/>
        <v>36108669.509999998</v>
      </c>
      <c r="R25" s="28">
        <f t="shared" si="12"/>
        <v>0</v>
      </c>
      <c r="S25" s="28">
        <f t="shared" si="12"/>
        <v>7397544.1899999995</v>
      </c>
      <c r="T25" s="28">
        <f t="shared" si="12"/>
        <v>0</v>
      </c>
      <c r="U25" s="28">
        <f t="shared" si="12"/>
        <v>108530101.69000001</v>
      </c>
      <c r="V25" s="28">
        <f t="shared" si="12"/>
        <v>0</v>
      </c>
      <c r="W25" s="28">
        <f t="shared" si="12"/>
        <v>3292022.2699999996</v>
      </c>
      <c r="X25" s="28">
        <f t="shared" si="12"/>
        <v>0</v>
      </c>
      <c r="Y25" s="28">
        <f t="shared" si="12"/>
        <v>16862283.430000003</v>
      </c>
      <c r="Z25" s="28">
        <f t="shared" si="12"/>
        <v>0</v>
      </c>
      <c r="AA25" s="28">
        <f t="shared" si="12"/>
        <v>8335629.1099999985</v>
      </c>
      <c r="AB25" s="28">
        <f t="shared" si="12"/>
        <v>0</v>
      </c>
      <c r="AC25" s="28">
        <f t="shared" si="12"/>
        <v>16350800.950000001</v>
      </c>
      <c r="AD25" s="28">
        <f t="shared" si="12"/>
        <v>0</v>
      </c>
      <c r="AE25" s="28">
        <f t="shared" si="12"/>
        <v>9653001.1099999994</v>
      </c>
      <c r="AF25" s="28">
        <f t="shared" si="12"/>
        <v>0</v>
      </c>
      <c r="AG25" s="28">
        <f t="shared" si="12"/>
        <v>12251524.880000001</v>
      </c>
      <c r="AH25" s="28">
        <f t="shared" si="12"/>
        <v>0</v>
      </c>
      <c r="AI25" s="28">
        <f t="shared" si="12"/>
        <v>6762468.9399999995</v>
      </c>
      <c r="AJ25" s="28">
        <f t="shared" si="12"/>
        <v>0</v>
      </c>
      <c r="AK25" s="28">
        <f t="shared" si="12"/>
        <v>17256851.690000001</v>
      </c>
      <c r="AL25" s="28">
        <f t="shared" si="12"/>
        <v>0</v>
      </c>
      <c r="AM25" s="28">
        <f t="shared" si="12"/>
        <v>5568653.2999999998</v>
      </c>
      <c r="AN25" s="28">
        <f t="shared" si="12"/>
        <v>0</v>
      </c>
      <c r="AO25" s="28">
        <f t="shared" si="12"/>
        <v>13257375.779999999</v>
      </c>
      <c r="AP25" s="28">
        <f t="shared" si="12"/>
        <v>0</v>
      </c>
      <c r="AQ25" s="28">
        <f t="shared" si="12"/>
        <v>6245351.5299999993</v>
      </c>
      <c r="AR25" s="28">
        <f t="shared" si="12"/>
        <v>0</v>
      </c>
      <c r="AS25" s="28">
        <f t="shared" si="12"/>
        <v>15370859.829999998</v>
      </c>
      <c r="AT25" s="28">
        <f t="shared" si="12"/>
        <v>0</v>
      </c>
      <c r="AU25" s="28">
        <f t="shared" si="12"/>
        <v>6513553.7699999996</v>
      </c>
      <c r="AV25" s="28">
        <f t="shared" si="12"/>
        <v>0</v>
      </c>
      <c r="AW25" s="28">
        <f t="shared" si="12"/>
        <v>14168881.1</v>
      </c>
      <c r="AX25" s="28">
        <f t="shared" si="12"/>
        <v>0</v>
      </c>
      <c r="AY25" s="28">
        <f t="shared" si="12"/>
        <v>0</v>
      </c>
      <c r="AZ25" s="28">
        <f t="shared" si="12"/>
        <v>0</v>
      </c>
      <c r="BA25" s="28">
        <f t="shared" si="12"/>
        <v>10189965.57</v>
      </c>
      <c r="BB25" s="28">
        <f t="shared" si="12"/>
        <v>8106523.2600000007</v>
      </c>
      <c r="BC25" s="28">
        <f t="shared" si="12"/>
        <v>4203380.7200000007</v>
      </c>
      <c r="BD25" s="28">
        <f t="shared" si="12"/>
        <v>13165217.48</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1016546333.9200001</v>
      </c>
      <c r="F26" s="28">
        <f t="shared" ref="F26:BQ26" si="14">F14-F25</f>
        <v>25050902.539999999</v>
      </c>
      <c r="G26" s="28">
        <f t="shared" si="14"/>
        <v>-234469737.54000002</v>
      </c>
      <c r="H26" s="28">
        <f t="shared" si="14"/>
        <v>-207202091.75</v>
      </c>
      <c r="I26" s="28">
        <f t="shared" si="14"/>
        <v>482148279.84999996</v>
      </c>
      <c r="J26" s="28">
        <f t="shared" si="14"/>
        <v>-7890483.6100000003</v>
      </c>
      <c r="K26" s="28">
        <f t="shared" si="14"/>
        <v>-117209701.7</v>
      </c>
      <c r="L26" s="28">
        <f t="shared" si="14"/>
        <v>-167464199.06</v>
      </c>
      <c r="M26" s="28">
        <f t="shared" si="14"/>
        <v>177531253.72999999</v>
      </c>
      <c r="N26" s="28">
        <f t="shared" si="14"/>
        <v>18669092.190000001</v>
      </c>
      <c r="O26" s="28">
        <f t="shared" si="14"/>
        <v>-98330702.88000001</v>
      </c>
      <c r="P26" s="28">
        <f t="shared" si="14"/>
        <v>2967561.12</v>
      </c>
      <c r="Q26" s="28">
        <f t="shared" si="14"/>
        <v>-6262723.299999997</v>
      </c>
      <c r="R26" s="28">
        <f t="shared" si="14"/>
        <v>-53476826.460000001</v>
      </c>
      <c r="S26" s="28">
        <f t="shared" si="14"/>
        <v>-108960366.31</v>
      </c>
      <c r="T26" s="28">
        <f t="shared" si="14"/>
        <v>-43176033.659999996</v>
      </c>
      <c r="U26" s="28">
        <f t="shared" si="14"/>
        <v>-82369761.040000021</v>
      </c>
      <c r="V26" s="28">
        <f t="shared" si="14"/>
        <v>-14855381.16</v>
      </c>
      <c r="W26" s="28">
        <f t="shared" si="14"/>
        <v>-46339035.400000006</v>
      </c>
      <c r="X26" s="28">
        <f t="shared" si="14"/>
        <v>1746052</v>
      </c>
      <c r="Y26" s="28">
        <f t="shared" si="14"/>
        <v>49831374.849999994</v>
      </c>
      <c r="Z26" s="28">
        <f t="shared" si="14"/>
        <v>32049791.030000001</v>
      </c>
      <c r="AA26" s="28">
        <f t="shared" si="14"/>
        <v>-52122912.089999996</v>
      </c>
      <c r="AB26" s="28">
        <f t="shared" si="14"/>
        <v>10353604.720000001</v>
      </c>
      <c r="AC26" s="28">
        <f t="shared" si="14"/>
        <v>47077517.119999997</v>
      </c>
      <c r="AD26" s="28">
        <f t="shared" si="14"/>
        <v>50590543.590000004</v>
      </c>
      <c r="AE26" s="28">
        <f t="shared" si="14"/>
        <v>-23641726.649999999</v>
      </c>
      <c r="AF26" s="28">
        <f t="shared" si="14"/>
        <v>20015092.460000001</v>
      </c>
      <c r="AG26" s="28">
        <f t="shared" si="14"/>
        <v>-4856367.080000001</v>
      </c>
      <c r="AH26" s="28">
        <f t="shared" si="14"/>
        <v>-30139481.140000001</v>
      </c>
      <c r="AI26" s="28">
        <f t="shared" si="14"/>
        <v>-3606370.9199999995</v>
      </c>
      <c r="AJ26" s="28">
        <f t="shared" si="14"/>
        <v>19637281.809999999</v>
      </c>
      <c r="AK26" s="28">
        <f t="shared" si="14"/>
        <v>23244563.359999996</v>
      </c>
      <c r="AL26" s="28">
        <f t="shared" si="14"/>
        <v>14278788.75</v>
      </c>
      <c r="AM26" s="28">
        <f t="shared" si="14"/>
        <v>4306172.29</v>
      </c>
      <c r="AN26" s="28">
        <f t="shared" si="14"/>
        <v>13955977.08</v>
      </c>
      <c r="AO26" s="28">
        <f t="shared" si="14"/>
        <v>11826801.250000002</v>
      </c>
      <c r="AP26" s="28">
        <f t="shared" si="14"/>
        <v>5988186.9199999999</v>
      </c>
      <c r="AQ26" s="28">
        <f t="shared" si="14"/>
        <v>-5725377.8399999989</v>
      </c>
      <c r="AR26" s="28">
        <f t="shared" si="14"/>
        <v>20013906.16</v>
      </c>
      <c r="AS26" s="28">
        <f t="shared" si="14"/>
        <v>11900172.91</v>
      </c>
      <c r="AT26" s="28">
        <f t="shared" si="14"/>
        <v>43567893.57</v>
      </c>
      <c r="AU26" s="28">
        <f t="shared" si="14"/>
        <v>23428445.600000001</v>
      </c>
      <c r="AV26" s="28">
        <f t="shared" si="14"/>
        <v>15360687.01</v>
      </c>
      <c r="AW26" s="28">
        <f t="shared" si="14"/>
        <v>12304399.24</v>
      </c>
      <c r="AX26" s="28">
        <f t="shared" si="14"/>
        <v>20184377.239999998</v>
      </c>
      <c r="AY26" s="28">
        <f t="shared" si="14"/>
        <v>15428371.85</v>
      </c>
      <c r="AZ26" s="28">
        <f t="shared" si="14"/>
        <v>1269120.93</v>
      </c>
      <c r="BA26" s="28">
        <f t="shared" si="14"/>
        <v>39093919.420000002</v>
      </c>
      <c r="BB26" s="28">
        <f t="shared" si="14"/>
        <v>18364076.349999998</v>
      </c>
      <c r="BC26" s="28">
        <f t="shared" si="14"/>
        <v>9689558</v>
      </c>
      <c r="BD26" s="28">
        <f t="shared" si="14"/>
        <v>28903650.110000003</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1014004667.5200001</v>
      </c>
      <c r="F27" s="26">
        <f t="shared" ref="F27:BQ27" si="16">F26-F24</f>
        <v>25050902.539999999</v>
      </c>
      <c r="G27" s="26">
        <f t="shared" si="16"/>
        <v>-234469737.54000002</v>
      </c>
      <c r="H27" s="26">
        <f t="shared" si="16"/>
        <v>-207202091.75</v>
      </c>
      <c r="I27" s="26">
        <f t="shared" si="16"/>
        <v>481846932.69999999</v>
      </c>
      <c r="J27" s="26">
        <f t="shared" si="16"/>
        <v>-7890483.6100000003</v>
      </c>
      <c r="K27" s="26">
        <f t="shared" si="16"/>
        <v>-117209701.7</v>
      </c>
      <c r="L27" s="26">
        <f t="shared" si="16"/>
        <v>-167464199.06</v>
      </c>
      <c r="M27" s="26">
        <f t="shared" si="16"/>
        <v>177531253.72999999</v>
      </c>
      <c r="N27" s="26">
        <f t="shared" si="16"/>
        <v>18669092.190000001</v>
      </c>
      <c r="O27" s="26">
        <f t="shared" si="16"/>
        <v>-98330702.88000001</v>
      </c>
      <c r="P27" s="26">
        <f t="shared" si="16"/>
        <v>2967561.12</v>
      </c>
      <c r="Q27" s="26">
        <f t="shared" si="16"/>
        <v>-6262723.299999997</v>
      </c>
      <c r="R27" s="26">
        <f t="shared" si="16"/>
        <v>-53476826.460000001</v>
      </c>
      <c r="S27" s="26">
        <f t="shared" si="16"/>
        <v>-109057434.95</v>
      </c>
      <c r="T27" s="26">
        <f t="shared" si="16"/>
        <v>-43176033.659999996</v>
      </c>
      <c r="U27" s="26">
        <f t="shared" si="16"/>
        <v>-82369761.040000021</v>
      </c>
      <c r="V27" s="26">
        <f t="shared" si="16"/>
        <v>-14855381.16</v>
      </c>
      <c r="W27" s="26">
        <f t="shared" si="16"/>
        <v>-46320270.24000001</v>
      </c>
      <c r="X27" s="26">
        <f t="shared" si="16"/>
        <v>1746052</v>
      </c>
      <c r="Y27" s="26">
        <f t="shared" si="16"/>
        <v>49831374.849999994</v>
      </c>
      <c r="Z27" s="26">
        <f t="shared" si="16"/>
        <v>32049791.030000001</v>
      </c>
      <c r="AA27" s="26">
        <f t="shared" si="16"/>
        <v>-52122912.089999996</v>
      </c>
      <c r="AB27" s="26">
        <f t="shared" si="16"/>
        <v>10353604.720000001</v>
      </c>
      <c r="AC27" s="26">
        <f t="shared" si="16"/>
        <v>47077517.119999997</v>
      </c>
      <c r="AD27" s="26">
        <f t="shared" si="16"/>
        <v>50590543.590000004</v>
      </c>
      <c r="AE27" s="26">
        <f t="shared" si="16"/>
        <v>-23593037.939999998</v>
      </c>
      <c r="AF27" s="26">
        <f t="shared" si="16"/>
        <v>20015092.460000001</v>
      </c>
      <c r="AG27" s="26">
        <f t="shared" si="16"/>
        <v>-5151585.3000000007</v>
      </c>
      <c r="AH27" s="26">
        <f t="shared" si="16"/>
        <v>-30139481.140000001</v>
      </c>
      <c r="AI27" s="26">
        <f t="shared" si="16"/>
        <v>-3862509.4099999992</v>
      </c>
      <c r="AJ27" s="26">
        <f t="shared" si="16"/>
        <v>19637281.809999999</v>
      </c>
      <c r="AK27" s="26">
        <f t="shared" si="16"/>
        <v>21061731.059999995</v>
      </c>
      <c r="AL27" s="26">
        <f t="shared" si="16"/>
        <v>14278788.75</v>
      </c>
      <c r="AM27" s="26">
        <f t="shared" si="16"/>
        <v>4306172.29</v>
      </c>
      <c r="AN27" s="26">
        <f t="shared" si="16"/>
        <v>13955977.08</v>
      </c>
      <c r="AO27" s="26">
        <f t="shared" si="16"/>
        <v>11826801.250000002</v>
      </c>
      <c r="AP27" s="26">
        <f t="shared" si="16"/>
        <v>5988186.9199999999</v>
      </c>
      <c r="AQ27" s="26">
        <f t="shared" si="16"/>
        <v>-5736852.8399999989</v>
      </c>
      <c r="AR27" s="26">
        <f t="shared" si="16"/>
        <v>20013906.16</v>
      </c>
      <c r="AS27" s="26">
        <f t="shared" si="16"/>
        <v>11900172.91</v>
      </c>
      <c r="AT27" s="26">
        <f t="shared" si="16"/>
        <v>43567893.57</v>
      </c>
      <c r="AU27" s="26">
        <f t="shared" si="16"/>
        <v>23428445.600000001</v>
      </c>
      <c r="AV27" s="26">
        <f t="shared" si="16"/>
        <v>15360687.01</v>
      </c>
      <c r="AW27" s="26">
        <f t="shared" si="16"/>
        <v>12304399.24</v>
      </c>
      <c r="AX27" s="26">
        <f t="shared" si="16"/>
        <v>20184377.239999998</v>
      </c>
      <c r="AY27" s="26">
        <f t="shared" si="16"/>
        <v>15428371.85</v>
      </c>
      <c r="AZ27" s="26">
        <f t="shared" si="16"/>
        <v>1269120.93</v>
      </c>
      <c r="BA27" s="26">
        <f t="shared" si="16"/>
        <v>39093919.420000002</v>
      </c>
      <c r="BB27" s="26">
        <f t="shared" si="16"/>
        <v>18364076.349999998</v>
      </c>
      <c r="BC27" s="26">
        <f t="shared" si="16"/>
        <v>9689558</v>
      </c>
      <c r="BD27" s="26">
        <f t="shared" si="16"/>
        <v>28903650.110000003</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1.1044124154492103</v>
      </c>
      <c r="F28" s="63">
        <f t="shared" ref="F28:BQ28" si="18">(F27-J27)/J27</f>
        <v>-4.1748247354891843</v>
      </c>
      <c r="G28" s="63">
        <f t="shared" si="18"/>
        <v>1.0004294366359607</v>
      </c>
      <c r="H28" s="63">
        <f t="shared" si="18"/>
        <v>0.23729186842951719</v>
      </c>
      <c r="I28" s="63">
        <f t="shared" si="18"/>
        <v>1.7141527059388724</v>
      </c>
      <c r="J28" s="63">
        <f t="shared" si="18"/>
        <v>-1.4226495605515568</v>
      </c>
      <c r="K28" s="63">
        <f t="shared" si="18"/>
        <v>0.19199495444509723</v>
      </c>
      <c r="L28" s="63">
        <f t="shared" si="18"/>
        <v>-57.431592236253586</v>
      </c>
      <c r="M28" s="63">
        <f t="shared" si="18"/>
        <v>-29.347293218271364</v>
      </c>
      <c r="N28" s="63">
        <f t="shared" si="18"/>
        <v>-1.3491062096582012</v>
      </c>
      <c r="O28" s="63">
        <f t="shared" si="18"/>
        <v>-9.8358558267191226E-2</v>
      </c>
      <c r="P28" s="63">
        <f t="shared" si="18"/>
        <v>-1.0687316751549891</v>
      </c>
      <c r="Q28" s="63">
        <f t="shared" si="18"/>
        <v>-0.92396817447414081</v>
      </c>
      <c r="R28" s="63">
        <f t="shared" si="18"/>
        <v>2.5998286334108438</v>
      </c>
      <c r="S28" s="63">
        <f t="shared" si="18"/>
        <v>1.3544213879784994</v>
      </c>
      <c r="T28" s="63">
        <f t="shared" si="18"/>
        <v>-25.727805162732839</v>
      </c>
      <c r="U28" s="63">
        <f t="shared" si="18"/>
        <v>-2.6529698666341339</v>
      </c>
      <c r="V28" s="63">
        <f t="shared" si="18"/>
        <v>-1.4635094545887901</v>
      </c>
      <c r="W28" s="63">
        <f t="shared" si="18"/>
        <v>-0.11132612544710924</v>
      </c>
      <c r="X28" s="63">
        <f t="shared" si="18"/>
        <v>-0.83135805864529855</v>
      </c>
      <c r="Y28" s="63">
        <f t="shared" si="18"/>
        <v>5.8496239786402671E-2</v>
      </c>
      <c r="Z28" s="63">
        <f t="shared" si="18"/>
        <v>-0.36648652582702956</v>
      </c>
      <c r="AA28" s="63">
        <f t="shared" si="18"/>
        <v>1.2092497041947283</v>
      </c>
      <c r="AB28" s="63">
        <f t="shared" si="18"/>
        <v>-0.48271012283897285</v>
      </c>
      <c r="AC28" s="63">
        <f t="shared" si="18"/>
        <v>-10.138452413861806</v>
      </c>
      <c r="AD28" s="63">
        <f t="shared" si="18"/>
        <v>-2.6785472634715703</v>
      </c>
      <c r="AE28" s="63">
        <f t="shared" si="18"/>
        <v>5.1082150062645422</v>
      </c>
      <c r="AF28" s="63">
        <f t="shared" si="18"/>
        <v>1.9239457561158371E-2</v>
      </c>
      <c r="AG28" s="63">
        <f t="shared" si="18"/>
        <v>-1.2445945817712858</v>
      </c>
      <c r="AH28" s="63">
        <f t="shared" si="18"/>
        <v>-3.1107869629347937</v>
      </c>
      <c r="AI28" s="63">
        <f t="shared" si="18"/>
        <v>-1.8969704763020523</v>
      </c>
      <c r="AJ28" s="63">
        <f t="shared" si="18"/>
        <v>0.40708756523695855</v>
      </c>
      <c r="AK28" s="63">
        <f t="shared" si="18"/>
        <v>0.78084763705655336</v>
      </c>
      <c r="AL28" s="63">
        <f t="shared" si="18"/>
        <v>1.3844928257516718</v>
      </c>
      <c r="AM28" s="63">
        <f t="shared" si="18"/>
        <v>-1.7506157836183927</v>
      </c>
      <c r="AN28" s="63">
        <f t="shared" si="18"/>
        <v>-0.30268599400687907</v>
      </c>
      <c r="AO28" s="63">
        <f t="shared" si="18"/>
        <v>-6.1655961266194985E-3</v>
      </c>
      <c r="AP28" s="63">
        <f t="shared" si="18"/>
        <v>-0.86255505076510397</v>
      </c>
      <c r="AQ28" s="63">
        <f t="shared" si="18"/>
        <v>-1.244866985114881</v>
      </c>
      <c r="AR28" s="63">
        <f t="shared" si="18"/>
        <v>0.30293040584517456</v>
      </c>
      <c r="AS28" s="63">
        <f t="shared" si="18"/>
        <v>-3.2852179299084586E-2</v>
      </c>
      <c r="AT28" s="63">
        <f t="shared" si="18"/>
        <v>1.1584958035594068</v>
      </c>
      <c r="AU28" s="63">
        <f t="shared" si="18"/>
        <v>0.51853000613282485</v>
      </c>
      <c r="AV28" s="63">
        <f t="shared" si="18"/>
        <v>11.103406891256613</v>
      </c>
      <c r="AW28" s="63">
        <f t="shared" si="18"/>
        <v>-0.68526053610001525</v>
      </c>
      <c r="AX28" s="63">
        <f t="shared" si="18"/>
        <v>9.9122921039260486E-2</v>
      </c>
      <c r="AY28" s="63">
        <f t="shared" si="18"/>
        <v>0.59226786712046098</v>
      </c>
      <c r="AZ28" s="63">
        <f t="shared" si="18"/>
        <v>-0.9560913266950698</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736</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569</v>
      </c>
      <c r="B30" s="96"/>
      <c r="C30" s="96"/>
      <c r="D30" s="96"/>
      <c r="E30" s="96" t="s">
        <v>746</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POWER(E27/M27,1/3)-1</f>
        <v>0.78753701932457387</v>
      </c>
      <c r="F31" s="112"/>
      <c r="G31" s="112"/>
      <c r="H31" s="112"/>
      <c r="I31" s="112">
        <f>POWER(E27/Y27,1/6)-1</f>
        <v>0.65230232546164491</v>
      </c>
      <c r="M31" s="112">
        <f>POWER(E27/AC27,1/7)-1</f>
        <v>0.5504612439151797</v>
      </c>
      <c r="Q31" s="115" t="s">
        <v>604</v>
      </c>
      <c r="R31" s="115"/>
      <c r="S31" s="115"/>
      <c r="T31" s="115"/>
      <c r="U31" s="115">
        <f>POWER(E14/U14,1/5)-1</f>
        <v>1.2305746258656916</v>
      </c>
      <c r="V31" s="115"/>
      <c r="W31" s="115"/>
      <c r="X31" s="115"/>
      <c r="Y31" s="115">
        <f>POWER(E14/Y14,1/6)-1</f>
        <v>0.66957951348285039</v>
      </c>
      <c r="Z31" s="115"/>
      <c r="AA31" s="115"/>
      <c r="AB31" s="115"/>
      <c r="AC31" s="115">
        <f>POWER(E14/AC14,1/7)-1</f>
        <v>0.56286177649878155</v>
      </c>
    </row>
    <row r="32" spans="1:90" s="66" customFormat="1" x14ac:dyDescent="0.25">
      <c r="A32" s="46" t="s">
        <v>513</v>
      </c>
      <c r="E32" s="66">
        <v>0.17</v>
      </c>
    </row>
    <row r="39" spans="1:13" ht="43.2" x14ac:dyDescent="0.25">
      <c r="A39" s="67" t="s">
        <v>514</v>
      </c>
    </row>
    <row r="41" spans="1:13" ht="111" customHeight="1" x14ac:dyDescent="0.25">
      <c r="A41" s="278" t="s">
        <v>735</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21" workbookViewId="0">
      <selection activeCell="D38" sqref="D3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69">
        <f>自由现金流分析表!E1</f>
        <v>43100</v>
      </c>
      <c r="D1" s="262"/>
      <c r="E1" s="263"/>
    </row>
    <row r="2" spans="1:10" x14ac:dyDescent="0.25">
      <c r="A2" s="70" t="s">
        <v>516</v>
      </c>
      <c r="B2" s="71">
        <f>(自由现金流分析表!E27+自由现金流分析表!I27+自由现金流分析表!M27)/3</f>
        <v>557794284.64999998</v>
      </c>
      <c r="C2" t="s">
        <v>549</v>
      </c>
      <c r="D2" s="63"/>
      <c r="E2" s="63"/>
      <c r="F2" s="56"/>
    </row>
    <row r="3" spans="1:10" s="63" customFormat="1" x14ac:dyDescent="0.25">
      <c r="A3" s="72" t="s">
        <v>517</v>
      </c>
      <c r="B3" s="98">
        <v>0.02</v>
      </c>
      <c r="D3" s="190"/>
      <c r="E3" s="190"/>
      <c r="F3" s="260"/>
    </row>
    <row r="4" spans="1:10" s="63" customFormat="1" x14ac:dyDescent="0.25">
      <c r="A4" s="72" t="s">
        <v>518</v>
      </c>
      <c r="B4" s="98">
        <f>(平均资本成本表!E13)/1</f>
        <v>8.1479229719672919E-2</v>
      </c>
      <c r="D4" s="190"/>
      <c r="E4" s="190"/>
      <c r="F4" s="261"/>
    </row>
    <row r="5" spans="1:10" x14ac:dyDescent="0.25">
      <c r="A5" s="70" t="s">
        <v>519</v>
      </c>
      <c r="B5" s="71">
        <f>B2*(1+B3)/(B4-B3)</f>
        <v>9254347735.6050854</v>
      </c>
      <c r="D5" s="63"/>
      <c r="E5" s="63"/>
    </row>
    <row r="6" spans="1:10" x14ac:dyDescent="0.25">
      <c r="A6" s="70" t="s">
        <v>520</v>
      </c>
      <c r="B6" s="71">
        <f>资产资本表!E17</f>
        <v>2943099285.9800005</v>
      </c>
      <c r="D6" s="190"/>
      <c r="E6" s="190"/>
      <c r="F6" s="190"/>
      <c r="G6" s="190"/>
    </row>
    <row r="7" spans="1:10" x14ac:dyDescent="0.25">
      <c r="A7" s="70" t="s">
        <v>521</v>
      </c>
      <c r="B7" s="71">
        <f>资产资本表!E19</f>
        <v>31322043.289999999</v>
      </c>
      <c r="D7" s="190"/>
      <c r="E7" s="190"/>
      <c r="F7" s="190"/>
      <c r="G7" s="190"/>
    </row>
    <row r="8" spans="1:10" x14ac:dyDescent="0.25">
      <c r="A8" s="70" t="s">
        <v>522</v>
      </c>
      <c r="B8" s="71">
        <f>资产资本表!E89</f>
        <v>2679639168.3899999</v>
      </c>
      <c r="D8" s="63"/>
      <c r="E8" s="63"/>
      <c r="F8" s="190"/>
      <c r="G8" s="190"/>
    </row>
    <row r="9" spans="1:10" x14ac:dyDescent="0.25">
      <c r="A9" s="70" t="s">
        <v>523</v>
      </c>
      <c r="B9" s="71">
        <f>B5+B6+B7-B8</f>
        <v>9549129896.4850883</v>
      </c>
      <c r="D9" s="190"/>
      <c r="E9" s="190"/>
      <c r="F9" s="190"/>
      <c r="G9" s="190"/>
    </row>
    <row r="10" spans="1:10" x14ac:dyDescent="0.25">
      <c r="A10" s="70" t="s">
        <v>524</v>
      </c>
      <c r="B10" s="73">
        <f>资产资本表!E103/资产资本表!E107</f>
        <v>5.8866036175987513E-2</v>
      </c>
      <c r="D10" s="190"/>
      <c r="E10" s="190"/>
      <c r="F10" s="190"/>
      <c r="G10" s="190"/>
    </row>
    <row r="11" spans="1:10" x14ac:dyDescent="0.25">
      <c r="A11" s="70" t="s">
        <v>550</v>
      </c>
      <c r="B11" s="197">
        <f>B9*(1-B10)</f>
        <v>8987010470.5493927</v>
      </c>
      <c r="C11" s="270" t="s">
        <v>743</v>
      </c>
      <c r="D11" s="271">
        <f>资产资本结构分析表!E2</f>
        <v>2943099285.9800005</v>
      </c>
      <c r="E11" s="63"/>
      <c r="F11" s="190"/>
      <c r="G11" s="190"/>
    </row>
    <row r="12" spans="1:10" x14ac:dyDescent="0.25">
      <c r="A12" s="70" t="s">
        <v>525</v>
      </c>
      <c r="B12" s="269">
        <f>B55</f>
        <v>3121566956</v>
      </c>
      <c r="C12" s="270" t="s">
        <v>744</v>
      </c>
      <c r="D12" s="272">
        <f>D11/B55</f>
        <v>0.94282753740810699</v>
      </c>
      <c r="E12" s="190"/>
      <c r="F12" s="190"/>
      <c r="G12" s="190"/>
    </row>
    <row r="13" spans="1:10" ht="15" thickBot="1" x14ac:dyDescent="0.3">
      <c r="A13" s="74" t="s">
        <v>526</v>
      </c>
      <c r="B13" s="75">
        <f>B11/B12</f>
        <v>2.8790061521106751</v>
      </c>
      <c r="D13" s="190"/>
      <c r="E13" s="190"/>
    </row>
    <row r="14" spans="1:10" s="16" customFormat="1" ht="53.25" customHeight="1" x14ac:dyDescent="0.25">
      <c r="A14" s="278" t="s">
        <v>751</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317" t="s">
        <v>748</v>
      </c>
      <c r="B17" s="90"/>
      <c r="C17" s="90" t="s">
        <v>542</v>
      </c>
      <c r="D17" s="90">
        <v>0.45</v>
      </c>
      <c r="E17" s="90"/>
      <c r="F17" s="90"/>
      <c r="G17" s="90"/>
      <c r="H17" s="90" t="s">
        <v>543</v>
      </c>
      <c r="I17" s="90">
        <v>0.04</v>
      </c>
      <c r="J17" s="78"/>
    </row>
    <row r="18" spans="1:10" s="2" customFormat="1" x14ac:dyDescent="0.25">
      <c r="A18" s="299" t="s">
        <v>527</v>
      </c>
      <c r="B18" s="299"/>
      <c r="C18" s="65" t="s">
        <v>541</v>
      </c>
      <c r="D18" s="97">
        <v>1</v>
      </c>
      <c r="E18" s="97">
        <v>2</v>
      </c>
      <c r="F18" s="97">
        <v>3</v>
      </c>
      <c r="G18" s="97">
        <v>4</v>
      </c>
      <c r="H18" s="97">
        <v>5</v>
      </c>
      <c r="I18" s="96">
        <v>6</v>
      </c>
      <c r="J18" s="80"/>
    </row>
    <row r="19" spans="1:10" s="26" customFormat="1" x14ac:dyDescent="0.25">
      <c r="A19" s="99" t="s">
        <v>528</v>
      </c>
      <c r="B19" s="94"/>
      <c r="C19" s="89">
        <f>B2</f>
        <v>557794284.64999998</v>
      </c>
      <c r="D19" s="89">
        <f>C19*(1+$D$17)</f>
        <v>808801712.74249995</v>
      </c>
      <c r="E19" s="89">
        <f>D19*(1+$D$17)</f>
        <v>1172762483.476625</v>
      </c>
      <c r="F19" s="89">
        <f>E19*(1+$D$17)</f>
        <v>1700505601.0411062</v>
      </c>
      <c r="G19" s="89">
        <f>F19*(1+$D$17)</f>
        <v>2465733121.509604</v>
      </c>
      <c r="H19" s="89">
        <f>G19*(1+$D$17)</f>
        <v>3575313026.1889257</v>
      </c>
      <c r="I19" s="89">
        <f>H19*(1+I17)</f>
        <v>3718325547.2364831</v>
      </c>
      <c r="J19" s="76"/>
    </row>
    <row r="20" spans="1:10" s="26" customFormat="1" x14ac:dyDescent="0.25">
      <c r="A20" s="99" t="s">
        <v>529</v>
      </c>
      <c r="B20" s="95">
        <f>B4</f>
        <v>8.1479229719672919E-2</v>
      </c>
      <c r="C20" s="89"/>
      <c r="D20" s="89">
        <f t="shared" ref="D20:I20" si="0">(1+$B$20)^D18</f>
        <v>1.0814792297196729</v>
      </c>
      <c r="E20" s="89">
        <f t="shared" si="0"/>
        <v>1.169597324315057</v>
      </c>
      <c r="F20" s="89">
        <f t="shared" si="0"/>
        <v>1.2648952133824383</v>
      </c>
      <c r="G20" s="89">
        <f t="shared" si="0"/>
        <v>1.3679579010449407</v>
      </c>
      <c r="H20" s="89">
        <f t="shared" si="0"/>
        <v>1.4794180571110231</v>
      </c>
      <c r="I20" s="89">
        <f t="shared" si="0"/>
        <v>1.5999599008378043</v>
      </c>
      <c r="J20" s="76"/>
    </row>
    <row r="21" spans="1:10" s="26" customFormat="1" x14ac:dyDescent="0.25">
      <c r="A21" s="300" t="s">
        <v>530</v>
      </c>
      <c r="B21" s="300"/>
      <c r="C21" s="89"/>
      <c r="D21" s="89">
        <f>D19/D20</f>
        <v>747866154.53738034</v>
      </c>
      <c r="E21" s="89">
        <f>E19/E20</f>
        <v>1002706195.6245681</v>
      </c>
      <c r="F21" s="89">
        <f>F19/F20</f>
        <v>1344384564.8635261</v>
      </c>
      <c r="G21" s="89">
        <f>G19/G20</f>
        <v>1802491962.3813765</v>
      </c>
      <c r="H21" s="89">
        <f>H19/H20</f>
        <v>2416702303.3169694</v>
      </c>
      <c r="I21" s="89">
        <f>I19/((B20-I17)*I20)</f>
        <v>56028323743.127754</v>
      </c>
      <c r="J21" s="76"/>
    </row>
    <row r="22" spans="1:10" s="26" customFormat="1" x14ac:dyDescent="0.25">
      <c r="A22" s="300" t="s">
        <v>548</v>
      </c>
      <c r="B22" s="300"/>
      <c r="C22" s="89"/>
      <c r="D22" s="296">
        <f>SUM(D21:H21)</f>
        <v>7314151180.7238197</v>
      </c>
      <c r="E22" s="297"/>
      <c r="F22" s="297"/>
      <c r="G22" s="297"/>
      <c r="H22" s="298"/>
      <c r="I22" s="89">
        <f>I21</f>
        <v>56028323743.127754</v>
      </c>
      <c r="J22" s="76"/>
    </row>
    <row r="23" spans="1:10" x14ac:dyDescent="0.25">
      <c r="A23" s="92" t="s">
        <v>531</v>
      </c>
      <c r="B23" s="76">
        <f>D22+I22</f>
        <v>63342474923.851578</v>
      </c>
      <c r="C23" s="77"/>
      <c r="D23" s="77"/>
      <c r="E23" s="77"/>
      <c r="F23" s="77"/>
      <c r="G23" s="77"/>
      <c r="H23" s="77"/>
      <c r="I23" s="79"/>
      <c r="J23" s="77"/>
    </row>
    <row r="24" spans="1:10" x14ac:dyDescent="0.25">
      <c r="A24" s="92" t="s">
        <v>532</v>
      </c>
      <c r="B24" s="76">
        <f>B23</f>
        <v>63342474923.851578</v>
      </c>
      <c r="C24" s="77"/>
      <c r="D24" s="77"/>
      <c r="E24" s="77"/>
      <c r="F24" s="77"/>
      <c r="G24" s="77"/>
      <c r="H24" s="77"/>
      <c r="I24" s="79"/>
      <c r="J24" s="77"/>
    </row>
    <row r="25" spans="1:10" x14ac:dyDescent="0.25">
      <c r="A25" s="70" t="s">
        <v>533</v>
      </c>
      <c r="B25" s="71">
        <f>资产资本表!E17</f>
        <v>2943099285.9800005</v>
      </c>
      <c r="C25" s="77"/>
      <c r="D25" s="77"/>
      <c r="E25" s="77"/>
      <c r="F25" s="77"/>
      <c r="G25" s="77"/>
      <c r="H25" s="77"/>
      <c r="I25" s="79"/>
      <c r="J25" s="77"/>
    </row>
    <row r="26" spans="1:10" x14ac:dyDescent="0.25">
      <c r="A26" s="70" t="s">
        <v>534</v>
      </c>
      <c r="B26" s="71">
        <f>资产资本表!E19</f>
        <v>31322043.289999999</v>
      </c>
      <c r="C26" s="77"/>
      <c r="D26" s="77"/>
      <c r="E26" s="77"/>
      <c r="F26" s="77"/>
      <c r="G26" s="77"/>
      <c r="H26" s="77"/>
      <c r="I26" s="79"/>
      <c r="J26" s="77"/>
    </row>
    <row r="27" spans="1:10" x14ac:dyDescent="0.25">
      <c r="A27" s="70" t="s">
        <v>535</v>
      </c>
      <c r="B27" s="71">
        <f>资产资本表!E89</f>
        <v>2679639168.3899999</v>
      </c>
      <c r="C27" s="77"/>
      <c r="D27" s="77"/>
      <c r="E27" s="77"/>
      <c r="F27" s="77"/>
      <c r="G27" s="77"/>
      <c r="H27" s="77"/>
      <c r="I27" s="79"/>
      <c r="J27" s="77"/>
    </row>
    <row r="28" spans="1:10" s="2" customFormat="1" x14ac:dyDescent="0.25">
      <c r="A28" s="82" t="s">
        <v>536</v>
      </c>
      <c r="B28" s="83">
        <f>B24+B25+B26-B27</f>
        <v>63637257084.731583</v>
      </c>
      <c r="C28" s="80"/>
      <c r="D28" s="80"/>
      <c r="E28" s="80"/>
      <c r="F28" s="80"/>
      <c r="G28" s="80"/>
      <c r="H28" s="80"/>
      <c r="I28" s="81"/>
      <c r="J28" s="80"/>
    </row>
    <row r="29" spans="1:10" x14ac:dyDescent="0.25">
      <c r="A29" s="70" t="s">
        <v>537</v>
      </c>
      <c r="B29" s="78">
        <f>资产资本表!E103/资产资本表!E107</f>
        <v>5.8866036175987513E-2</v>
      </c>
      <c r="C29" s="301" t="s">
        <v>544</v>
      </c>
      <c r="D29" s="301"/>
      <c r="E29" s="301"/>
      <c r="F29" s="77"/>
      <c r="G29" s="77"/>
      <c r="H29" s="77"/>
      <c r="I29" s="79"/>
      <c r="J29" s="77"/>
    </row>
    <row r="30" spans="1:10" s="2" customFormat="1" x14ac:dyDescent="0.25">
      <c r="A30" s="82" t="s">
        <v>538</v>
      </c>
      <c r="B30" s="83">
        <f>B28*(1-B29)</f>
        <v>59891184007.041153</v>
      </c>
      <c r="C30" s="91">
        <v>0.4</v>
      </c>
      <c r="D30" s="91">
        <v>0.3</v>
      </c>
      <c r="E30" s="91">
        <v>0.2</v>
      </c>
      <c r="F30" s="80"/>
      <c r="G30" s="80"/>
      <c r="H30" s="80"/>
      <c r="I30" s="81"/>
      <c r="J30" s="80"/>
    </row>
    <row r="31" spans="1:10" x14ac:dyDescent="0.25">
      <c r="A31" s="70" t="s">
        <v>745</v>
      </c>
      <c r="B31" s="101">
        <f>B55</f>
        <v>3121566956</v>
      </c>
      <c r="C31" s="215">
        <f>$B$32*(1-C30)</f>
        <v>11.511753843739974</v>
      </c>
      <c r="D31" s="215">
        <f>$B$32*(1-D30)</f>
        <v>13.430379484363304</v>
      </c>
      <c r="E31" s="215">
        <f>$B$32*(1-E30)</f>
        <v>15.349005124986633</v>
      </c>
      <c r="F31" s="77"/>
      <c r="G31" s="77"/>
      <c r="H31" s="77"/>
      <c r="I31" s="79"/>
      <c r="J31" s="77"/>
    </row>
    <row r="32" spans="1:10" s="2" customFormat="1" ht="15" thickBot="1" x14ac:dyDescent="0.3">
      <c r="A32" s="84" t="s">
        <v>539</v>
      </c>
      <c r="B32" s="85">
        <f>B30/B31</f>
        <v>19.186256406233291</v>
      </c>
      <c r="C32" s="86"/>
      <c r="D32" s="86"/>
      <c r="E32" s="86"/>
      <c r="F32" s="86"/>
      <c r="G32" s="86"/>
      <c r="H32" s="86"/>
      <c r="I32" s="87"/>
      <c r="J32" s="80"/>
    </row>
    <row r="33" spans="1:19" ht="63" customHeight="1" x14ac:dyDescent="0.25">
      <c r="A33" s="302" t="s">
        <v>737</v>
      </c>
      <c r="B33" s="303"/>
      <c r="C33" s="303"/>
      <c r="D33" s="303"/>
      <c r="E33" s="303"/>
      <c r="F33" s="303"/>
      <c r="G33" s="303"/>
      <c r="H33" s="303"/>
      <c r="I33" s="303"/>
    </row>
    <row r="37" spans="1:19" s="63" customFormat="1" x14ac:dyDescent="0.25">
      <c r="A37" s="317" t="s">
        <v>749</v>
      </c>
      <c r="B37" s="204"/>
      <c r="C37" s="214" t="s">
        <v>542</v>
      </c>
      <c r="D37" s="214">
        <v>0.4</v>
      </c>
      <c r="E37" s="214"/>
      <c r="F37" s="214"/>
      <c r="G37" s="214"/>
      <c r="H37" s="214" t="s">
        <v>636</v>
      </c>
      <c r="I37" s="214">
        <v>0.09</v>
      </c>
      <c r="J37" s="214"/>
      <c r="K37" s="214"/>
      <c r="L37" s="214"/>
      <c r="M37" s="214"/>
      <c r="N37" s="214"/>
      <c r="O37" s="214"/>
      <c r="P37" s="214"/>
      <c r="Q37" s="214"/>
      <c r="R37" s="214" t="s">
        <v>547</v>
      </c>
      <c r="S37" s="214">
        <v>0.02</v>
      </c>
    </row>
    <row r="38" spans="1:19" s="24" customFormat="1" x14ac:dyDescent="0.25">
      <c r="A38" s="310" t="s">
        <v>545</v>
      </c>
      <c r="B38" s="311"/>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557794284.64999998</v>
      </c>
      <c r="D39" s="89">
        <f>$C$39*(1+$D$37)^D38</f>
        <v>780911998.50999987</v>
      </c>
      <c r="E39" s="89">
        <f>$C$39*(1+$D$37)^E38</f>
        <v>1093276797.9139998</v>
      </c>
      <c r="F39" s="89">
        <f>$C$39*(1+$D$37)^F38</f>
        <v>1530587517.0795996</v>
      </c>
      <c r="G39" s="89">
        <f>$C$39*(1+$D$37)^G38</f>
        <v>2142822523.9114392</v>
      </c>
      <c r="H39" s="89">
        <f>$C$39*(1+$D$37)^H38</f>
        <v>2999951533.4760146</v>
      </c>
      <c r="I39" s="89">
        <f>H39*(1+$I$37)</f>
        <v>3269947171.4888563</v>
      </c>
      <c r="J39" s="89">
        <f t="shared" ref="J39:N39" si="1">I39*(1+$I$37)</f>
        <v>3564242416.9228535</v>
      </c>
      <c r="K39" s="89">
        <f t="shared" si="1"/>
        <v>3885024234.4459105</v>
      </c>
      <c r="L39" s="89">
        <f t="shared" si="1"/>
        <v>4234676415.5460429</v>
      </c>
      <c r="M39" s="89">
        <f t="shared" si="1"/>
        <v>4615797292.9451876</v>
      </c>
      <c r="N39" s="89">
        <f t="shared" si="1"/>
        <v>5031219049.3102551</v>
      </c>
      <c r="O39" s="89">
        <f t="shared" ref="O39" si="2">N39*(1+$I$37)</f>
        <v>5484028763.7481785</v>
      </c>
      <c r="P39" s="89">
        <f t="shared" ref="P39" si="3">O39*(1+$I$37)</f>
        <v>5977591352.4855146</v>
      </c>
      <c r="Q39" s="89">
        <f t="shared" ref="Q39" si="4">P39*(1+$I$37)</f>
        <v>6515574574.2092113</v>
      </c>
      <c r="R39" s="89">
        <f t="shared" ref="R39" si="5">Q39*(1+$I$37)</f>
        <v>7101976285.8880405</v>
      </c>
      <c r="S39" s="89">
        <f>R39*(1+S37)</f>
        <v>7244015811.6058016</v>
      </c>
    </row>
    <row r="40" spans="1:19" s="23" customFormat="1" x14ac:dyDescent="0.25">
      <c r="A40" s="210" t="s">
        <v>529</v>
      </c>
      <c r="B40" s="209">
        <f>B4</f>
        <v>8.1479229719672919E-2</v>
      </c>
      <c r="C40" s="215"/>
      <c r="D40" s="215">
        <f>(1+$B$40)^D38</f>
        <v>1.0814792297196729</v>
      </c>
      <c r="E40" s="215">
        <f t="shared" ref="E40:R40" si="6">(1+$B$40)^E38</f>
        <v>1.169597324315057</v>
      </c>
      <c r="F40" s="215">
        <f t="shared" si="6"/>
        <v>1.2648952133824383</v>
      </c>
      <c r="G40" s="215">
        <f t="shared" si="6"/>
        <v>1.3679579010449407</v>
      </c>
      <c r="H40" s="215">
        <f t="shared" si="6"/>
        <v>1.4794180571110231</v>
      </c>
      <c r="I40" s="215">
        <f t="shared" si="6"/>
        <v>1.5999599008378043</v>
      </c>
      <c r="J40" s="215">
        <f t="shared" si="6"/>
        <v>1.7303234011404327</v>
      </c>
      <c r="K40" s="215">
        <f t="shared" si="6"/>
        <v>1.8713088190312799</v>
      </c>
      <c r="L40" s="215">
        <f t="shared" si="6"/>
        <v>2.0237816201735792</v>
      </c>
      <c r="M40" s="215">
        <f t="shared" si="6"/>
        <v>2.1886777877061543</v>
      </c>
      <c r="N40" s="215">
        <f t="shared" si="6"/>
        <v>2.3670095679530094</v>
      </c>
      <c r="O40" s="215">
        <f t="shared" si="6"/>
        <v>2.5598716842889164</v>
      </c>
      <c r="P40" s="215">
        <f t="shared" si="6"/>
        <v>2.7684480573059793</v>
      </c>
      <c r="Q40" s="215">
        <f t="shared" si="6"/>
        <v>2.9940190725341953</v>
      </c>
      <c r="R40" s="215">
        <f t="shared" si="6"/>
        <v>3.2379694403302905</v>
      </c>
      <c r="S40" s="183">
        <f>(1+$B$40)^S38</f>
        <v>3.5017966961842433</v>
      </c>
    </row>
    <row r="41" spans="1:19" s="193" customFormat="1" x14ac:dyDescent="0.25">
      <c r="A41" s="312" t="s">
        <v>530</v>
      </c>
      <c r="B41" s="313"/>
      <c r="C41" s="89"/>
      <c r="D41" s="89">
        <f t="shared" ref="D41:R41" si="7">D39/D40</f>
        <v>722077666.44988441</v>
      </c>
      <c r="E41" s="89">
        <f t="shared" si="7"/>
        <v>934746322.67498362</v>
      </c>
      <c r="F41" s="89">
        <f t="shared" si="7"/>
        <v>1210050841.2761538</v>
      </c>
      <c r="G41" s="89">
        <f t="shared" si="7"/>
        <v>1566438939.5862279</v>
      </c>
      <c r="H41" s="89">
        <f t="shared" si="7"/>
        <v>2027791616.478075</v>
      </c>
      <c r="I41" s="89">
        <f t="shared" si="7"/>
        <v>2043768203.0509505</v>
      </c>
      <c r="J41" s="89">
        <f t="shared" si="7"/>
        <v>2059870666.1273317</v>
      </c>
      <c r="K41" s="89">
        <f t="shared" si="7"/>
        <v>2076099997.4643791</v>
      </c>
      <c r="L41" s="89">
        <f t="shared" si="7"/>
        <v>2092457196.6331208</v>
      </c>
      <c r="M41" s="89">
        <f t="shared" si="7"/>
        <v>2108943271.0800149</v>
      </c>
      <c r="N41" s="89">
        <f t="shared" si="7"/>
        <v>2125559236.1890006</v>
      </c>
      <c r="O41" s="89">
        <f t="shared" si="7"/>
        <v>2142306115.3440342</v>
      </c>
      <c r="P41" s="89">
        <f t="shared" si="7"/>
        <v>2159184939.9921207</v>
      </c>
      <c r="Q41" s="89">
        <f t="shared" si="7"/>
        <v>2176196749.7068424</v>
      </c>
      <c r="R41" s="89">
        <f t="shared" si="7"/>
        <v>2193342592.2523842</v>
      </c>
      <c r="S41" s="89">
        <f>S39/((B40-S37)*S40)</f>
        <v>33648061056.926933</v>
      </c>
    </row>
    <row r="42" spans="1:19" s="23" customFormat="1" x14ac:dyDescent="0.25">
      <c r="A42" s="314" t="s">
        <v>548</v>
      </c>
      <c r="B42" s="315"/>
      <c r="C42" s="215"/>
      <c r="D42" s="307">
        <f>SUM(D41:H41)</f>
        <v>6461105386.4653244</v>
      </c>
      <c r="E42" s="308"/>
      <c r="F42" s="308"/>
      <c r="G42" s="308"/>
      <c r="H42" s="309"/>
      <c r="I42" s="307">
        <f>SUM(I41:R41)</f>
        <v>21177728967.840179</v>
      </c>
      <c r="J42" s="308"/>
      <c r="K42" s="308"/>
      <c r="L42" s="308"/>
      <c r="M42" s="308"/>
      <c r="N42" s="308"/>
      <c r="O42" s="308"/>
      <c r="P42" s="308"/>
      <c r="Q42" s="308"/>
      <c r="R42" s="309"/>
      <c r="S42" s="215">
        <f>S41</f>
        <v>33648061056.926933</v>
      </c>
    </row>
    <row r="43" spans="1:19" x14ac:dyDescent="0.25">
      <c r="A43" s="206" t="s">
        <v>546</v>
      </c>
      <c r="B43" s="197">
        <f>D42+I42+S42</f>
        <v>61286895411.232437</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61286895411.232437</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2943099285.9800005</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31322043.289999999</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2679639168.3899999</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61581677572.112442</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5.8866036175987513E-2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57956608312.374474</v>
      </c>
      <c r="C50" s="304" t="s">
        <v>544</v>
      </c>
      <c r="D50" s="305"/>
      <c r="E50" s="306"/>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3121566956</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18.566511348082862</v>
      </c>
      <c r="C52" s="208">
        <f>$B$52*(1-C51)</f>
        <v>11.139906808849718</v>
      </c>
      <c r="D52" s="208">
        <f>$B$52*(1-D51)</f>
        <v>12.996557943658003</v>
      </c>
      <c r="E52" s="208">
        <f>$B$52*(1-E51)</f>
        <v>14.853209078466291</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2044</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3121566956</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4" t="s">
        <v>738</v>
      </c>
      <c r="B57" s="295"/>
      <c r="C57" s="295"/>
      <c r="D57" s="295"/>
      <c r="E57" s="295"/>
      <c r="F57" s="295"/>
      <c r="G57" s="295"/>
      <c r="H57" s="295"/>
      <c r="I57" s="295"/>
    </row>
    <row r="60" spans="1:74" s="156" customFormat="1" ht="51" customHeight="1" x14ac:dyDescent="0.25">
      <c r="A60" s="292" t="s">
        <v>609</v>
      </c>
      <c r="B60" s="293"/>
      <c r="C60" s="293"/>
      <c r="D60" s="293"/>
      <c r="E60" s="293"/>
      <c r="F60" s="293"/>
      <c r="G60" s="293"/>
      <c r="H60" s="293"/>
      <c r="I60" s="293"/>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2.8057201918999999</v>
      </c>
      <c r="F64" s="168">
        <v>0</v>
      </c>
      <c r="G64" s="166">
        <v>16.47</v>
      </c>
      <c r="H64" s="168">
        <f>G64*D64</f>
        <v>55.997999999999998</v>
      </c>
      <c r="I64" s="168">
        <f>C64*D64</f>
        <v>59.125999999999998</v>
      </c>
      <c r="J64" s="168">
        <f>H64/E64</f>
        <v>19.958511957701251</v>
      </c>
      <c r="K64" s="168">
        <f>I64/E64</f>
        <v>21.073377227955358</v>
      </c>
      <c r="L64" s="264">
        <v>0</v>
      </c>
    </row>
    <row r="65" spans="1:12" s="26" customFormat="1" x14ac:dyDescent="0.25">
      <c r="A65" s="179">
        <f>股权价值增加表!I1</f>
        <v>42735</v>
      </c>
      <c r="B65" s="167">
        <v>42543</v>
      </c>
      <c r="C65" s="166">
        <v>23.13</v>
      </c>
      <c r="D65" s="166">
        <v>3.64</v>
      </c>
      <c r="E65" s="168">
        <f>股权价值增加表!I42/100000000</f>
        <v>3.6749780349999988</v>
      </c>
      <c r="F65" s="168">
        <f>(E65-E64)/E64*100</f>
        <v>30.98162980077311</v>
      </c>
      <c r="G65" s="166">
        <v>23.11</v>
      </c>
      <c r="H65" s="168">
        <f t="shared" ref="H65:H66" si="8">G65*D65</f>
        <v>84.120400000000004</v>
      </c>
      <c r="I65" s="168">
        <f t="shared" ref="I65:I66" si="9">C65*D65</f>
        <v>84.193200000000004</v>
      </c>
      <c r="J65" s="168">
        <f t="shared" ref="J65:J66" si="10">H65/E65</f>
        <v>22.890041572724673</v>
      </c>
      <c r="K65" s="168">
        <f t="shared" ref="K65:K66" si="11">I65/E65</f>
        <v>22.90985121493387</v>
      </c>
      <c r="L65" s="264">
        <f>K65/F65</f>
        <v>0.73946565633426364</v>
      </c>
    </row>
    <row r="66" spans="1:12" s="26" customFormat="1" x14ac:dyDescent="0.25">
      <c r="A66" s="179">
        <f>股权价值增加表!E1</f>
        <v>43100</v>
      </c>
      <c r="B66" s="167">
        <v>42872</v>
      </c>
      <c r="C66" s="166">
        <v>16.399999999999999</v>
      </c>
      <c r="D66" s="166">
        <v>9.09</v>
      </c>
      <c r="E66" s="168">
        <f>股权价值增加表!E42/100000000</f>
        <v>6.7281481224000004</v>
      </c>
      <c r="F66" s="168">
        <f t="shared" ref="F66" si="12">(E66-E65)/E65*100</f>
        <v>83.079954718695419</v>
      </c>
      <c r="G66" s="166">
        <v>15.76</v>
      </c>
      <c r="H66" s="168">
        <f t="shared" si="8"/>
        <v>143.25839999999999</v>
      </c>
      <c r="I66" s="168">
        <f t="shared" si="9"/>
        <v>149.07599999999999</v>
      </c>
      <c r="J66" s="168">
        <f t="shared" si="10"/>
        <v>21.292396866687625</v>
      </c>
      <c r="K66" s="168">
        <f t="shared" si="11"/>
        <v>22.157062729294228</v>
      </c>
      <c r="L66" s="264">
        <f t="shared" ref="L66" si="13">K66/F66</f>
        <v>0.26669565245090632</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6" t="s">
        <v>621</v>
      </c>
    </row>
    <row r="69" spans="1:12" s="26" customFormat="1" ht="15" thickBot="1" x14ac:dyDescent="0.3">
      <c r="A69" s="169" t="s">
        <v>628</v>
      </c>
      <c r="B69" s="170">
        <v>43305</v>
      </c>
      <c r="C69" s="171">
        <v>11.65</v>
      </c>
      <c r="D69" s="171">
        <v>9.09</v>
      </c>
      <c r="E69" s="171">
        <v>4.33</v>
      </c>
      <c r="F69" s="172">
        <f>(E69-E66)/E66*100</f>
        <v>-35.643509607284862</v>
      </c>
      <c r="G69" s="171">
        <v>10.119999999999999</v>
      </c>
      <c r="H69" s="172">
        <f>G69*D69</f>
        <v>91.990799999999993</v>
      </c>
      <c r="I69" s="172">
        <f>C69*D69</f>
        <v>105.8985</v>
      </c>
      <c r="J69" s="172">
        <f>H69/E69</f>
        <v>21.244988452655885</v>
      </c>
      <c r="K69" s="172">
        <f>I69/E69</f>
        <v>24.456928406466513</v>
      </c>
      <c r="L69" s="267">
        <f>K69/F69</f>
        <v>-0.686153767570295</v>
      </c>
    </row>
    <row r="70" spans="1:12" s="26" customFormat="1" ht="15" thickBot="1" x14ac:dyDescent="0.3">
      <c r="A70" s="173" t="s">
        <v>627</v>
      </c>
      <c r="B70" s="174">
        <v>43305</v>
      </c>
      <c r="C70" s="175">
        <v>11.65</v>
      </c>
      <c r="D70" s="175">
        <v>9.09</v>
      </c>
      <c r="E70" s="175">
        <v>3.86</v>
      </c>
      <c r="F70" s="176">
        <f>(E70-E66)/E66*100</f>
        <v>-42.629087086401753</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-0.64357100831129288</v>
      </c>
    </row>
    <row r="71" spans="1:12" s="88" customFormat="1" ht="138" customHeight="1" x14ac:dyDescent="0.25">
      <c r="A71" s="290" t="s">
        <v>630</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2019-02-07T05:47:16Z</dcterms:modified>
</cp:coreProperties>
</file>